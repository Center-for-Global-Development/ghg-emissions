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5" documentId="8_{E63368D1-9F73-4CC3-96A0-98C2A7519063}" xr6:coauthVersionLast="47" xr6:coauthVersionMax="47" xr10:uidLastSave="{D5EDC019-FD98-44E3-BA9D-BFA32B1D07BE}"/>
  <bookViews>
    <workbookView xWindow="-110" yWindow="-110" windowWidth="19420" windowHeight="10300" firstSheet="10" activeTab="12" xr2:uid="{C441C3D3-680E-4A69-9E63-7F025E3E0370}"/>
  </bookViews>
  <sheets>
    <sheet name="vals_ghg_incLUC" sheetId="13" r:id="rId1"/>
    <sheet name="GHG incl LULUCF" sheetId="12" r:id="rId2"/>
    <sheet name="data_ghg_incLUC" sheetId="11" r:id="rId3"/>
    <sheet name="vals_ghg_excLUC" sheetId="10" r:id="rId4"/>
    <sheet name="GHG excl LULUCF" sheetId="9" r:id="rId5"/>
    <sheet name="data_ghg_excLUC" sheetId="8" r:id="rId6"/>
    <sheet name="vals_co2_incLUC" sheetId="7" r:id="rId7"/>
    <sheet name="CO2 incl LULUCF" sheetId="6" r:id="rId8"/>
    <sheet name="data_co2_incLUC" sheetId="5" r:id="rId9"/>
    <sheet name="data_co2_excLUC" sheetId="1" r:id="rId10"/>
    <sheet name="vals_co2_excLUC" sheetId="4" r:id="rId11"/>
    <sheet name="CO2 excl LULUCF" sheetId="3" r:id="rId12"/>
    <sheet name="All measure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1" i="11" l="1"/>
  <c r="D41" i="11"/>
  <c r="D61" i="11"/>
  <c r="D105" i="11"/>
  <c r="D146" i="11"/>
  <c r="D147" i="11"/>
  <c r="D169" i="11"/>
  <c r="C14" i="11"/>
  <c r="C58" i="11"/>
  <c r="C82" i="11"/>
  <c r="C98" i="11"/>
  <c r="C99" i="11"/>
  <c r="C114" i="11"/>
  <c r="C115" i="11"/>
  <c r="C130" i="11"/>
  <c r="C131" i="11"/>
  <c r="C146" i="11"/>
  <c r="C147" i="11"/>
  <c r="C162" i="11"/>
  <c r="C163" i="11"/>
  <c r="B3" i="11"/>
  <c r="B4" i="11"/>
  <c r="B19" i="11"/>
  <c r="B20" i="11"/>
  <c r="B35" i="11"/>
  <c r="B36" i="11"/>
  <c r="B51" i="11"/>
  <c r="B52" i="11"/>
  <c r="B67" i="11"/>
  <c r="B68" i="11"/>
  <c r="B83" i="11"/>
  <c r="B84" i="11"/>
  <c r="B99" i="11"/>
  <c r="B100" i="11"/>
  <c r="B115" i="11"/>
  <c r="B123" i="11"/>
  <c r="B124" i="11"/>
  <c r="B138" i="11"/>
  <c r="B142" i="11"/>
  <c r="B152" i="11"/>
  <c r="B170" i="11"/>
  <c r="O3" i="11"/>
  <c r="O4" i="11"/>
  <c r="O5" i="11"/>
  <c r="O6" i="11"/>
  <c r="O7" i="11"/>
  <c r="O8" i="11"/>
  <c r="O9" i="11"/>
  <c r="O10" i="11"/>
  <c r="O11" i="11"/>
  <c r="D11" i="11" s="1"/>
  <c r="O12" i="11"/>
  <c r="D12" i="11" s="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D60" i="11" s="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D83" i="11" s="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E116" i="11" s="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K3" i="11"/>
  <c r="K4" i="11"/>
  <c r="K5" i="11"/>
  <c r="K6" i="11"/>
  <c r="K7" i="11"/>
  <c r="K8" i="11"/>
  <c r="K9" i="11"/>
  <c r="K10" i="11"/>
  <c r="K11" i="11"/>
  <c r="K12" i="11"/>
  <c r="B12" i="11" s="1"/>
  <c r="K13" i="11"/>
  <c r="C13" i="11" s="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B28" i="11" s="1"/>
  <c r="K29" i="11"/>
  <c r="K30" i="11"/>
  <c r="K31" i="11"/>
  <c r="K32" i="11"/>
  <c r="K33" i="11"/>
  <c r="K34" i="11"/>
  <c r="K35" i="11"/>
  <c r="K36" i="11"/>
  <c r="C36" i="11" s="1"/>
  <c r="K37" i="11"/>
  <c r="K38" i="11"/>
  <c r="K39" i="11"/>
  <c r="K40" i="11"/>
  <c r="K41" i="11"/>
  <c r="K42" i="11"/>
  <c r="K43" i="11"/>
  <c r="K44" i="11"/>
  <c r="B44" i="11" s="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B60" i="11" s="1"/>
  <c r="K61" i="11"/>
  <c r="K62" i="11"/>
  <c r="K63" i="11"/>
  <c r="K64" i="11"/>
  <c r="K65" i="11"/>
  <c r="K66" i="11"/>
  <c r="K67" i="11"/>
  <c r="K68" i="11"/>
  <c r="C68" i="11" s="1"/>
  <c r="K69" i="11"/>
  <c r="K70" i="11"/>
  <c r="K71" i="11"/>
  <c r="K72" i="11"/>
  <c r="K73" i="11"/>
  <c r="K74" i="11"/>
  <c r="K75" i="11"/>
  <c r="K76" i="11"/>
  <c r="B76" i="11" s="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B92" i="11" s="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B108" i="11" s="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B132" i="11" s="1"/>
  <c r="K133" i="11"/>
  <c r="B133" i="11" s="1"/>
  <c r="K134" i="11"/>
  <c r="K135" i="11"/>
  <c r="K136" i="11"/>
  <c r="K137" i="11"/>
  <c r="K138" i="11"/>
  <c r="K139" i="11"/>
  <c r="K140" i="11"/>
  <c r="K141" i="11"/>
  <c r="B141" i="11" s="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B156" i="11" s="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D125" i="11" s="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E154" i="11" s="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C91" i="11" s="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C107" i="11" s="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C123" i="11" s="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C139" i="11" s="1"/>
  <c r="J140" i="11"/>
  <c r="J141" i="11"/>
  <c r="J142" i="11"/>
  <c r="J143" i="11"/>
  <c r="J144" i="11"/>
  <c r="J145" i="11"/>
  <c r="J146" i="11"/>
  <c r="J147" i="11"/>
  <c r="B147" i="11" s="1"/>
  <c r="J148" i="11"/>
  <c r="J149" i="11"/>
  <c r="J150" i="11"/>
  <c r="B150" i="11" s="1"/>
  <c r="J151" i="11"/>
  <c r="J152" i="11"/>
  <c r="J153" i="11"/>
  <c r="J154" i="11"/>
  <c r="J155" i="11"/>
  <c r="C155" i="11" s="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C171" i="11" s="1"/>
  <c r="J172" i="11"/>
  <c r="J173" i="11"/>
  <c r="J174" i="11"/>
  <c r="B174" i="11" s="1"/>
  <c r="J175" i="11"/>
  <c r="J176" i="11"/>
  <c r="J177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D16" i="11" s="1"/>
  <c r="M17" i="11"/>
  <c r="M18" i="11"/>
  <c r="M19" i="11"/>
  <c r="M20" i="11"/>
  <c r="M21" i="11"/>
  <c r="M22" i="11"/>
  <c r="M23" i="11"/>
  <c r="M24" i="11"/>
  <c r="M25" i="11"/>
  <c r="E25" i="11" s="1"/>
  <c r="M26" i="11"/>
  <c r="M27" i="11"/>
  <c r="M28" i="11"/>
  <c r="M29" i="11"/>
  <c r="M30" i="11"/>
  <c r="M31" i="11"/>
  <c r="M32" i="11"/>
  <c r="M33" i="11"/>
  <c r="M34" i="11"/>
  <c r="M35" i="11"/>
  <c r="E35" i="11" s="1"/>
  <c r="M36" i="11"/>
  <c r="M37" i="11"/>
  <c r="M38" i="11"/>
  <c r="M39" i="11"/>
  <c r="E39" i="11" s="1"/>
  <c r="M40" i="11"/>
  <c r="M41" i="11"/>
  <c r="E41" i="11" s="1"/>
  <c r="M42" i="11"/>
  <c r="M43" i="11"/>
  <c r="M44" i="11"/>
  <c r="M45" i="11"/>
  <c r="M46" i="11"/>
  <c r="M47" i="11"/>
  <c r="M48" i="11"/>
  <c r="D48" i="11" s="1"/>
  <c r="M49" i="11"/>
  <c r="M50" i="11"/>
  <c r="D50" i="11" s="1"/>
  <c r="M51" i="11"/>
  <c r="D51" i="11" s="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E72" i="11" s="1"/>
  <c r="M73" i="11"/>
  <c r="E73" i="11" s="1"/>
  <c r="M74" i="11"/>
  <c r="M75" i="11"/>
  <c r="M76" i="11"/>
  <c r="M77" i="11"/>
  <c r="M78" i="11"/>
  <c r="M79" i="11"/>
  <c r="M80" i="11"/>
  <c r="M81" i="11"/>
  <c r="M82" i="11"/>
  <c r="D82" i="11" s="1"/>
  <c r="H82" i="11" s="1"/>
  <c r="M83" i="11"/>
  <c r="E83" i="11" s="1"/>
  <c r="M84" i="11"/>
  <c r="M85" i="11"/>
  <c r="M86" i="11"/>
  <c r="M87" i="11"/>
  <c r="M88" i="11"/>
  <c r="M89" i="11"/>
  <c r="M90" i="11"/>
  <c r="M91" i="11"/>
  <c r="M92" i="11"/>
  <c r="D92" i="11" s="1"/>
  <c r="H92" i="11" s="1"/>
  <c r="M93" i="11"/>
  <c r="D93" i="11" s="1"/>
  <c r="M94" i="11"/>
  <c r="M95" i="11"/>
  <c r="M96" i="11"/>
  <c r="M97" i="11"/>
  <c r="M98" i="11"/>
  <c r="M99" i="11"/>
  <c r="M100" i="11"/>
  <c r="E100" i="11" s="1"/>
  <c r="M101" i="11"/>
  <c r="E101" i="11" s="1"/>
  <c r="M102" i="11"/>
  <c r="M103" i="11"/>
  <c r="M104" i="11"/>
  <c r="E104" i="11" s="1"/>
  <c r="M105" i="11"/>
  <c r="E105" i="11" s="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D120" i="11" s="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E136" i="11" s="1"/>
  <c r="M137" i="11"/>
  <c r="E137" i="11" s="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D152" i="11" s="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D168" i="11" s="1"/>
  <c r="M169" i="11"/>
  <c r="E169" i="11" s="1"/>
  <c r="M170" i="11"/>
  <c r="E170" i="11" s="1"/>
  <c r="M171" i="11"/>
  <c r="M172" i="11"/>
  <c r="M173" i="11"/>
  <c r="M174" i="11"/>
  <c r="M175" i="11"/>
  <c r="M176" i="11"/>
  <c r="M177" i="11"/>
  <c r="I3" i="11"/>
  <c r="C3" i="11" s="1"/>
  <c r="I4" i="11"/>
  <c r="C4" i="11" s="1"/>
  <c r="I5" i="11"/>
  <c r="I6" i="11"/>
  <c r="I7" i="11"/>
  <c r="I8" i="11"/>
  <c r="I9" i="11"/>
  <c r="C9" i="11" s="1"/>
  <c r="I10" i="11"/>
  <c r="I11" i="11"/>
  <c r="B11" i="11" s="1"/>
  <c r="I12" i="11"/>
  <c r="I13" i="11"/>
  <c r="B13" i="11" s="1"/>
  <c r="I14" i="11"/>
  <c r="I15" i="11"/>
  <c r="I16" i="11"/>
  <c r="I17" i="11"/>
  <c r="C17" i="11" s="1"/>
  <c r="I18" i="11"/>
  <c r="I19" i="11"/>
  <c r="I20" i="11"/>
  <c r="I21" i="11"/>
  <c r="I22" i="11"/>
  <c r="I23" i="11"/>
  <c r="I24" i="11"/>
  <c r="I25" i="11"/>
  <c r="C25" i="11" s="1"/>
  <c r="I26" i="11"/>
  <c r="B26" i="11" s="1"/>
  <c r="I27" i="11"/>
  <c r="B27" i="11" s="1"/>
  <c r="I28" i="11"/>
  <c r="I29" i="11"/>
  <c r="B29" i="11" s="1"/>
  <c r="I30" i="11"/>
  <c r="I31" i="11"/>
  <c r="I32" i="11"/>
  <c r="I33" i="11"/>
  <c r="C33" i="11" s="1"/>
  <c r="I34" i="11"/>
  <c r="I35" i="11"/>
  <c r="C35" i="11" s="1"/>
  <c r="I36" i="11"/>
  <c r="I37" i="11"/>
  <c r="I38" i="11"/>
  <c r="I39" i="11"/>
  <c r="I40" i="11"/>
  <c r="I41" i="11"/>
  <c r="C41" i="11" s="1"/>
  <c r="I42" i="11"/>
  <c r="I43" i="11"/>
  <c r="B43" i="11" s="1"/>
  <c r="I44" i="11"/>
  <c r="I45" i="11"/>
  <c r="C45" i="11" s="1"/>
  <c r="I46" i="11"/>
  <c r="C46" i="11" s="1"/>
  <c r="I47" i="11"/>
  <c r="I48" i="11"/>
  <c r="I49" i="11"/>
  <c r="C49" i="11" s="1"/>
  <c r="I50" i="11"/>
  <c r="I51" i="11"/>
  <c r="I52" i="11"/>
  <c r="I53" i="11"/>
  <c r="I54" i="11"/>
  <c r="I55" i="11"/>
  <c r="I56" i="11"/>
  <c r="I57" i="11"/>
  <c r="B57" i="11" s="1"/>
  <c r="I58" i="11"/>
  <c r="B58" i="11" s="1"/>
  <c r="I59" i="11"/>
  <c r="C59" i="11" s="1"/>
  <c r="I60" i="11"/>
  <c r="I61" i="11"/>
  <c r="B61" i="11" s="1"/>
  <c r="I62" i="11"/>
  <c r="I63" i="11"/>
  <c r="I64" i="11"/>
  <c r="I65" i="11"/>
  <c r="C65" i="11" s="1"/>
  <c r="I66" i="11"/>
  <c r="B66" i="11" s="1"/>
  <c r="I67" i="11"/>
  <c r="C67" i="11" s="1"/>
  <c r="I68" i="11"/>
  <c r="I69" i="11"/>
  <c r="I70" i="11"/>
  <c r="I71" i="11"/>
  <c r="I72" i="11"/>
  <c r="I73" i="11"/>
  <c r="C73" i="11" s="1"/>
  <c r="I74" i="11"/>
  <c r="B74" i="11" s="1"/>
  <c r="I75" i="11"/>
  <c r="B75" i="11" s="1"/>
  <c r="I76" i="11"/>
  <c r="I77" i="11"/>
  <c r="B77" i="11" s="1"/>
  <c r="I78" i="11"/>
  <c r="I79" i="11"/>
  <c r="I80" i="11"/>
  <c r="I81" i="11"/>
  <c r="C81" i="11" s="1"/>
  <c r="I82" i="11"/>
  <c r="B82" i="11" s="1"/>
  <c r="I83" i="11"/>
  <c r="C83" i="11" s="1"/>
  <c r="I84" i="11"/>
  <c r="C84" i="11" s="1"/>
  <c r="I85" i="11"/>
  <c r="I86" i="11"/>
  <c r="I87" i="11"/>
  <c r="I88" i="11"/>
  <c r="I89" i="11"/>
  <c r="C89" i="11" s="1"/>
  <c r="I90" i="11"/>
  <c r="B90" i="11" s="1"/>
  <c r="I91" i="11"/>
  <c r="B91" i="11" s="1"/>
  <c r="I92" i="11"/>
  <c r="C92" i="11" s="1"/>
  <c r="I93" i="11"/>
  <c r="B93" i="11" s="1"/>
  <c r="I94" i="11"/>
  <c r="I95" i="11"/>
  <c r="I96" i="11"/>
  <c r="B96" i="11" s="1"/>
  <c r="I97" i="11"/>
  <c r="C97" i="11" s="1"/>
  <c r="I98" i="11"/>
  <c r="B98" i="11" s="1"/>
  <c r="I99" i="11"/>
  <c r="I100" i="11"/>
  <c r="C100" i="11" s="1"/>
  <c r="I101" i="11"/>
  <c r="I102" i="11"/>
  <c r="I103" i="11"/>
  <c r="I104" i="11"/>
  <c r="B104" i="11" s="1"/>
  <c r="I105" i="11"/>
  <c r="C105" i="11" s="1"/>
  <c r="I106" i="11"/>
  <c r="B106" i="11" s="1"/>
  <c r="I107" i="11"/>
  <c r="B107" i="11" s="1"/>
  <c r="I108" i="11"/>
  <c r="C108" i="11" s="1"/>
  <c r="I109" i="11"/>
  <c r="B109" i="11" s="1"/>
  <c r="I110" i="11"/>
  <c r="B110" i="11" s="1"/>
  <c r="I111" i="11"/>
  <c r="I112" i="11"/>
  <c r="B112" i="11" s="1"/>
  <c r="I113" i="11"/>
  <c r="C113" i="11" s="1"/>
  <c r="I114" i="11"/>
  <c r="B114" i="11" s="1"/>
  <c r="I115" i="11"/>
  <c r="I116" i="11"/>
  <c r="C116" i="11" s="1"/>
  <c r="I117" i="11"/>
  <c r="I118" i="11"/>
  <c r="I119" i="11"/>
  <c r="I120" i="11"/>
  <c r="C120" i="11" s="1"/>
  <c r="I121" i="11"/>
  <c r="C121" i="11" s="1"/>
  <c r="I122" i="11"/>
  <c r="C122" i="11" s="1"/>
  <c r="I123" i="11"/>
  <c r="I124" i="11"/>
  <c r="C124" i="11" s="1"/>
  <c r="I125" i="11"/>
  <c r="I126" i="11"/>
  <c r="I127" i="11"/>
  <c r="I128" i="11"/>
  <c r="B128" i="11" s="1"/>
  <c r="I129" i="11"/>
  <c r="C129" i="11" s="1"/>
  <c r="I130" i="11"/>
  <c r="B130" i="11" s="1"/>
  <c r="I131" i="11"/>
  <c r="B131" i="11" s="1"/>
  <c r="I132" i="11"/>
  <c r="C132" i="11" s="1"/>
  <c r="I133" i="11"/>
  <c r="I134" i="11"/>
  <c r="I135" i="11"/>
  <c r="I136" i="11"/>
  <c r="C136" i="11" s="1"/>
  <c r="I137" i="11"/>
  <c r="C137" i="11" s="1"/>
  <c r="I138" i="11"/>
  <c r="C138" i="11" s="1"/>
  <c r="I139" i="11"/>
  <c r="B139" i="11" s="1"/>
  <c r="I140" i="11"/>
  <c r="C140" i="11" s="1"/>
  <c r="I141" i="11"/>
  <c r="I142" i="11"/>
  <c r="I143" i="11"/>
  <c r="I144" i="11"/>
  <c r="B144" i="11" s="1"/>
  <c r="I145" i="11"/>
  <c r="C145" i="11" s="1"/>
  <c r="I146" i="11"/>
  <c r="B146" i="11" s="1"/>
  <c r="I147" i="11"/>
  <c r="I148" i="11"/>
  <c r="C148" i="11" s="1"/>
  <c r="I149" i="11"/>
  <c r="B149" i="11" s="1"/>
  <c r="I150" i="11"/>
  <c r="I151" i="11"/>
  <c r="I152" i="11"/>
  <c r="C152" i="11" s="1"/>
  <c r="I153" i="11"/>
  <c r="C153" i="11" s="1"/>
  <c r="I154" i="11"/>
  <c r="B154" i="11" s="1"/>
  <c r="I155" i="11"/>
  <c r="B155" i="11" s="1"/>
  <c r="I156" i="11"/>
  <c r="C156" i="11" s="1"/>
  <c r="I157" i="11"/>
  <c r="B157" i="11" s="1"/>
  <c r="I158" i="11"/>
  <c r="B158" i="11" s="1"/>
  <c r="I159" i="11"/>
  <c r="I160" i="11"/>
  <c r="B160" i="11" s="1"/>
  <c r="I161" i="11"/>
  <c r="C161" i="11" s="1"/>
  <c r="I162" i="11"/>
  <c r="B162" i="11" s="1"/>
  <c r="I163" i="11"/>
  <c r="B163" i="11" s="1"/>
  <c r="I164" i="11"/>
  <c r="C164" i="11" s="1"/>
  <c r="I165" i="11"/>
  <c r="I166" i="11"/>
  <c r="I167" i="11"/>
  <c r="I168" i="11"/>
  <c r="C168" i="11" s="1"/>
  <c r="I169" i="11"/>
  <c r="C169" i="11" s="1"/>
  <c r="I170" i="11"/>
  <c r="C170" i="11" s="1"/>
  <c r="I171" i="11"/>
  <c r="B171" i="11" s="1"/>
  <c r="I172" i="11"/>
  <c r="B172" i="11" s="1"/>
  <c r="I173" i="11"/>
  <c r="I174" i="11"/>
  <c r="I175" i="11"/>
  <c r="I176" i="11"/>
  <c r="B176" i="11" s="1"/>
  <c r="I177" i="11"/>
  <c r="C177" i="1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172" i="13"/>
  <c r="AE173" i="13"/>
  <c r="AE174" i="13"/>
  <c r="AE175" i="13"/>
  <c r="AE176" i="13"/>
  <c r="AE177" i="13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C174" i="13"/>
  <c r="AC175" i="13"/>
  <c r="AC176" i="13"/>
  <c r="AC177" i="13"/>
  <c r="AB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Z103" i="13"/>
  <c r="Z104" i="13"/>
  <c r="Z105" i="13"/>
  <c r="Z106" i="13"/>
  <c r="Z107" i="13"/>
  <c r="Z108" i="13"/>
  <c r="Z109" i="13"/>
  <c r="Z110" i="13"/>
  <c r="Z111" i="13"/>
  <c r="Z112" i="13"/>
  <c r="Z113" i="13"/>
  <c r="Z114" i="13"/>
  <c r="Z115" i="13"/>
  <c r="Z116" i="13"/>
  <c r="Z117" i="13"/>
  <c r="Z118" i="13"/>
  <c r="Z119" i="13"/>
  <c r="Z120" i="13"/>
  <c r="Z121" i="13"/>
  <c r="Z122" i="13"/>
  <c r="Z123" i="13"/>
  <c r="Z124" i="13"/>
  <c r="Z125" i="13"/>
  <c r="Z126" i="13"/>
  <c r="Z127" i="13"/>
  <c r="Z128" i="13"/>
  <c r="Z129" i="13"/>
  <c r="Z130" i="13"/>
  <c r="Z131" i="13"/>
  <c r="Z132" i="13"/>
  <c r="Z133" i="13"/>
  <c r="Z134" i="13"/>
  <c r="Z135" i="13"/>
  <c r="Z136" i="13"/>
  <c r="Z137" i="13"/>
  <c r="Z138" i="13"/>
  <c r="Z139" i="13"/>
  <c r="Z140" i="13"/>
  <c r="Z141" i="13"/>
  <c r="Z142" i="13"/>
  <c r="Z143" i="13"/>
  <c r="Z144" i="13"/>
  <c r="Z145" i="13"/>
  <c r="Z146" i="13"/>
  <c r="Z147" i="13"/>
  <c r="Z148" i="13"/>
  <c r="Z149" i="13"/>
  <c r="Z150" i="13"/>
  <c r="Z151" i="13"/>
  <c r="Z152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Z166" i="13"/>
  <c r="Z167" i="13"/>
  <c r="Z168" i="13"/>
  <c r="Z169" i="13"/>
  <c r="Z170" i="13"/>
  <c r="Z171" i="13"/>
  <c r="Z172" i="13"/>
  <c r="Z173" i="13"/>
  <c r="Z174" i="13"/>
  <c r="Z175" i="13"/>
  <c r="Z176" i="13"/>
  <c r="Z177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125" i="13"/>
  <c r="T126" i="13"/>
  <c r="T127" i="13"/>
  <c r="T128" i="13"/>
  <c r="T129" i="13"/>
  <c r="T130" i="13"/>
  <c r="T131" i="13"/>
  <c r="T132" i="13"/>
  <c r="T133" i="13"/>
  <c r="T134" i="13"/>
  <c r="T135" i="13"/>
  <c r="T136" i="13"/>
  <c r="T137" i="13"/>
  <c r="T138" i="13"/>
  <c r="T139" i="13"/>
  <c r="T140" i="13"/>
  <c r="T141" i="13"/>
  <c r="T142" i="13"/>
  <c r="T143" i="13"/>
  <c r="T144" i="13"/>
  <c r="T145" i="13"/>
  <c r="T146" i="13"/>
  <c r="T147" i="13"/>
  <c r="T148" i="13"/>
  <c r="T149" i="13"/>
  <c r="T150" i="13"/>
  <c r="T151" i="13"/>
  <c r="T152" i="13"/>
  <c r="T153" i="13"/>
  <c r="T154" i="13"/>
  <c r="T155" i="13"/>
  <c r="T156" i="13"/>
  <c r="T157" i="13"/>
  <c r="T158" i="13"/>
  <c r="T159" i="13"/>
  <c r="T160" i="13"/>
  <c r="T161" i="13"/>
  <c r="T162" i="13"/>
  <c r="T163" i="13"/>
  <c r="T164" i="13"/>
  <c r="T165" i="13"/>
  <c r="T166" i="13"/>
  <c r="T167" i="13"/>
  <c r="T168" i="13"/>
  <c r="T169" i="13"/>
  <c r="T170" i="13"/>
  <c r="T171" i="13"/>
  <c r="T172" i="13"/>
  <c r="T173" i="13"/>
  <c r="T174" i="13"/>
  <c r="T175" i="13"/>
  <c r="T176" i="13"/>
  <c r="T177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E11" i="8"/>
  <c r="E77" i="8"/>
  <c r="E125" i="8"/>
  <c r="E149" i="8"/>
  <c r="D51" i="8"/>
  <c r="D69" i="8"/>
  <c r="D87" i="8"/>
  <c r="C4" i="8"/>
  <c r="C20" i="8"/>
  <c r="C48" i="8"/>
  <c r="C108" i="8"/>
  <c r="C129" i="8"/>
  <c r="C140" i="8"/>
  <c r="C172" i="8"/>
  <c r="B8" i="8"/>
  <c r="B18" i="8"/>
  <c r="B40" i="8"/>
  <c r="B50" i="8"/>
  <c r="B60" i="8"/>
  <c r="P3" i="8"/>
  <c r="P4" i="8"/>
  <c r="P5" i="8"/>
  <c r="P6" i="8"/>
  <c r="P7" i="8"/>
  <c r="P8" i="8"/>
  <c r="P9" i="8"/>
  <c r="P10" i="8"/>
  <c r="P11" i="8"/>
  <c r="P12" i="8"/>
  <c r="P13" i="8"/>
  <c r="P14" i="8"/>
  <c r="D14" i="8" s="1"/>
  <c r="H14" i="8" s="1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D142" i="8" s="1"/>
  <c r="H142" i="8" s="1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C87" i="8" s="1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C119" i="8" s="1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C151" i="8" s="1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D32" i="8" s="1"/>
  <c r="H32" i="8" s="1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D160" i="8" s="1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C73" i="8" s="1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C97" i="8" s="1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C161" i="8" s="1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E50" i="8" s="1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D106" i="8" s="1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E170" i="8" s="1"/>
  <c r="N171" i="8"/>
  <c r="N172" i="8"/>
  <c r="N173" i="8"/>
  <c r="N174" i="8"/>
  <c r="N175" i="8"/>
  <c r="N176" i="8"/>
  <c r="N177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C35" i="8" s="1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M3" i="8"/>
  <c r="D3" i="8" s="1"/>
  <c r="M4" i="8"/>
  <c r="E4" i="8" s="1"/>
  <c r="M5" i="8"/>
  <c r="E5" i="8" s="1"/>
  <c r="M6" i="8"/>
  <c r="M7" i="8"/>
  <c r="M8" i="8"/>
  <c r="D8" i="8" s="1"/>
  <c r="M9" i="8"/>
  <c r="M10" i="8"/>
  <c r="D10" i="8" s="1"/>
  <c r="M11" i="8"/>
  <c r="D11" i="8" s="1"/>
  <c r="M12" i="8"/>
  <c r="M13" i="8"/>
  <c r="E13" i="8" s="1"/>
  <c r="M14" i="8"/>
  <c r="M15" i="8"/>
  <c r="M16" i="8"/>
  <c r="M17" i="8"/>
  <c r="M18" i="8"/>
  <c r="D18" i="8" s="1"/>
  <c r="M19" i="8"/>
  <c r="E19" i="8" s="1"/>
  <c r="M20" i="8"/>
  <c r="M21" i="8"/>
  <c r="D21" i="8" s="1"/>
  <c r="M22" i="8"/>
  <c r="D22" i="8" s="1"/>
  <c r="M23" i="8"/>
  <c r="D23" i="8" s="1"/>
  <c r="M24" i="8"/>
  <c r="M25" i="8"/>
  <c r="M26" i="8"/>
  <c r="M27" i="8"/>
  <c r="E27" i="8" s="1"/>
  <c r="M28" i="8"/>
  <c r="E28" i="8" s="1"/>
  <c r="M29" i="8"/>
  <c r="M30" i="8"/>
  <c r="M31" i="8"/>
  <c r="D31" i="8" s="1"/>
  <c r="M32" i="8"/>
  <c r="M33" i="8"/>
  <c r="M34" i="8"/>
  <c r="M35" i="8"/>
  <c r="M36" i="8"/>
  <c r="E36" i="8" s="1"/>
  <c r="M37" i="8"/>
  <c r="E37" i="8" s="1"/>
  <c r="M38" i="8"/>
  <c r="M39" i="8"/>
  <c r="M40" i="8"/>
  <c r="M41" i="8"/>
  <c r="M42" i="8"/>
  <c r="D42" i="8" s="1"/>
  <c r="M43" i="8"/>
  <c r="M44" i="8"/>
  <c r="M45" i="8"/>
  <c r="E45" i="8" s="1"/>
  <c r="M46" i="8"/>
  <c r="D46" i="8" s="1"/>
  <c r="H46" i="8" s="1"/>
  <c r="M47" i="8"/>
  <c r="M48" i="8"/>
  <c r="M49" i="8"/>
  <c r="M50" i="8"/>
  <c r="D50" i="8" s="1"/>
  <c r="M51" i="8"/>
  <c r="E51" i="8" s="1"/>
  <c r="M52" i="8"/>
  <c r="M53" i="8"/>
  <c r="M54" i="8"/>
  <c r="E54" i="8" s="1"/>
  <c r="M55" i="8"/>
  <c r="D55" i="8" s="1"/>
  <c r="M56" i="8"/>
  <c r="E56" i="8" s="1"/>
  <c r="M57" i="8"/>
  <c r="M58" i="8"/>
  <c r="M59" i="8"/>
  <c r="E59" i="8" s="1"/>
  <c r="M60" i="8"/>
  <c r="E60" i="8" s="1"/>
  <c r="M61" i="8"/>
  <c r="M62" i="8"/>
  <c r="M63" i="8"/>
  <c r="E63" i="8" s="1"/>
  <c r="M64" i="8"/>
  <c r="E64" i="8" s="1"/>
  <c r="M65" i="8"/>
  <c r="M66" i="8"/>
  <c r="M67" i="8"/>
  <c r="M68" i="8"/>
  <c r="E68" i="8" s="1"/>
  <c r="M69" i="8"/>
  <c r="E69" i="8" s="1"/>
  <c r="M70" i="8"/>
  <c r="M71" i="8"/>
  <c r="M72" i="8"/>
  <c r="D72" i="8" s="1"/>
  <c r="M73" i="8"/>
  <c r="M74" i="8"/>
  <c r="E74" i="8" s="1"/>
  <c r="M75" i="8"/>
  <c r="M76" i="8"/>
  <c r="M77" i="8"/>
  <c r="D77" i="8" s="1"/>
  <c r="M78" i="8"/>
  <c r="M79" i="8"/>
  <c r="M80" i="8"/>
  <c r="M81" i="8"/>
  <c r="E81" i="8" s="1"/>
  <c r="M82" i="8"/>
  <c r="D82" i="8" s="1"/>
  <c r="M83" i="8"/>
  <c r="E83" i="8" s="1"/>
  <c r="M84" i="8"/>
  <c r="M85" i="8"/>
  <c r="M86" i="8"/>
  <c r="M87" i="8"/>
  <c r="E87" i="8" s="1"/>
  <c r="M88" i="8"/>
  <c r="M89" i="8"/>
  <c r="M90" i="8"/>
  <c r="M91" i="8"/>
  <c r="E91" i="8" s="1"/>
  <c r="M92" i="8"/>
  <c r="E92" i="8" s="1"/>
  <c r="M93" i="8"/>
  <c r="M94" i="8"/>
  <c r="M95" i="8"/>
  <c r="E95" i="8" s="1"/>
  <c r="M96" i="8"/>
  <c r="D96" i="8" s="1"/>
  <c r="M97" i="8"/>
  <c r="M98" i="8"/>
  <c r="M99" i="8"/>
  <c r="D99" i="8" s="1"/>
  <c r="M100" i="8"/>
  <c r="D100" i="8" s="1"/>
  <c r="M101" i="8"/>
  <c r="E101" i="8" s="1"/>
  <c r="M102" i="8"/>
  <c r="M103" i="8"/>
  <c r="M104" i="8"/>
  <c r="D104" i="8" s="1"/>
  <c r="M105" i="8"/>
  <c r="M106" i="8"/>
  <c r="E106" i="8" s="1"/>
  <c r="M107" i="8"/>
  <c r="D107" i="8" s="1"/>
  <c r="M108" i="8"/>
  <c r="M109" i="8"/>
  <c r="E109" i="8" s="1"/>
  <c r="M110" i="8"/>
  <c r="E110" i="8" s="1"/>
  <c r="M111" i="8"/>
  <c r="M112" i="8"/>
  <c r="M113" i="8"/>
  <c r="M114" i="8"/>
  <c r="D114" i="8" s="1"/>
  <c r="H114" i="8" s="1"/>
  <c r="M115" i="8"/>
  <c r="E115" i="8" s="1"/>
  <c r="M116" i="8"/>
  <c r="M117" i="8"/>
  <c r="D117" i="8" s="1"/>
  <c r="M118" i="8"/>
  <c r="D118" i="8" s="1"/>
  <c r="H118" i="8" s="1"/>
  <c r="M119" i="8"/>
  <c r="E119" i="8" s="1"/>
  <c r="M120" i="8"/>
  <c r="M121" i="8"/>
  <c r="M122" i="8"/>
  <c r="M123" i="8"/>
  <c r="E123" i="8" s="1"/>
  <c r="M124" i="8"/>
  <c r="D124" i="8" s="1"/>
  <c r="H124" i="8" s="1"/>
  <c r="M125" i="8"/>
  <c r="D125" i="8" s="1"/>
  <c r="M126" i="8"/>
  <c r="M127" i="8"/>
  <c r="E127" i="8" s="1"/>
  <c r="M128" i="8"/>
  <c r="D128" i="8" s="1"/>
  <c r="M129" i="8"/>
  <c r="E129" i="8" s="1"/>
  <c r="M130" i="8"/>
  <c r="M131" i="8"/>
  <c r="M132" i="8"/>
  <c r="D132" i="8" s="1"/>
  <c r="M133" i="8"/>
  <c r="E133" i="8" s="1"/>
  <c r="M134" i="8"/>
  <c r="M135" i="8"/>
  <c r="M136" i="8"/>
  <c r="E136" i="8" s="1"/>
  <c r="M137" i="8"/>
  <c r="M138" i="8"/>
  <c r="M139" i="8"/>
  <c r="M140" i="8"/>
  <c r="M141" i="8"/>
  <c r="E141" i="8" s="1"/>
  <c r="M142" i="8"/>
  <c r="E142" i="8" s="1"/>
  <c r="M143" i="8"/>
  <c r="M144" i="8"/>
  <c r="E144" i="8" s="1"/>
  <c r="M145" i="8"/>
  <c r="M146" i="8"/>
  <c r="D146" i="8" s="1"/>
  <c r="H146" i="8" s="1"/>
  <c r="M147" i="8"/>
  <c r="E147" i="8" s="1"/>
  <c r="M148" i="8"/>
  <c r="M149" i="8"/>
  <c r="D149" i="8" s="1"/>
  <c r="M150" i="8"/>
  <c r="M151" i="8"/>
  <c r="E151" i="8" s="1"/>
  <c r="M152" i="8"/>
  <c r="M153" i="8"/>
  <c r="E153" i="8" s="1"/>
  <c r="M154" i="8"/>
  <c r="E154" i="8" s="1"/>
  <c r="M155" i="8"/>
  <c r="E155" i="8" s="1"/>
  <c r="M156" i="8"/>
  <c r="E156" i="8" s="1"/>
  <c r="M157" i="8"/>
  <c r="M158" i="8"/>
  <c r="M159" i="8"/>
  <c r="E159" i="8" s="1"/>
  <c r="M160" i="8"/>
  <c r="E160" i="8" s="1"/>
  <c r="M161" i="8"/>
  <c r="M162" i="8"/>
  <c r="M163" i="8"/>
  <c r="D163" i="8" s="1"/>
  <c r="M164" i="8"/>
  <c r="E164" i="8" s="1"/>
  <c r="M165" i="8"/>
  <c r="E165" i="8" s="1"/>
  <c r="M166" i="8"/>
  <c r="M167" i="8"/>
  <c r="M168" i="8"/>
  <c r="M169" i="8"/>
  <c r="E169" i="8" s="1"/>
  <c r="M170" i="8"/>
  <c r="D170" i="8" s="1"/>
  <c r="M171" i="8"/>
  <c r="M172" i="8"/>
  <c r="M173" i="8"/>
  <c r="D173" i="8" s="1"/>
  <c r="M174" i="8"/>
  <c r="D174" i="8" s="1"/>
  <c r="H174" i="8" s="1"/>
  <c r="M175" i="8"/>
  <c r="M176" i="8"/>
  <c r="M177" i="8"/>
  <c r="I3" i="8"/>
  <c r="B3" i="8" s="1"/>
  <c r="I4" i="8"/>
  <c r="B4" i="8" s="1"/>
  <c r="I5" i="8"/>
  <c r="C5" i="8" s="1"/>
  <c r="I6" i="8"/>
  <c r="C6" i="8" s="1"/>
  <c r="I7" i="8"/>
  <c r="I8" i="8"/>
  <c r="C8" i="8" s="1"/>
  <c r="I9" i="8"/>
  <c r="B9" i="8" s="1"/>
  <c r="I10" i="8"/>
  <c r="B10" i="8" s="1"/>
  <c r="I11" i="8"/>
  <c r="C11" i="8" s="1"/>
  <c r="I12" i="8"/>
  <c r="B12" i="8" s="1"/>
  <c r="I13" i="8"/>
  <c r="B13" i="8" s="1"/>
  <c r="I14" i="8"/>
  <c r="C14" i="8" s="1"/>
  <c r="I15" i="8"/>
  <c r="I16" i="8"/>
  <c r="C16" i="8" s="1"/>
  <c r="I17" i="8"/>
  <c r="C17" i="8" s="1"/>
  <c r="I18" i="8"/>
  <c r="I19" i="8"/>
  <c r="B19" i="8" s="1"/>
  <c r="I20" i="8"/>
  <c r="B20" i="8" s="1"/>
  <c r="I21" i="8"/>
  <c r="C21" i="8" s="1"/>
  <c r="I22" i="8"/>
  <c r="B22" i="8" s="1"/>
  <c r="I23" i="8"/>
  <c r="I24" i="8"/>
  <c r="C24" i="8" s="1"/>
  <c r="I25" i="8"/>
  <c r="C25" i="8" s="1"/>
  <c r="I26" i="8"/>
  <c r="B26" i="8" s="1"/>
  <c r="I27" i="8"/>
  <c r="C27" i="8" s="1"/>
  <c r="I28" i="8"/>
  <c r="I29" i="8"/>
  <c r="C29" i="8" s="1"/>
  <c r="I30" i="8"/>
  <c r="C30" i="8" s="1"/>
  <c r="I31" i="8"/>
  <c r="I32" i="8"/>
  <c r="C32" i="8" s="1"/>
  <c r="I33" i="8"/>
  <c r="I34" i="8"/>
  <c r="I35" i="8"/>
  <c r="B35" i="8" s="1"/>
  <c r="I36" i="8"/>
  <c r="B36" i="8" s="1"/>
  <c r="I37" i="8"/>
  <c r="C37" i="8" s="1"/>
  <c r="I38" i="8"/>
  <c r="B38" i="8" s="1"/>
  <c r="I39" i="8"/>
  <c r="I40" i="8"/>
  <c r="C40" i="8" s="1"/>
  <c r="I41" i="8"/>
  <c r="B41" i="8" s="1"/>
  <c r="I42" i="8"/>
  <c r="B42" i="8" s="1"/>
  <c r="I43" i="8"/>
  <c r="I44" i="8"/>
  <c r="B44" i="8" s="1"/>
  <c r="I45" i="8"/>
  <c r="B45" i="8" s="1"/>
  <c r="I46" i="8"/>
  <c r="C46" i="8" s="1"/>
  <c r="I47" i="8"/>
  <c r="I48" i="8"/>
  <c r="B48" i="8" s="1"/>
  <c r="I49" i="8"/>
  <c r="B49" i="8" s="1"/>
  <c r="I50" i="8"/>
  <c r="I51" i="8"/>
  <c r="B51" i="8" s="1"/>
  <c r="I52" i="8"/>
  <c r="B52" i="8" s="1"/>
  <c r="I53" i="8"/>
  <c r="C53" i="8" s="1"/>
  <c r="I54" i="8"/>
  <c r="C54" i="8" s="1"/>
  <c r="I55" i="8"/>
  <c r="I56" i="8"/>
  <c r="B56" i="8" s="1"/>
  <c r="I57" i="8"/>
  <c r="B57" i="8" s="1"/>
  <c r="I58" i="8"/>
  <c r="B58" i="8" s="1"/>
  <c r="I59" i="8"/>
  <c r="B59" i="8" s="1"/>
  <c r="I60" i="8"/>
  <c r="C60" i="8" s="1"/>
  <c r="I61" i="8"/>
  <c r="C61" i="8" s="1"/>
  <c r="I62" i="8"/>
  <c r="C62" i="8" s="1"/>
  <c r="I63" i="8"/>
  <c r="I64" i="8"/>
  <c r="B64" i="8" s="1"/>
  <c r="I65" i="8"/>
  <c r="C65" i="8" s="1"/>
  <c r="I66" i="8"/>
  <c r="I67" i="8"/>
  <c r="I68" i="8"/>
  <c r="C68" i="8" s="1"/>
  <c r="I69" i="8"/>
  <c r="C69" i="8" s="1"/>
  <c r="I70" i="8"/>
  <c r="C70" i="8" s="1"/>
  <c r="I71" i="8"/>
  <c r="C71" i="8" s="1"/>
  <c r="I72" i="8"/>
  <c r="B72" i="8" s="1"/>
  <c r="I73" i="8"/>
  <c r="B73" i="8" s="1"/>
  <c r="I74" i="8"/>
  <c r="I75" i="8"/>
  <c r="I76" i="8"/>
  <c r="B76" i="8" s="1"/>
  <c r="I77" i="8"/>
  <c r="B77" i="8" s="1"/>
  <c r="I78" i="8"/>
  <c r="C78" i="8" s="1"/>
  <c r="I79" i="8"/>
  <c r="C79" i="8" s="1"/>
  <c r="I80" i="8"/>
  <c r="B80" i="8" s="1"/>
  <c r="I81" i="8"/>
  <c r="B81" i="8" s="1"/>
  <c r="I82" i="8"/>
  <c r="I83" i="8"/>
  <c r="I84" i="8"/>
  <c r="C84" i="8" s="1"/>
  <c r="I85" i="8"/>
  <c r="C85" i="8" s="1"/>
  <c r="I86" i="8"/>
  <c r="C86" i="8" s="1"/>
  <c r="I87" i="8"/>
  <c r="B87" i="8" s="1"/>
  <c r="I88" i="8"/>
  <c r="B88" i="8" s="1"/>
  <c r="I89" i="8"/>
  <c r="B89" i="8" s="1"/>
  <c r="I90" i="8"/>
  <c r="C90" i="8" s="1"/>
  <c r="I91" i="8"/>
  <c r="I92" i="8"/>
  <c r="C92" i="8" s="1"/>
  <c r="I93" i="8"/>
  <c r="C93" i="8" s="1"/>
  <c r="I94" i="8"/>
  <c r="C94" i="8" s="1"/>
  <c r="I95" i="8"/>
  <c r="C95" i="8" s="1"/>
  <c r="I96" i="8"/>
  <c r="B96" i="8" s="1"/>
  <c r="I97" i="8"/>
  <c r="B97" i="8" s="1"/>
  <c r="I98" i="8"/>
  <c r="B98" i="8" s="1"/>
  <c r="I99" i="8"/>
  <c r="I100" i="8"/>
  <c r="B100" i="8" s="1"/>
  <c r="I101" i="8"/>
  <c r="C101" i="8" s="1"/>
  <c r="I102" i="8"/>
  <c r="C102" i="8" s="1"/>
  <c r="I103" i="8"/>
  <c r="C103" i="8" s="1"/>
  <c r="I104" i="8"/>
  <c r="B104" i="8" s="1"/>
  <c r="I105" i="8"/>
  <c r="B105" i="8" s="1"/>
  <c r="I106" i="8"/>
  <c r="B106" i="8" s="1"/>
  <c r="I107" i="8"/>
  <c r="I108" i="8"/>
  <c r="B108" i="8" s="1"/>
  <c r="I109" i="8"/>
  <c r="B109" i="8" s="1"/>
  <c r="I110" i="8"/>
  <c r="C110" i="8" s="1"/>
  <c r="I111" i="8"/>
  <c r="C111" i="8" s="1"/>
  <c r="I112" i="8"/>
  <c r="C112" i="8" s="1"/>
  <c r="I113" i="8"/>
  <c r="C113" i="8" s="1"/>
  <c r="I114" i="8"/>
  <c r="C114" i="8" s="1"/>
  <c r="I115" i="8"/>
  <c r="I116" i="8"/>
  <c r="C116" i="8" s="1"/>
  <c r="I117" i="8"/>
  <c r="C117" i="8" s="1"/>
  <c r="I118" i="8"/>
  <c r="C118" i="8" s="1"/>
  <c r="I119" i="8"/>
  <c r="B119" i="8" s="1"/>
  <c r="I120" i="8"/>
  <c r="B120" i="8" s="1"/>
  <c r="I121" i="8"/>
  <c r="B121" i="8" s="1"/>
  <c r="I122" i="8"/>
  <c r="C122" i="8" s="1"/>
  <c r="I123" i="8"/>
  <c r="I124" i="8"/>
  <c r="C124" i="8" s="1"/>
  <c r="I125" i="8"/>
  <c r="C125" i="8" s="1"/>
  <c r="I126" i="8"/>
  <c r="C126" i="8" s="1"/>
  <c r="I127" i="8"/>
  <c r="C127" i="8" s="1"/>
  <c r="I128" i="8"/>
  <c r="B128" i="8" s="1"/>
  <c r="I129" i="8"/>
  <c r="B129" i="8" s="1"/>
  <c r="I130" i="8"/>
  <c r="B130" i="8" s="1"/>
  <c r="I131" i="8"/>
  <c r="I132" i="8"/>
  <c r="B132" i="8" s="1"/>
  <c r="I133" i="8"/>
  <c r="C133" i="8" s="1"/>
  <c r="I134" i="8"/>
  <c r="C134" i="8" s="1"/>
  <c r="I135" i="8"/>
  <c r="C135" i="8" s="1"/>
  <c r="I136" i="8"/>
  <c r="B136" i="8" s="1"/>
  <c r="I137" i="8"/>
  <c r="B137" i="8" s="1"/>
  <c r="I138" i="8"/>
  <c r="B138" i="8" s="1"/>
  <c r="I139" i="8"/>
  <c r="I140" i="8"/>
  <c r="B140" i="8" s="1"/>
  <c r="I141" i="8"/>
  <c r="B141" i="8" s="1"/>
  <c r="I142" i="8"/>
  <c r="C142" i="8" s="1"/>
  <c r="I143" i="8"/>
  <c r="C143" i="8" s="1"/>
  <c r="I144" i="8"/>
  <c r="C144" i="8" s="1"/>
  <c r="I145" i="8"/>
  <c r="C145" i="8" s="1"/>
  <c r="I146" i="8"/>
  <c r="C146" i="8" s="1"/>
  <c r="I147" i="8"/>
  <c r="I148" i="8"/>
  <c r="C148" i="8" s="1"/>
  <c r="I149" i="8"/>
  <c r="C149" i="8" s="1"/>
  <c r="I150" i="8"/>
  <c r="C150" i="8" s="1"/>
  <c r="I151" i="8"/>
  <c r="B151" i="8" s="1"/>
  <c r="I152" i="8"/>
  <c r="B152" i="8" s="1"/>
  <c r="I153" i="8"/>
  <c r="B153" i="8" s="1"/>
  <c r="I154" i="8"/>
  <c r="C154" i="8" s="1"/>
  <c r="I155" i="8"/>
  <c r="I156" i="8"/>
  <c r="C156" i="8" s="1"/>
  <c r="I157" i="8"/>
  <c r="C157" i="8" s="1"/>
  <c r="I158" i="8"/>
  <c r="C158" i="8" s="1"/>
  <c r="I159" i="8"/>
  <c r="C159" i="8" s="1"/>
  <c r="I160" i="8"/>
  <c r="B160" i="8" s="1"/>
  <c r="I161" i="8"/>
  <c r="B161" i="8" s="1"/>
  <c r="I162" i="8"/>
  <c r="B162" i="8" s="1"/>
  <c r="I163" i="8"/>
  <c r="I164" i="8"/>
  <c r="B164" i="8" s="1"/>
  <c r="I165" i="8"/>
  <c r="C165" i="8" s="1"/>
  <c r="I166" i="8"/>
  <c r="C166" i="8" s="1"/>
  <c r="I167" i="8"/>
  <c r="C167" i="8" s="1"/>
  <c r="I168" i="8"/>
  <c r="B168" i="8" s="1"/>
  <c r="I169" i="8"/>
  <c r="B169" i="8" s="1"/>
  <c r="I170" i="8"/>
  <c r="B170" i="8" s="1"/>
  <c r="I171" i="8"/>
  <c r="I172" i="8"/>
  <c r="B172" i="8" s="1"/>
  <c r="I173" i="8"/>
  <c r="B173" i="8" s="1"/>
  <c r="I174" i="8"/>
  <c r="C174" i="8" s="1"/>
  <c r="I175" i="8"/>
  <c r="C175" i="8" s="1"/>
  <c r="I176" i="8"/>
  <c r="C176" i="8" s="1"/>
  <c r="I177" i="8"/>
  <c r="C177" i="8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K3" i="10"/>
  <c r="AK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05" i="10"/>
  <c r="AK106" i="10"/>
  <c r="AK107" i="10"/>
  <c r="AK108" i="10"/>
  <c r="AK109" i="10"/>
  <c r="AK110" i="10"/>
  <c r="AK111" i="10"/>
  <c r="AK112" i="10"/>
  <c r="AK113" i="10"/>
  <c r="AK114" i="10"/>
  <c r="AK115" i="10"/>
  <c r="AK116" i="10"/>
  <c r="AK117" i="10"/>
  <c r="AK118" i="10"/>
  <c r="AK119" i="10"/>
  <c r="AK120" i="10"/>
  <c r="AK121" i="10"/>
  <c r="AK122" i="10"/>
  <c r="AK123" i="10"/>
  <c r="AK124" i="10"/>
  <c r="AK125" i="10"/>
  <c r="AK126" i="10"/>
  <c r="AK127" i="10"/>
  <c r="AK128" i="10"/>
  <c r="AK129" i="10"/>
  <c r="AK130" i="10"/>
  <c r="AK131" i="10"/>
  <c r="AK132" i="10"/>
  <c r="AK133" i="10"/>
  <c r="AK134" i="10"/>
  <c r="AK135" i="10"/>
  <c r="AK136" i="10"/>
  <c r="AK137" i="10"/>
  <c r="AK138" i="10"/>
  <c r="AK139" i="10"/>
  <c r="AK140" i="10"/>
  <c r="AK141" i="10"/>
  <c r="AK142" i="10"/>
  <c r="AK143" i="10"/>
  <c r="AK144" i="10"/>
  <c r="AK145" i="10"/>
  <c r="AK146" i="10"/>
  <c r="AK147" i="10"/>
  <c r="AK148" i="10"/>
  <c r="AK149" i="10"/>
  <c r="AK150" i="10"/>
  <c r="AK151" i="10"/>
  <c r="AK152" i="10"/>
  <c r="AK153" i="10"/>
  <c r="AK154" i="10"/>
  <c r="AK155" i="10"/>
  <c r="AK156" i="10"/>
  <c r="AK157" i="10"/>
  <c r="AK158" i="10"/>
  <c r="AK159" i="10"/>
  <c r="AK160" i="10"/>
  <c r="AK161" i="10"/>
  <c r="AK162" i="10"/>
  <c r="AK163" i="10"/>
  <c r="AK164" i="10"/>
  <c r="AK165" i="10"/>
  <c r="AK166" i="10"/>
  <c r="AK167" i="10"/>
  <c r="AK168" i="10"/>
  <c r="AK169" i="10"/>
  <c r="AK170" i="10"/>
  <c r="AK171" i="10"/>
  <c r="AK172" i="10"/>
  <c r="AK173" i="10"/>
  <c r="AK174" i="10"/>
  <c r="AK175" i="10"/>
  <c r="AK176" i="10"/>
  <c r="AK177" i="10"/>
  <c r="AJ3" i="10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E39" i="5"/>
  <c r="E81" i="5"/>
  <c r="E137" i="5"/>
  <c r="D78" i="5"/>
  <c r="D120" i="5"/>
  <c r="D150" i="5"/>
  <c r="C6" i="5"/>
  <c r="C37" i="5"/>
  <c r="C61" i="5"/>
  <c r="C92" i="5"/>
  <c r="C145" i="5"/>
  <c r="B3" i="5"/>
  <c r="B19" i="5"/>
  <c r="B35" i="5"/>
  <c r="B51" i="5"/>
  <c r="B99" i="5"/>
  <c r="B115" i="5"/>
  <c r="B131" i="5"/>
  <c r="B147" i="5"/>
  <c r="B163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D35" i="5" s="1"/>
  <c r="H35" i="5" s="1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D76" i="5" s="1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D107" i="5" s="1"/>
  <c r="P108" i="5"/>
  <c r="D108" i="5" s="1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E171" i="5" s="1"/>
  <c r="P172" i="5"/>
  <c r="P173" i="5"/>
  <c r="P174" i="5"/>
  <c r="P175" i="5"/>
  <c r="P176" i="5"/>
  <c r="P177" i="5"/>
  <c r="L3" i="5"/>
  <c r="L4" i="5"/>
  <c r="L5" i="5"/>
  <c r="C5" i="5" s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C28" i="5" s="1"/>
  <c r="L29" i="5"/>
  <c r="C29" i="5" s="1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C60" i="5" s="1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D20" i="5" s="1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E43" i="5" s="1"/>
  <c r="O44" i="5"/>
  <c r="O45" i="5"/>
  <c r="O46" i="5"/>
  <c r="O47" i="5"/>
  <c r="O48" i="5"/>
  <c r="O49" i="5"/>
  <c r="O50" i="5"/>
  <c r="O51" i="5"/>
  <c r="D51" i="5" s="1"/>
  <c r="H51" i="5" s="1"/>
  <c r="O52" i="5"/>
  <c r="D52" i="5" s="1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D92" i="5" s="1"/>
  <c r="H92" i="5" s="1"/>
  <c r="O93" i="5"/>
  <c r="O94" i="5"/>
  <c r="O95" i="5"/>
  <c r="O96" i="5"/>
  <c r="O97" i="5"/>
  <c r="O98" i="5"/>
  <c r="O99" i="5"/>
  <c r="E99" i="5" s="1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E115" i="5" s="1"/>
  <c r="O116" i="5"/>
  <c r="O117" i="5"/>
  <c r="O118" i="5"/>
  <c r="O119" i="5"/>
  <c r="O120" i="5"/>
  <c r="O121" i="5"/>
  <c r="O122" i="5"/>
  <c r="O123" i="5"/>
  <c r="O124" i="5"/>
  <c r="D124" i="5" s="1"/>
  <c r="H124" i="5" s="1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E139" i="5" s="1"/>
  <c r="O140" i="5"/>
  <c r="O141" i="5"/>
  <c r="O142" i="5"/>
  <c r="O143" i="5"/>
  <c r="O144" i="5"/>
  <c r="O145" i="5"/>
  <c r="O146" i="5"/>
  <c r="O147" i="5"/>
  <c r="O148" i="5"/>
  <c r="D148" i="5" s="1"/>
  <c r="O149" i="5"/>
  <c r="D149" i="5" s="1"/>
  <c r="O150" i="5"/>
  <c r="O151" i="5"/>
  <c r="O152" i="5"/>
  <c r="O153" i="5"/>
  <c r="O154" i="5"/>
  <c r="O155" i="5"/>
  <c r="E155" i="5" s="1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D171" i="5" s="1"/>
  <c r="O172" i="5"/>
  <c r="D172" i="5" s="1"/>
  <c r="O173" i="5"/>
  <c r="O174" i="5"/>
  <c r="O175" i="5"/>
  <c r="O176" i="5"/>
  <c r="O17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C69" i="5" s="1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C93" i="5" s="1"/>
  <c r="K94" i="5"/>
  <c r="K95" i="5"/>
  <c r="K96" i="5"/>
  <c r="K97" i="5"/>
  <c r="K98" i="5"/>
  <c r="K99" i="5"/>
  <c r="K100" i="5"/>
  <c r="K101" i="5"/>
  <c r="C101" i="5" s="1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C124" i="5" s="1"/>
  <c r="K125" i="5"/>
  <c r="C125" i="5" s="1"/>
  <c r="K126" i="5"/>
  <c r="K127" i="5"/>
  <c r="K128" i="5"/>
  <c r="K129" i="5"/>
  <c r="K130" i="5"/>
  <c r="K131" i="5"/>
  <c r="K132" i="5"/>
  <c r="K133" i="5"/>
  <c r="C133" i="5" s="1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N3" i="5"/>
  <c r="N4" i="5"/>
  <c r="N5" i="5"/>
  <c r="N6" i="5"/>
  <c r="N7" i="5"/>
  <c r="N8" i="5"/>
  <c r="D8" i="5" s="1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D22" i="5" s="1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D40" i="5" s="1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E79" i="5" s="1"/>
  <c r="N80" i="5"/>
  <c r="E80" i="5" s="1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D94" i="5" s="1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E135" i="5" s="1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D158" i="5" s="1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J3" i="5"/>
  <c r="J4" i="5"/>
  <c r="J5" i="5"/>
  <c r="J6" i="5"/>
  <c r="J7" i="5"/>
  <c r="C7" i="5" s="1"/>
  <c r="J8" i="5"/>
  <c r="J9" i="5"/>
  <c r="J10" i="5"/>
  <c r="J11" i="5"/>
  <c r="J12" i="5"/>
  <c r="J13" i="5"/>
  <c r="J14" i="5"/>
  <c r="J15" i="5"/>
  <c r="C15" i="5" s="1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C38" i="5" s="1"/>
  <c r="J39" i="5"/>
  <c r="C39" i="5" s="1"/>
  <c r="J40" i="5"/>
  <c r="J41" i="5"/>
  <c r="J42" i="5"/>
  <c r="J43" i="5"/>
  <c r="J44" i="5"/>
  <c r="J45" i="5"/>
  <c r="J46" i="5"/>
  <c r="J47" i="5"/>
  <c r="C47" i="5" s="1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C70" i="5" s="1"/>
  <c r="J71" i="5"/>
  <c r="C71" i="5" s="1"/>
  <c r="J72" i="5"/>
  <c r="J73" i="5"/>
  <c r="J74" i="5"/>
  <c r="J75" i="5"/>
  <c r="J76" i="5"/>
  <c r="J77" i="5"/>
  <c r="J78" i="5"/>
  <c r="J79" i="5"/>
  <c r="C79" i="5" s="1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C102" i="5" s="1"/>
  <c r="J103" i="5"/>
  <c r="C103" i="5" s="1"/>
  <c r="J104" i="5"/>
  <c r="J105" i="5"/>
  <c r="J106" i="5"/>
  <c r="J107" i="5"/>
  <c r="J108" i="5"/>
  <c r="J109" i="5"/>
  <c r="J110" i="5"/>
  <c r="J111" i="5"/>
  <c r="C111" i="5" s="1"/>
  <c r="J112" i="5"/>
  <c r="C112" i="5" s="1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C134" i="5" s="1"/>
  <c r="J135" i="5"/>
  <c r="C135" i="5" s="1"/>
  <c r="J136" i="5"/>
  <c r="J137" i="5"/>
  <c r="J138" i="5"/>
  <c r="J139" i="5"/>
  <c r="J140" i="5"/>
  <c r="J141" i="5"/>
  <c r="J142" i="5"/>
  <c r="J143" i="5"/>
  <c r="C143" i="5" s="1"/>
  <c r="J144" i="5"/>
  <c r="C144" i="5" s="1"/>
  <c r="J145" i="5"/>
  <c r="J146" i="5"/>
  <c r="J147" i="5"/>
  <c r="J148" i="5"/>
  <c r="J149" i="5"/>
  <c r="J150" i="5"/>
  <c r="J151" i="5"/>
  <c r="C151" i="5" s="1"/>
  <c r="J152" i="5"/>
  <c r="J153" i="5"/>
  <c r="J154" i="5"/>
  <c r="J155" i="5"/>
  <c r="J156" i="5"/>
  <c r="J157" i="5"/>
  <c r="J158" i="5"/>
  <c r="J159" i="5"/>
  <c r="C159" i="5" s="1"/>
  <c r="J160" i="5"/>
  <c r="C160" i="5" s="1"/>
  <c r="J161" i="5"/>
  <c r="C161" i="5" s="1"/>
  <c r="J162" i="5"/>
  <c r="J163" i="5"/>
  <c r="J164" i="5"/>
  <c r="J165" i="5"/>
  <c r="J166" i="5"/>
  <c r="J167" i="5"/>
  <c r="C167" i="5" s="1"/>
  <c r="J168" i="5"/>
  <c r="J169" i="5"/>
  <c r="J170" i="5"/>
  <c r="J171" i="5"/>
  <c r="J172" i="5"/>
  <c r="J173" i="5"/>
  <c r="J174" i="5"/>
  <c r="J175" i="5"/>
  <c r="C175" i="5" s="1"/>
  <c r="J176" i="5"/>
  <c r="C176" i="5" s="1"/>
  <c r="J177" i="5"/>
  <c r="C177" i="5" s="1"/>
  <c r="M3" i="5"/>
  <c r="M4" i="5"/>
  <c r="M5" i="5"/>
  <c r="M6" i="5"/>
  <c r="M7" i="5"/>
  <c r="M8" i="5"/>
  <c r="M9" i="5"/>
  <c r="E9" i="5" s="1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D24" i="5" s="1"/>
  <c r="M25" i="5"/>
  <c r="D25" i="5" s="1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D41" i="5" s="1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D57" i="5" s="1"/>
  <c r="M58" i="5"/>
  <c r="M59" i="5"/>
  <c r="M60" i="5"/>
  <c r="M61" i="5"/>
  <c r="M62" i="5"/>
  <c r="M63" i="5"/>
  <c r="M64" i="5"/>
  <c r="D64" i="5" s="1"/>
  <c r="M65" i="5"/>
  <c r="E65" i="5" s="1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D81" i="5" s="1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D96" i="5" s="1"/>
  <c r="M97" i="5"/>
  <c r="D97" i="5" s="1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D113" i="5" s="1"/>
  <c r="M114" i="5"/>
  <c r="M115" i="5"/>
  <c r="M116" i="5"/>
  <c r="M117" i="5"/>
  <c r="M118" i="5"/>
  <c r="M119" i="5"/>
  <c r="M120" i="5"/>
  <c r="M121" i="5"/>
  <c r="D121" i="5" s="1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D137" i="5" s="1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D153" i="5" s="1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I3" i="5"/>
  <c r="C3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C16" i="5" s="1"/>
  <c r="I17" i="5"/>
  <c r="I18" i="5"/>
  <c r="I19" i="5"/>
  <c r="C19" i="5" s="1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C35" i="5" s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B48" i="5" s="1"/>
  <c r="I49" i="5"/>
  <c r="I50" i="5"/>
  <c r="I51" i="5"/>
  <c r="C51" i="5" s="1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C67" i="5" s="1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B80" i="5" s="1"/>
  <c r="I81" i="5"/>
  <c r="I82" i="5"/>
  <c r="I83" i="5"/>
  <c r="C83" i="5" s="1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B96" i="5" s="1"/>
  <c r="I97" i="5"/>
  <c r="I98" i="5"/>
  <c r="I99" i="5"/>
  <c r="C99" i="5" s="1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B112" i="5" s="1"/>
  <c r="I113" i="5"/>
  <c r="B113" i="5" s="1"/>
  <c r="I114" i="5"/>
  <c r="I115" i="5"/>
  <c r="C115" i="5" s="1"/>
  <c r="I116" i="5"/>
  <c r="I117" i="5"/>
  <c r="I118" i="5"/>
  <c r="I119" i="5"/>
  <c r="I120" i="5"/>
  <c r="I121" i="5"/>
  <c r="I122" i="5"/>
  <c r="I123" i="5"/>
  <c r="B123" i="5" s="1"/>
  <c r="I124" i="5"/>
  <c r="I125" i="5"/>
  <c r="I126" i="5"/>
  <c r="I127" i="5"/>
  <c r="I128" i="5"/>
  <c r="I129" i="5"/>
  <c r="I130" i="5"/>
  <c r="I131" i="5"/>
  <c r="C131" i="5" s="1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B144" i="5" s="1"/>
  <c r="I145" i="5"/>
  <c r="B145" i="5" s="1"/>
  <c r="I146" i="5"/>
  <c r="I147" i="5"/>
  <c r="C147" i="5" s="1"/>
  <c r="I148" i="5"/>
  <c r="I149" i="5"/>
  <c r="I150" i="5"/>
  <c r="I151" i="5"/>
  <c r="I152" i="5"/>
  <c r="B152" i="5" s="1"/>
  <c r="I153" i="5"/>
  <c r="B153" i="5" s="1"/>
  <c r="I154" i="5"/>
  <c r="I155" i="5"/>
  <c r="I156" i="5"/>
  <c r="I157" i="5"/>
  <c r="I158" i="5"/>
  <c r="I159" i="5"/>
  <c r="I160" i="5"/>
  <c r="B160" i="5" s="1"/>
  <c r="I161" i="5"/>
  <c r="B161" i="5" s="1"/>
  <c r="I162" i="5"/>
  <c r="B162" i="5" s="1"/>
  <c r="I163" i="5"/>
  <c r="C163" i="5" s="1"/>
  <c r="I164" i="5"/>
  <c r="I165" i="5"/>
  <c r="I166" i="5"/>
  <c r="I167" i="5"/>
  <c r="I168" i="5"/>
  <c r="B168" i="5" s="1"/>
  <c r="I169" i="5"/>
  <c r="B169" i="5" s="1"/>
  <c r="I170" i="5"/>
  <c r="I171" i="5"/>
  <c r="I172" i="5"/>
  <c r="I173" i="5"/>
  <c r="I174" i="5"/>
  <c r="I175" i="5"/>
  <c r="I176" i="5"/>
  <c r="B176" i="5" s="1"/>
  <c r="I177" i="5"/>
  <c r="B177" i="5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J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J141" i="7"/>
  <c r="AJ142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Q55" i="1"/>
  <c r="G63" i="1"/>
  <c r="G143" i="1"/>
  <c r="E9" i="1"/>
  <c r="E10" i="1"/>
  <c r="E11" i="1"/>
  <c r="E12" i="1"/>
  <c r="E23" i="1"/>
  <c r="E24" i="1"/>
  <c r="E31" i="1"/>
  <c r="E41" i="1"/>
  <c r="E42" i="1"/>
  <c r="E45" i="1"/>
  <c r="E47" i="1"/>
  <c r="Q47" i="1" s="1"/>
  <c r="E58" i="1"/>
  <c r="E60" i="1"/>
  <c r="E73" i="1"/>
  <c r="E74" i="1"/>
  <c r="E77" i="1"/>
  <c r="E79" i="1"/>
  <c r="Q79" i="1" s="1"/>
  <c r="E92" i="1"/>
  <c r="E95" i="1"/>
  <c r="E105" i="1"/>
  <c r="E106" i="1"/>
  <c r="E109" i="1"/>
  <c r="E111" i="1"/>
  <c r="Q111" i="1" s="1"/>
  <c r="E122" i="1"/>
  <c r="E139" i="1"/>
  <c r="E140" i="1"/>
  <c r="E141" i="1"/>
  <c r="E143" i="1"/>
  <c r="Q143" i="1" s="1"/>
  <c r="E156" i="1"/>
  <c r="E158" i="1"/>
  <c r="E166" i="1"/>
  <c r="E167" i="1"/>
  <c r="E168" i="1"/>
  <c r="Q168" i="1" s="1"/>
  <c r="E173" i="1"/>
  <c r="E174" i="1"/>
  <c r="D8" i="1"/>
  <c r="H8" i="1" s="1"/>
  <c r="D12" i="1"/>
  <c r="D13" i="1"/>
  <c r="D22" i="1"/>
  <c r="D23" i="1"/>
  <c r="H23" i="1" s="1"/>
  <c r="D24" i="1"/>
  <c r="H24" i="1" s="1"/>
  <c r="D36" i="1"/>
  <c r="D40" i="1"/>
  <c r="H40" i="1" s="1"/>
  <c r="D41" i="1"/>
  <c r="H41" i="1" s="1"/>
  <c r="D52" i="1"/>
  <c r="D53" i="1"/>
  <c r="D54" i="1"/>
  <c r="D55" i="1"/>
  <c r="D62" i="1"/>
  <c r="D63" i="1"/>
  <c r="D64" i="1"/>
  <c r="D65" i="1"/>
  <c r="D66" i="1"/>
  <c r="D73" i="1"/>
  <c r="D74" i="1"/>
  <c r="D78" i="1"/>
  <c r="D86" i="1"/>
  <c r="D87" i="1"/>
  <c r="D88" i="1"/>
  <c r="D94" i="1"/>
  <c r="D95" i="1"/>
  <c r="D106" i="1"/>
  <c r="D109" i="1"/>
  <c r="D110" i="1"/>
  <c r="D117" i="1"/>
  <c r="D118" i="1"/>
  <c r="D119" i="1"/>
  <c r="D126" i="1"/>
  <c r="D127" i="1"/>
  <c r="D128" i="1"/>
  <c r="H128" i="1" s="1"/>
  <c r="D129" i="1"/>
  <c r="H129" i="1" s="1"/>
  <c r="D130" i="1"/>
  <c r="H130" i="1" s="1"/>
  <c r="D138" i="1"/>
  <c r="D142" i="1"/>
  <c r="D149" i="1"/>
  <c r="D150" i="1"/>
  <c r="D151" i="1"/>
  <c r="H151" i="1" s="1"/>
  <c r="D152" i="1"/>
  <c r="H152" i="1" s="1"/>
  <c r="D158" i="1"/>
  <c r="D159" i="1"/>
  <c r="D162" i="1"/>
  <c r="D170" i="1"/>
  <c r="D173" i="1"/>
  <c r="D174" i="1"/>
  <c r="C7" i="1"/>
  <c r="C8" i="1"/>
  <c r="C9" i="1"/>
  <c r="C15" i="1"/>
  <c r="C16" i="1"/>
  <c r="C17" i="1"/>
  <c r="C19" i="1"/>
  <c r="C27" i="1"/>
  <c r="C30" i="1"/>
  <c r="C31" i="1"/>
  <c r="C38" i="1"/>
  <c r="C39" i="1"/>
  <c r="C40" i="1"/>
  <c r="C41" i="1"/>
  <c r="C47" i="1"/>
  <c r="C48" i="1"/>
  <c r="C49" i="1"/>
  <c r="C50" i="1"/>
  <c r="C51" i="1"/>
  <c r="C58" i="1"/>
  <c r="C63" i="1"/>
  <c r="C71" i="1"/>
  <c r="C72" i="1"/>
  <c r="C73" i="1"/>
  <c r="C79" i="1"/>
  <c r="C80" i="1"/>
  <c r="C81" i="1"/>
  <c r="C83" i="1"/>
  <c r="C91" i="1"/>
  <c r="C94" i="1"/>
  <c r="F94" i="1" s="1"/>
  <c r="C95" i="1"/>
  <c r="C103" i="1"/>
  <c r="G103" i="1" s="1"/>
  <c r="C104" i="1"/>
  <c r="C105" i="1"/>
  <c r="C111" i="1"/>
  <c r="F111" i="1" s="1"/>
  <c r="C112" i="1"/>
  <c r="C113" i="1"/>
  <c r="C114" i="1"/>
  <c r="C127" i="1"/>
  <c r="G127" i="1" s="1"/>
  <c r="C134" i="1"/>
  <c r="C135" i="1"/>
  <c r="C136" i="1"/>
  <c r="C143" i="1"/>
  <c r="C144" i="1"/>
  <c r="C145" i="1"/>
  <c r="C147" i="1"/>
  <c r="C154" i="1"/>
  <c r="C155" i="1"/>
  <c r="C159" i="1"/>
  <c r="C167" i="1"/>
  <c r="C168" i="1"/>
  <c r="G168" i="1" s="1"/>
  <c r="C169" i="1"/>
  <c r="C175" i="1"/>
  <c r="C176" i="1"/>
  <c r="B3" i="1"/>
  <c r="B11" i="1"/>
  <c r="B12" i="1"/>
  <c r="B15" i="1"/>
  <c r="B16" i="1"/>
  <c r="B23" i="1"/>
  <c r="B24" i="1"/>
  <c r="B25" i="1"/>
  <c r="B33" i="1"/>
  <c r="B35" i="1"/>
  <c r="B36" i="1"/>
  <c r="B43" i="1"/>
  <c r="B47" i="1"/>
  <c r="B48" i="1"/>
  <c r="B55" i="1"/>
  <c r="B56" i="1"/>
  <c r="B57" i="1"/>
  <c r="B58" i="1"/>
  <c r="B65" i="1"/>
  <c r="B67" i="1"/>
  <c r="B75" i="1"/>
  <c r="B76" i="1"/>
  <c r="B79" i="1"/>
  <c r="B80" i="1"/>
  <c r="B87" i="1"/>
  <c r="B88" i="1"/>
  <c r="B89" i="1"/>
  <c r="B97" i="1"/>
  <c r="B99" i="1"/>
  <c r="B100" i="1"/>
  <c r="B107" i="1"/>
  <c r="B111" i="1"/>
  <c r="B112" i="1"/>
  <c r="B119" i="1"/>
  <c r="B120" i="1"/>
  <c r="B121" i="1"/>
  <c r="B122" i="1"/>
  <c r="B129" i="1"/>
  <c r="B131" i="1"/>
  <c r="B139" i="1"/>
  <c r="B140" i="1"/>
  <c r="B143" i="1"/>
  <c r="B144" i="1"/>
  <c r="B151" i="1"/>
  <c r="B152" i="1"/>
  <c r="B153" i="1"/>
  <c r="B161" i="1"/>
  <c r="B163" i="1"/>
  <c r="B164" i="1"/>
  <c r="B171" i="1"/>
  <c r="B175" i="1"/>
  <c r="B176" i="1"/>
  <c r="O3" i="1"/>
  <c r="O4" i="1"/>
  <c r="O5" i="1"/>
  <c r="O6" i="1"/>
  <c r="O7" i="1"/>
  <c r="O8" i="1"/>
  <c r="O9" i="1"/>
  <c r="D9" i="1" s="1"/>
  <c r="H9" i="1" s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D25" i="1" s="1"/>
  <c r="H25" i="1" s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E56" i="1" s="1"/>
  <c r="O57" i="1"/>
  <c r="E57" i="1" s="1"/>
  <c r="Q57" i="1" s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D72" i="1" s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D96" i="1" s="1"/>
  <c r="H96" i="1" s="1"/>
  <c r="O97" i="1"/>
  <c r="D97" i="1" s="1"/>
  <c r="H97" i="1" s="1"/>
  <c r="O98" i="1"/>
  <c r="O99" i="1"/>
  <c r="O100" i="1"/>
  <c r="O101" i="1"/>
  <c r="O102" i="1"/>
  <c r="O103" i="1"/>
  <c r="O104" i="1"/>
  <c r="O105" i="1"/>
  <c r="D105" i="1" s="1"/>
  <c r="H105" i="1" s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E120" i="1" s="1"/>
  <c r="O121" i="1"/>
  <c r="O122" i="1"/>
  <c r="O123" i="1"/>
  <c r="O124" i="1"/>
  <c r="O125" i="1"/>
  <c r="O126" i="1"/>
  <c r="O127" i="1"/>
  <c r="O128" i="1"/>
  <c r="E128" i="1" s="1"/>
  <c r="Q128" i="1" s="1"/>
  <c r="O129" i="1"/>
  <c r="O130" i="1"/>
  <c r="O131" i="1"/>
  <c r="O132" i="1"/>
  <c r="O133" i="1"/>
  <c r="O134" i="1"/>
  <c r="O135" i="1"/>
  <c r="O136" i="1"/>
  <c r="D136" i="1" s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E152" i="1" s="1"/>
  <c r="O153" i="1"/>
  <c r="O154" i="1"/>
  <c r="O155" i="1"/>
  <c r="O156" i="1"/>
  <c r="O157" i="1"/>
  <c r="O158" i="1"/>
  <c r="O159" i="1"/>
  <c r="O160" i="1"/>
  <c r="D160" i="1" s="1"/>
  <c r="H160" i="1" s="1"/>
  <c r="O161" i="1"/>
  <c r="O162" i="1"/>
  <c r="O163" i="1"/>
  <c r="O164" i="1"/>
  <c r="O165" i="1"/>
  <c r="O166" i="1"/>
  <c r="O167" i="1"/>
  <c r="O168" i="1"/>
  <c r="D168" i="1" s="1"/>
  <c r="O169" i="1"/>
  <c r="O170" i="1"/>
  <c r="O171" i="1"/>
  <c r="O172" i="1"/>
  <c r="O173" i="1"/>
  <c r="O174" i="1"/>
  <c r="O175" i="1"/>
  <c r="O176" i="1"/>
  <c r="O17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C25" i="1" s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C57" i="1" s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C89" i="1" s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C121" i="1" s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C137" i="1" s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C153" i="1" s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C177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E18" i="1" s="1"/>
  <c r="N19" i="1"/>
  <c r="E19" i="1" s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D46" i="1" s="1"/>
  <c r="N47" i="1"/>
  <c r="D47" i="1" s="1"/>
  <c r="H47" i="1" s="1"/>
  <c r="N48" i="1"/>
  <c r="N49" i="1"/>
  <c r="N50" i="1"/>
  <c r="N51" i="1"/>
  <c r="N52" i="1"/>
  <c r="N53" i="1"/>
  <c r="N54" i="1"/>
  <c r="N55" i="1"/>
  <c r="E55" i="1" s="1"/>
  <c r="N56" i="1"/>
  <c r="N57" i="1"/>
  <c r="N58" i="1"/>
  <c r="N59" i="1"/>
  <c r="E59" i="1" s="1"/>
  <c r="N60" i="1"/>
  <c r="N61" i="1"/>
  <c r="N62" i="1"/>
  <c r="N63" i="1"/>
  <c r="N64" i="1"/>
  <c r="N65" i="1"/>
  <c r="N66" i="1"/>
  <c r="E66" i="1" s="1"/>
  <c r="N67" i="1"/>
  <c r="E67" i="1" s="1"/>
  <c r="N68" i="1"/>
  <c r="N69" i="1"/>
  <c r="N70" i="1"/>
  <c r="D70" i="1" s="1"/>
  <c r="N71" i="1"/>
  <c r="D71" i="1" s="1"/>
  <c r="H71" i="1" s="1"/>
  <c r="N72" i="1"/>
  <c r="N73" i="1"/>
  <c r="N74" i="1"/>
  <c r="N75" i="1"/>
  <c r="N76" i="1"/>
  <c r="N77" i="1"/>
  <c r="N78" i="1"/>
  <c r="N79" i="1"/>
  <c r="N80" i="1"/>
  <c r="N81" i="1"/>
  <c r="N82" i="1"/>
  <c r="N83" i="1"/>
  <c r="E83" i="1" s="1"/>
  <c r="Q83" i="1" s="1"/>
  <c r="N84" i="1"/>
  <c r="N85" i="1"/>
  <c r="N86" i="1"/>
  <c r="N87" i="1"/>
  <c r="N88" i="1"/>
  <c r="N89" i="1"/>
  <c r="N90" i="1"/>
  <c r="D90" i="1" s="1"/>
  <c r="N91" i="1"/>
  <c r="E91" i="1" s="1"/>
  <c r="Q91" i="1" s="1"/>
  <c r="N92" i="1"/>
  <c r="N93" i="1"/>
  <c r="N94" i="1"/>
  <c r="N95" i="1"/>
  <c r="N96" i="1"/>
  <c r="N97" i="1"/>
  <c r="N98" i="1"/>
  <c r="D98" i="1" s="1"/>
  <c r="H98" i="1" s="1"/>
  <c r="N99" i="1"/>
  <c r="N100" i="1"/>
  <c r="N101" i="1"/>
  <c r="N102" i="1"/>
  <c r="D102" i="1" s="1"/>
  <c r="N103" i="1"/>
  <c r="D103" i="1" s="1"/>
  <c r="H103" i="1" s="1"/>
  <c r="N104" i="1"/>
  <c r="N105" i="1"/>
  <c r="N106" i="1"/>
  <c r="N107" i="1"/>
  <c r="N108" i="1"/>
  <c r="N109" i="1"/>
  <c r="N110" i="1"/>
  <c r="N111" i="1"/>
  <c r="N112" i="1"/>
  <c r="N113" i="1"/>
  <c r="N114" i="1"/>
  <c r="N115" i="1"/>
  <c r="E115" i="1" s="1"/>
  <c r="N116" i="1"/>
  <c r="N117" i="1"/>
  <c r="N118" i="1"/>
  <c r="N119" i="1"/>
  <c r="E119" i="1" s="1"/>
  <c r="Q119" i="1" s="1"/>
  <c r="N120" i="1"/>
  <c r="N121" i="1"/>
  <c r="N122" i="1"/>
  <c r="D122" i="1" s="1"/>
  <c r="N123" i="1"/>
  <c r="N124" i="1"/>
  <c r="N125" i="1"/>
  <c r="N126" i="1"/>
  <c r="N127" i="1"/>
  <c r="N128" i="1"/>
  <c r="N129" i="1"/>
  <c r="N130" i="1"/>
  <c r="E130" i="1" s="1"/>
  <c r="N131" i="1"/>
  <c r="E131" i="1" s="1"/>
  <c r="N132" i="1"/>
  <c r="N133" i="1"/>
  <c r="N134" i="1"/>
  <c r="D134" i="1" s="1"/>
  <c r="N135" i="1"/>
  <c r="D135" i="1" s="1"/>
  <c r="N136" i="1"/>
  <c r="N137" i="1"/>
  <c r="N138" i="1"/>
  <c r="N139" i="1"/>
  <c r="N140" i="1"/>
  <c r="N141" i="1"/>
  <c r="N142" i="1"/>
  <c r="N143" i="1"/>
  <c r="N144" i="1"/>
  <c r="N145" i="1"/>
  <c r="N146" i="1"/>
  <c r="N147" i="1"/>
  <c r="E147" i="1" s="1"/>
  <c r="N148" i="1"/>
  <c r="N149" i="1"/>
  <c r="N150" i="1"/>
  <c r="N151" i="1"/>
  <c r="E151" i="1" s="1"/>
  <c r="N152" i="1"/>
  <c r="N153" i="1"/>
  <c r="N154" i="1"/>
  <c r="D154" i="1" s="1"/>
  <c r="N155" i="1"/>
  <c r="E155" i="1" s="1"/>
  <c r="Q155" i="1" s="1"/>
  <c r="N156" i="1"/>
  <c r="N157" i="1"/>
  <c r="N158" i="1"/>
  <c r="N159" i="1"/>
  <c r="N160" i="1"/>
  <c r="N161" i="1"/>
  <c r="N162" i="1"/>
  <c r="N163" i="1"/>
  <c r="E163" i="1" s="1"/>
  <c r="N164" i="1"/>
  <c r="N165" i="1"/>
  <c r="N166" i="1"/>
  <c r="D166" i="1" s="1"/>
  <c r="N167" i="1"/>
  <c r="D167" i="1" s="1"/>
  <c r="H167" i="1" s="1"/>
  <c r="N168" i="1"/>
  <c r="N169" i="1"/>
  <c r="N170" i="1"/>
  <c r="N171" i="1"/>
  <c r="N172" i="1"/>
  <c r="N173" i="1"/>
  <c r="N174" i="1"/>
  <c r="N175" i="1"/>
  <c r="N176" i="1"/>
  <c r="N177" i="1"/>
  <c r="J3" i="1"/>
  <c r="C3" i="1" s="1"/>
  <c r="J4" i="1"/>
  <c r="B4" i="1" s="1"/>
  <c r="J5" i="1"/>
  <c r="J6" i="1"/>
  <c r="J7" i="1"/>
  <c r="J8" i="1"/>
  <c r="J9" i="1"/>
  <c r="J10" i="1"/>
  <c r="J11" i="1"/>
  <c r="C11" i="1" s="1"/>
  <c r="J12" i="1"/>
  <c r="J13" i="1"/>
  <c r="J14" i="1"/>
  <c r="J15" i="1"/>
  <c r="J16" i="1"/>
  <c r="J17" i="1"/>
  <c r="J18" i="1"/>
  <c r="J19" i="1"/>
  <c r="B19" i="1" s="1"/>
  <c r="J20" i="1"/>
  <c r="B20" i="1" s="1"/>
  <c r="J21" i="1"/>
  <c r="J22" i="1"/>
  <c r="J23" i="1"/>
  <c r="C23" i="1" s="1"/>
  <c r="J24" i="1"/>
  <c r="C24" i="1" s="1"/>
  <c r="J25" i="1"/>
  <c r="J26" i="1"/>
  <c r="J27" i="1"/>
  <c r="B27" i="1" s="1"/>
  <c r="J28" i="1"/>
  <c r="B28" i="1" s="1"/>
  <c r="J29" i="1"/>
  <c r="J30" i="1"/>
  <c r="J31" i="1"/>
  <c r="B31" i="1" s="1"/>
  <c r="J32" i="1"/>
  <c r="B32" i="1" s="1"/>
  <c r="J33" i="1"/>
  <c r="J34" i="1"/>
  <c r="J35" i="1"/>
  <c r="C35" i="1" s="1"/>
  <c r="J36" i="1"/>
  <c r="J37" i="1"/>
  <c r="J38" i="1"/>
  <c r="J39" i="1"/>
  <c r="J40" i="1"/>
  <c r="J41" i="1"/>
  <c r="J42" i="1"/>
  <c r="J43" i="1"/>
  <c r="C43" i="1" s="1"/>
  <c r="J44" i="1"/>
  <c r="B44" i="1" s="1"/>
  <c r="J45" i="1"/>
  <c r="J46" i="1"/>
  <c r="J47" i="1"/>
  <c r="J48" i="1"/>
  <c r="J49" i="1"/>
  <c r="J50" i="1"/>
  <c r="J51" i="1"/>
  <c r="B51" i="1" s="1"/>
  <c r="J52" i="1"/>
  <c r="B52" i="1" s="1"/>
  <c r="J53" i="1"/>
  <c r="J54" i="1"/>
  <c r="J55" i="1"/>
  <c r="C55" i="1" s="1"/>
  <c r="J56" i="1"/>
  <c r="C56" i="1" s="1"/>
  <c r="J57" i="1"/>
  <c r="J58" i="1"/>
  <c r="J59" i="1"/>
  <c r="B59" i="1" s="1"/>
  <c r="J60" i="1"/>
  <c r="B60" i="1" s="1"/>
  <c r="J61" i="1"/>
  <c r="J62" i="1"/>
  <c r="J63" i="1"/>
  <c r="B63" i="1" s="1"/>
  <c r="J64" i="1"/>
  <c r="B64" i="1" s="1"/>
  <c r="J65" i="1"/>
  <c r="J66" i="1"/>
  <c r="J67" i="1"/>
  <c r="C67" i="1" s="1"/>
  <c r="J68" i="1"/>
  <c r="B68" i="1" s="1"/>
  <c r="J69" i="1"/>
  <c r="J70" i="1"/>
  <c r="J71" i="1"/>
  <c r="J72" i="1"/>
  <c r="J73" i="1"/>
  <c r="J74" i="1"/>
  <c r="J75" i="1"/>
  <c r="C75" i="1" s="1"/>
  <c r="J76" i="1"/>
  <c r="J77" i="1"/>
  <c r="J78" i="1"/>
  <c r="J79" i="1"/>
  <c r="J80" i="1"/>
  <c r="J81" i="1"/>
  <c r="J82" i="1"/>
  <c r="J83" i="1"/>
  <c r="B83" i="1" s="1"/>
  <c r="J84" i="1"/>
  <c r="B84" i="1" s="1"/>
  <c r="J85" i="1"/>
  <c r="J86" i="1"/>
  <c r="J87" i="1"/>
  <c r="C87" i="1" s="1"/>
  <c r="J88" i="1"/>
  <c r="C88" i="1" s="1"/>
  <c r="J89" i="1"/>
  <c r="J90" i="1"/>
  <c r="J91" i="1"/>
  <c r="B91" i="1" s="1"/>
  <c r="J92" i="1"/>
  <c r="B92" i="1" s="1"/>
  <c r="J93" i="1"/>
  <c r="J94" i="1"/>
  <c r="J95" i="1"/>
  <c r="B95" i="1" s="1"/>
  <c r="J96" i="1"/>
  <c r="B96" i="1" s="1"/>
  <c r="J97" i="1"/>
  <c r="J98" i="1"/>
  <c r="J99" i="1"/>
  <c r="C99" i="1" s="1"/>
  <c r="J100" i="1"/>
  <c r="J101" i="1"/>
  <c r="J102" i="1"/>
  <c r="J103" i="1"/>
  <c r="J104" i="1"/>
  <c r="J105" i="1"/>
  <c r="J106" i="1"/>
  <c r="J107" i="1"/>
  <c r="C107" i="1" s="1"/>
  <c r="J108" i="1"/>
  <c r="B108" i="1" s="1"/>
  <c r="J109" i="1"/>
  <c r="J110" i="1"/>
  <c r="J111" i="1"/>
  <c r="J112" i="1"/>
  <c r="J113" i="1"/>
  <c r="J114" i="1"/>
  <c r="J115" i="1"/>
  <c r="B115" i="1" s="1"/>
  <c r="J116" i="1"/>
  <c r="B116" i="1" s="1"/>
  <c r="J117" i="1"/>
  <c r="J118" i="1"/>
  <c r="J119" i="1"/>
  <c r="C119" i="1" s="1"/>
  <c r="F119" i="1" s="1"/>
  <c r="J120" i="1"/>
  <c r="C120" i="1" s="1"/>
  <c r="J121" i="1"/>
  <c r="J122" i="1"/>
  <c r="J123" i="1"/>
  <c r="B123" i="1" s="1"/>
  <c r="J124" i="1"/>
  <c r="B124" i="1" s="1"/>
  <c r="J125" i="1"/>
  <c r="J126" i="1"/>
  <c r="J127" i="1"/>
  <c r="B127" i="1" s="1"/>
  <c r="J128" i="1"/>
  <c r="B128" i="1" s="1"/>
  <c r="J129" i="1"/>
  <c r="J130" i="1"/>
  <c r="J131" i="1"/>
  <c r="C131" i="1" s="1"/>
  <c r="J132" i="1"/>
  <c r="B132" i="1" s="1"/>
  <c r="J133" i="1"/>
  <c r="J134" i="1"/>
  <c r="J135" i="1"/>
  <c r="J136" i="1"/>
  <c r="J137" i="1"/>
  <c r="J138" i="1"/>
  <c r="J139" i="1"/>
  <c r="C139" i="1" s="1"/>
  <c r="J140" i="1"/>
  <c r="J141" i="1"/>
  <c r="J142" i="1"/>
  <c r="J143" i="1"/>
  <c r="J144" i="1"/>
  <c r="J145" i="1"/>
  <c r="J146" i="1"/>
  <c r="J147" i="1"/>
  <c r="B147" i="1" s="1"/>
  <c r="J148" i="1"/>
  <c r="B148" i="1" s="1"/>
  <c r="J149" i="1"/>
  <c r="J150" i="1"/>
  <c r="J151" i="1"/>
  <c r="C151" i="1" s="1"/>
  <c r="J152" i="1"/>
  <c r="C152" i="1" s="1"/>
  <c r="J153" i="1"/>
  <c r="J154" i="1"/>
  <c r="J155" i="1"/>
  <c r="B155" i="1" s="1"/>
  <c r="J156" i="1"/>
  <c r="B156" i="1" s="1"/>
  <c r="J157" i="1"/>
  <c r="J158" i="1"/>
  <c r="J159" i="1"/>
  <c r="B159" i="1" s="1"/>
  <c r="J160" i="1"/>
  <c r="B160" i="1" s="1"/>
  <c r="J161" i="1"/>
  <c r="J162" i="1"/>
  <c r="J163" i="1"/>
  <c r="C163" i="1" s="1"/>
  <c r="J164" i="1"/>
  <c r="J165" i="1"/>
  <c r="J166" i="1"/>
  <c r="J167" i="1"/>
  <c r="J168" i="1"/>
  <c r="J169" i="1"/>
  <c r="J170" i="1"/>
  <c r="J171" i="1"/>
  <c r="C171" i="1" s="1"/>
  <c r="J172" i="1"/>
  <c r="B172" i="1" s="1"/>
  <c r="J173" i="1"/>
  <c r="J174" i="1"/>
  <c r="J175" i="1"/>
  <c r="J176" i="1"/>
  <c r="J177" i="1"/>
  <c r="M3" i="1"/>
  <c r="M4" i="1"/>
  <c r="M5" i="1"/>
  <c r="M6" i="1"/>
  <c r="M7" i="1"/>
  <c r="M8" i="1"/>
  <c r="M9" i="1"/>
  <c r="M10" i="1"/>
  <c r="M11" i="1"/>
  <c r="M12" i="1"/>
  <c r="M13" i="1"/>
  <c r="E13" i="1" s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D29" i="1" s="1"/>
  <c r="M30" i="1"/>
  <c r="M31" i="1"/>
  <c r="D31" i="1" s="1"/>
  <c r="M32" i="1"/>
  <c r="E32" i="1" s="1"/>
  <c r="M33" i="1"/>
  <c r="E33" i="1" s="1"/>
  <c r="M34" i="1"/>
  <c r="M35" i="1"/>
  <c r="M36" i="1"/>
  <c r="E36" i="1" s="1"/>
  <c r="M37" i="1"/>
  <c r="E37" i="1" s="1"/>
  <c r="M38" i="1"/>
  <c r="M39" i="1"/>
  <c r="M40" i="1"/>
  <c r="M41" i="1"/>
  <c r="M42" i="1"/>
  <c r="M43" i="1"/>
  <c r="M44" i="1"/>
  <c r="M45" i="1"/>
  <c r="D45" i="1" s="1"/>
  <c r="M46" i="1"/>
  <c r="M47" i="1"/>
  <c r="M48" i="1"/>
  <c r="M49" i="1"/>
  <c r="M50" i="1"/>
  <c r="M51" i="1"/>
  <c r="M52" i="1"/>
  <c r="E52" i="1" s="1"/>
  <c r="M53" i="1"/>
  <c r="E53" i="1" s="1"/>
  <c r="M54" i="1"/>
  <c r="M55" i="1"/>
  <c r="M56" i="1"/>
  <c r="D56" i="1" s="1"/>
  <c r="M57" i="1"/>
  <c r="D57" i="1" s="1"/>
  <c r="H57" i="1" s="1"/>
  <c r="M58" i="1"/>
  <c r="D58" i="1" s="1"/>
  <c r="H58" i="1" s="1"/>
  <c r="M59" i="1"/>
  <c r="M60" i="1"/>
  <c r="D60" i="1" s="1"/>
  <c r="M61" i="1"/>
  <c r="M62" i="1"/>
  <c r="M63" i="1"/>
  <c r="M64" i="1"/>
  <c r="M65" i="1"/>
  <c r="M66" i="1"/>
  <c r="M67" i="1"/>
  <c r="D67" i="1" s="1"/>
  <c r="H67" i="1" s="1"/>
  <c r="M68" i="1"/>
  <c r="M69" i="1"/>
  <c r="M70" i="1"/>
  <c r="M71" i="1"/>
  <c r="M72" i="1"/>
  <c r="M73" i="1"/>
  <c r="M74" i="1"/>
  <c r="M75" i="1"/>
  <c r="E75" i="1" s="1"/>
  <c r="M76" i="1"/>
  <c r="M77" i="1"/>
  <c r="D77" i="1" s="1"/>
  <c r="M78" i="1"/>
  <c r="M79" i="1"/>
  <c r="D79" i="1" s="1"/>
  <c r="H79" i="1" s="1"/>
  <c r="M80" i="1"/>
  <c r="M81" i="1"/>
  <c r="M82" i="1"/>
  <c r="M83" i="1"/>
  <c r="D83" i="1" s="1"/>
  <c r="H83" i="1" s="1"/>
  <c r="M84" i="1"/>
  <c r="M85" i="1"/>
  <c r="E85" i="1" s="1"/>
  <c r="M86" i="1"/>
  <c r="M87" i="1"/>
  <c r="M88" i="1"/>
  <c r="M89" i="1"/>
  <c r="M90" i="1"/>
  <c r="M91" i="1"/>
  <c r="D91" i="1" s="1"/>
  <c r="H91" i="1" s="1"/>
  <c r="M92" i="1"/>
  <c r="D92" i="1" s="1"/>
  <c r="M93" i="1"/>
  <c r="D93" i="1" s="1"/>
  <c r="M94" i="1"/>
  <c r="M95" i="1"/>
  <c r="M96" i="1"/>
  <c r="E96" i="1" s="1"/>
  <c r="M97" i="1"/>
  <c r="E97" i="1" s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D111" i="1" s="1"/>
  <c r="H111" i="1" s="1"/>
  <c r="M112" i="1"/>
  <c r="M113" i="1"/>
  <c r="M114" i="1"/>
  <c r="M115" i="1"/>
  <c r="D115" i="1" s="1"/>
  <c r="M116" i="1"/>
  <c r="M117" i="1"/>
  <c r="E117" i="1" s="1"/>
  <c r="M118" i="1"/>
  <c r="M119" i="1"/>
  <c r="M120" i="1"/>
  <c r="M121" i="1"/>
  <c r="D121" i="1" s="1"/>
  <c r="H121" i="1" s="1"/>
  <c r="M122" i="1"/>
  <c r="M123" i="1"/>
  <c r="E123" i="1" s="1"/>
  <c r="M124" i="1"/>
  <c r="M125" i="1"/>
  <c r="M126" i="1"/>
  <c r="M127" i="1"/>
  <c r="M128" i="1"/>
  <c r="M129" i="1"/>
  <c r="E129" i="1" s="1"/>
  <c r="Q129" i="1" s="1"/>
  <c r="M130" i="1"/>
  <c r="M131" i="1"/>
  <c r="D131" i="1" s="1"/>
  <c r="H131" i="1" s="1"/>
  <c r="M132" i="1"/>
  <c r="M133" i="1"/>
  <c r="M134" i="1"/>
  <c r="M135" i="1"/>
  <c r="M136" i="1"/>
  <c r="M137" i="1"/>
  <c r="E137" i="1" s="1"/>
  <c r="M138" i="1"/>
  <c r="E138" i="1" s="1"/>
  <c r="M139" i="1"/>
  <c r="D139" i="1" s="1"/>
  <c r="H139" i="1" s="1"/>
  <c r="M140" i="1"/>
  <c r="D140" i="1" s="1"/>
  <c r="M141" i="1"/>
  <c r="D141" i="1" s="1"/>
  <c r="M142" i="1"/>
  <c r="M143" i="1"/>
  <c r="D143" i="1" s="1"/>
  <c r="H143" i="1" s="1"/>
  <c r="M144" i="1"/>
  <c r="M145" i="1"/>
  <c r="M146" i="1"/>
  <c r="M147" i="1"/>
  <c r="D147" i="1" s="1"/>
  <c r="H147" i="1" s="1"/>
  <c r="M148" i="1"/>
  <c r="M149" i="1"/>
  <c r="E149" i="1" s="1"/>
  <c r="M150" i="1"/>
  <c r="M151" i="1"/>
  <c r="M152" i="1"/>
  <c r="M153" i="1"/>
  <c r="M154" i="1"/>
  <c r="M155" i="1"/>
  <c r="D155" i="1" s="1"/>
  <c r="H155" i="1" s="1"/>
  <c r="M156" i="1"/>
  <c r="D156" i="1" s="1"/>
  <c r="M157" i="1"/>
  <c r="D157" i="1" s="1"/>
  <c r="M158" i="1"/>
  <c r="M159" i="1"/>
  <c r="M160" i="1"/>
  <c r="M161" i="1"/>
  <c r="E161" i="1" s="1"/>
  <c r="M162" i="1"/>
  <c r="M163" i="1"/>
  <c r="D163" i="1" s="1"/>
  <c r="H163" i="1" s="1"/>
  <c r="M164" i="1"/>
  <c r="M165" i="1"/>
  <c r="M166" i="1"/>
  <c r="M167" i="1"/>
  <c r="M168" i="1"/>
  <c r="M169" i="1"/>
  <c r="E169" i="1" s="1"/>
  <c r="M170" i="1"/>
  <c r="M171" i="1"/>
  <c r="E171" i="1" s="1"/>
  <c r="M172" i="1"/>
  <c r="M173" i="1"/>
  <c r="M174" i="1"/>
  <c r="M175" i="1"/>
  <c r="E175" i="1" s="1"/>
  <c r="M176" i="1"/>
  <c r="E176" i="1" s="1"/>
  <c r="M177" i="1"/>
  <c r="I3" i="1"/>
  <c r="I4" i="1"/>
  <c r="C4" i="1" s="1"/>
  <c r="I5" i="1"/>
  <c r="I6" i="1"/>
  <c r="B6" i="1" s="1"/>
  <c r="I7" i="1"/>
  <c r="B7" i="1" s="1"/>
  <c r="I8" i="1"/>
  <c r="B8" i="1" s="1"/>
  <c r="I9" i="1"/>
  <c r="B9" i="1" s="1"/>
  <c r="I10" i="1"/>
  <c r="I11" i="1"/>
  <c r="I12" i="1"/>
  <c r="C12" i="1" s="1"/>
  <c r="I13" i="1"/>
  <c r="I14" i="1"/>
  <c r="I15" i="1"/>
  <c r="I16" i="1"/>
  <c r="I17" i="1"/>
  <c r="B17" i="1" s="1"/>
  <c r="I18" i="1"/>
  <c r="B18" i="1" s="1"/>
  <c r="I19" i="1"/>
  <c r="I20" i="1"/>
  <c r="C20" i="1" s="1"/>
  <c r="I21" i="1"/>
  <c r="I22" i="1"/>
  <c r="I23" i="1"/>
  <c r="I24" i="1"/>
  <c r="I25" i="1"/>
  <c r="I26" i="1"/>
  <c r="C26" i="1" s="1"/>
  <c r="I27" i="1"/>
  <c r="I28" i="1"/>
  <c r="C28" i="1" s="1"/>
  <c r="I29" i="1"/>
  <c r="I30" i="1"/>
  <c r="B30" i="1" s="1"/>
  <c r="I31" i="1"/>
  <c r="I32" i="1"/>
  <c r="C32" i="1" s="1"/>
  <c r="I33" i="1"/>
  <c r="C33" i="1" s="1"/>
  <c r="I34" i="1"/>
  <c r="C34" i="1" s="1"/>
  <c r="I35" i="1"/>
  <c r="I36" i="1"/>
  <c r="C36" i="1" s="1"/>
  <c r="I37" i="1"/>
  <c r="I38" i="1"/>
  <c r="B38" i="1" s="1"/>
  <c r="I39" i="1"/>
  <c r="B39" i="1" s="1"/>
  <c r="I40" i="1"/>
  <c r="B40" i="1" s="1"/>
  <c r="I41" i="1"/>
  <c r="B41" i="1" s="1"/>
  <c r="I42" i="1"/>
  <c r="I43" i="1"/>
  <c r="I44" i="1"/>
  <c r="C44" i="1" s="1"/>
  <c r="I45" i="1"/>
  <c r="I46" i="1"/>
  <c r="I47" i="1"/>
  <c r="I48" i="1"/>
  <c r="I49" i="1"/>
  <c r="B49" i="1" s="1"/>
  <c r="I50" i="1"/>
  <c r="B50" i="1" s="1"/>
  <c r="I51" i="1"/>
  <c r="I52" i="1"/>
  <c r="C52" i="1" s="1"/>
  <c r="G52" i="1" s="1"/>
  <c r="I53" i="1"/>
  <c r="I54" i="1"/>
  <c r="I55" i="1"/>
  <c r="I56" i="1"/>
  <c r="I57" i="1"/>
  <c r="I58" i="1"/>
  <c r="I59" i="1"/>
  <c r="I60" i="1"/>
  <c r="C60" i="1" s="1"/>
  <c r="G60" i="1" s="1"/>
  <c r="I61" i="1"/>
  <c r="I62" i="1"/>
  <c r="B62" i="1" s="1"/>
  <c r="I63" i="1"/>
  <c r="I64" i="1"/>
  <c r="C64" i="1" s="1"/>
  <c r="I65" i="1"/>
  <c r="C65" i="1" s="1"/>
  <c r="I66" i="1"/>
  <c r="C66" i="1" s="1"/>
  <c r="I67" i="1"/>
  <c r="I68" i="1"/>
  <c r="C68" i="1" s="1"/>
  <c r="I69" i="1"/>
  <c r="I70" i="1"/>
  <c r="B70" i="1" s="1"/>
  <c r="I71" i="1"/>
  <c r="B71" i="1" s="1"/>
  <c r="I72" i="1"/>
  <c r="B72" i="1" s="1"/>
  <c r="I73" i="1"/>
  <c r="B73" i="1" s="1"/>
  <c r="I74" i="1"/>
  <c r="I75" i="1"/>
  <c r="I76" i="1"/>
  <c r="C76" i="1" s="1"/>
  <c r="I77" i="1"/>
  <c r="I78" i="1"/>
  <c r="I79" i="1"/>
  <c r="I80" i="1"/>
  <c r="I81" i="1"/>
  <c r="B81" i="1" s="1"/>
  <c r="I82" i="1"/>
  <c r="B82" i="1" s="1"/>
  <c r="I83" i="1"/>
  <c r="I84" i="1"/>
  <c r="C84" i="1" s="1"/>
  <c r="I85" i="1"/>
  <c r="I86" i="1"/>
  <c r="I87" i="1"/>
  <c r="I88" i="1"/>
  <c r="I89" i="1"/>
  <c r="I90" i="1"/>
  <c r="B90" i="1" s="1"/>
  <c r="I91" i="1"/>
  <c r="I92" i="1"/>
  <c r="C92" i="1" s="1"/>
  <c r="F92" i="1" s="1"/>
  <c r="I93" i="1"/>
  <c r="I94" i="1"/>
  <c r="B94" i="1" s="1"/>
  <c r="I95" i="1"/>
  <c r="I96" i="1"/>
  <c r="C96" i="1" s="1"/>
  <c r="I97" i="1"/>
  <c r="C97" i="1" s="1"/>
  <c r="I98" i="1"/>
  <c r="C98" i="1" s="1"/>
  <c r="I99" i="1"/>
  <c r="I100" i="1"/>
  <c r="C100" i="1" s="1"/>
  <c r="I101" i="1"/>
  <c r="I102" i="1"/>
  <c r="B102" i="1" s="1"/>
  <c r="I103" i="1"/>
  <c r="B103" i="1" s="1"/>
  <c r="I104" i="1"/>
  <c r="B104" i="1" s="1"/>
  <c r="I105" i="1"/>
  <c r="B105" i="1" s="1"/>
  <c r="I106" i="1"/>
  <c r="I107" i="1"/>
  <c r="I108" i="1"/>
  <c r="C108" i="1" s="1"/>
  <c r="I109" i="1"/>
  <c r="I110" i="1"/>
  <c r="I111" i="1"/>
  <c r="I112" i="1"/>
  <c r="I113" i="1"/>
  <c r="B113" i="1" s="1"/>
  <c r="I114" i="1"/>
  <c r="B114" i="1" s="1"/>
  <c r="I115" i="1"/>
  <c r="I116" i="1"/>
  <c r="C116" i="1" s="1"/>
  <c r="I117" i="1"/>
  <c r="I118" i="1"/>
  <c r="I119" i="1"/>
  <c r="I120" i="1"/>
  <c r="I121" i="1"/>
  <c r="I122" i="1"/>
  <c r="C122" i="1" s="1"/>
  <c r="I123" i="1"/>
  <c r="I124" i="1"/>
  <c r="C124" i="1" s="1"/>
  <c r="I125" i="1"/>
  <c r="I126" i="1"/>
  <c r="B126" i="1" s="1"/>
  <c r="I127" i="1"/>
  <c r="I128" i="1"/>
  <c r="C128" i="1" s="1"/>
  <c r="I129" i="1"/>
  <c r="C129" i="1" s="1"/>
  <c r="I130" i="1"/>
  <c r="C130" i="1" s="1"/>
  <c r="I131" i="1"/>
  <c r="I132" i="1"/>
  <c r="C132" i="1" s="1"/>
  <c r="I133" i="1"/>
  <c r="I134" i="1"/>
  <c r="B134" i="1" s="1"/>
  <c r="I135" i="1"/>
  <c r="B135" i="1" s="1"/>
  <c r="I136" i="1"/>
  <c r="B136" i="1" s="1"/>
  <c r="I137" i="1"/>
  <c r="B137" i="1" s="1"/>
  <c r="I138" i="1"/>
  <c r="I139" i="1"/>
  <c r="I140" i="1"/>
  <c r="C140" i="1" s="1"/>
  <c r="I141" i="1"/>
  <c r="I142" i="1"/>
  <c r="I143" i="1"/>
  <c r="I144" i="1"/>
  <c r="I145" i="1"/>
  <c r="B145" i="1" s="1"/>
  <c r="I146" i="1"/>
  <c r="B146" i="1" s="1"/>
  <c r="I147" i="1"/>
  <c r="I148" i="1"/>
  <c r="C148" i="1" s="1"/>
  <c r="I149" i="1"/>
  <c r="I150" i="1"/>
  <c r="I151" i="1"/>
  <c r="I152" i="1"/>
  <c r="I153" i="1"/>
  <c r="I154" i="1"/>
  <c r="B154" i="1" s="1"/>
  <c r="I155" i="1"/>
  <c r="I156" i="1"/>
  <c r="C156" i="1" s="1"/>
  <c r="G156" i="1" s="1"/>
  <c r="I157" i="1"/>
  <c r="I158" i="1"/>
  <c r="B158" i="1" s="1"/>
  <c r="I159" i="1"/>
  <c r="I160" i="1"/>
  <c r="C160" i="1" s="1"/>
  <c r="I161" i="1"/>
  <c r="C161" i="1" s="1"/>
  <c r="I162" i="1"/>
  <c r="C162" i="1" s="1"/>
  <c r="I163" i="1"/>
  <c r="I164" i="1"/>
  <c r="C164" i="1" s="1"/>
  <c r="I165" i="1"/>
  <c r="I166" i="1"/>
  <c r="B166" i="1" s="1"/>
  <c r="I167" i="1"/>
  <c r="B167" i="1" s="1"/>
  <c r="I168" i="1"/>
  <c r="B168" i="1" s="1"/>
  <c r="I169" i="1"/>
  <c r="B169" i="1" s="1"/>
  <c r="I170" i="1"/>
  <c r="I171" i="1"/>
  <c r="I172" i="1"/>
  <c r="C172" i="1" s="1"/>
  <c r="I173" i="1"/>
  <c r="I174" i="1"/>
  <c r="I175" i="1"/>
  <c r="I176" i="1"/>
  <c r="I177" i="1"/>
  <c r="B177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F155" i="11" l="1"/>
  <c r="G139" i="11"/>
  <c r="F139" i="11"/>
  <c r="Q154" i="11"/>
  <c r="F164" i="11"/>
  <c r="G140" i="11"/>
  <c r="F140" i="11"/>
  <c r="G132" i="11"/>
  <c r="F108" i="11"/>
  <c r="G108" i="11"/>
  <c r="F100" i="11"/>
  <c r="G92" i="11"/>
  <c r="F92" i="11"/>
  <c r="F4" i="11"/>
  <c r="G4" i="11"/>
  <c r="Q83" i="11"/>
  <c r="F83" i="11"/>
  <c r="G83" i="11"/>
  <c r="G67" i="11"/>
  <c r="G59" i="11"/>
  <c r="F59" i="11"/>
  <c r="F122" i="11"/>
  <c r="G122" i="11"/>
  <c r="Q137" i="11"/>
  <c r="H168" i="11"/>
  <c r="Q116" i="11"/>
  <c r="G168" i="11"/>
  <c r="F168" i="11"/>
  <c r="F152" i="11"/>
  <c r="G152" i="11"/>
  <c r="G136" i="11"/>
  <c r="F136" i="11"/>
  <c r="G120" i="11"/>
  <c r="G36" i="11"/>
  <c r="F36" i="11"/>
  <c r="H83" i="11"/>
  <c r="B175" i="11"/>
  <c r="C175" i="11"/>
  <c r="B167" i="11"/>
  <c r="C167" i="11"/>
  <c r="B159" i="11"/>
  <c r="C159" i="11"/>
  <c r="B151" i="11"/>
  <c r="C151" i="11"/>
  <c r="B143" i="11"/>
  <c r="C143" i="11"/>
  <c r="B135" i="11"/>
  <c r="C135" i="11"/>
  <c r="B127" i="11"/>
  <c r="C127" i="11"/>
  <c r="B119" i="11"/>
  <c r="C119" i="11"/>
  <c r="B111" i="11"/>
  <c r="C111" i="11"/>
  <c r="B103" i="11"/>
  <c r="C103" i="11"/>
  <c r="B95" i="11"/>
  <c r="C95" i="11"/>
  <c r="B87" i="11"/>
  <c r="C87" i="11"/>
  <c r="B79" i="11"/>
  <c r="C79" i="11"/>
  <c r="B71" i="11"/>
  <c r="C71" i="11"/>
  <c r="C63" i="11"/>
  <c r="B63" i="11"/>
  <c r="C55" i="11"/>
  <c r="B55" i="11"/>
  <c r="C47" i="11"/>
  <c r="B47" i="11"/>
  <c r="C39" i="11"/>
  <c r="Q39" i="11" s="1"/>
  <c r="B39" i="11"/>
  <c r="C31" i="11"/>
  <c r="B31" i="11"/>
  <c r="C23" i="11"/>
  <c r="B23" i="11"/>
  <c r="C15" i="11"/>
  <c r="B15" i="11"/>
  <c r="C7" i="11"/>
  <c r="B7" i="11"/>
  <c r="D174" i="11"/>
  <c r="H174" i="11" s="1"/>
  <c r="E174" i="11"/>
  <c r="D166" i="11"/>
  <c r="E166" i="11"/>
  <c r="D158" i="11"/>
  <c r="E158" i="11"/>
  <c r="D150" i="11"/>
  <c r="E150" i="11"/>
  <c r="D142" i="11"/>
  <c r="H142" i="11" s="1"/>
  <c r="E142" i="11"/>
  <c r="D134" i="11"/>
  <c r="E134" i="11"/>
  <c r="D126" i="11"/>
  <c r="H126" i="11" s="1"/>
  <c r="E126" i="11"/>
  <c r="D118" i="11"/>
  <c r="H118" i="11" s="1"/>
  <c r="E118" i="11"/>
  <c r="Q118" i="11" s="1"/>
  <c r="D110" i="11"/>
  <c r="H110" i="11" s="1"/>
  <c r="E110" i="11"/>
  <c r="D102" i="11"/>
  <c r="E102" i="11"/>
  <c r="D94" i="11"/>
  <c r="H94" i="11" s="1"/>
  <c r="E94" i="11"/>
  <c r="D86" i="11"/>
  <c r="H86" i="11" s="1"/>
  <c r="E86" i="11"/>
  <c r="Q86" i="11" s="1"/>
  <c r="D78" i="11"/>
  <c r="H78" i="11" s="1"/>
  <c r="E78" i="11"/>
  <c r="D70" i="11"/>
  <c r="E70" i="11"/>
  <c r="D62" i="11"/>
  <c r="H62" i="11" s="1"/>
  <c r="E62" i="11"/>
  <c r="D54" i="11"/>
  <c r="H54" i="11" s="1"/>
  <c r="E54" i="11"/>
  <c r="Q54" i="11" s="1"/>
  <c r="D46" i="11"/>
  <c r="H46" i="11" s="1"/>
  <c r="E46" i="11"/>
  <c r="D38" i="11"/>
  <c r="E38" i="11"/>
  <c r="D30" i="11"/>
  <c r="E22" i="11"/>
  <c r="D22" i="11"/>
  <c r="H22" i="11" s="1"/>
  <c r="D14" i="11"/>
  <c r="H14" i="11" s="1"/>
  <c r="D6" i="11"/>
  <c r="H6" i="11" s="1"/>
  <c r="E6" i="11"/>
  <c r="B177" i="11"/>
  <c r="B168" i="11"/>
  <c r="B140" i="11"/>
  <c r="B122" i="11"/>
  <c r="B97" i="11"/>
  <c r="B81" i="11"/>
  <c r="B65" i="11"/>
  <c r="B49" i="11"/>
  <c r="B33" i="11"/>
  <c r="B17" i="11"/>
  <c r="C176" i="11"/>
  <c r="C160" i="11"/>
  <c r="C144" i="11"/>
  <c r="C128" i="11"/>
  <c r="C112" i="11"/>
  <c r="C96" i="11"/>
  <c r="C75" i="11"/>
  <c r="D137" i="11"/>
  <c r="H137" i="11" s="1"/>
  <c r="G137" i="11"/>
  <c r="C174" i="11"/>
  <c r="C166" i="11"/>
  <c r="C158" i="11"/>
  <c r="C150" i="11"/>
  <c r="C142" i="11"/>
  <c r="C134" i="11"/>
  <c r="C126" i="11"/>
  <c r="C118" i="11"/>
  <c r="C110" i="11"/>
  <c r="B102" i="11"/>
  <c r="C102" i="11"/>
  <c r="B94" i="11"/>
  <c r="C94" i="11"/>
  <c r="B86" i="11"/>
  <c r="C86" i="11"/>
  <c r="B78" i="11"/>
  <c r="C78" i="11"/>
  <c r="B70" i="11"/>
  <c r="C70" i="11"/>
  <c r="B62" i="11"/>
  <c r="C62" i="11"/>
  <c r="B54" i="11"/>
  <c r="C54" i="11"/>
  <c r="B46" i="11"/>
  <c r="C38" i="11"/>
  <c r="B38" i="11"/>
  <c r="B30" i="11"/>
  <c r="C30" i="11"/>
  <c r="B22" i="11"/>
  <c r="C22" i="11"/>
  <c r="B14" i="11"/>
  <c r="C6" i="11"/>
  <c r="B6" i="11"/>
  <c r="E173" i="11"/>
  <c r="D173" i="11"/>
  <c r="E165" i="11"/>
  <c r="D165" i="11"/>
  <c r="E157" i="11"/>
  <c r="E149" i="11"/>
  <c r="D149" i="11"/>
  <c r="H149" i="11" s="1"/>
  <c r="E141" i="11"/>
  <c r="D141" i="11"/>
  <c r="H141" i="11" s="1"/>
  <c r="D133" i="11"/>
  <c r="H133" i="11" s="1"/>
  <c r="E125" i="11"/>
  <c r="Q125" i="11" s="1"/>
  <c r="E117" i="11"/>
  <c r="D117" i="11"/>
  <c r="E109" i="11"/>
  <c r="D109" i="11"/>
  <c r="D101" i="11"/>
  <c r="E93" i="11"/>
  <c r="Q93" i="11" s="1"/>
  <c r="E85" i="11"/>
  <c r="D85" i="11"/>
  <c r="H85" i="11" s="1"/>
  <c r="E77" i="11"/>
  <c r="D77" i="11"/>
  <c r="E69" i="11"/>
  <c r="D69" i="11"/>
  <c r="E61" i="11"/>
  <c r="E53" i="11"/>
  <c r="D53" i="11"/>
  <c r="H53" i="11" s="1"/>
  <c r="D45" i="11"/>
  <c r="H45" i="11" s="1"/>
  <c r="E45" i="11"/>
  <c r="D37" i="11"/>
  <c r="E37" i="11"/>
  <c r="D29" i="11"/>
  <c r="E29" i="11"/>
  <c r="E21" i="11"/>
  <c r="D21" i="11"/>
  <c r="H21" i="11" s="1"/>
  <c r="D13" i="11"/>
  <c r="H13" i="11" s="1"/>
  <c r="E13" i="11"/>
  <c r="E5" i="11"/>
  <c r="D5" i="11"/>
  <c r="B166" i="11"/>
  <c r="B148" i="11"/>
  <c r="B121" i="11"/>
  <c r="B45" i="11"/>
  <c r="C172" i="11"/>
  <c r="C74" i="11"/>
  <c r="D136" i="11"/>
  <c r="H136" i="11" s="1"/>
  <c r="E168" i="11"/>
  <c r="Q168" i="11" s="1"/>
  <c r="E30" i="11"/>
  <c r="G177" i="11"/>
  <c r="G169" i="11"/>
  <c r="F169" i="11"/>
  <c r="F145" i="11"/>
  <c r="G129" i="11"/>
  <c r="G105" i="11"/>
  <c r="F105" i="11"/>
  <c r="F97" i="11"/>
  <c r="G73" i="11"/>
  <c r="F73" i="11"/>
  <c r="G65" i="11"/>
  <c r="G41" i="11"/>
  <c r="G33" i="11"/>
  <c r="F33" i="11"/>
  <c r="F17" i="11"/>
  <c r="E176" i="11"/>
  <c r="Q176" i="11" s="1"/>
  <c r="D176" i="11"/>
  <c r="H176" i="11" s="1"/>
  <c r="E160" i="11"/>
  <c r="D160" i="11"/>
  <c r="H160" i="11" s="1"/>
  <c r="H152" i="11"/>
  <c r="E144" i="11"/>
  <c r="D144" i="11"/>
  <c r="E128" i="11"/>
  <c r="D128" i="11"/>
  <c r="H120" i="11"/>
  <c r="E112" i="11"/>
  <c r="D112" i="11"/>
  <c r="E96" i="11"/>
  <c r="Q96" i="11" s="1"/>
  <c r="D96" i="11"/>
  <c r="H96" i="11" s="1"/>
  <c r="E88" i="11"/>
  <c r="D88" i="11"/>
  <c r="D80" i="11"/>
  <c r="H80" i="11" s="1"/>
  <c r="E80" i="11"/>
  <c r="E64" i="11"/>
  <c r="D64" i="11"/>
  <c r="H64" i="11" s="1"/>
  <c r="E56" i="11"/>
  <c r="D56" i="11"/>
  <c r="D40" i="11"/>
  <c r="E40" i="11"/>
  <c r="D32" i="11"/>
  <c r="E32" i="11"/>
  <c r="D24" i="11"/>
  <c r="H24" i="11" s="1"/>
  <c r="E24" i="11"/>
  <c r="D8" i="11"/>
  <c r="E8" i="11"/>
  <c r="B161" i="11"/>
  <c r="G147" i="11"/>
  <c r="F147" i="11"/>
  <c r="F82" i="11"/>
  <c r="G82" i="11"/>
  <c r="F58" i="11"/>
  <c r="H147" i="11"/>
  <c r="H105" i="11"/>
  <c r="H61" i="11"/>
  <c r="E120" i="11"/>
  <c r="Q120" i="11" s="1"/>
  <c r="Q51" i="11"/>
  <c r="B88" i="11"/>
  <c r="C88" i="11"/>
  <c r="B80" i="11"/>
  <c r="C80" i="11"/>
  <c r="B72" i="11"/>
  <c r="C72" i="11"/>
  <c r="Q72" i="11" s="1"/>
  <c r="B64" i="11"/>
  <c r="C64" i="11"/>
  <c r="C56" i="11"/>
  <c r="B56" i="11"/>
  <c r="C48" i="11"/>
  <c r="B48" i="11"/>
  <c r="C40" i="11"/>
  <c r="B40" i="11"/>
  <c r="C32" i="11"/>
  <c r="B32" i="11"/>
  <c r="C24" i="11"/>
  <c r="B24" i="11"/>
  <c r="C16" i="11"/>
  <c r="B16" i="11"/>
  <c r="C8" i="11"/>
  <c r="B8" i="11"/>
  <c r="E175" i="11"/>
  <c r="Q175" i="11" s="1"/>
  <c r="D175" i="11"/>
  <c r="E167" i="11"/>
  <c r="D167" i="11"/>
  <c r="E159" i="11"/>
  <c r="Q159" i="11" s="1"/>
  <c r="D159" i="11"/>
  <c r="H159" i="11" s="1"/>
  <c r="E151" i="11"/>
  <c r="D151" i="11"/>
  <c r="H151" i="11" s="1"/>
  <c r="E143" i="11"/>
  <c r="Q143" i="11" s="1"/>
  <c r="D143" i="11"/>
  <c r="E135" i="11"/>
  <c r="D135" i="11"/>
  <c r="E127" i="11"/>
  <c r="Q127" i="11" s="1"/>
  <c r="D127" i="11"/>
  <c r="H127" i="11" s="1"/>
  <c r="E119" i="11"/>
  <c r="D119" i="11"/>
  <c r="H119" i="11" s="1"/>
  <c r="E111" i="11"/>
  <c r="Q111" i="11" s="1"/>
  <c r="D111" i="11"/>
  <c r="E103" i="11"/>
  <c r="D103" i="11"/>
  <c r="E95" i="11"/>
  <c r="Q95" i="11" s="1"/>
  <c r="D95" i="11"/>
  <c r="H95" i="11" s="1"/>
  <c r="E87" i="11"/>
  <c r="D87" i="11"/>
  <c r="H87" i="11" s="1"/>
  <c r="E79" i="11"/>
  <c r="Q79" i="11" s="1"/>
  <c r="D79" i="11"/>
  <c r="E71" i="11"/>
  <c r="D71" i="11"/>
  <c r="E63" i="11"/>
  <c r="D63" i="11"/>
  <c r="E55" i="11"/>
  <c r="D55" i="11"/>
  <c r="H55" i="11" s="1"/>
  <c r="E47" i="11"/>
  <c r="Q47" i="11" s="1"/>
  <c r="D47" i="11"/>
  <c r="E31" i="11"/>
  <c r="D31" i="11"/>
  <c r="E23" i="11"/>
  <c r="Q23" i="11" s="1"/>
  <c r="D23" i="11"/>
  <c r="H23" i="11" s="1"/>
  <c r="E15" i="11"/>
  <c r="D15" i="11"/>
  <c r="H15" i="11" s="1"/>
  <c r="E7" i="11"/>
  <c r="Q7" i="11" s="1"/>
  <c r="D7" i="11"/>
  <c r="B169" i="11"/>
  <c r="B113" i="11"/>
  <c r="F162" i="11"/>
  <c r="G146" i="11"/>
  <c r="F146" i="11"/>
  <c r="F130" i="11"/>
  <c r="G130" i="11"/>
  <c r="C76" i="11"/>
  <c r="C57" i="11"/>
  <c r="H146" i="11"/>
  <c r="D104" i="11"/>
  <c r="E48" i="11"/>
  <c r="G162" i="11"/>
  <c r="C173" i="11"/>
  <c r="C165" i="11"/>
  <c r="C157" i="11"/>
  <c r="C149" i="11"/>
  <c r="C141" i="11"/>
  <c r="C133" i="11"/>
  <c r="C125" i="11"/>
  <c r="C117" i="11"/>
  <c r="C109" i="11"/>
  <c r="C101" i="11"/>
  <c r="C93" i="11"/>
  <c r="H93" i="11" s="1"/>
  <c r="C85" i="11"/>
  <c r="C77" i="11"/>
  <c r="C69" i="11"/>
  <c r="C61" i="11"/>
  <c r="C53" i="11"/>
  <c r="C37" i="11"/>
  <c r="C29" i="11"/>
  <c r="C21" i="11"/>
  <c r="C5" i="11"/>
  <c r="E172" i="11"/>
  <c r="D172" i="11"/>
  <c r="E164" i="11"/>
  <c r="D164" i="11"/>
  <c r="H164" i="11" s="1"/>
  <c r="E156" i="11"/>
  <c r="Q156" i="11" s="1"/>
  <c r="D148" i="11"/>
  <c r="H148" i="11" s="1"/>
  <c r="E148" i="11"/>
  <c r="E140" i="11"/>
  <c r="Q140" i="11" s="1"/>
  <c r="D140" i="11"/>
  <c r="H140" i="11" s="1"/>
  <c r="D132" i="11"/>
  <c r="H132" i="11" s="1"/>
  <c r="E132" i="11"/>
  <c r="E124" i="11"/>
  <c r="D116" i="11"/>
  <c r="H116" i="11" s="1"/>
  <c r="E108" i="11"/>
  <c r="Q108" i="11" s="1"/>
  <c r="D108" i="11"/>
  <c r="H108" i="11" s="1"/>
  <c r="D100" i="11"/>
  <c r="H100" i="11" s="1"/>
  <c r="E92" i="11"/>
  <c r="Q92" i="11" s="1"/>
  <c r="D84" i="11"/>
  <c r="H84" i="11" s="1"/>
  <c r="E76" i="11"/>
  <c r="D76" i="11"/>
  <c r="H76" i="11" s="1"/>
  <c r="D68" i="11"/>
  <c r="H68" i="11" s="1"/>
  <c r="E60" i="11"/>
  <c r="Q60" i="11" s="1"/>
  <c r="E52" i="11"/>
  <c r="D52" i="11"/>
  <c r="E44" i="11"/>
  <c r="D44" i="11"/>
  <c r="E36" i="11"/>
  <c r="D36" i="11"/>
  <c r="H36" i="11" s="1"/>
  <c r="D28" i="11"/>
  <c r="H28" i="11" s="1"/>
  <c r="E28" i="11"/>
  <c r="Q28" i="11" s="1"/>
  <c r="E20" i="11"/>
  <c r="D20" i="11"/>
  <c r="E12" i="11"/>
  <c r="E4" i="11"/>
  <c r="Q4" i="11" s="1"/>
  <c r="D4" i="11"/>
  <c r="H4" i="11" s="1"/>
  <c r="B165" i="11"/>
  <c r="B129" i="11"/>
  <c r="B120" i="11"/>
  <c r="F120" i="11" s="1"/>
  <c r="H169" i="11"/>
  <c r="H41" i="11"/>
  <c r="E84" i="11"/>
  <c r="E16" i="11"/>
  <c r="Q16" i="11" s="1"/>
  <c r="C60" i="11"/>
  <c r="C52" i="11"/>
  <c r="C44" i="11"/>
  <c r="C28" i="11"/>
  <c r="C20" i="11"/>
  <c r="C12" i="11"/>
  <c r="E171" i="11"/>
  <c r="Q171" i="11" s="1"/>
  <c r="D171" i="11"/>
  <c r="H171" i="11" s="1"/>
  <c r="E163" i="11"/>
  <c r="D163" i="11"/>
  <c r="H163" i="11" s="1"/>
  <c r="E155" i="11"/>
  <c r="Q155" i="11" s="1"/>
  <c r="D155" i="11"/>
  <c r="H155" i="11" s="1"/>
  <c r="E147" i="11"/>
  <c r="Q147" i="11" s="1"/>
  <c r="E139" i="11"/>
  <c r="D139" i="11"/>
  <c r="H139" i="11" s="1"/>
  <c r="D131" i="11"/>
  <c r="H131" i="11" s="1"/>
  <c r="E131" i="11"/>
  <c r="Q131" i="11" s="1"/>
  <c r="E123" i="11"/>
  <c r="D123" i="11"/>
  <c r="H123" i="11" s="1"/>
  <c r="E115" i="11"/>
  <c r="E107" i="11"/>
  <c r="Q107" i="11" s="1"/>
  <c r="D107" i="11"/>
  <c r="H107" i="11" s="1"/>
  <c r="D99" i="11"/>
  <c r="H99" i="11" s="1"/>
  <c r="E99" i="11"/>
  <c r="E91" i="11"/>
  <c r="D91" i="11"/>
  <c r="H91" i="11" s="1"/>
  <c r="E75" i="11"/>
  <c r="Q75" i="11" s="1"/>
  <c r="D75" i="11"/>
  <c r="H75" i="11" s="1"/>
  <c r="D67" i="11"/>
  <c r="H67" i="11" s="1"/>
  <c r="E59" i="11"/>
  <c r="D59" i="11"/>
  <c r="H59" i="11" s="1"/>
  <c r="E43" i="11"/>
  <c r="D43" i="11"/>
  <c r="H43" i="11" s="1"/>
  <c r="D35" i="11"/>
  <c r="H35" i="11" s="1"/>
  <c r="E27" i="11"/>
  <c r="Q27" i="11" s="1"/>
  <c r="D19" i="11"/>
  <c r="E19" i="11"/>
  <c r="E11" i="11"/>
  <c r="D3" i="11"/>
  <c r="H3" i="11" s="1"/>
  <c r="E3" i="11"/>
  <c r="B173" i="11"/>
  <c r="B164" i="11"/>
  <c r="B137" i="11"/>
  <c r="F137" i="11" s="1"/>
  <c r="B118" i="11"/>
  <c r="B59" i="11"/>
  <c r="C154" i="11"/>
  <c r="C106" i="11"/>
  <c r="C90" i="11"/>
  <c r="D124" i="11"/>
  <c r="H124" i="11" s="1"/>
  <c r="D39" i="11"/>
  <c r="H39" i="11" s="1"/>
  <c r="E152" i="11"/>
  <c r="Q152" i="11" s="1"/>
  <c r="E14" i="11"/>
  <c r="C51" i="11"/>
  <c r="C43" i="11"/>
  <c r="C27" i="11"/>
  <c r="C19" i="11"/>
  <c r="C11" i="11"/>
  <c r="H11" i="11" s="1"/>
  <c r="D170" i="11"/>
  <c r="H170" i="11" s="1"/>
  <c r="E162" i="11"/>
  <c r="D162" i="11"/>
  <c r="H162" i="11" s="1"/>
  <c r="D154" i="11"/>
  <c r="H154" i="11" s="1"/>
  <c r="E146" i="11"/>
  <c r="Q146" i="11" s="1"/>
  <c r="E138" i="11"/>
  <c r="D138" i="11"/>
  <c r="H138" i="11" s="1"/>
  <c r="E130" i="11"/>
  <c r="Q130" i="11" s="1"/>
  <c r="D130" i="11"/>
  <c r="H130" i="11" s="1"/>
  <c r="E122" i="11"/>
  <c r="D122" i="11"/>
  <c r="H122" i="11" s="1"/>
  <c r="E114" i="11"/>
  <c r="Q114" i="11" s="1"/>
  <c r="D106" i="11"/>
  <c r="E106" i="11"/>
  <c r="Q106" i="11" s="1"/>
  <c r="E98" i="11"/>
  <c r="D98" i="11"/>
  <c r="H98" i="11" s="1"/>
  <c r="E90" i="11"/>
  <c r="D90" i="11"/>
  <c r="E82" i="11"/>
  <c r="Q82" i="11" s="1"/>
  <c r="D74" i="11"/>
  <c r="H74" i="11" s="1"/>
  <c r="E74" i="11"/>
  <c r="E66" i="11"/>
  <c r="D66" i="11"/>
  <c r="E58" i="11"/>
  <c r="Q58" i="11" s="1"/>
  <c r="D58" i="11"/>
  <c r="H58" i="11" s="1"/>
  <c r="E50" i="11"/>
  <c r="D42" i="11"/>
  <c r="H42" i="11" s="1"/>
  <c r="E42" i="11"/>
  <c r="Q42" i="11" s="1"/>
  <c r="E34" i="11"/>
  <c r="D34" i="11"/>
  <c r="H34" i="11" s="1"/>
  <c r="D26" i="11"/>
  <c r="H26" i="11" s="1"/>
  <c r="E26" i="11"/>
  <c r="Q26" i="11" s="1"/>
  <c r="D18" i="11"/>
  <c r="E18" i="11"/>
  <c r="D10" i="11"/>
  <c r="E10" i="11"/>
  <c r="B145" i="11"/>
  <c r="B136" i="11"/>
  <c r="B126" i="11"/>
  <c r="B117" i="11"/>
  <c r="B105" i="11"/>
  <c r="B89" i="11"/>
  <c r="B73" i="11"/>
  <c r="B41" i="11"/>
  <c r="F41" i="11" s="1"/>
  <c r="B25" i="11"/>
  <c r="B9" i="11"/>
  <c r="C104" i="11"/>
  <c r="Q104" i="11" s="1"/>
  <c r="C66" i="11"/>
  <c r="C26" i="11"/>
  <c r="D157" i="11"/>
  <c r="H157" i="11" s="1"/>
  <c r="D115" i="11"/>
  <c r="H115" i="11" s="1"/>
  <c r="D73" i="11"/>
  <c r="H73" i="11" s="1"/>
  <c r="D27" i="11"/>
  <c r="E68" i="11"/>
  <c r="F99" i="11"/>
  <c r="C50" i="11"/>
  <c r="B50" i="11"/>
  <c r="C42" i="11"/>
  <c r="B42" i="11"/>
  <c r="C34" i="11"/>
  <c r="B34" i="11"/>
  <c r="C18" i="11"/>
  <c r="B18" i="11"/>
  <c r="C10" i="11"/>
  <c r="B10" i="11"/>
  <c r="E177" i="11"/>
  <c r="D177" i="11"/>
  <c r="H177" i="11" s="1"/>
  <c r="Q169" i="11"/>
  <c r="E161" i="11"/>
  <c r="D161" i="11"/>
  <c r="H161" i="11" s="1"/>
  <c r="E153" i="11"/>
  <c r="D153" i="11"/>
  <c r="H153" i="11" s="1"/>
  <c r="E145" i="11"/>
  <c r="D145" i="11"/>
  <c r="H145" i="11" s="1"/>
  <c r="E129" i="11"/>
  <c r="D129" i="11"/>
  <c r="H129" i="11" s="1"/>
  <c r="E121" i="11"/>
  <c r="D121" i="11"/>
  <c r="H121" i="11" s="1"/>
  <c r="E113" i="11"/>
  <c r="D113" i="11"/>
  <c r="H113" i="11" s="1"/>
  <c r="Q105" i="11"/>
  <c r="E97" i="11"/>
  <c r="D97" i="11"/>
  <c r="H97" i="11" s="1"/>
  <c r="E89" i="11"/>
  <c r="Q89" i="11" s="1"/>
  <c r="D89" i="11"/>
  <c r="H89" i="11" s="1"/>
  <c r="E81" i="11"/>
  <c r="D81" i="11"/>
  <c r="H81" i="11" s="1"/>
  <c r="Q73" i="11"/>
  <c r="E65" i="11"/>
  <c r="D65" i="11"/>
  <c r="H65" i="11" s="1"/>
  <c r="E57" i="11"/>
  <c r="D57" i="11"/>
  <c r="H57" i="11" s="1"/>
  <c r="E49" i="11"/>
  <c r="D49" i="11"/>
  <c r="H49" i="11" s="1"/>
  <c r="Q41" i="11"/>
  <c r="E33" i="11"/>
  <c r="Q33" i="11" s="1"/>
  <c r="D33" i="11"/>
  <c r="H33" i="11" s="1"/>
  <c r="E17" i="11"/>
  <c r="D17" i="11"/>
  <c r="H17" i="11" s="1"/>
  <c r="E9" i="11"/>
  <c r="D9" i="11"/>
  <c r="H9" i="11" s="1"/>
  <c r="B153" i="11"/>
  <c r="B134" i="11"/>
  <c r="B125" i="11"/>
  <c r="B116" i="11"/>
  <c r="B101" i="11"/>
  <c r="B85" i="11"/>
  <c r="B69" i="11"/>
  <c r="B53" i="11"/>
  <c r="B37" i="11"/>
  <c r="B21" i="11"/>
  <c r="B5" i="11"/>
  <c r="D156" i="11"/>
  <c r="H156" i="11" s="1"/>
  <c r="D114" i="11"/>
  <c r="H114" i="11" s="1"/>
  <c r="D72" i="11"/>
  <c r="D25" i="11"/>
  <c r="H25" i="11" s="1"/>
  <c r="E133" i="11"/>
  <c r="E67" i="11"/>
  <c r="Q67" i="11" s="1"/>
  <c r="F98" i="11"/>
  <c r="Q142" i="8"/>
  <c r="H77" i="8"/>
  <c r="Q69" i="8"/>
  <c r="G149" i="8"/>
  <c r="F149" i="8"/>
  <c r="G125" i="8"/>
  <c r="G117" i="8"/>
  <c r="G69" i="8"/>
  <c r="G61" i="8"/>
  <c r="G53" i="8"/>
  <c r="G21" i="8"/>
  <c r="H132" i="8"/>
  <c r="H100" i="8"/>
  <c r="G87" i="8"/>
  <c r="F87" i="8"/>
  <c r="F124" i="8"/>
  <c r="G124" i="8"/>
  <c r="H69" i="8"/>
  <c r="G11" i="8"/>
  <c r="G146" i="8"/>
  <c r="G114" i="8"/>
  <c r="Q160" i="8"/>
  <c r="H8" i="8"/>
  <c r="F8" i="8"/>
  <c r="G8" i="8"/>
  <c r="H23" i="8"/>
  <c r="B63" i="8"/>
  <c r="B55" i="8"/>
  <c r="B47" i="8"/>
  <c r="B39" i="8"/>
  <c r="B31" i="8"/>
  <c r="C23" i="8"/>
  <c r="B23" i="8"/>
  <c r="C15" i="8"/>
  <c r="B15" i="8"/>
  <c r="B7" i="8"/>
  <c r="E166" i="8"/>
  <c r="Q166" i="8" s="1"/>
  <c r="D166" i="8"/>
  <c r="H166" i="8" s="1"/>
  <c r="D158" i="8"/>
  <c r="H158" i="8" s="1"/>
  <c r="E150" i="8"/>
  <c r="D134" i="8"/>
  <c r="H134" i="8" s="1"/>
  <c r="E134" i="8"/>
  <c r="Q134" i="8" s="1"/>
  <c r="E126" i="8"/>
  <c r="Q126" i="8" s="1"/>
  <c r="D126" i="8"/>
  <c r="H126" i="8" s="1"/>
  <c r="E102" i="8"/>
  <c r="Q102" i="8" s="1"/>
  <c r="D102" i="8"/>
  <c r="H102" i="8" s="1"/>
  <c r="E94" i="8"/>
  <c r="D94" i="8"/>
  <c r="H94" i="8" s="1"/>
  <c r="E86" i="8"/>
  <c r="E78" i="8"/>
  <c r="D70" i="8"/>
  <c r="H70" i="8" s="1"/>
  <c r="D62" i="8"/>
  <c r="H62" i="8" s="1"/>
  <c r="E38" i="8"/>
  <c r="D38" i="8"/>
  <c r="D30" i="8"/>
  <c r="H30" i="8" s="1"/>
  <c r="E14" i="8"/>
  <c r="Q14" i="8" s="1"/>
  <c r="E6" i="8"/>
  <c r="D6" i="8"/>
  <c r="H6" i="8" s="1"/>
  <c r="B175" i="8"/>
  <c r="B167" i="8"/>
  <c r="B159" i="8"/>
  <c r="B143" i="8"/>
  <c r="B135" i="8"/>
  <c r="B127" i="8"/>
  <c r="B111" i="8"/>
  <c r="B103" i="8"/>
  <c r="B95" i="8"/>
  <c r="B79" i="8"/>
  <c r="B71" i="8"/>
  <c r="B62" i="8"/>
  <c r="B53" i="8"/>
  <c r="B32" i="8"/>
  <c r="B21" i="8"/>
  <c r="F21" i="8" s="1"/>
  <c r="C164" i="8"/>
  <c r="C153" i="8"/>
  <c r="C132" i="8"/>
  <c r="C121" i="8"/>
  <c r="C100" i="8"/>
  <c r="C89" i="8"/>
  <c r="C77" i="8"/>
  <c r="C64" i="8"/>
  <c r="C52" i="8"/>
  <c r="C38" i="8"/>
  <c r="C22" i="8"/>
  <c r="D165" i="8"/>
  <c r="H165" i="8" s="1"/>
  <c r="D147" i="8"/>
  <c r="D110" i="8"/>
  <c r="H110" i="8" s="1"/>
  <c r="D92" i="8"/>
  <c r="H92" i="8" s="1"/>
  <c r="D74" i="8"/>
  <c r="D37" i="8"/>
  <c r="H37" i="8" s="1"/>
  <c r="D19" i="8"/>
  <c r="E174" i="8"/>
  <c r="Q174" i="8" s="1"/>
  <c r="E132" i="8"/>
  <c r="Q132" i="8" s="1"/>
  <c r="E107" i="8"/>
  <c r="E82" i="8"/>
  <c r="E22" i="8"/>
  <c r="F37" i="8"/>
  <c r="Q156" i="8"/>
  <c r="E140" i="8"/>
  <c r="D140" i="8"/>
  <c r="H140" i="8" s="1"/>
  <c r="D108" i="8"/>
  <c r="H108" i="8" s="1"/>
  <c r="E108" i="8"/>
  <c r="Q108" i="8" s="1"/>
  <c r="E84" i="8"/>
  <c r="D84" i="8"/>
  <c r="H84" i="8" s="1"/>
  <c r="E76" i="8"/>
  <c r="D76" i="8"/>
  <c r="E52" i="8"/>
  <c r="D52" i="8"/>
  <c r="D44" i="8"/>
  <c r="E44" i="8"/>
  <c r="E20" i="8"/>
  <c r="Q20" i="8" s="1"/>
  <c r="D20" i="8"/>
  <c r="H20" i="8" s="1"/>
  <c r="E12" i="8"/>
  <c r="D12" i="8"/>
  <c r="B165" i="8"/>
  <c r="B149" i="8"/>
  <c r="B133" i="8"/>
  <c r="B117" i="8"/>
  <c r="F117" i="8" s="1"/>
  <c r="B101" i="8"/>
  <c r="B85" i="8"/>
  <c r="B69" i="8"/>
  <c r="F69" i="8" s="1"/>
  <c r="B29" i="8"/>
  <c r="H87" i="8"/>
  <c r="H51" i="8"/>
  <c r="Q149" i="8"/>
  <c r="E100" i="8"/>
  <c r="Q100" i="8" s="1"/>
  <c r="Q11" i="8"/>
  <c r="G174" i="8"/>
  <c r="G158" i="8"/>
  <c r="G142" i="8"/>
  <c r="G134" i="8"/>
  <c r="G126" i="8"/>
  <c r="G118" i="8"/>
  <c r="G110" i="8"/>
  <c r="G102" i="8"/>
  <c r="G94" i="8"/>
  <c r="G78" i="8"/>
  <c r="F62" i="8"/>
  <c r="G62" i="8"/>
  <c r="G46" i="8"/>
  <c r="G14" i="8"/>
  <c r="E157" i="8"/>
  <c r="D157" i="8"/>
  <c r="H157" i="8" s="1"/>
  <c r="H149" i="8"/>
  <c r="H125" i="8"/>
  <c r="H117" i="8"/>
  <c r="E93" i="8"/>
  <c r="Q93" i="8" s="1"/>
  <c r="D93" i="8"/>
  <c r="H93" i="8" s="1"/>
  <c r="E85" i="8"/>
  <c r="D85" i="8"/>
  <c r="H85" i="8" s="1"/>
  <c r="E61" i="8"/>
  <c r="Q61" i="8" s="1"/>
  <c r="D61" i="8"/>
  <c r="H61" i="8" s="1"/>
  <c r="E53" i="8"/>
  <c r="D53" i="8"/>
  <c r="H53" i="8" s="1"/>
  <c r="Q45" i="8"/>
  <c r="Q37" i="8"/>
  <c r="D29" i="8"/>
  <c r="H29" i="8" s="1"/>
  <c r="E29" i="8"/>
  <c r="Q29" i="8" s="1"/>
  <c r="H21" i="8"/>
  <c r="B174" i="8"/>
  <c r="F174" i="8" s="1"/>
  <c r="B166" i="8"/>
  <c r="F166" i="8" s="1"/>
  <c r="B158" i="8"/>
  <c r="F158" i="8" s="1"/>
  <c r="B150" i="8"/>
  <c r="B142" i="8"/>
  <c r="B134" i="8"/>
  <c r="F134" i="8" s="1"/>
  <c r="B126" i="8"/>
  <c r="B118" i="8"/>
  <c r="F118" i="8" s="1"/>
  <c r="B110" i="8"/>
  <c r="F110" i="8" s="1"/>
  <c r="B102" i="8"/>
  <c r="F102" i="8" s="1"/>
  <c r="B94" i="8"/>
  <c r="F94" i="8" s="1"/>
  <c r="B86" i="8"/>
  <c r="B78" i="8"/>
  <c r="B70" i="8"/>
  <c r="B61" i="8"/>
  <c r="B30" i="8"/>
  <c r="C173" i="8"/>
  <c r="H173" i="8" s="1"/>
  <c r="C162" i="8"/>
  <c r="C152" i="8"/>
  <c r="C141" i="8"/>
  <c r="C130" i="8"/>
  <c r="C120" i="8"/>
  <c r="C109" i="8"/>
  <c r="Q109" i="8" s="1"/>
  <c r="C98" i="8"/>
  <c r="C88" i="8"/>
  <c r="C76" i="8"/>
  <c r="C63" i="8"/>
  <c r="C49" i="8"/>
  <c r="C36" i="8"/>
  <c r="C7" i="8"/>
  <c r="D164" i="8"/>
  <c r="D127" i="8"/>
  <c r="H127" i="8" s="1"/>
  <c r="D109" i="8"/>
  <c r="H109" i="8" s="1"/>
  <c r="D91" i="8"/>
  <c r="D54" i="8"/>
  <c r="H54" i="8" s="1"/>
  <c r="D36" i="8"/>
  <c r="E173" i="8"/>
  <c r="Q173" i="8" s="1"/>
  <c r="E21" i="8"/>
  <c r="Q21" i="8" s="1"/>
  <c r="G166" i="8"/>
  <c r="B28" i="8"/>
  <c r="C28" i="8"/>
  <c r="E171" i="8"/>
  <c r="Q171" i="8" s="1"/>
  <c r="D171" i="8"/>
  <c r="H171" i="8" s="1"/>
  <c r="E139" i="8"/>
  <c r="D139" i="8"/>
  <c r="E131" i="8"/>
  <c r="D131" i="8"/>
  <c r="Q115" i="8"/>
  <c r="E75" i="8"/>
  <c r="D75" i="8"/>
  <c r="E67" i="8"/>
  <c r="D67" i="8"/>
  <c r="H67" i="8" s="1"/>
  <c r="Q51" i="8"/>
  <c r="E43" i="8"/>
  <c r="D43" i="8"/>
  <c r="E35" i="8"/>
  <c r="Q35" i="8" s="1"/>
  <c r="D35" i="8"/>
  <c r="H35" i="8" s="1"/>
  <c r="H11" i="8"/>
  <c r="H3" i="8"/>
  <c r="B156" i="8"/>
  <c r="B148" i="8"/>
  <c r="B124" i="8"/>
  <c r="B116" i="8"/>
  <c r="B92" i="8"/>
  <c r="B84" i="8"/>
  <c r="F84" i="8" s="1"/>
  <c r="B68" i="8"/>
  <c r="B27" i="8"/>
  <c r="B17" i="8"/>
  <c r="B6" i="8"/>
  <c r="C170" i="8"/>
  <c r="Q170" i="8" s="1"/>
  <c r="C160" i="8"/>
  <c r="H160" i="8" s="1"/>
  <c r="C138" i="8"/>
  <c r="C128" i="8"/>
  <c r="H128" i="8" s="1"/>
  <c r="C106" i="8"/>
  <c r="C96" i="8"/>
  <c r="C72" i="8"/>
  <c r="C47" i="8"/>
  <c r="C31" i="8"/>
  <c r="H31" i="8" s="1"/>
  <c r="C3" i="8"/>
  <c r="D159" i="8"/>
  <c r="H159" i="8" s="1"/>
  <c r="D141" i="8"/>
  <c r="H141" i="8" s="1"/>
  <c r="D123" i="8"/>
  <c r="H123" i="8" s="1"/>
  <c r="D86" i="8"/>
  <c r="H86" i="8" s="1"/>
  <c r="D68" i="8"/>
  <c r="H68" i="8" s="1"/>
  <c r="D13" i="8"/>
  <c r="E124" i="8"/>
  <c r="Q124" i="8" s="1"/>
  <c r="E99" i="8"/>
  <c r="E46" i="8"/>
  <c r="Q46" i="8" s="1"/>
  <c r="E10" i="8"/>
  <c r="F142" i="8"/>
  <c r="G150" i="8"/>
  <c r="E172" i="8"/>
  <c r="Q172" i="8" s="1"/>
  <c r="D172" i="8"/>
  <c r="H172" i="8" s="1"/>
  <c r="E148" i="8"/>
  <c r="Q148" i="8" s="1"/>
  <c r="D148" i="8"/>
  <c r="H148" i="8" s="1"/>
  <c r="D116" i="8"/>
  <c r="H116" i="8" s="1"/>
  <c r="E116" i="8"/>
  <c r="Q116" i="8" s="1"/>
  <c r="Q68" i="8"/>
  <c r="B157" i="8"/>
  <c r="B125" i="8"/>
  <c r="F125" i="8" s="1"/>
  <c r="B93" i="8"/>
  <c r="G172" i="8"/>
  <c r="F172" i="8"/>
  <c r="F140" i="8"/>
  <c r="F108" i="8"/>
  <c r="G108" i="8"/>
  <c r="Q125" i="8"/>
  <c r="Q77" i="8"/>
  <c r="C171" i="8"/>
  <c r="C163" i="8"/>
  <c r="H163" i="8" s="1"/>
  <c r="C155" i="8"/>
  <c r="Q155" i="8" s="1"/>
  <c r="C147" i="8"/>
  <c r="C139" i="8"/>
  <c r="C131" i="8"/>
  <c r="C123" i="8"/>
  <c r="C115" i="8"/>
  <c r="C107" i="8"/>
  <c r="H107" i="8" s="1"/>
  <c r="C99" i="8"/>
  <c r="C91" i="8"/>
  <c r="Q91" i="8" s="1"/>
  <c r="C83" i="8"/>
  <c r="C75" i="8"/>
  <c r="C67" i="8"/>
  <c r="C59" i="8"/>
  <c r="Q59" i="8" s="1"/>
  <c r="C51" i="8"/>
  <c r="C43" i="8"/>
  <c r="C19" i="8"/>
  <c r="D162" i="8"/>
  <c r="H162" i="8" s="1"/>
  <c r="E162" i="8"/>
  <c r="D154" i="8"/>
  <c r="H154" i="8" s="1"/>
  <c r="E146" i="8"/>
  <c r="Q146" i="8" s="1"/>
  <c r="E138" i="8"/>
  <c r="E130" i="8"/>
  <c r="D130" i="8"/>
  <c r="H130" i="8" s="1"/>
  <c r="E122" i="8"/>
  <c r="Q122" i="8" s="1"/>
  <c r="D122" i="8"/>
  <c r="H122" i="8" s="1"/>
  <c r="D98" i="8"/>
  <c r="H98" i="8" s="1"/>
  <c r="E98" i="8"/>
  <c r="Q98" i="8" s="1"/>
  <c r="E90" i="8"/>
  <c r="Q90" i="8" s="1"/>
  <c r="D90" i="8"/>
  <c r="H90" i="8" s="1"/>
  <c r="E66" i="8"/>
  <c r="D66" i="8"/>
  <c r="H66" i="8" s="1"/>
  <c r="E58" i="8"/>
  <c r="Q58" i="8" s="1"/>
  <c r="D58" i="8"/>
  <c r="H58" i="8" s="1"/>
  <c r="D34" i="8"/>
  <c r="E26" i="8"/>
  <c r="D26" i="8"/>
  <c r="E18" i="8"/>
  <c r="B171" i="8"/>
  <c r="B163" i="8"/>
  <c r="B155" i="8"/>
  <c r="B147" i="8"/>
  <c r="B139" i="8"/>
  <c r="B131" i="8"/>
  <c r="B123" i="8"/>
  <c r="B115" i="8"/>
  <c r="B107" i="8"/>
  <c r="B99" i="8"/>
  <c r="B91" i="8"/>
  <c r="B83" i="8"/>
  <c r="B75" i="8"/>
  <c r="B67" i="8"/>
  <c r="B37" i="8"/>
  <c r="B16" i="8"/>
  <c r="B5" i="8"/>
  <c r="C169" i="8"/>
  <c r="Q169" i="8" s="1"/>
  <c r="C137" i="8"/>
  <c r="C105" i="8"/>
  <c r="C57" i="8"/>
  <c r="C45" i="8"/>
  <c r="D156" i="8"/>
  <c r="H156" i="8" s="1"/>
  <c r="D138" i="8"/>
  <c r="H138" i="8" s="1"/>
  <c r="D119" i="8"/>
  <c r="H119" i="8" s="1"/>
  <c r="D101" i="8"/>
  <c r="H101" i="8" s="1"/>
  <c r="D83" i="8"/>
  <c r="H83" i="8" s="1"/>
  <c r="D64" i="8"/>
  <c r="H64" i="8" s="1"/>
  <c r="D28" i="8"/>
  <c r="H28" i="8" s="1"/>
  <c r="E118" i="8"/>
  <c r="Q118" i="8" s="1"/>
  <c r="E96" i="8"/>
  <c r="E70" i="8"/>
  <c r="E42" i="8"/>
  <c r="E3" i="8"/>
  <c r="Q3" i="8" s="1"/>
  <c r="C82" i="8"/>
  <c r="C74" i="8"/>
  <c r="C66" i="8"/>
  <c r="C58" i="8"/>
  <c r="C50" i="8"/>
  <c r="Q50" i="8" s="1"/>
  <c r="C42" i="8"/>
  <c r="H42" i="8" s="1"/>
  <c r="C34" i="8"/>
  <c r="C26" i="8"/>
  <c r="C18" i="8"/>
  <c r="C10" i="8"/>
  <c r="D177" i="8"/>
  <c r="H177" i="8" s="1"/>
  <c r="E177" i="8"/>
  <c r="Q177" i="8" s="1"/>
  <c r="D169" i="8"/>
  <c r="D161" i="8"/>
  <c r="H161" i="8" s="1"/>
  <c r="E161" i="8"/>
  <c r="D153" i="8"/>
  <c r="H153" i="8" s="1"/>
  <c r="D145" i="8"/>
  <c r="H145" i="8" s="1"/>
  <c r="E145" i="8"/>
  <c r="D137" i="8"/>
  <c r="D129" i="8"/>
  <c r="H129" i="8" s="1"/>
  <c r="E121" i="8"/>
  <c r="Q121" i="8" s="1"/>
  <c r="D121" i="8"/>
  <c r="H121" i="8" s="1"/>
  <c r="D113" i="8"/>
  <c r="H113" i="8" s="1"/>
  <c r="E113" i="8"/>
  <c r="Q113" i="8" s="1"/>
  <c r="D105" i="8"/>
  <c r="H105" i="8" s="1"/>
  <c r="E105" i="8"/>
  <c r="Q105" i="8" s="1"/>
  <c r="D97" i="8"/>
  <c r="H97" i="8" s="1"/>
  <c r="E97" i="8"/>
  <c r="Q97" i="8" s="1"/>
  <c r="D89" i="8"/>
  <c r="H89" i="8" s="1"/>
  <c r="D81" i="8"/>
  <c r="D73" i="8"/>
  <c r="H73" i="8" s="1"/>
  <c r="E73" i="8"/>
  <c r="Q73" i="8" s="1"/>
  <c r="D65" i="8"/>
  <c r="H65" i="8" s="1"/>
  <c r="E65" i="8"/>
  <c r="Q65" i="8" s="1"/>
  <c r="E57" i="8"/>
  <c r="D57" i="8"/>
  <c r="H57" i="8" s="1"/>
  <c r="D49" i="8"/>
  <c r="H49" i="8" s="1"/>
  <c r="E49" i="8"/>
  <c r="Q49" i="8" s="1"/>
  <c r="D41" i="8"/>
  <c r="D33" i="8"/>
  <c r="H33" i="8" s="1"/>
  <c r="E33" i="8"/>
  <c r="Q33" i="8" s="1"/>
  <c r="D25" i="8"/>
  <c r="H25" i="8" s="1"/>
  <c r="E25" i="8"/>
  <c r="D17" i="8"/>
  <c r="H17" i="8" s="1"/>
  <c r="E17" i="8"/>
  <c r="D9" i="8"/>
  <c r="E9" i="8"/>
  <c r="B154" i="8"/>
  <c r="B146" i="8"/>
  <c r="F146" i="8" s="1"/>
  <c r="B122" i="8"/>
  <c r="B114" i="8"/>
  <c r="F114" i="8" s="1"/>
  <c r="B90" i="8"/>
  <c r="B82" i="8"/>
  <c r="B74" i="8"/>
  <c r="B66" i="8"/>
  <c r="B46" i="8"/>
  <c r="F46" i="8" s="1"/>
  <c r="B25" i="8"/>
  <c r="B14" i="8"/>
  <c r="F14" i="8" s="1"/>
  <c r="C168" i="8"/>
  <c r="C136" i="8"/>
  <c r="C104" i="8"/>
  <c r="C81" i="8"/>
  <c r="Q81" i="8" s="1"/>
  <c r="C56" i="8"/>
  <c r="Q56" i="8" s="1"/>
  <c r="C44" i="8"/>
  <c r="C13" i="8"/>
  <c r="D155" i="8"/>
  <c r="H155" i="8" s="1"/>
  <c r="D136" i="8"/>
  <c r="D63" i="8"/>
  <c r="D45" i="8"/>
  <c r="H45" i="8" s="1"/>
  <c r="D27" i="8"/>
  <c r="H27" i="8" s="1"/>
  <c r="E163" i="8"/>
  <c r="E117" i="8"/>
  <c r="Q117" i="8" s="1"/>
  <c r="E41" i="8"/>
  <c r="Q41" i="8" s="1"/>
  <c r="F126" i="8"/>
  <c r="G140" i="8"/>
  <c r="C41" i="8"/>
  <c r="C33" i="8"/>
  <c r="C9" i="8"/>
  <c r="E176" i="8"/>
  <c r="D176" i="8"/>
  <c r="H176" i="8" s="1"/>
  <c r="E168" i="8"/>
  <c r="Q168" i="8" s="1"/>
  <c r="D152" i="8"/>
  <c r="H152" i="8" s="1"/>
  <c r="E152" i="8"/>
  <c r="D144" i="8"/>
  <c r="H144" i="8" s="1"/>
  <c r="E128" i="8"/>
  <c r="Q128" i="8" s="1"/>
  <c r="E120" i="8"/>
  <c r="Q120" i="8" s="1"/>
  <c r="D120" i="8"/>
  <c r="H120" i="8" s="1"/>
  <c r="E112" i="8"/>
  <c r="D112" i="8"/>
  <c r="H112" i="8" s="1"/>
  <c r="E104" i="8"/>
  <c r="Q104" i="8" s="1"/>
  <c r="D88" i="8"/>
  <c r="H88" i="8" s="1"/>
  <c r="E80" i="8"/>
  <c r="Q80" i="8" s="1"/>
  <c r="D80" i="8"/>
  <c r="H80" i="8" s="1"/>
  <c r="E72" i="8"/>
  <c r="Q72" i="8" s="1"/>
  <c r="D56" i="8"/>
  <c r="H56" i="8" s="1"/>
  <c r="E48" i="8"/>
  <c r="D48" i="8"/>
  <c r="H48" i="8" s="1"/>
  <c r="E40" i="8"/>
  <c r="Q40" i="8" s="1"/>
  <c r="E32" i="8"/>
  <c r="Q32" i="8" s="1"/>
  <c r="E24" i="8"/>
  <c r="Q24" i="8" s="1"/>
  <c r="D24" i="8"/>
  <c r="H24" i="8" s="1"/>
  <c r="E16" i="8"/>
  <c r="Q16" i="8" s="1"/>
  <c r="D16" i="8"/>
  <c r="H16" i="8" s="1"/>
  <c r="E8" i="8"/>
  <c r="Q8" i="8" s="1"/>
  <c r="B177" i="8"/>
  <c r="B145" i="8"/>
  <c r="B113" i="8"/>
  <c r="B65" i="8"/>
  <c r="B34" i="8"/>
  <c r="B24" i="8"/>
  <c r="C80" i="8"/>
  <c r="C55" i="8"/>
  <c r="C12" i="8"/>
  <c r="D151" i="8"/>
  <c r="H151" i="8" s="1"/>
  <c r="D133" i="8"/>
  <c r="H133" i="8" s="1"/>
  <c r="D115" i="8"/>
  <c r="H115" i="8" s="1"/>
  <c r="D78" i="8"/>
  <c r="H78" i="8" s="1"/>
  <c r="D60" i="8"/>
  <c r="H60" i="8" s="1"/>
  <c r="D5" i="8"/>
  <c r="H5" i="8" s="1"/>
  <c r="E137" i="8"/>
  <c r="E114" i="8"/>
  <c r="Q114" i="8" s="1"/>
  <c r="E89" i="8"/>
  <c r="Q89" i="8" s="1"/>
  <c r="E34" i="8"/>
  <c r="Q34" i="8" s="1"/>
  <c r="G20" i="8"/>
  <c r="F129" i="8"/>
  <c r="G129" i="8"/>
  <c r="F32" i="8"/>
  <c r="G32" i="8"/>
  <c r="F24" i="8"/>
  <c r="G24" i="8"/>
  <c r="E175" i="8"/>
  <c r="Q175" i="8" s="1"/>
  <c r="D175" i="8"/>
  <c r="H175" i="8" s="1"/>
  <c r="E167" i="8"/>
  <c r="Q167" i="8" s="1"/>
  <c r="D167" i="8"/>
  <c r="H167" i="8" s="1"/>
  <c r="Q159" i="8"/>
  <c r="E143" i="8"/>
  <c r="D143" i="8"/>
  <c r="H143" i="8" s="1"/>
  <c r="E135" i="8"/>
  <c r="Q135" i="8" s="1"/>
  <c r="D135" i="8"/>
  <c r="H135" i="8" s="1"/>
  <c r="Q127" i="8"/>
  <c r="Q119" i="8"/>
  <c r="E111" i="8"/>
  <c r="D111" i="8"/>
  <c r="H111" i="8" s="1"/>
  <c r="E103" i="8"/>
  <c r="D103" i="8"/>
  <c r="H103" i="8" s="1"/>
  <c r="Q95" i="8"/>
  <c r="Q87" i="8"/>
  <c r="E79" i="8"/>
  <c r="Q79" i="8" s="1"/>
  <c r="D79" i="8"/>
  <c r="H79" i="8" s="1"/>
  <c r="E71" i="8"/>
  <c r="D71" i="8"/>
  <c r="H71" i="8" s="1"/>
  <c r="Q63" i="8"/>
  <c r="E55" i="8"/>
  <c r="Q55" i="8" s="1"/>
  <c r="E47" i="8"/>
  <c r="Q47" i="8" s="1"/>
  <c r="D47" i="8"/>
  <c r="H47" i="8" s="1"/>
  <c r="E39" i="8"/>
  <c r="D39" i="8"/>
  <c r="E31" i="8"/>
  <c r="Q31" i="8" s="1"/>
  <c r="E23" i="8"/>
  <c r="Q23" i="8" s="1"/>
  <c r="E15" i="8"/>
  <c r="D15" i="8"/>
  <c r="H15" i="8" s="1"/>
  <c r="E7" i="8"/>
  <c r="Q7" i="8" s="1"/>
  <c r="D7" i="8"/>
  <c r="H7" i="8" s="1"/>
  <c r="B176" i="8"/>
  <c r="B144" i="8"/>
  <c r="B112" i="8"/>
  <c r="B54" i="8"/>
  <c r="B43" i="8"/>
  <c r="B33" i="8"/>
  <c r="B11" i="8"/>
  <c r="F11" i="8" s="1"/>
  <c r="C39" i="8"/>
  <c r="D168" i="8"/>
  <c r="H168" i="8" s="1"/>
  <c r="D150" i="8"/>
  <c r="H150" i="8" s="1"/>
  <c r="D95" i="8"/>
  <c r="H95" i="8" s="1"/>
  <c r="D59" i="8"/>
  <c r="H59" i="8" s="1"/>
  <c r="D40" i="8"/>
  <c r="H40" i="8" s="1"/>
  <c r="D4" i="8"/>
  <c r="H4" i="8" s="1"/>
  <c r="E158" i="8"/>
  <c r="Q158" i="8" s="1"/>
  <c r="E88" i="8"/>
  <c r="Q88" i="8" s="1"/>
  <c r="E62" i="8"/>
  <c r="Q62" i="8" s="1"/>
  <c r="E30" i="8"/>
  <c r="Q30" i="8" s="1"/>
  <c r="F5" i="8"/>
  <c r="G6" i="8"/>
  <c r="C146" i="5"/>
  <c r="B146" i="5"/>
  <c r="B154" i="5"/>
  <c r="C154" i="5"/>
  <c r="C106" i="5"/>
  <c r="B106" i="5"/>
  <c r="C66" i="5"/>
  <c r="B66" i="5"/>
  <c r="D177" i="5"/>
  <c r="H177" i="5" s="1"/>
  <c r="E177" i="5"/>
  <c r="Q177" i="5" s="1"/>
  <c r="C130" i="5"/>
  <c r="B130" i="5"/>
  <c r="C98" i="5"/>
  <c r="B98" i="5"/>
  <c r="C74" i="5"/>
  <c r="B74" i="5"/>
  <c r="C42" i="5"/>
  <c r="B42" i="5"/>
  <c r="C26" i="5"/>
  <c r="B26" i="5"/>
  <c r="D161" i="5"/>
  <c r="H161" i="5" s="1"/>
  <c r="E161" i="5"/>
  <c r="Q161" i="5" s="1"/>
  <c r="G144" i="5"/>
  <c r="B83" i="5"/>
  <c r="C123" i="5"/>
  <c r="C138" i="5"/>
  <c r="B138" i="5"/>
  <c r="C114" i="5"/>
  <c r="B114" i="5"/>
  <c r="C82" i="5"/>
  <c r="B82" i="5"/>
  <c r="C58" i="5"/>
  <c r="B58" i="5"/>
  <c r="C34" i="5"/>
  <c r="B34" i="5"/>
  <c r="C18" i="5"/>
  <c r="B18" i="5"/>
  <c r="E169" i="5"/>
  <c r="D169" i="5"/>
  <c r="C162" i="5"/>
  <c r="C171" i="5"/>
  <c r="B171" i="5"/>
  <c r="C155" i="5"/>
  <c r="B155" i="5"/>
  <c r="C139" i="5"/>
  <c r="B139" i="5"/>
  <c r="C107" i="5"/>
  <c r="H107" i="5" s="1"/>
  <c r="B107" i="5"/>
  <c r="C91" i="5"/>
  <c r="B91" i="5"/>
  <c r="C75" i="5"/>
  <c r="B75" i="5"/>
  <c r="B59" i="5"/>
  <c r="C59" i="5"/>
  <c r="F51" i="5"/>
  <c r="G51" i="5"/>
  <c r="C43" i="5"/>
  <c r="Q43" i="5" s="1"/>
  <c r="B43" i="5"/>
  <c r="F35" i="5"/>
  <c r="G35" i="5"/>
  <c r="B27" i="5"/>
  <c r="C27" i="5"/>
  <c r="G19" i="5"/>
  <c r="C11" i="5"/>
  <c r="B11" i="5"/>
  <c r="E170" i="5"/>
  <c r="D170" i="5"/>
  <c r="E162" i="5"/>
  <c r="D162" i="5"/>
  <c r="H162" i="5" s="1"/>
  <c r="D154" i="5"/>
  <c r="H154" i="5" s="1"/>
  <c r="E154" i="5"/>
  <c r="E146" i="5"/>
  <c r="Q146" i="5" s="1"/>
  <c r="D146" i="5"/>
  <c r="H146" i="5" s="1"/>
  <c r="E138" i="5"/>
  <c r="Q138" i="5" s="1"/>
  <c r="D138" i="5"/>
  <c r="H138" i="5" s="1"/>
  <c r="D130" i="5"/>
  <c r="E130" i="5"/>
  <c r="Q130" i="5" s="1"/>
  <c r="D122" i="5"/>
  <c r="H122" i="5" s="1"/>
  <c r="E122" i="5"/>
  <c r="E114" i="5"/>
  <c r="D114" i="5"/>
  <c r="E106" i="5"/>
  <c r="D106" i="5"/>
  <c r="D98" i="5"/>
  <c r="E98" i="5"/>
  <c r="Q98" i="5" s="1"/>
  <c r="D90" i="5"/>
  <c r="E90" i="5"/>
  <c r="E82" i="5"/>
  <c r="Q82" i="5" s="1"/>
  <c r="D82" i="5"/>
  <c r="E74" i="5"/>
  <c r="D74" i="5"/>
  <c r="E66" i="5"/>
  <c r="D66" i="5"/>
  <c r="H66" i="5" s="1"/>
  <c r="D58" i="5"/>
  <c r="H58" i="5" s="1"/>
  <c r="E58" i="5"/>
  <c r="E50" i="5"/>
  <c r="D50" i="5"/>
  <c r="E42" i="5"/>
  <c r="Q42" i="5" s="1"/>
  <c r="D42" i="5"/>
  <c r="H42" i="5" s="1"/>
  <c r="E34" i="5"/>
  <c r="D34" i="5"/>
  <c r="H34" i="5" s="1"/>
  <c r="D26" i="5"/>
  <c r="H26" i="5" s="1"/>
  <c r="E26" i="5"/>
  <c r="E18" i="5"/>
  <c r="D18" i="5"/>
  <c r="E10" i="5"/>
  <c r="D10" i="5"/>
  <c r="G177" i="5"/>
  <c r="F177" i="5"/>
  <c r="G161" i="5"/>
  <c r="F161" i="5"/>
  <c r="B67" i="5"/>
  <c r="G92" i="5"/>
  <c r="B170" i="5"/>
  <c r="C170" i="5"/>
  <c r="C122" i="5"/>
  <c r="B122" i="5"/>
  <c r="C90" i="5"/>
  <c r="B90" i="5"/>
  <c r="C50" i="5"/>
  <c r="B50" i="5"/>
  <c r="C10" i="5"/>
  <c r="B10" i="5"/>
  <c r="Q135" i="5"/>
  <c r="G167" i="5"/>
  <c r="F167" i="5"/>
  <c r="G135" i="5"/>
  <c r="G111" i="5"/>
  <c r="G71" i="5"/>
  <c r="G7" i="5"/>
  <c r="H94" i="5"/>
  <c r="Q81" i="5"/>
  <c r="G124" i="5"/>
  <c r="H171" i="5"/>
  <c r="D129" i="5"/>
  <c r="H129" i="5" s="1"/>
  <c r="E129" i="5"/>
  <c r="Q129" i="5" s="1"/>
  <c r="H97" i="5"/>
  <c r="E89" i="5"/>
  <c r="D89" i="5"/>
  <c r="D73" i="5"/>
  <c r="E73" i="5"/>
  <c r="H41" i="5"/>
  <c r="Q9" i="5"/>
  <c r="E25" i="5"/>
  <c r="Q25" i="5" s="1"/>
  <c r="C129" i="5"/>
  <c r="C105" i="5"/>
  <c r="C97" i="5"/>
  <c r="C81" i="5"/>
  <c r="C65" i="5"/>
  <c r="C49" i="5"/>
  <c r="C33" i="5"/>
  <c r="C17" i="5"/>
  <c r="D168" i="5"/>
  <c r="D152" i="5"/>
  <c r="H152" i="5" s="1"/>
  <c r="E152" i="5"/>
  <c r="D144" i="5"/>
  <c r="H144" i="5" s="1"/>
  <c r="E144" i="5"/>
  <c r="Q144" i="5" s="1"/>
  <c r="E120" i="5"/>
  <c r="D112" i="5"/>
  <c r="H112" i="5" s="1"/>
  <c r="E112" i="5"/>
  <c r="Q112" i="5" s="1"/>
  <c r="E104" i="5"/>
  <c r="D104" i="5"/>
  <c r="H104" i="5" s="1"/>
  <c r="D80" i="5"/>
  <c r="E72" i="5"/>
  <c r="D72" i="5"/>
  <c r="E40" i="5"/>
  <c r="D16" i="5"/>
  <c r="H16" i="5" s="1"/>
  <c r="E16" i="5"/>
  <c r="Q16" i="5" s="1"/>
  <c r="D126" i="5"/>
  <c r="D110" i="5"/>
  <c r="D62" i="5"/>
  <c r="E38" i="5"/>
  <c r="D14" i="5"/>
  <c r="C173" i="5"/>
  <c r="C157" i="5"/>
  <c r="B81" i="5"/>
  <c r="B49" i="5"/>
  <c r="B17" i="5"/>
  <c r="E121" i="5"/>
  <c r="E24" i="5"/>
  <c r="C128" i="5"/>
  <c r="C104" i="5"/>
  <c r="C88" i="5"/>
  <c r="C64" i="5"/>
  <c r="H64" i="5" s="1"/>
  <c r="C32" i="5"/>
  <c r="C8" i="5"/>
  <c r="D167" i="5"/>
  <c r="H167" i="5" s="1"/>
  <c r="D135" i="5"/>
  <c r="H135" i="5" s="1"/>
  <c r="D119" i="5"/>
  <c r="E119" i="5"/>
  <c r="D103" i="5"/>
  <c r="H103" i="5" s="1"/>
  <c r="E103" i="5"/>
  <c r="Q103" i="5" s="1"/>
  <c r="D79" i="5"/>
  <c r="H79" i="5" s="1"/>
  <c r="D39" i="5"/>
  <c r="H39" i="5" s="1"/>
  <c r="D31" i="5"/>
  <c r="H31" i="5" s="1"/>
  <c r="E31" i="5"/>
  <c r="D7" i="5"/>
  <c r="H7" i="5" s="1"/>
  <c r="D157" i="5"/>
  <c r="C132" i="5"/>
  <c r="C100" i="5"/>
  <c r="C4" i="5"/>
  <c r="D147" i="5"/>
  <c r="H147" i="5" s="1"/>
  <c r="D75" i="5"/>
  <c r="D19" i="5"/>
  <c r="H19" i="5" s="1"/>
  <c r="B128" i="5"/>
  <c r="B64" i="5"/>
  <c r="B32" i="5"/>
  <c r="C80" i="5"/>
  <c r="Q80" i="5" s="1"/>
  <c r="D65" i="5"/>
  <c r="H65" i="5" s="1"/>
  <c r="E167" i="5"/>
  <c r="Q167" i="5" s="1"/>
  <c r="B175" i="5"/>
  <c r="B167" i="5"/>
  <c r="B159" i="5"/>
  <c r="B151" i="5"/>
  <c r="B143" i="5"/>
  <c r="B135" i="5"/>
  <c r="F135" i="5" s="1"/>
  <c r="C127" i="5"/>
  <c r="C119" i="5"/>
  <c r="B111" i="5"/>
  <c r="B103" i="5"/>
  <c r="C95" i="5"/>
  <c r="C87" i="5"/>
  <c r="B79" i="5"/>
  <c r="B71" i="5"/>
  <c r="C63" i="5"/>
  <c r="C55" i="5"/>
  <c r="B47" i="5"/>
  <c r="B39" i="5"/>
  <c r="C31" i="5"/>
  <c r="C23" i="5"/>
  <c r="B15" i="5"/>
  <c r="B7" i="5"/>
  <c r="F7" i="5" s="1"/>
  <c r="E142" i="5"/>
  <c r="E110" i="5"/>
  <c r="E46" i="5"/>
  <c r="E14" i="5"/>
  <c r="C48" i="5"/>
  <c r="E113" i="5"/>
  <c r="E7" i="5"/>
  <c r="Q7" i="5" s="1"/>
  <c r="E145" i="5"/>
  <c r="Q145" i="5" s="1"/>
  <c r="D145" i="5"/>
  <c r="H145" i="5" s="1"/>
  <c r="E105" i="5"/>
  <c r="D105" i="5"/>
  <c r="H81" i="5"/>
  <c r="D49" i="5"/>
  <c r="H49" i="5" s="1"/>
  <c r="E49" i="5"/>
  <c r="Q49" i="5" s="1"/>
  <c r="E33" i="5"/>
  <c r="D33" i="5"/>
  <c r="H25" i="5"/>
  <c r="E17" i="5"/>
  <c r="D17" i="5"/>
  <c r="C137" i="5"/>
  <c r="C121" i="5"/>
  <c r="H121" i="5" s="1"/>
  <c r="C113" i="5"/>
  <c r="H113" i="5" s="1"/>
  <c r="C89" i="5"/>
  <c r="C73" i="5"/>
  <c r="C57" i="5"/>
  <c r="H57" i="5" s="1"/>
  <c r="C41" i="5"/>
  <c r="C25" i="5"/>
  <c r="C9" i="5"/>
  <c r="D176" i="5"/>
  <c r="H176" i="5" s="1"/>
  <c r="E176" i="5"/>
  <c r="Q176" i="5" s="1"/>
  <c r="D160" i="5"/>
  <c r="H160" i="5" s="1"/>
  <c r="E160" i="5"/>
  <c r="Q160" i="5" s="1"/>
  <c r="E136" i="5"/>
  <c r="E128" i="5"/>
  <c r="Q128" i="5" s="1"/>
  <c r="D128" i="5"/>
  <c r="H128" i="5" s="1"/>
  <c r="E96" i="5"/>
  <c r="E88" i="5"/>
  <c r="Q88" i="5" s="1"/>
  <c r="D88" i="5"/>
  <c r="H88" i="5" s="1"/>
  <c r="E64" i="5"/>
  <c r="D56" i="5"/>
  <c r="E56" i="5"/>
  <c r="D48" i="5"/>
  <c r="H48" i="5" s="1"/>
  <c r="E48" i="5"/>
  <c r="E32" i="5"/>
  <c r="D32" i="5"/>
  <c r="H32" i="5" s="1"/>
  <c r="E8" i="5"/>
  <c r="Q8" i="5" s="1"/>
  <c r="D142" i="5"/>
  <c r="D118" i="5"/>
  <c r="D86" i="5"/>
  <c r="D54" i="5"/>
  <c r="D46" i="5"/>
  <c r="D30" i="5"/>
  <c r="H30" i="5" s="1"/>
  <c r="C165" i="5"/>
  <c r="C149" i="5"/>
  <c r="B129" i="5"/>
  <c r="B97" i="5"/>
  <c r="B65" i="5"/>
  <c r="B33" i="5"/>
  <c r="E168" i="5"/>
  <c r="C136" i="5"/>
  <c r="C120" i="5"/>
  <c r="H120" i="5" s="1"/>
  <c r="C96" i="5"/>
  <c r="H96" i="5" s="1"/>
  <c r="C72" i="5"/>
  <c r="C56" i="5"/>
  <c r="C40" i="5"/>
  <c r="C24" i="5"/>
  <c r="E175" i="5"/>
  <c r="D175" i="5"/>
  <c r="H175" i="5" s="1"/>
  <c r="E159" i="5"/>
  <c r="Q159" i="5" s="1"/>
  <c r="D151" i="5"/>
  <c r="H151" i="5" s="1"/>
  <c r="E151" i="5"/>
  <c r="D143" i="5"/>
  <c r="H143" i="5" s="1"/>
  <c r="E143" i="5"/>
  <c r="D127" i="5"/>
  <c r="E127" i="5"/>
  <c r="D111" i="5"/>
  <c r="H111" i="5" s="1"/>
  <c r="E111" i="5"/>
  <c r="Q111" i="5" s="1"/>
  <c r="D95" i="5"/>
  <c r="H95" i="5" s="1"/>
  <c r="E95" i="5"/>
  <c r="D87" i="5"/>
  <c r="H87" i="5" s="1"/>
  <c r="E87" i="5"/>
  <c r="D71" i="5"/>
  <c r="H71" i="5" s="1"/>
  <c r="E71" i="5"/>
  <c r="Q71" i="5" s="1"/>
  <c r="D63" i="5"/>
  <c r="E63" i="5"/>
  <c r="Q63" i="5" s="1"/>
  <c r="D55" i="5"/>
  <c r="H55" i="5" s="1"/>
  <c r="E55" i="5"/>
  <c r="D47" i="5"/>
  <c r="H47" i="5" s="1"/>
  <c r="E47" i="5"/>
  <c r="D23" i="5"/>
  <c r="D15" i="5"/>
  <c r="H15" i="5" s="1"/>
  <c r="E15" i="5"/>
  <c r="Q15" i="5" s="1"/>
  <c r="C142" i="5"/>
  <c r="C110" i="5"/>
  <c r="C78" i="5"/>
  <c r="C46" i="5"/>
  <c r="C14" i="5"/>
  <c r="E165" i="5"/>
  <c r="C68" i="5"/>
  <c r="C36" i="5"/>
  <c r="D131" i="5"/>
  <c r="H131" i="5" s="1"/>
  <c r="D3" i="5"/>
  <c r="H3" i="5" s="1"/>
  <c r="B16" i="5"/>
  <c r="E23" i="5"/>
  <c r="Q23" i="5" s="1"/>
  <c r="B174" i="5"/>
  <c r="B166" i="5"/>
  <c r="B158" i="5"/>
  <c r="B150" i="5"/>
  <c r="B142" i="5"/>
  <c r="B134" i="5"/>
  <c r="C126" i="5"/>
  <c r="C118" i="5"/>
  <c r="B110" i="5"/>
  <c r="B102" i="5"/>
  <c r="C94" i="5"/>
  <c r="C86" i="5"/>
  <c r="B78" i="5"/>
  <c r="B70" i="5"/>
  <c r="C62" i="5"/>
  <c r="C54" i="5"/>
  <c r="B46" i="5"/>
  <c r="B38" i="5"/>
  <c r="C30" i="5"/>
  <c r="C22" i="5"/>
  <c r="B14" i="5"/>
  <c r="B6" i="5"/>
  <c r="E173" i="5"/>
  <c r="D165" i="5"/>
  <c r="E157" i="5"/>
  <c r="C169" i="5"/>
  <c r="C153" i="5"/>
  <c r="D136" i="5"/>
  <c r="H136" i="5" s="1"/>
  <c r="E57" i="5"/>
  <c r="Q57" i="5" s="1"/>
  <c r="B173" i="5"/>
  <c r="B165" i="5"/>
  <c r="B157" i="5"/>
  <c r="B149" i="5"/>
  <c r="B141" i="5"/>
  <c r="B133" i="5"/>
  <c r="B125" i="5"/>
  <c r="C117" i="5"/>
  <c r="B109" i="5"/>
  <c r="B101" i="5"/>
  <c r="B93" i="5"/>
  <c r="C85" i="5"/>
  <c r="B77" i="5"/>
  <c r="B69" i="5"/>
  <c r="B61" i="5"/>
  <c r="C53" i="5"/>
  <c r="B45" i="5"/>
  <c r="B37" i="5"/>
  <c r="B29" i="5"/>
  <c r="C21" i="5"/>
  <c r="B13" i="5"/>
  <c r="B5" i="5"/>
  <c r="D156" i="5"/>
  <c r="D116" i="5"/>
  <c r="H116" i="5" s="1"/>
  <c r="D60" i="5"/>
  <c r="H60" i="5" s="1"/>
  <c r="D44" i="5"/>
  <c r="B137" i="5"/>
  <c r="B121" i="5"/>
  <c r="B105" i="5"/>
  <c r="B89" i="5"/>
  <c r="B73" i="5"/>
  <c r="B57" i="5"/>
  <c r="B41" i="5"/>
  <c r="B25" i="5"/>
  <c r="B9" i="5"/>
  <c r="C168" i="5"/>
  <c r="C152" i="5"/>
  <c r="D159" i="5"/>
  <c r="H159" i="5" s="1"/>
  <c r="E153" i="5"/>
  <c r="Q153" i="5" s="1"/>
  <c r="B172" i="5"/>
  <c r="B164" i="5"/>
  <c r="B156" i="5"/>
  <c r="B148" i="5"/>
  <c r="B140" i="5"/>
  <c r="B132" i="5"/>
  <c r="B124" i="5"/>
  <c r="F124" i="5" s="1"/>
  <c r="C116" i="5"/>
  <c r="B108" i="5"/>
  <c r="B100" i="5"/>
  <c r="B92" i="5"/>
  <c r="F92" i="5" s="1"/>
  <c r="C84" i="5"/>
  <c r="B76" i="5"/>
  <c r="B68" i="5"/>
  <c r="B60" i="5"/>
  <c r="C52" i="5"/>
  <c r="B44" i="5"/>
  <c r="B36" i="5"/>
  <c r="B28" i="5"/>
  <c r="C20" i="5"/>
  <c r="B12" i="5"/>
  <c r="B4" i="5"/>
  <c r="D163" i="5"/>
  <c r="H163" i="5" s="1"/>
  <c r="D155" i="5"/>
  <c r="H155" i="5" s="1"/>
  <c r="D139" i="5"/>
  <c r="H139" i="5" s="1"/>
  <c r="E123" i="5"/>
  <c r="D115" i="5"/>
  <c r="H115" i="5" s="1"/>
  <c r="E107" i="5"/>
  <c r="Q107" i="5" s="1"/>
  <c r="D99" i="5"/>
  <c r="H99" i="5" s="1"/>
  <c r="E91" i="5"/>
  <c r="E83" i="5"/>
  <c r="D67" i="5"/>
  <c r="H67" i="5" s="1"/>
  <c r="E51" i="5"/>
  <c r="Q51" i="5" s="1"/>
  <c r="D43" i="5"/>
  <c r="H43" i="5" s="1"/>
  <c r="E35" i="5"/>
  <c r="Q35" i="5" s="1"/>
  <c r="E27" i="5"/>
  <c r="Q27" i="5" s="1"/>
  <c r="D11" i="5"/>
  <c r="H11" i="5" s="1"/>
  <c r="B136" i="5"/>
  <c r="B120" i="5"/>
  <c r="B104" i="5"/>
  <c r="B88" i="5"/>
  <c r="B72" i="5"/>
  <c r="B56" i="5"/>
  <c r="B40" i="5"/>
  <c r="B24" i="5"/>
  <c r="B8" i="5"/>
  <c r="D9" i="5"/>
  <c r="H9" i="5" s="1"/>
  <c r="E97" i="5"/>
  <c r="Q97" i="5" s="1"/>
  <c r="E41" i="5"/>
  <c r="Q41" i="5" s="1"/>
  <c r="E174" i="5"/>
  <c r="Q174" i="5" s="1"/>
  <c r="E166" i="5"/>
  <c r="Q166" i="5" s="1"/>
  <c r="E158" i="5"/>
  <c r="Q158" i="5" s="1"/>
  <c r="E150" i="5"/>
  <c r="E134" i="5"/>
  <c r="D134" i="5"/>
  <c r="H134" i="5" s="1"/>
  <c r="E126" i="5"/>
  <c r="E118" i="5"/>
  <c r="Q118" i="5" s="1"/>
  <c r="D102" i="5"/>
  <c r="H102" i="5" s="1"/>
  <c r="E94" i="5"/>
  <c r="Q94" i="5" s="1"/>
  <c r="E86" i="5"/>
  <c r="Q86" i="5" s="1"/>
  <c r="E78" i="5"/>
  <c r="D70" i="5"/>
  <c r="H70" i="5" s="1"/>
  <c r="E62" i="5"/>
  <c r="E54" i="5"/>
  <c r="D38" i="5"/>
  <c r="H38" i="5" s="1"/>
  <c r="E30" i="5"/>
  <c r="Q30" i="5" s="1"/>
  <c r="E22" i="5"/>
  <c r="Q22" i="5" s="1"/>
  <c r="E6" i="5"/>
  <c r="Q6" i="5" s="1"/>
  <c r="D6" i="5"/>
  <c r="F6" i="5" s="1"/>
  <c r="B127" i="5"/>
  <c r="B119" i="5"/>
  <c r="B95" i="5"/>
  <c r="B87" i="5"/>
  <c r="B63" i="5"/>
  <c r="B55" i="5"/>
  <c r="B31" i="5"/>
  <c r="B23" i="5"/>
  <c r="C174" i="5"/>
  <c r="C166" i="5"/>
  <c r="C158" i="5"/>
  <c r="C150" i="5"/>
  <c r="C141" i="5"/>
  <c r="C109" i="5"/>
  <c r="C77" i="5"/>
  <c r="C45" i="5"/>
  <c r="C13" i="5"/>
  <c r="D166" i="5"/>
  <c r="H166" i="5" s="1"/>
  <c r="E163" i="5"/>
  <c r="Q163" i="5" s="1"/>
  <c r="E149" i="5"/>
  <c r="Q149" i="5" s="1"/>
  <c r="E93" i="5"/>
  <c r="Q93" i="5" s="1"/>
  <c r="D93" i="5"/>
  <c r="H93" i="5" s="1"/>
  <c r="E37" i="5"/>
  <c r="Q37" i="5" s="1"/>
  <c r="D37" i="5"/>
  <c r="H37" i="5" s="1"/>
  <c r="B126" i="5"/>
  <c r="B118" i="5"/>
  <c r="B94" i="5"/>
  <c r="B86" i="5"/>
  <c r="B62" i="5"/>
  <c r="B54" i="5"/>
  <c r="B30" i="5"/>
  <c r="B22" i="5"/>
  <c r="C140" i="5"/>
  <c r="C108" i="5"/>
  <c r="C76" i="5"/>
  <c r="C44" i="5"/>
  <c r="C12" i="5"/>
  <c r="E70" i="5"/>
  <c r="Q70" i="5" s="1"/>
  <c r="E141" i="5"/>
  <c r="D141" i="5"/>
  <c r="E133" i="5"/>
  <c r="D133" i="5"/>
  <c r="H133" i="5" s="1"/>
  <c r="E125" i="5"/>
  <c r="D125" i="5"/>
  <c r="H125" i="5" s="1"/>
  <c r="E117" i="5"/>
  <c r="Q117" i="5" s="1"/>
  <c r="D117" i="5"/>
  <c r="H117" i="5" s="1"/>
  <c r="E109" i="5"/>
  <c r="Q109" i="5" s="1"/>
  <c r="D109" i="5"/>
  <c r="E101" i="5"/>
  <c r="D101" i="5"/>
  <c r="H101" i="5" s="1"/>
  <c r="E85" i="5"/>
  <c r="D85" i="5"/>
  <c r="H85" i="5" s="1"/>
  <c r="E77" i="5"/>
  <c r="Q77" i="5" s="1"/>
  <c r="D77" i="5"/>
  <c r="H77" i="5" s="1"/>
  <c r="E69" i="5"/>
  <c r="Q69" i="5" s="1"/>
  <c r="D69" i="5"/>
  <c r="H69" i="5" s="1"/>
  <c r="E61" i="5"/>
  <c r="D61" i="5"/>
  <c r="H61" i="5" s="1"/>
  <c r="E53" i="5"/>
  <c r="D53" i="5"/>
  <c r="H53" i="5" s="1"/>
  <c r="E45" i="5"/>
  <c r="Q45" i="5" s="1"/>
  <c r="D45" i="5"/>
  <c r="H45" i="5" s="1"/>
  <c r="E29" i="5"/>
  <c r="Q29" i="5" s="1"/>
  <c r="D29" i="5"/>
  <c r="H29" i="5" s="1"/>
  <c r="E21" i="5"/>
  <c r="D21" i="5"/>
  <c r="E13" i="5"/>
  <c r="D13" i="5"/>
  <c r="H13" i="5" s="1"/>
  <c r="E5" i="5"/>
  <c r="Q5" i="5" s="1"/>
  <c r="D5" i="5"/>
  <c r="H5" i="5" s="1"/>
  <c r="E172" i="5"/>
  <c r="E164" i="5"/>
  <c r="E156" i="5"/>
  <c r="E148" i="5"/>
  <c r="E140" i="5"/>
  <c r="E132" i="5"/>
  <c r="D132" i="5"/>
  <c r="H132" i="5" s="1"/>
  <c r="E124" i="5"/>
  <c r="Q124" i="5" s="1"/>
  <c r="E116" i="5"/>
  <c r="Q116" i="5" s="1"/>
  <c r="E108" i="5"/>
  <c r="Q108" i="5" s="1"/>
  <c r="E100" i="5"/>
  <c r="D100" i="5"/>
  <c r="E92" i="5"/>
  <c r="Q92" i="5" s="1"/>
  <c r="E84" i="5"/>
  <c r="E76" i="5"/>
  <c r="Q76" i="5" s="1"/>
  <c r="E68" i="5"/>
  <c r="D68" i="5"/>
  <c r="H68" i="5" s="1"/>
  <c r="E60" i="5"/>
  <c r="E52" i="5"/>
  <c r="E44" i="5"/>
  <c r="E36" i="5"/>
  <c r="D36" i="5"/>
  <c r="H36" i="5" s="1"/>
  <c r="E28" i="5"/>
  <c r="Q28" i="5" s="1"/>
  <c r="E20" i="5"/>
  <c r="Q20" i="5" s="1"/>
  <c r="E12" i="5"/>
  <c r="E4" i="5"/>
  <c r="Q4" i="5" s="1"/>
  <c r="D4" i="5"/>
  <c r="H4" i="5" s="1"/>
  <c r="B117" i="5"/>
  <c r="B85" i="5"/>
  <c r="B53" i="5"/>
  <c r="B21" i="5"/>
  <c r="C172" i="5"/>
  <c r="H172" i="5" s="1"/>
  <c r="C164" i="5"/>
  <c r="C156" i="5"/>
  <c r="C148" i="5"/>
  <c r="H148" i="5" s="1"/>
  <c r="D174" i="5"/>
  <c r="H174" i="5" s="1"/>
  <c r="D164" i="5"/>
  <c r="D140" i="5"/>
  <c r="H140" i="5" s="1"/>
  <c r="D84" i="5"/>
  <c r="H84" i="5" s="1"/>
  <c r="D28" i="5"/>
  <c r="H28" i="5" s="1"/>
  <c r="D12" i="5"/>
  <c r="E67" i="5"/>
  <c r="Q67" i="5" s="1"/>
  <c r="E11" i="5"/>
  <c r="E147" i="5"/>
  <c r="Q147" i="5" s="1"/>
  <c r="E131" i="5"/>
  <c r="D123" i="5"/>
  <c r="H123" i="5" s="1"/>
  <c r="D91" i="5"/>
  <c r="H91" i="5" s="1"/>
  <c r="E75" i="5"/>
  <c r="Q75" i="5" s="1"/>
  <c r="E59" i="5"/>
  <c r="Q59" i="5" s="1"/>
  <c r="D59" i="5"/>
  <c r="H59" i="5" s="1"/>
  <c r="D27" i="5"/>
  <c r="H27" i="5" s="1"/>
  <c r="E19" i="5"/>
  <c r="Q19" i="5" s="1"/>
  <c r="E3" i="5"/>
  <c r="B116" i="5"/>
  <c r="B84" i="5"/>
  <c r="B52" i="5"/>
  <c r="B20" i="5"/>
  <c r="D173" i="5"/>
  <c r="H173" i="5" s="1"/>
  <c r="D83" i="5"/>
  <c r="H83" i="5" s="1"/>
  <c r="E102" i="5"/>
  <c r="F137" i="1"/>
  <c r="H141" i="1"/>
  <c r="Q85" i="1"/>
  <c r="G122" i="1"/>
  <c r="F122" i="1"/>
  <c r="F98" i="1"/>
  <c r="F172" i="1"/>
  <c r="G164" i="1"/>
  <c r="G140" i="1"/>
  <c r="F140" i="1"/>
  <c r="F124" i="1"/>
  <c r="G116" i="1"/>
  <c r="G100" i="1"/>
  <c r="G84" i="1"/>
  <c r="G76" i="1"/>
  <c r="G68" i="1"/>
  <c r="G36" i="1"/>
  <c r="F36" i="1"/>
  <c r="G28" i="1"/>
  <c r="G12" i="1"/>
  <c r="F12" i="1"/>
  <c r="Q75" i="1"/>
  <c r="G176" i="1"/>
  <c r="F176" i="1"/>
  <c r="F155" i="1"/>
  <c r="G136" i="1"/>
  <c r="F136" i="1"/>
  <c r="G95" i="1"/>
  <c r="F95" i="1"/>
  <c r="G58" i="1"/>
  <c r="F58" i="1"/>
  <c r="H95" i="1"/>
  <c r="H54" i="1"/>
  <c r="Q12" i="1"/>
  <c r="F60" i="1"/>
  <c r="Q138" i="1"/>
  <c r="G154" i="1"/>
  <c r="F154" i="1"/>
  <c r="F135" i="1"/>
  <c r="G135" i="1"/>
  <c r="F73" i="1"/>
  <c r="G73" i="1"/>
  <c r="F38" i="1"/>
  <c r="F156" i="1"/>
  <c r="F52" i="1"/>
  <c r="H92" i="1"/>
  <c r="Q163" i="1"/>
  <c r="C170" i="1"/>
  <c r="H170" i="1" s="1"/>
  <c r="B170" i="1"/>
  <c r="C138" i="1"/>
  <c r="B138" i="1"/>
  <c r="C106" i="1"/>
  <c r="B106" i="1"/>
  <c r="C74" i="1"/>
  <c r="B74" i="1"/>
  <c r="C42" i="1"/>
  <c r="B42" i="1"/>
  <c r="E153" i="1"/>
  <c r="D153" i="1"/>
  <c r="H153" i="1" s="1"/>
  <c r="G169" i="1"/>
  <c r="G134" i="1"/>
  <c r="F134" i="1"/>
  <c r="F91" i="1"/>
  <c r="G91" i="1"/>
  <c r="F31" i="1"/>
  <c r="G31" i="1"/>
  <c r="D169" i="1"/>
  <c r="H169" i="1" s="1"/>
  <c r="H88" i="1"/>
  <c r="H52" i="1"/>
  <c r="Q167" i="1"/>
  <c r="Q42" i="1"/>
  <c r="F161" i="1"/>
  <c r="F97" i="1"/>
  <c r="G97" i="1"/>
  <c r="F33" i="1"/>
  <c r="Q96" i="1"/>
  <c r="H56" i="1"/>
  <c r="H134" i="1"/>
  <c r="B162" i="1"/>
  <c r="F162" i="1" s="1"/>
  <c r="B98" i="1"/>
  <c r="B34" i="1"/>
  <c r="C146" i="1"/>
  <c r="C90" i="1"/>
  <c r="F71" i="1"/>
  <c r="G71" i="1"/>
  <c r="F49" i="1"/>
  <c r="G49" i="1"/>
  <c r="G30" i="1"/>
  <c r="F9" i="1"/>
  <c r="G9" i="1"/>
  <c r="H127" i="1"/>
  <c r="H87" i="1"/>
  <c r="H65" i="1"/>
  <c r="Q139" i="1"/>
  <c r="Q105" i="1"/>
  <c r="Q73" i="1"/>
  <c r="Q41" i="1"/>
  <c r="Q9" i="1"/>
  <c r="F47" i="1"/>
  <c r="G119" i="1"/>
  <c r="H136" i="1"/>
  <c r="G160" i="1"/>
  <c r="F160" i="1"/>
  <c r="G128" i="1"/>
  <c r="F128" i="1"/>
  <c r="G96" i="1"/>
  <c r="F96" i="1"/>
  <c r="G64" i="1"/>
  <c r="F64" i="1"/>
  <c r="G32" i="1"/>
  <c r="H31" i="1"/>
  <c r="F167" i="1"/>
  <c r="G167" i="1"/>
  <c r="F145" i="1"/>
  <c r="G145" i="1"/>
  <c r="C126" i="1"/>
  <c r="F105" i="1"/>
  <c r="G105" i="1"/>
  <c r="F83" i="1"/>
  <c r="G83" i="1"/>
  <c r="C70" i="1"/>
  <c r="G8" i="1"/>
  <c r="F8" i="1"/>
  <c r="D161" i="1"/>
  <c r="H161" i="1" s="1"/>
  <c r="H64" i="1"/>
  <c r="H12" i="1"/>
  <c r="Q158" i="1"/>
  <c r="Q95" i="1"/>
  <c r="Q60" i="1"/>
  <c r="Q31" i="1"/>
  <c r="G155" i="1"/>
  <c r="Q36" i="1"/>
  <c r="B26" i="1"/>
  <c r="C166" i="1"/>
  <c r="G144" i="1"/>
  <c r="C123" i="1"/>
  <c r="Q123" i="1" s="1"/>
  <c r="C82" i="1"/>
  <c r="F63" i="1"/>
  <c r="G7" i="1"/>
  <c r="D120" i="1"/>
  <c r="H120" i="1" s="1"/>
  <c r="D85" i="1"/>
  <c r="H85" i="1" s="1"/>
  <c r="H63" i="1"/>
  <c r="D37" i="1"/>
  <c r="E157" i="1"/>
  <c r="Q157" i="1" s="1"/>
  <c r="E93" i="1"/>
  <c r="Q93" i="1" s="1"/>
  <c r="E29" i="1"/>
  <c r="Q29" i="1" s="1"/>
  <c r="F28" i="1"/>
  <c r="G94" i="1"/>
  <c r="G16" i="1"/>
  <c r="H73" i="1"/>
  <c r="Q141" i="1"/>
  <c r="G162" i="1"/>
  <c r="G130" i="1"/>
  <c r="F130" i="1"/>
  <c r="G98" i="1"/>
  <c r="G66" i="1"/>
  <c r="G34" i="1"/>
  <c r="C10" i="1"/>
  <c r="B10" i="1"/>
  <c r="E177" i="1"/>
  <c r="Q177" i="1" s="1"/>
  <c r="D177" i="1"/>
  <c r="H177" i="1" s="1"/>
  <c r="Q161" i="1"/>
  <c r="E145" i="1"/>
  <c r="D145" i="1"/>
  <c r="H145" i="1" s="1"/>
  <c r="Q97" i="1"/>
  <c r="Q33" i="1"/>
  <c r="G152" i="1"/>
  <c r="F152" i="1"/>
  <c r="G120" i="1"/>
  <c r="F120" i="1"/>
  <c r="G88" i="1"/>
  <c r="F88" i="1"/>
  <c r="G56" i="1"/>
  <c r="F56" i="1"/>
  <c r="G24" i="1"/>
  <c r="F24" i="1"/>
  <c r="Q151" i="1"/>
  <c r="H135" i="1"/>
  <c r="F147" i="1"/>
  <c r="G147" i="1"/>
  <c r="G72" i="1"/>
  <c r="F72" i="1"/>
  <c r="H150" i="1"/>
  <c r="H66" i="1"/>
  <c r="Q140" i="1"/>
  <c r="Q74" i="1"/>
  <c r="F100" i="1"/>
  <c r="H140" i="1"/>
  <c r="H36" i="1"/>
  <c r="F129" i="1"/>
  <c r="G129" i="1"/>
  <c r="F65" i="1"/>
  <c r="G65" i="1"/>
  <c r="Q176" i="1"/>
  <c r="G151" i="1"/>
  <c r="F151" i="1"/>
  <c r="G87" i="1"/>
  <c r="F87" i="1"/>
  <c r="F55" i="1"/>
  <c r="G55" i="1"/>
  <c r="G23" i="1"/>
  <c r="F23" i="1"/>
  <c r="H102" i="1"/>
  <c r="H162" i="1"/>
  <c r="B174" i="1"/>
  <c r="C174" i="1"/>
  <c r="B150" i="1"/>
  <c r="C150" i="1"/>
  <c r="B142" i="1"/>
  <c r="C142" i="1"/>
  <c r="B118" i="1"/>
  <c r="C118" i="1"/>
  <c r="H118" i="1" s="1"/>
  <c r="B110" i="1"/>
  <c r="C110" i="1"/>
  <c r="B86" i="1"/>
  <c r="C86" i="1"/>
  <c r="B78" i="1"/>
  <c r="C78" i="1"/>
  <c r="B54" i="1"/>
  <c r="C54" i="1"/>
  <c r="B46" i="1"/>
  <c r="C46" i="1"/>
  <c r="B22" i="1"/>
  <c r="C22" i="1"/>
  <c r="B14" i="1"/>
  <c r="C14" i="1"/>
  <c r="D165" i="1"/>
  <c r="E165" i="1"/>
  <c r="D133" i="1"/>
  <c r="E133" i="1"/>
  <c r="E125" i="1"/>
  <c r="D125" i="1"/>
  <c r="H125" i="1" s="1"/>
  <c r="E101" i="1"/>
  <c r="D101" i="1"/>
  <c r="D69" i="1"/>
  <c r="E69" i="1"/>
  <c r="E61" i="1"/>
  <c r="Q61" i="1" s="1"/>
  <c r="D61" i="1"/>
  <c r="H61" i="1" s="1"/>
  <c r="H45" i="1"/>
  <c r="E21" i="1"/>
  <c r="D21" i="1"/>
  <c r="E5" i="1"/>
  <c r="D5" i="1"/>
  <c r="Q147" i="1"/>
  <c r="Q131" i="1"/>
  <c r="Q115" i="1"/>
  <c r="Q67" i="1"/>
  <c r="F159" i="1"/>
  <c r="G159" i="1"/>
  <c r="F143" i="1"/>
  <c r="F103" i="1"/>
  <c r="C62" i="1"/>
  <c r="F41" i="1"/>
  <c r="C6" i="1"/>
  <c r="H159" i="1"/>
  <c r="H138" i="1"/>
  <c r="H119" i="1"/>
  <c r="Q156" i="1"/>
  <c r="Q122" i="1"/>
  <c r="Q92" i="1"/>
  <c r="Q58" i="1"/>
  <c r="Q24" i="1"/>
  <c r="F127" i="1"/>
  <c r="H168" i="1"/>
  <c r="H60" i="1"/>
  <c r="B173" i="1"/>
  <c r="C173" i="1"/>
  <c r="B165" i="1"/>
  <c r="C165" i="1"/>
  <c r="B157" i="1"/>
  <c r="C157" i="1"/>
  <c r="H157" i="1" s="1"/>
  <c r="B149" i="1"/>
  <c r="C149" i="1"/>
  <c r="B141" i="1"/>
  <c r="C141" i="1"/>
  <c r="B133" i="1"/>
  <c r="C133" i="1"/>
  <c r="B125" i="1"/>
  <c r="C125" i="1"/>
  <c r="B117" i="1"/>
  <c r="C117" i="1"/>
  <c r="B109" i="1"/>
  <c r="C109" i="1"/>
  <c r="B101" i="1"/>
  <c r="C101" i="1"/>
  <c r="B93" i="1"/>
  <c r="C93" i="1"/>
  <c r="B85" i="1"/>
  <c r="C85" i="1"/>
  <c r="B77" i="1"/>
  <c r="C77" i="1"/>
  <c r="B69" i="1"/>
  <c r="C69" i="1"/>
  <c r="B61" i="1"/>
  <c r="C61" i="1"/>
  <c r="B53" i="1"/>
  <c r="C53" i="1"/>
  <c r="B45" i="1"/>
  <c r="C45" i="1"/>
  <c r="B37" i="1"/>
  <c r="C37" i="1"/>
  <c r="B29" i="1"/>
  <c r="C29" i="1"/>
  <c r="B21" i="1"/>
  <c r="C21" i="1"/>
  <c r="B13" i="1"/>
  <c r="C13" i="1"/>
  <c r="B5" i="1"/>
  <c r="C5" i="1"/>
  <c r="E172" i="1"/>
  <c r="D172" i="1"/>
  <c r="H172" i="1" s="1"/>
  <c r="D164" i="1"/>
  <c r="H164" i="1" s="1"/>
  <c r="E164" i="1"/>
  <c r="Q164" i="1" s="1"/>
  <c r="H156" i="1"/>
  <c r="E148" i="1"/>
  <c r="Q148" i="1" s="1"/>
  <c r="D148" i="1"/>
  <c r="H148" i="1" s="1"/>
  <c r="D132" i="1"/>
  <c r="H132" i="1" s="1"/>
  <c r="E132" i="1"/>
  <c r="E124" i="1"/>
  <c r="Q124" i="1" s="1"/>
  <c r="D124" i="1"/>
  <c r="H124" i="1" s="1"/>
  <c r="E116" i="1"/>
  <c r="D116" i="1"/>
  <c r="H116" i="1" s="1"/>
  <c r="E108" i="1"/>
  <c r="Q108" i="1" s="1"/>
  <c r="D108" i="1"/>
  <c r="H108" i="1" s="1"/>
  <c r="E100" i="1"/>
  <c r="Q100" i="1" s="1"/>
  <c r="D100" i="1"/>
  <c r="H100" i="1" s="1"/>
  <c r="D84" i="1"/>
  <c r="H84" i="1" s="1"/>
  <c r="E84" i="1"/>
  <c r="E76" i="1"/>
  <c r="D76" i="1"/>
  <c r="H76" i="1" s="1"/>
  <c r="D68" i="1"/>
  <c r="H68" i="1" s="1"/>
  <c r="E68" i="1"/>
  <c r="Q52" i="1"/>
  <c r="E44" i="1"/>
  <c r="D44" i="1"/>
  <c r="H44" i="1" s="1"/>
  <c r="D28" i="1"/>
  <c r="H28" i="1" s="1"/>
  <c r="E28" i="1"/>
  <c r="Q28" i="1" s="1"/>
  <c r="E20" i="1"/>
  <c r="D20" i="1"/>
  <c r="H20" i="1" s="1"/>
  <c r="E4" i="1"/>
  <c r="D4" i="1"/>
  <c r="H4" i="1" s="1"/>
  <c r="F163" i="1"/>
  <c r="G163" i="1"/>
  <c r="F139" i="1"/>
  <c r="G139" i="1"/>
  <c r="F131" i="1"/>
  <c r="G131" i="1"/>
  <c r="F107" i="1"/>
  <c r="F99" i="1"/>
  <c r="F67" i="1"/>
  <c r="G67" i="1"/>
  <c r="F43" i="1"/>
  <c r="F35" i="1"/>
  <c r="H154" i="1"/>
  <c r="E146" i="1"/>
  <c r="D146" i="1"/>
  <c r="H146" i="1" s="1"/>
  <c r="Q130" i="1"/>
  <c r="H122" i="1"/>
  <c r="E114" i="1"/>
  <c r="D114" i="1"/>
  <c r="H114" i="1" s="1"/>
  <c r="H90" i="1"/>
  <c r="E82" i="1"/>
  <c r="Q82" i="1" s="1"/>
  <c r="D82" i="1"/>
  <c r="H82" i="1" s="1"/>
  <c r="Q66" i="1"/>
  <c r="F121" i="1"/>
  <c r="G121" i="1"/>
  <c r="F89" i="1"/>
  <c r="G89" i="1"/>
  <c r="F57" i="1"/>
  <c r="G57" i="1"/>
  <c r="F25" i="1"/>
  <c r="G25" i="1"/>
  <c r="Q152" i="1"/>
  <c r="Q120" i="1"/>
  <c r="E104" i="1"/>
  <c r="D104" i="1"/>
  <c r="H104" i="1" s="1"/>
  <c r="H72" i="1"/>
  <c r="Q56" i="1"/>
  <c r="B130" i="1"/>
  <c r="B66" i="1"/>
  <c r="F66" i="1" s="1"/>
  <c r="C158" i="1"/>
  <c r="C115" i="1"/>
  <c r="C102" i="1"/>
  <c r="C59" i="1"/>
  <c r="G40" i="1"/>
  <c r="F40" i="1"/>
  <c r="C18" i="1"/>
  <c r="H174" i="1"/>
  <c r="D137" i="1"/>
  <c r="H137" i="1" s="1"/>
  <c r="H55" i="1"/>
  <c r="Q174" i="1"/>
  <c r="E121" i="1"/>
  <c r="Q121" i="1" s="1"/>
  <c r="Q23" i="1"/>
  <c r="F168" i="1"/>
  <c r="F16" i="1"/>
  <c r="G92" i="1"/>
  <c r="G41" i="1"/>
  <c r="E89" i="1"/>
  <c r="Q89" i="1" s="1"/>
  <c r="E65" i="1"/>
  <c r="Q65" i="1" s="1"/>
  <c r="D49" i="1"/>
  <c r="H49" i="1" s="1"/>
  <c r="E25" i="1"/>
  <c r="Q25" i="1" s="1"/>
  <c r="E17" i="1"/>
  <c r="D17" i="1"/>
  <c r="H17" i="1" s="1"/>
  <c r="F79" i="1"/>
  <c r="G47" i="1"/>
  <c r="H158" i="1"/>
  <c r="H126" i="1"/>
  <c r="H94" i="1"/>
  <c r="H62" i="1"/>
  <c r="D33" i="1"/>
  <c r="H33" i="1" s="1"/>
  <c r="E144" i="1"/>
  <c r="Q144" i="1" s="1"/>
  <c r="D48" i="1"/>
  <c r="E103" i="1"/>
  <c r="Q103" i="1" s="1"/>
  <c r="E113" i="1"/>
  <c r="Q113" i="1" s="1"/>
  <c r="E81" i="1"/>
  <c r="E160" i="1"/>
  <c r="Q160" i="1" s="1"/>
  <c r="E136" i="1"/>
  <c r="Q136" i="1" s="1"/>
  <c r="E112" i="1"/>
  <c r="E88" i="1"/>
  <c r="Q88" i="1" s="1"/>
  <c r="E80" i="1"/>
  <c r="E72" i="1"/>
  <c r="Q72" i="1" s="1"/>
  <c r="E64" i="1"/>
  <c r="Q64" i="1" s="1"/>
  <c r="E40" i="1"/>
  <c r="Q40" i="1" s="1"/>
  <c r="E16" i="1"/>
  <c r="Q16" i="1" s="1"/>
  <c r="D16" i="1"/>
  <c r="H16" i="1" s="1"/>
  <c r="E8" i="1"/>
  <c r="Q8" i="1" s="1"/>
  <c r="D81" i="1"/>
  <c r="H81" i="1" s="1"/>
  <c r="D32" i="1"/>
  <c r="H32" i="1" s="1"/>
  <c r="G111" i="1"/>
  <c r="E159" i="1"/>
  <c r="Q159" i="1" s="1"/>
  <c r="E135" i="1"/>
  <c r="Q135" i="1" s="1"/>
  <c r="E127" i="1"/>
  <c r="Q127" i="1" s="1"/>
  <c r="E87" i="1"/>
  <c r="Q87" i="1" s="1"/>
  <c r="E71" i="1"/>
  <c r="Q71" i="1" s="1"/>
  <c r="E63" i="1"/>
  <c r="Q63" i="1" s="1"/>
  <c r="E39" i="1"/>
  <c r="Q39" i="1" s="1"/>
  <c r="D39" i="1"/>
  <c r="H39" i="1" s="1"/>
  <c r="E15" i="1"/>
  <c r="Q15" i="1" s="1"/>
  <c r="E7" i="1"/>
  <c r="D7" i="1"/>
  <c r="H7" i="1" s="1"/>
  <c r="D176" i="1"/>
  <c r="H176" i="1" s="1"/>
  <c r="D144" i="1"/>
  <c r="H144" i="1" s="1"/>
  <c r="D112" i="1"/>
  <c r="H112" i="1" s="1"/>
  <c r="D80" i="1"/>
  <c r="H80" i="1" s="1"/>
  <c r="D15" i="1"/>
  <c r="E49" i="1"/>
  <c r="Q49" i="1" s="1"/>
  <c r="G79" i="1"/>
  <c r="D113" i="1"/>
  <c r="H113" i="1" s="1"/>
  <c r="E150" i="1"/>
  <c r="E142" i="1"/>
  <c r="E134" i="1"/>
  <c r="Q134" i="1" s="1"/>
  <c r="E126" i="1"/>
  <c r="E118" i="1"/>
  <c r="Q118" i="1" s="1"/>
  <c r="E110" i="1"/>
  <c r="Q110" i="1" s="1"/>
  <c r="E102" i="1"/>
  <c r="E94" i="1"/>
  <c r="Q94" i="1" s="1"/>
  <c r="E86" i="1"/>
  <c r="E78" i="1"/>
  <c r="E70" i="1"/>
  <c r="Q70" i="1" s="1"/>
  <c r="E62" i="1"/>
  <c r="Q62" i="1" s="1"/>
  <c r="E54" i="1"/>
  <c r="Q54" i="1" s="1"/>
  <c r="E46" i="1"/>
  <c r="Q46" i="1" s="1"/>
  <c r="E38" i="1"/>
  <c r="D38" i="1"/>
  <c r="H38" i="1" s="1"/>
  <c r="E30" i="1"/>
  <c r="E22" i="1"/>
  <c r="E14" i="1"/>
  <c r="E6" i="1"/>
  <c r="Q6" i="1" s="1"/>
  <c r="D6" i="1"/>
  <c r="H6" i="1" s="1"/>
  <c r="D175" i="1"/>
  <c r="D89" i="1"/>
  <c r="H89" i="1" s="1"/>
  <c r="D30" i="1"/>
  <c r="H30" i="1" s="1"/>
  <c r="D14" i="1"/>
  <c r="E48" i="1"/>
  <c r="E107" i="1"/>
  <c r="Q107" i="1" s="1"/>
  <c r="E99" i="1"/>
  <c r="Q99" i="1" s="1"/>
  <c r="D59" i="1"/>
  <c r="D51" i="1"/>
  <c r="H51" i="1" s="1"/>
  <c r="E43" i="1"/>
  <c r="D43" i="1"/>
  <c r="E35" i="1"/>
  <c r="D35" i="1"/>
  <c r="H35" i="1" s="1"/>
  <c r="D27" i="1"/>
  <c r="F27" i="1" s="1"/>
  <c r="D19" i="1"/>
  <c r="H19" i="1" s="1"/>
  <c r="D11" i="1"/>
  <c r="H11" i="1" s="1"/>
  <c r="D3" i="1"/>
  <c r="H3" i="1" s="1"/>
  <c r="E51" i="1"/>
  <c r="E3" i="1"/>
  <c r="E170" i="1"/>
  <c r="Q170" i="1" s="1"/>
  <c r="E162" i="1"/>
  <c r="Q162" i="1" s="1"/>
  <c r="E154" i="1"/>
  <c r="Q154" i="1" s="1"/>
  <c r="E98" i="1"/>
  <c r="Q98" i="1" s="1"/>
  <c r="E90" i="1"/>
  <c r="Q90" i="1" s="1"/>
  <c r="D50" i="1"/>
  <c r="H50" i="1" s="1"/>
  <c r="D42" i="1"/>
  <c r="H42" i="1" s="1"/>
  <c r="E34" i="1"/>
  <c r="Q34" i="1" s="1"/>
  <c r="D34" i="1"/>
  <c r="H34" i="1" s="1"/>
  <c r="D26" i="1"/>
  <c r="H26" i="1" s="1"/>
  <c r="E26" i="1"/>
  <c r="Q26" i="1" s="1"/>
  <c r="D18" i="1"/>
  <c r="H18" i="1" s="1"/>
  <c r="D10" i="1"/>
  <c r="H10" i="1" s="1"/>
  <c r="D171" i="1"/>
  <c r="D123" i="1"/>
  <c r="D107" i="1"/>
  <c r="H107" i="1" s="1"/>
  <c r="D99" i="1"/>
  <c r="H99" i="1" s="1"/>
  <c r="D75" i="1"/>
  <c r="E50" i="1"/>
  <c r="E27" i="1"/>
  <c r="Q27" i="1" s="1"/>
  <c r="Q9" i="11" l="1"/>
  <c r="Q49" i="11"/>
  <c r="Q121" i="11"/>
  <c r="Q161" i="11"/>
  <c r="H27" i="11"/>
  <c r="Q34" i="11"/>
  <c r="Q74" i="11"/>
  <c r="H106" i="11"/>
  <c r="F43" i="11"/>
  <c r="G43" i="11"/>
  <c r="G90" i="11"/>
  <c r="F90" i="11"/>
  <c r="Q3" i="11"/>
  <c r="Q43" i="11"/>
  <c r="Q99" i="11"/>
  <c r="G98" i="11"/>
  <c r="Q36" i="11"/>
  <c r="Q76" i="11"/>
  <c r="Q132" i="11"/>
  <c r="Q164" i="11"/>
  <c r="G61" i="11"/>
  <c r="F61" i="11"/>
  <c r="G125" i="11"/>
  <c r="F125" i="11"/>
  <c r="Q48" i="11"/>
  <c r="H63" i="11"/>
  <c r="G80" i="11"/>
  <c r="F80" i="11"/>
  <c r="G99" i="11"/>
  <c r="Q40" i="11"/>
  <c r="Q80" i="11"/>
  <c r="F81" i="11"/>
  <c r="G113" i="11"/>
  <c r="G145" i="11"/>
  <c r="F177" i="11"/>
  <c r="Q29" i="11"/>
  <c r="Q61" i="11"/>
  <c r="H101" i="11"/>
  <c r="Q141" i="11"/>
  <c r="F38" i="11"/>
  <c r="G38" i="11"/>
  <c r="F78" i="11"/>
  <c r="G78" i="11"/>
  <c r="F110" i="11"/>
  <c r="G110" i="11"/>
  <c r="G174" i="11"/>
  <c r="F174" i="11"/>
  <c r="F160" i="11"/>
  <c r="G160" i="11"/>
  <c r="Q22" i="11"/>
  <c r="Q62" i="11"/>
  <c r="Q94" i="11"/>
  <c r="Q126" i="11"/>
  <c r="Q158" i="11"/>
  <c r="G79" i="11"/>
  <c r="F79" i="11"/>
  <c r="G111" i="11"/>
  <c r="F111" i="11"/>
  <c r="G143" i="11"/>
  <c r="F143" i="11"/>
  <c r="G175" i="11"/>
  <c r="F175" i="11"/>
  <c r="G68" i="11"/>
  <c r="F138" i="11"/>
  <c r="Q170" i="11"/>
  <c r="F67" i="11"/>
  <c r="F84" i="11"/>
  <c r="F116" i="11"/>
  <c r="F148" i="11"/>
  <c r="G91" i="11"/>
  <c r="G155" i="11"/>
  <c r="G63" i="11"/>
  <c r="F63" i="11"/>
  <c r="G167" i="11"/>
  <c r="F167" i="11"/>
  <c r="Q81" i="11"/>
  <c r="G106" i="11"/>
  <c r="F106" i="11"/>
  <c r="H44" i="11"/>
  <c r="H172" i="11"/>
  <c r="G133" i="11"/>
  <c r="F133" i="11"/>
  <c r="H104" i="11"/>
  <c r="Q63" i="11"/>
  <c r="F16" i="11"/>
  <c r="G16" i="11"/>
  <c r="F48" i="11"/>
  <c r="G48" i="11"/>
  <c r="F115" i="11"/>
  <c r="Q8" i="11"/>
  <c r="H40" i="11"/>
  <c r="H128" i="11"/>
  <c r="G81" i="11"/>
  <c r="F113" i="11"/>
  <c r="F153" i="11"/>
  <c r="Q30" i="11"/>
  <c r="H29" i="11"/>
  <c r="H69" i="11"/>
  <c r="H109" i="11"/>
  <c r="F6" i="11"/>
  <c r="G6" i="11"/>
  <c r="F118" i="11"/>
  <c r="G118" i="11"/>
  <c r="F176" i="11"/>
  <c r="G176" i="11"/>
  <c r="H30" i="11"/>
  <c r="H158" i="11"/>
  <c r="G15" i="11"/>
  <c r="F15" i="11"/>
  <c r="G47" i="11"/>
  <c r="F47" i="11"/>
  <c r="H125" i="11"/>
  <c r="Q136" i="11"/>
  <c r="G138" i="11"/>
  <c r="F3" i="11"/>
  <c r="G84" i="11"/>
  <c r="G116" i="11"/>
  <c r="G148" i="11"/>
  <c r="F107" i="11"/>
  <c r="G171" i="11"/>
  <c r="G101" i="11"/>
  <c r="F101" i="11"/>
  <c r="Q98" i="11"/>
  <c r="H112" i="11"/>
  <c r="Q66" i="11"/>
  <c r="Q119" i="11"/>
  <c r="Q21" i="11"/>
  <c r="F91" i="11"/>
  <c r="Q17" i="11"/>
  <c r="Q57" i="11"/>
  <c r="Q129" i="11"/>
  <c r="H10" i="11"/>
  <c r="F114" i="11"/>
  <c r="G154" i="11"/>
  <c r="F154" i="11"/>
  <c r="Q11" i="11"/>
  <c r="Q59" i="11"/>
  <c r="Q139" i="11"/>
  <c r="G12" i="11"/>
  <c r="F12" i="11"/>
  <c r="Q84" i="11"/>
  <c r="Q12" i="11"/>
  <c r="Q44" i="11"/>
  <c r="Q172" i="11"/>
  <c r="G77" i="11"/>
  <c r="F77" i="11"/>
  <c r="G141" i="11"/>
  <c r="F141" i="11"/>
  <c r="H31" i="11"/>
  <c r="H71" i="11"/>
  <c r="H103" i="11"/>
  <c r="H135" i="11"/>
  <c r="H167" i="11"/>
  <c r="F88" i="11"/>
  <c r="G88" i="11"/>
  <c r="G14" i="11"/>
  <c r="G115" i="11"/>
  <c r="H8" i="11"/>
  <c r="H48" i="11"/>
  <c r="H88" i="11"/>
  <c r="Q128" i="11"/>
  <c r="G9" i="11"/>
  <c r="G49" i="11"/>
  <c r="F89" i="11"/>
  <c r="G121" i="11"/>
  <c r="G153" i="11"/>
  <c r="H5" i="11"/>
  <c r="Q37" i="11"/>
  <c r="Q69" i="11"/>
  <c r="Q109" i="11"/>
  <c r="Q149" i="11"/>
  <c r="F54" i="11"/>
  <c r="G54" i="11"/>
  <c r="F86" i="11"/>
  <c r="G86" i="11"/>
  <c r="F126" i="11"/>
  <c r="G126" i="11"/>
  <c r="Q38" i="11"/>
  <c r="Q70" i="11"/>
  <c r="Q102" i="11"/>
  <c r="Q134" i="11"/>
  <c r="Q166" i="11"/>
  <c r="G87" i="11"/>
  <c r="F87" i="11"/>
  <c r="G119" i="11"/>
  <c r="F119" i="11"/>
  <c r="G151" i="11"/>
  <c r="F151" i="11"/>
  <c r="F170" i="11"/>
  <c r="G3" i="11"/>
  <c r="G124" i="11"/>
  <c r="F156" i="11"/>
  <c r="G107" i="11"/>
  <c r="F171" i="11"/>
  <c r="F44" i="11"/>
  <c r="G44" i="11"/>
  <c r="G29" i="11"/>
  <c r="F29" i="11"/>
  <c r="Q113" i="11"/>
  <c r="H66" i="11"/>
  <c r="Q64" i="11"/>
  <c r="F18" i="11"/>
  <c r="G18" i="11"/>
  <c r="Q138" i="11"/>
  <c r="Q91" i="11"/>
  <c r="Q124" i="11"/>
  <c r="Q55" i="11"/>
  <c r="F8" i="11"/>
  <c r="G8" i="11"/>
  <c r="Q112" i="11"/>
  <c r="Q53" i="11"/>
  <c r="Q122" i="11"/>
  <c r="G114" i="11"/>
  <c r="Q19" i="11"/>
  <c r="G20" i="11"/>
  <c r="F20" i="11"/>
  <c r="H20" i="11"/>
  <c r="H52" i="11"/>
  <c r="G5" i="11"/>
  <c r="F5" i="11"/>
  <c r="G85" i="11"/>
  <c r="F85" i="11"/>
  <c r="G149" i="11"/>
  <c r="F149" i="11"/>
  <c r="F57" i="11"/>
  <c r="G57" i="11"/>
  <c r="Q31" i="11"/>
  <c r="Q71" i="11"/>
  <c r="Q103" i="11"/>
  <c r="Q135" i="11"/>
  <c r="Q167" i="11"/>
  <c r="F24" i="11"/>
  <c r="G24" i="11"/>
  <c r="G56" i="11"/>
  <c r="F56" i="11"/>
  <c r="F14" i="11"/>
  <c r="G131" i="11"/>
  <c r="H16" i="11"/>
  <c r="H56" i="11"/>
  <c r="Q88" i="11"/>
  <c r="H144" i="11"/>
  <c r="F9" i="11"/>
  <c r="F49" i="11"/>
  <c r="G89" i="11"/>
  <c r="F121" i="11"/>
  <c r="G161" i="11"/>
  <c r="Q5" i="11"/>
  <c r="H37" i="11"/>
  <c r="H77" i="11"/>
  <c r="H117" i="11"/>
  <c r="Q157" i="11"/>
  <c r="F22" i="11"/>
  <c r="G22" i="11"/>
  <c r="F134" i="11"/>
  <c r="G134" i="11"/>
  <c r="F75" i="11"/>
  <c r="G75" i="11"/>
  <c r="H38" i="11"/>
  <c r="H70" i="11"/>
  <c r="H102" i="11"/>
  <c r="H134" i="11"/>
  <c r="H166" i="11"/>
  <c r="G23" i="11"/>
  <c r="F23" i="11"/>
  <c r="G55" i="11"/>
  <c r="F55" i="11"/>
  <c r="H12" i="11"/>
  <c r="F25" i="11"/>
  <c r="G170" i="11"/>
  <c r="F35" i="11"/>
  <c r="Q35" i="11"/>
  <c r="F124" i="11"/>
  <c r="G156" i="11"/>
  <c r="F123" i="11"/>
  <c r="Q100" i="11"/>
  <c r="F10" i="11"/>
  <c r="G10" i="11"/>
  <c r="F50" i="11"/>
  <c r="G50" i="11"/>
  <c r="G66" i="11"/>
  <c r="F66" i="11"/>
  <c r="F11" i="11"/>
  <c r="G11" i="11"/>
  <c r="G165" i="11"/>
  <c r="F165" i="11"/>
  <c r="F32" i="11"/>
  <c r="G32" i="11"/>
  <c r="G172" i="11"/>
  <c r="F172" i="11"/>
  <c r="Q165" i="11"/>
  <c r="F30" i="11"/>
  <c r="G30" i="11"/>
  <c r="F150" i="11"/>
  <c r="G150" i="11"/>
  <c r="F112" i="11"/>
  <c r="G112" i="11"/>
  <c r="G31" i="11"/>
  <c r="F31" i="11"/>
  <c r="G46" i="11"/>
  <c r="Q153" i="11"/>
  <c r="G104" i="11"/>
  <c r="F104" i="11"/>
  <c r="F19" i="11"/>
  <c r="G19" i="11"/>
  <c r="Q123" i="11"/>
  <c r="G52" i="11"/>
  <c r="F52" i="11"/>
  <c r="G37" i="11"/>
  <c r="F37" i="11"/>
  <c r="G109" i="11"/>
  <c r="F109" i="11"/>
  <c r="G173" i="11"/>
  <c r="F173" i="11"/>
  <c r="G72" i="11"/>
  <c r="F72" i="11"/>
  <c r="Q32" i="11"/>
  <c r="Q85" i="11"/>
  <c r="H173" i="11"/>
  <c r="F70" i="11"/>
  <c r="G70" i="11"/>
  <c r="F102" i="11"/>
  <c r="G102" i="11"/>
  <c r="G158" i="11"/>
  <c r="F158" i="11"/>
  <c r="F128" i="11"/>
  <c r="G128" i="11"/>
  <c r="Q150" i="11"/>
  <c r="G71" i="11"/>
  <c r="F71" i="11"/>
  <c r="G103" i="11"/>
  <c r="F103" i="11"/>
  <c r="G135" i="11"/>
  <c r="F135" i="11"/>
  <c r="F13" i="11"/>
  <c r="F46" i="11"/>
  <c r="Q133" i="11"/>
  <c r="Q68" i="11"/>
  <c r="F27" i="11"/>
  <c r="G27" i="11"/>
  <c r="Q163" i="11"/>
  <c r="F60" i="11"/>
  <c r="G60" i="11"/>
  <c r="G53" i="11"/>
  <c r="F53" i="11"/>
  <c r="G117" i="11"/>
  <c r="F117" i="11"/>
  <c r="Q15" i="11"/>
  <c r="Q87" i="11"/>
  <c r="Q151" i="11"/>
  <c r="F40" i="11"/>
  <c r="G40" i="11"/>
  <c r="F163" i="11"/>
  <c r="H32" i="11"/>
  <c r="Q160" i="11"/>
  <c r="Q173" i="11"/>
  <c r="G166" i="11"/>
  <c r="F166" i="11"/>
  <c r="F144" i="11"/>
  <c r="G144" i="11"/>
  <c r="H150" i="11"/>
  <c r="F7" i="11"/>
  <c r="G7" i="11"/>
  <c r="G39" i="11"/>
  <c r="F39" i="11"/>
  <c r="F68" i="11"/>
  <c r="G13" i="11"/>
  <c r="H50" i="11"/>
  <c r="H72" i="11"/>
  <c r="G34" i="11"/>
  <c r="F34" i="11"/>
  <c r="Q10" i="11"/>
  <c r="G51" i="11"/>
  <c r="F51" i="11"/>
  <c r="G69" i="11"/>
  <c r="F69" i="11"/>
  <c r="Q25" i="11"/>
  <c r="Q97" i="11"/>
  <c r="Q177" i="11"/>
  <c r="G42" i="11"/>
  <c r="F42" i="11"/>
  <c r="Q18" i="11"/>
  <c r="Q50" i="11"/>
  <c r="H90" i="11"/>
  <c r="Q162" i="11"/>
  <c r="Q65" i="11"/>
  <c r="Q145" i="11"/>
  <c r="G26" i="11"/>
  <c r="F26" i="11"/>
  <c r="H18" i="11"/>
  <c r="Q90" i="11"/>
  <c r="Q14" i="11"/>
  <c r="H19" i="11"/>
  <c r="Q115" i="11"/>
  <c r="G28" i="11"/>
  <c r="F28" i="11"/>
  <c r="Q20" i="11"/>
  <c r="Q52" i="11"/>
  <c r="Q148" i="11"/>
  <c r="G21" i="11"/>
  <c r="F21" i="11"/>
  <c r="G93" i="11"/>
  <c r="F93" i="11"/>
  <c r="G157" i="11"/>
  <c r="F157" i="11"/>
  <c r="G76" i="11"/>
  <c r="F76" i="11"/>
  <c r="H7" i="11"/>
  <c r="H47" i="11"/>
  <c r="H79" i="11"/>
  <c r="H111" i="11"/>
  <c r="H143" i="11"/>
  <c r="H175" i="11"/>
  <c r="F64" i="11"/>
  <c r="G64" i="11"/>
  <c r="G163" i="11"/>
  <c r="G58" i="11"/>
  <c r="F131" i="11"/>
  <c r="Q24" i="11"/>
  <c r="Q56" i="11"/>
  <c r="Q144" i="11"/>
  <c r="G17" i="11"/>
  <c r="F65" i="11"/>
  <c r="G97" i="11"/>
  <c r="F129" i="11"/>
  <c r="F161" i="11"/>
  <c r="G74" i="11"/>
  <c r="F74" i="11"/>
  <c r="Q13" i="11"/>
  <c r="Q45" i="11"/>
  <c r="Q77" i="11"/>
  <c r="Q117" i="11"/>
  <c r="H165" i="11"/>
  <c r="F62" i="11"/>
  <c r="G62" i="11"/>
  <c r="F94" i="11"/>
  <c r="G94" i="11"/>
  <c r="F142" i="11"/>
  <c r="G142" i="11"/>
  <c r="G96" i="11"/>
  <c r="F96" i="11"/>
  <c r="Q6" i="11"/>
  <c r="Q46" i="11"/>
  <c r="Q78" i="11"/>
  <c r="Q110" i="11"/>
  <c r="Q142" i="11"/>
  <c r="Q174" i="11"/>
  <c r="G95" i="11"/>
  <c r="F95" i="11"/>
  <c r="G127" i="11"/>
  <c r="F127" i="11"/>
  <c r="G159" i="11"/>
  <c r="F159" i="11"/>
  <c r="H60" i="11"/>
  <c r="G25" i="11"/>
  <c r="Q101" i="11"/>
  <c r="G35" i="11"/>
  <c r="H51" i="11"/>
  <c r="G100" i="11"/>
  <c r="F132" i="11"/>
  <c r="G164" i="11"/>
  <c r="G123" i="11"/>
  <c r="F45" i="11"/>
  <c r="G45" i="11"/>
  <c r="Q143" i="8"/>
  <c r="F12" i="8"/>
  <c r="G12" i="8"/>
  <c r="F13" i="8"/>
  <c r="G13" i="8"/>
  <c r="F82" i="8"/>
  <c r="G82" i="8"/>
  <c r="G39" i="8"/>
  <c r="F39" i="8"/>
  <c r="F41" i="8"/>
  <c r="G41" i="8"/>
  <c r="H63" i="8"/>
  <c r="F136" i="8"/>
  <c r="G136" i="8"/>
  <c r="G58" i="8"/>
  <c r="F58" i="8"/>
  <c r="F45" i="8"/>
  <c r="G45" i="8"/>
  <c r="Q26" i="8"/>
  <c r="G75" i="8"/>
  <c r="F75" i="8"/>
  <c r="G139" i="8"/>
  <c r="F139" i="8"/>
  <c r="Q4" i="8"/>
  <c r="H13" i="8"/>
  <c r="G47" i="8"/>
  <c r="F47" i="8"/>
  <c r="H43" i="8"/>
  <c r="G36" i="8"/>
  <c r="F36" i="8"/>
  <c r="F130" i="8"/>
  <c r="G130" i="8"/>
  <c r="Q133" i="8"/>
  <c r="F70" i="8"/>
  <c r="H12" i="8"/>
  <c r="Q52" i="8"/>
  <c r="F121" i="8"/>
  <c r="G121" i="8"/>
  <c r="Q38" i="8"/>
  <c r="G16" i="8"/>
  <c r="F176" i="8"/>
  <c r="G65" i="8"/>
  <c r="F122" i="8"/>
  <c r="F60" i="8"/>
  <c r="F116" i="8"/>
  <c r="G97" i="8"/>
  <c r="G35" i="8"/>
  <c r="F29" i="8"/>
  <c r="G85" i="8"/>
  <c r="G165" i="8"/>
  <c r="Q110" i="8"/>
  <c r="F103" i="8"/>
  <c r="F143" i="8"/>
  <c r="Q152" i="8"/>
  <c r="H136" i="8"/>
  <c r="G168" i="8"/>
  <c r="F168" i="8"/>
  <c r="Q25" i="8"/>
  <c r="Q57" i="8"/>
  <c r="H137" i="8"/>
  <c r="F66" i="8"/>
  <c r="G66" i="8"/>
  <c r="F57" i="8"/>
  <c r="G57" i="8"/>
  <c r="H34" i="8"/>
  <c r="Q162" i="8"/>
  <c r="F83" i="8"/>
  <c r="G83" i="8"/>
  <c r="F147" i="8"/>
  <c r="G147" i="8"/>
  <c r="Q36" i="8"/>
  <c r="G5" i="8"/>
  <c r="F72" i="8"/>
  <c r="G72" i="8"/>
  <c r="Q43" i="8"/>
  <c r="H36" i="8"/>
  <c r="F49" i="8"/>
  <c r="G49" i="8"/>
  <c r="F141" i="8"/>
  <c r="G141" i="8"/>
  <c r="Q85" i="8"/>
  <c r="Q141" i="8"/>
  <c r="F78" i="8"/>
  <c r="F150" i="8"/>
  <c r="Q12" i="8"/>
  <c r="Q60" i="8"/>
  <c r="Q140" i="8"/>
  <c r="F22" i="8"/>
  <c r="G22" i="8"/>
  <c r="G132" i="8"/>
  <c r="F132" i="8"/>
  <c r="F16" i="8"/>
  <c r="G176" i="8"/>
  <c r="Q136" i="8"/>
  <c r="F65" i="8"/>
  <c r="Q129" i="8"/>
  <c r="G122" i="8"/>
  <c r="H50" i="8"/>
  <c r="F27" i="8"/>
  <c r="F68" i="8"/>
  <c r="F119" i="8"/>
  <c r="F97" i="8"/>
  <c r="Q92" i="8"/>
  <c r="F53" i="8"/>
  <c r="F93" i="8"/>
  <c r="F133" i="8"/>
  <c r="G103" i="8"/>
  <c r="G143" i="8"/>
  <c r="Q145" i="8"/>
  <c r="F10" i="8"/>
  <c r="G10" i="8"/>
  <c r="G74" i="8"/>
  <c r="F74" i="8"/>
  <c r="F105" i="8"/>
  <c r="G105" i="8"/>
  <c r="G91" i="8"/>
  <c r="F91" i="8"/>
  <c r="F155" i="8"/>
  <c r="G155" i="8"/>
  <c r="F96" i="8"/>
  <c r="G96" i="8"/>
  <c r="G63" i="8"/>
  <c r="F63" i="8"/>
  <c r="F152" i="8"/>
  <c r="G152" i="8"/>
  <c r="H76" i="8"/>
  <c r="H19" i="8"/>
  <c r="F38" i="8"/>
  <c r="G38" i="8"/>
  <c r="G153" i="8"/>
  <c r="F153" i="8"/>
  <c r="G40" i="8"/>
  <c r="Q144" i="8"/>
  <c r="G113" i="8"/>
  <c r="Q153" i="8"/>
  <c r="Q74" i="8"/>
  <c r="G27" i="8"/>
  <c r="G68" i="8"/>
  <c r="G119" i="8"/>
  <c r="F161" i="8"/>
  <c r="G93" i="8"/>
  <c r="G133" i="8"/>
  <c r="F71" i="8"/>
  <c r="F111" i="8"/>
  <c r="F159" i="8"/>
  <c r="F137" i="8"/>
  <c r="G137" i="8"/>
  <c r="G19" i="8"/>
  <c r="F19" i="8"/>
  <c r="F99" i="8"/>
  <c r="G99" i="8"/>
  <c r="F163" i="8"/>
  <c r="G163" i="8"/>
  <c r="F106" i="8"/>
  <c r="G106" i="8"/>
  <c r="Q123" i="8"/>
  <c r="H91" i="8"/>
  <c r="F76" i="8"/>
  <c r="G76" i="8"/>
  <c r="F162" i="8"/>
  <c r="G162" i="8"/>
  <c r="G54" i="8"/>
  <c r="G86" i="8"/>
  <c r="Q76" i="8"/>
  <c r="G52" i="8"/>
  <c r="F52" i="8"/>
  <c r="G164" i="8"/>
  <c r="F164" i="8"/>
  <c r="Q78" i="8"/>
  <c r="G15" i="8"/>
  <c r="F15" i="8"/>
  <c r="F40" i="8"/>
  <c r="F113" i="8"/>
  <c r="H82" i="8"/>
  <c r="G148" i="8"/>
  <c r="F151" i="8"/>
  <c r="G161" i="8"/>
  <c r="F101" i="8"/>
  <c r="G71" i="8"/>
  <c r="G111" i="8"/>
  <c r="G159" i="8"/>
  <c r="Q103" i="8"/>
  <c r="Q151" i="8"/>
  <c r="Q137" i="8"/>
  <c r="G55" i="8"/>
  <c r="F55" i="8"/>
  <c r="Q48" i="8"/>
  <c r="Q112" i="8"/>
  <c r="F44" i="8"/>
  <c r="G44" i="8"/>
  <c r="G26" i="8"/>
  <c r="F26" i="8"/>
  <c r="F169" i="8"/>
  <c r="G169" i="8"/>
  <c r="G43" i="8"/>
  <c r="F43" i="8"/>
  <c r="G107" i="8"/>
  <c r="F107" i="8"/>
  <c r="G171" i="8"/>
  <c r="F171" i="8"/>
  <c r="Q10" i="8"/>
  <c r="F128" i="8"/>
  <c r="G128" i="8"/>
  <c r="Q19" i="8"/>
  <c r="Q67" i="8"/>
  <c r="H131" i="8"/>
  <c r="F28" i="8"/>
  <c r="G28" i="8"/>
  <c r="F88" i="8"/>
  <c r="G88" i="8"/>
  <c r="G173" i="8"/>
  <c r="F173" i="8"/>
  <c r="Q101" i="8"/>
  <c r="Q157" i="8"/>
  <c r="F54" i="8"/>
  <c r="F86" i="8"/>
  <c r="F4" i="8"/>
  <c r="Q28" i="8"/>
  <c r="G37" i="8"/>
  <c r="H74" i="8"/>
  <c r="F64" i="8"/>
  <c r="G64" i="8"/>
  <c r="Q6" i="8"/>
  <c r="Q86" i="8"/>
  <c r="G112" i="8"/>
  <c r="Q64" i="8"/>
  <c r="G17" i="8"/>
  <c r="G145" i="8"/>
  <c r="F90" i="8"/>
  <c r="F154" i="8"/>
  <c r="Q106" i="8"/>
  <c r="G84" i="8"/>
  <c r="F148" i="8"/>
  <c r="G151" i="8"/>
  <c r="Q164" i="8"/>
  <c r="F61" i="8"/>
  <c r="G101" i="8"/>
  <c r="G30" i="8"/>
  <c r="F79" i="8"/>
  <c r="F127" i="8"/>
  <c r="F167" i="8"/>
  <c r="F18" i="8"/>
  <c r="G18" i="8"/>
  <c r="Q71" i="8"/>
  <c r="Q111" i="8"/>
  <c r="F80" i="8"/>
  <c r="G80" i="8"/>
  <c r="Q176" i="8"/>
  <c r="Q163" i="8"/>
  <c r="F56" i="8"/>
  <c r="G56" i="8"/>
  <c r="Q9" i="8"/>
  <c r="H41" i="8"/>
  <c r="Q161" i="8"/>
  <c r="F34" i="8"/>
  <c r="G34" i="8"/>
  <c r="Q42" i="8"/>
  <c r="Q66" i="8"/>
  <c r="Q130" i="8"/>
  <c r="G51" i="8"/>
  <c r="F51" i="8"/>
  <c r="F115" i="8"/>
  <c r="G115" i="8"/>
  <c r="G138" i="8"/>
  <c r="F138" i="8"/>
  <c r="Q27" i="8"/>
  <c r="H75" i="8"/>
  <c r="Q131" i="8"/>
  <c r="F98" i="8"/>
  <c r="G98" i="8"/>
  <c r="Q5" i="8"/>
  <c r="Q53" i="8"/>
  <c r="Q165" i="8"/>
  <c r="G4" i="8"/>
  <c r="Q44" i="8"/>
  <c r="Q84" i="8"/>
  <c r="Q22" i="8"/>
  <c r="G77" i="8"/>
  <c r="F77" i="8"/>
  <c r="Q150" i="8"/>
  <c r="G23" i="8"/>
  <c r="F23" i="8"/>
  <c r="H55" i="8"/>
  <c r="F112" i="8"/>
  <c r="H72" i="8"/>
  <c r="F17" i="8"/>
  <c r="F145" i="8"/>
  <c r="G90" i="8"/>
  <c r="G154" i="8"/>
  <c r="Q154" i="8"/>
  <c r="H99" i="8"/>
  <c r="G92" i="8"/>
  <c r="F156" i="8"/>
  <c r="H106" i="8"/>
  <c r="F157" i="8"/>
  <c r="F30" i="8"/>
  <c r="G79" i="8"/>
  <c r="G127" i="8"/>
  <c r="G167" i="8"/>
  <c r="Q15" i="8"/>
  <c r="H39" i="8"/>
  <c r="F9" i="8"/>
  <c r="G9" i="8"/>
  <c r="F81" i="8"/>
  <c r="G81" i="8"/>
  <c r="H9" i="8"/>
  <c r="H81" i="8"/>
  <c r="G42" i="8"/>
  <c r="F42" i="8"/>
  <c r="Q70" i="8"/>
  <c r="Q18" i="8"/>
  <c r="Q138" i="8"/>
  <c r="G59" i="8"/>
  <c r="F59" i="8"/>
  <c r="G123" i="8"/>
  <c r="F123" i="8"/>
  <c r="Q99" i="8"/>
  <c r="F3" i="8"/>
  <c r="G3" i="8"/>
  <c r="G160" i="8"/>
  <c r="F160" i="8"/>
  <c r="Q75" i="8"/>
  <c r="H139" i="8"/>
  <c r="H164" i="8"/>
  <c r="G109" i="8"/>
  <c r="F109" i="8"/>
  <c r="Q13" i="8"/>
  <c r="F6" i="8"/>
  <c r="G48" i="8"/>
  <c r="H44" i="8"/>
  <c r="Q82" i="8"/>
  <c r="F89" i="8"/>
  <c r="G89" i="8"/>
  <c r="Q94" i="8"/>
  <c r="G144" i="8"/>
  <c r="H96" i="8"/>
  <c r="G25" i="8"/>
  <c r="F177" i="8"/>
  <c r="H10" i="8"/>
  <c r="H170" i="8"/>
  <c r="Q147" i="8"/>
  <c r="F92" i="8"/>
  <c r="G156" i="8"/>
  <c r="G73" i="8"/>
  <c r="G157" i="8"/>
  <c r="H22" i="8"/>
  <c r="F95" i="8"/>
  <c r="F135" i="8"/>
  <c r="F175" i="8"/>
  <c r="Q39" i="8"/>
  <c r="F33" i="8"/>
  <c r="G33" i="8"/>
  <c r="F104" i="8"/>
  <c r="G104" i="8"/>
  <c r="Q17" i="8"/>
  <c r="H169" i="8"/>
  <c r="F50" i="8"/>
  <c r="G50" i="8"/>
  <c r="Q96" i="8"/>
  <c r="H26" i="8"/>
  <c r="G67" i="8"/>
  <c r="F67" i="8"/>
  <c r="G131" i="8"/>
  <c r="F131" i="8"/>
  <c r="F20" i="8"/>
  <c r="G31" i="8"/>
  <c r="F31" i="8"/>
  <c r="G170" i="8"/>
  <c r="F170" i="8"/>
  <c r="Q83" i="8"/>
  <c r="Q139" i="8"/>
  <c r="G7" i="8"/>
  <c r="F7" i="8"/>
  <c r="F120" i="8"/>
  <c r="G120" i="8"/>
  <c r="G70" i="8"/>
  <c r="F48" i="8"/>
  <c r="H52" i="8"/>
  <c r="Q107" i="8"/>
  <c r="H147" i="8"/>
  <c r="G100" i="8"/>
  <c r="F100" i="8"/>
  <c r="H38" i="8"/>
  <c r="F144" i="8"/>
  <c r="H104" i="8"/>
  <c r="F25" i="8"/>
  <c r="G177" i="8"/>
  <c r="H18" i="8"/>
  <c r="G60" i="8"/>
  <c r="G116" i="8"/>
  <c r="F73" i="8"/>
  <c r="F35" i="8"/>
  <c r="G29" i="8"/>
  <c r="F85" i="8"/>
  <c r="F165" i="8"/>
  <c r="Q54" i="8"/>
  <c r="G95" i="8"/>
  <c r="G135" i="8"/>
  <c r="G175" i="8"/>
  <c r="Q132" i="5"/>
  <c r="Q3" i="5"/>
  <c r="Q140" i="5"/>
  <c r="Q85" i="5"/>
  <c r="Q125" i="5"/>
  <c r="G76" i="5"/>
  <c r="F76" i="5"/>
  <c r="G158" i="5"/>
  <c r="F158" i="5"/>
  <c r="Q54" i="5"/>
  <c r="Q126" i="5"/>
  <c r="F52" i="5"/>
  <c r="G52" i="5"/>
  <c r="G116" i="5"/>
  <c r="F116" i="5"/>
  <c r="H156" i="5"/>
  <c r="G22" i="5"/>
  <c r="F22" i="5"/>
  <c r="G86" i="5"/>
  <c r="F86" i="5"/>
  <c r="F36" i="5"/>
  <c r="G36" i="5"/>
  <c r="H63" i="5"/>
  <c r="F136" i="5"/>
  <c r="G136" i="5"/>
  <c r="Q32" i="5"/>
  <c r="Q96" i="5"/>
  <c r="G9" i="5"/>
  <c r="F9" i="5"/>
  <c r="G137" i="5"/>
  <c r="F137" i="5"/>
  <c r="Q113" i="5"/>
  <c r="G23" i="5"/>
  <c r="F23" i="5"/>
  <c r="G87" i="5"/>
  <c r="F87" i="5"/>
  <c r="H157" i="5"/>
  <c r="Q119" i="5"/>
  <c r="F104" i="5"/>
  <c r="G104" i="5"/>
  <c r="F173" i="5"/>
  <c r="G173" i="5"/>
  <c r="Q40" i="5"/>
  <c r="Q120" i="5"/>
  <c r="G49" i="5"/>
  <c r="F49" i="5"/>
  <c r="Q39" i="5"/>
  <c r="G134" i="5"/>
  <c r="H52" i="5"/>
  <c r="G101" i="5"/>
  <c r="F71" i="5"/>
  <c r="G175" i="5"/>
  <c r="Q65" i="5"/>
  <c r="F5" i="5"/>
  <c r="Q34" i="5"/>
  <c r="Q66" i="5"/>
  <c r="H98" i="5"/>
  <c r="H130" i="5"/>
  <c r="Q162" i="5"/>
  <c r="F19" i="5"/>
  <c r="F83" i="5"/>
  <c r="F115" i="5"/>
  <c r="F155" i="5"/>
  <c r="G155" i="5"/>
  <c r="G162" i="5"/>
  <c r="F162" i="5"/>
  <c r="F112" i="5"/>
  <c r="F144" i="5"/>
  <c r="Q137" i="5"/>
  <c r="G44" i="5"/>
  <c r="F44" i="5"/>
  <c r="G150" i="5"/>
  <c r="F150" i="5"/>
  <c r="H164" i="5"/>
  <c r="Q53" i="5"/>
  <c r="Q102" i="5"/>
  <c r="Q44" i="5"/>
  <c r="H100" i="5"/>
  <c r="Q148" i="5"/>
  <c r="H21" i="5"/>
  <c r="G108" i="5"/>
  <c r="F108" i="5"/>
  <c r="H108" i="5"/>
  <c r="F166" i="5"/>
  <c r="G166" i="5"/>
  <c r="Q62" i="5"/>
  <c r="Q83" i="5"/>
  <c r="G153" i="5"/>
  <c r="F153" i="5"/>
  <c r="F30" i="5"/>
  <c r="G30" i="5"/>
  <c r="F94" i="5"/>
  <c r="G94" i="5"/>
  <c r="F68" i="5"/>
  <c r="G68" i="5"/>
  <c r="Q127" i="5"/>
  <c r="Q175" i="5"/>
  <c r="Q168" i="5"/>
  <c r="H46" i="5"/>
  <c r="Q48" i="5"/>
  <c r="G25" i="5"/>
  <c r="F25" i="5"/>
  <c r="H17" i="5"/>
  <c r="F48" i="5"/>
  <c r="G48" i="5"/>
  <c r="G31" i="5"/>
  <c r="F31" i="5"/>
  <c r="G95" i="5"/>
  <c r="F95" i="5"/>
  <c r="H119" i="5"/>
  <c r="G128" i="5"/>
  <c r="F128" i="5"/>
  <c r="H14" i="5"/>
  <c r="H72" i="5"/>
  <c r="G65" i="5"/>
  <c r="F65" i="5"/>
  <c r="Q73" i="5"/>
  <c r="F134" i="5"/>
  <c r="G125" i="5"/>
  <c r="F15" i="5"/>
  <c r="F79" i="5"/>
  <c r="F143" i="5"/>
  <c r="F175" i="5"/>
  <c r="H153" i="5"/>
  <c r="F122" i="5"/>
  <c r="G122" i="5"/>
  <c r="G5" i="5"/>
  <c r="H10" i="5"/>
  <c r="H74" i="5"/>
  <c r="H106" i="5"/>
  <c r="H170" i="5"/>
  <c r="F27" i="5"/>
  <c r="G27" i="5"/>
  <c r="F59" i="5"/>
  <c r="G59" i="5"/>
  <c r="G131" i="5"/>
  <c r="G163" i="5"/>
  <c r="H150" i="5"/>
  <c r="F160" i="5"/>
  <c r="F34" i="5"/>
  <c r="G34" i="5"/>
  <c r="F138" i="5"/>
  <c r="G138" i="5"/>
  <c r="F176" i="5"/>
  <c r="F42" i="5"/>
  <c r="G42" i="5"/>
  <c r="Q131" i="5"/>
  <c r="Q36" i="5"/>
  <c r="Q13" i="5"/>
  <c r="Q11" i="5"/>
  <c r="F148" i="5"/>
  <c r="G148" i="5"/>
  <c r="Q52" i="5"/>
  <c r="Q100" i="5"/>
  <c r="Q156" i="5"/>
  <c r="Q21" i="5"/>
  <c r="Q61" i="5"/>
  <c r="Q101" i="5"/>
  <c r="Q133" i="5"/>
  <c r="G140" i="5"/>
  <c r="F140" i="5"/>
  <c r="G13" i="5"/>
  <c r="F13" i="5"/>
  <c r="G174" i="5"/>
  <c r="F174" i="5"/>
  <c r="Q134" i="5"/>
  <c r="Q91" i="5"/>
  <c r="F152" i="5"/>
  <c r="G152" i="5"/>
  <c r="G169" i="5"/>
  <c r="F169" i="5"/>
  <c r="Q165" i="5"/>
  <c r="H23" i="5"/>
  <c r="H127" i="5"/>
  <c r="F24" i="5"/>
  <c r="G24" i="5"/>
  <c r="H54" i="5"/>
  <c r="G41" i="5"/>
  <c r="F41" i="5"/>
  <c r="Q17" i="5"/>
  <c r="H105" i="5"/>
  <c r="Q14" i="5"/>
  <c r="Q31" i="5"/>
  <c r="Q24" i="5"/>
  <c r="Q38" i="5"/>
  <c r="Q72" i="5"/>
  <c r="G81" i="5"/>
  <c r="F81" i="5"/>
  <c r="H73" i="5"/>
  <c r="G38" i="5"/>
  <c r="G16" i="5"/>
  <c r="F125" i="5"/>
  <c r="G15" i="5"/>
  <c r="G79" i="5"/>
  <c r="G143" i="5"/>
  <c r="H24" i="5"/>
  <c r="G170" i="5"/>
  <c r="F170" i="5"/>
  <c r="G29" i="5"/>
  <c r="Q10" i="5"/>
  <c r="Q74" i="5"/>
  <c r="Q106" i="5"/>
  <c r="Q170" i="5"/>
  <c r="F91" i="5"/>
  <c r="G91" i="5"/>
  <c r="F131" i="5"/>
  <c r="F163" i="5"/>
  <c r="G61" i="5"/>
  <c r="G160" i="5"/>
  <c r="F123" i="5"/>
  <c r="G123" i="5"/>
  <c r="G176" i="5"/>
  <c r="G12" i="5"/>
  <c r="F12" i="5"/>
  <c r="Q84" i="5"/>
  <c r="F156" i="5"/>
  <c r="G156" i="5"/>
  <c r="Q60" i="5"/>
  <c r="Q164" i="5"/>
  <c r="H109" i="5"/>
  <c r="H141" i="5"/>
  <c r="G45" i="5"/>
  <c r="F45" i="5"/>
  <c r="H6" i="5"/>
  <c r="G6" i="5"/>
  <c r="Q78" i="5"/>
  <c r="Q150" i="5"/>
  <c r="F168" i="5"/>
  <c r="G168" i="5"/>
  <c r="G21" i="5"/>
  <c r="F21" i="5"/>
  <c r="G85" i="5"/>
  <c r="F85" i="5"/>
  <c r="Q157" i="5"/>
  <c r="G14" i="5"/>
  <c r="F14" i="5"/>
  <c r="Q47" i="5"/>
  <c r="Q87" i="5"/>
  <c r="Q143" i="5"/>
  <c r="F40" i="5"/>
  <c r="G40" i="5"/>
  <c r="H86" i="5"/>
  <c r="Q56" i="5"/>
  <c r="Q136" i="5"/>
  <c r="G57" i="5"/>
  <c r="F57" i="5"/>
  <c r="Q105" i="5"/>
  <c r="Q46" i="5"/>
  <c r="H75" i="5"/>
  <c r="Q121" i="5"/>
  <c r="H62" i="5"/>
  <c r="H80" i="5"/>
  <c r="Q152" i="5"/>
  <c r="G97" i="5"/>
  <c r="F97" i="5"/>
  <c r="H89" i="5"/>
  <c r="Q99" i="5"/>
  <c r="F38" i="5"/>
  <c r="F16" i="5"/>
  <c r="F69" i="5"/>
  <c r="F133" i="5"/>
  <c r="G39" i="5"/>
  <c r="G103" i="5"/>
  <c r="G151" i="5"/>
  <c r="F10" i="5"/>
  <c r="G10" i="5"/>
  <c r="F29" i="5"/>
  <c r="H18" i="5"/>
  <c r="H50" i="5"/>
  <c r="H82" i="5"/>
  <c r="H114" i="5"/>
  <c r="G3" i="5"/>
  <c r="G67" i="5"/>
  <c r="G99" i="5"/>
  <c r="F61" i="5"/>
  <c r="H137" i="5"/>
  <c r="F58" i="5"/>
  <c r="G58" i="5"/>
  <c r="F74" i="5"/>
  <c r="G74" i="5"/>
  <c r="F146" i="5"/>
  <c r="G146" i="5"/>
  <c r="H12" i="5"/>
  <c r="F164" i="5"/>
  <c r="G164" i="5"/>
  <c r="Q12" i="5"/>
  <c r="Q172" i="5"/>
  <c r="Q141" i="5"/>
  <c r="F77" i="5"/>
  <c r="G77" i="5"/>
  <c r="G20" i="5"/>
  <c r="F20" i="5"/>
  <c r="F84" i="5"/>
  <c r="G84" i="5"/>
  <c r="H165" i="5"/>
  <c r="G54" i="5"/>
  <c r="F54" i="5"/>
  <c r="G118" i="5"/>
  <c r="F118" i="5"/>
  <c r="G46" i="5"/>
  <c r="F46" i="5"/>
  <c r="F56" i="5"/>
  <c r="G56" i="5"/>
  <c r="H118" i="5"/>
  <c r="H56" i="5"/>
  <c r="G73" i="5"/>
  <c r="F73" i="5"/>
  <c r="H33" i="5"/>
  <c r="Q110" i="5"/>
  <c r="G55" i="5"/>
  <c r="F55" i="5"/>
  <c r="G119" i="5"/>
  <c r="F119" i="5"/>
  <c r="F8" i="5"/>
  <c r="G8" i="5"/>
  <c r="H110" i="5"/>
  <c r="G105" i="5"/>
  <c r="F105" i="5"/>
  <c r="Q89" i="5"/>
  <c r="Q115" i="5"/>
  <c r="G70" i="5"/>
  <c r="G69" i="5"/>
  <c r="H22" i="5"/>
  <c r="F39" i="5"/>
  <c r="F103" i="5"/>
  <c r="F151" i="5"/>
  <c r="Q18" i="5"/>
  <c r="Q50" i="5"/>
  <c r="Q114" i="5"/>
  <c r="F3" i="5"/>
  <c r="F67" i="5"/>
  <c r="F99" i="5"/>
  <c r="F139" i="5"/>
  <c r="G139" i="5"/>
  <c r="G171" i="5"/>
  <c r="F171" i="5"/>
  <c r="G28" i="5"/>
  <c r="H169" i="5"/>
  <c r="F66" i="5"/>
  <c r="G66" i="5"/>
  <c r="G133" i="5"/>
  <c r="G172" i="5"/>
  <c r="F172" i="5"/>
  <c r="Q68" i="5"/>
  <c r="F109" i="5"/>
  <c r="G109" i="5"/>
  <c r="H44" i="5"/>
  <c r="Q173" i="5"/>
  <c r="F62" i="5"/>
  <c r="G62" i="5"/>
  <c r="F126" i="5"/>
  <c r="G126" i="5"/>
  <c r="F78" i="5"/>
  <c r="G78" i="5"/>
  <c r="Q55" i="5"/>
  <c r="Q95" i="5"/>
  <c r="Q151" i="5"/>
  <c r="F72" i="5"/>
  <c r="G72" i="5"/>
  <c r="H142" i="5"/>
  <c r="Q64" i="5"/>
  <c r="G89" i="5"/>
  <c r="F89" i="5"/>
  <c r="Q33" i="5"/>
  <c r="Q142" i="5"/>
  <c r="G63" i="5"/>
  <c r="F63" i="5"/>
  <c r="G127" i="5"/>
  <c r="F127" i="5"/>
  <c r="G4" i="5"/>
  <c r="F4" i="5"/>
  <c r="G32" i="5"/>
  <c r="F32" i="5"/>
  <c r="H126" i="5"/>
  <c r="Q104" i="5"/>
  <c r="H168" i="5"/>
  <c r="G129" i="5"/>
  <c r="F129" i="5"/>
  <c r="Q139" i="5"/>
  <c r="F70" i="5"/>
  <c r="G37" i="5"/>
  <c r="G93" i="5"/>
  <c r="F47" i="5"/>
  <c r="F111" i="5"/>
  <c r="G159" i="5"/>
  <c r="G60" i="5"/>
  <c r="F50" i="5"/>
  <c r="G50" i="5"/>
  <c r="Q26" i="5"/>
  <c r="Q58" i="5"/>
  <c r="Q90" i="5"/>
  <c r="Q122" i="5"/>
  <c r="Q154" i="5"/>
  <c r="G147" i="5"/>
  <c r="H78" i="5"/>
  <c r="F28" i="5"/>
  <c r="Q169" i="5"/>
  <c r="F82" i="5"/>
  <c r="G82" i="5"/>
  <c r="Q171" i="5"/>
  <c r="F98" i="5"/>
  <c r="G98" i="5"/>
  <c r="F159" i="5"/>
  <c r="G141" i="5"/>
  <c r="F141" i="5"/>
  <c r="Q123" i="5"/>
  <c r="F110" i="5"/>
  <c r="G110" i="5"/>
  <c r="G96" i="5"/>
  <c r="F96" i="5"/>
  <c r="G149" i="5"/>
  <c r="F149" i="5"/>
  <c r="G113" i="5"/>
  <c r="F113" i="5"/>
  <c r="F80" i="5"/>
  <c r="G80" i="5"/>
  <c r="G100" i="5"/>
  <c r="F100" i="5"/>
  <c r="G64" i="5"/>
  <c r="F64" i="5"/>
  <c r="G17" i="5"/>
  <c r="F17" i="5"/>
  <c r="Q155" i="5"/>
  <c r="G102" i="5"/>
  <c r="F37" i="5"/>
  <c r="F93" i="5"/>
  <c r="H158" i="5"/>
  <c r="G47" i="5"/>
  <c r="F60" i="5"/>
  <c r="H90" i="5"/>
  <c r="F11" i="5"/>
  <c r="G11" i="5"/>
  <c r="F43" i="5"/>
  <c r="G43" i="5"/>
  <c r="F75" i="5"/>
  <c r="G75" i="5"/>
  <c r="F107" i="5"/>
  <c r="G107" i="5"/>
  <c r="F147" i="5"/>
  <c r="F145" i="5"/>
  <c r="Q79" i="5"/>
  <c r="H149" i="5"/>
  <c r="F106" i="5"/>
  <c r="G106" i="5"/>
  <c r="H8" i="5"/>
  <c r="G53" i="5"/>
  <c r="F53" i="5"/>
  <c r="G117" i="5"/>
  <c r="F117" i="5"/>
  <c r="G142" i="5"/>
  <c r="F142" i="5"/>
  <c r="F120" i="5"/>
  <c r="G120" i="5"/>
  <c r="F165" i="5"/>
  <c r="G165" i="5"/>
  <c r="G121" i="5"/>
  <c r="F121" i="5"/>
  <c r="F132" i="5"/>
  <c r="G132" i="5"/>
  <c r="F88" i="5"/>
  <c r="G88" i="5"/>
  <c r="G157" i="5"/>
  <c r="F157" i="5"/>
  <c r="G33" i="5"/>
  <c r="F33" i="5"/>
  <c r="F102" i="5"/>
  <c r="H20" i="5"/>
  <c r="F101" i="5"/>
  <c r="F90" i="5"/>
  <c r="G90" i="5"/>
  <c r="H76" i="5"/>
  <c r="G83" i="5"/>
  <c r="G115" i="5"/>
  <c r="G145" i="5"/>
  <c r="G112" i="5"/>
  <c r="F18" i="5"/>
  <c r="G18" i="5"/>
  <c r="F114" i="5"/>
  <c r="G114" i="5"/>
  <c r="F26" i="5"/>
  <c r="G26" i="5"/>
  <c r="F130" i="5"/>
  <c r="G130" i="5"/>
  <c r="F154" i="5"/>
  <c r="G154" i="5"/>
  <c r="H40" i="5"/>
  <c r="H175" i="1"/>
  <c r="G175" i="1"/>
  <c r="F59" i="1"/>
  <c r="G59" i="1"/>
  <c r="G133" i="1"/>
  <c r="F133" i="1"/>
  <c r="F50" i="1"/>
  <c r="H59" i="1"/>
  <c r="H15" i="1"/>
  <c r="G15" i="1"/>
  <c r="F80" i="1"/>
  <c r="Q146" i="1"/>
  <c r="Q4" i="1"/>
  <c r="Q68" i="1"/>
  <c r="F6" i="1"/>
  <c r="G6" i="1"/>
  <c r="H5" i="1"/>
  <c r="Q125" i="1"/>
  <c r="Q32" i="1"/>
  <c r="F15" i="1"/>
  <c r="F7" i="1"/>
  <c r="F166" i="1"/>
  <c r="G166" i="1"/>
  <c r="G74" i="1"/>
  <c r="F74" i="1"/>
  <c r="G38" i="1"/>
  <c r="G50" i="1"/>
  <c r="H74" i="1"/>
  <c r="G20" i="1"/>
  <c r="F68" i="1"/>
  <c r="G172" i="1"/>
  <c r="G137" i="1"/>
  <c r="F101" i="1"/>
  <c r="G101" i="1"/>
  <c r="H48" i="1"/>
  <c r="F48" i="1"/>
  <c r="G13" i="1"/>
  <c r="F13" i="1"/>
  <c r="F141" i="1"/>
  <c r="G141" i="1"/>
  <c r="G19" i="1"/>
  <c r="Q133" i="1"/>
  <c r="G132" i="1"/>
  <c r="Q14" i="1"/>
  <c r="Q104" i="1"/>
  <c r="Q20" i="1"/>
  <c r="Q13" i="1"/>
  <c r="F4" i="1"/>
  <c r="G153" i="1"/>
  <c r="G5" i="1"/>
  <c r="F5" i="1"/>
  <c r="G37" i="1"/>
  <c r="F37" i="1"/>
  <c r="F142" i="1"/>
  <c r="G142" i="1"/>
  <c r="G146" i="1"/>
  <c r="F146" i="1"/>
  <c r="Q126" i="1"/>
  <c r="Q80" i="1"/>
  <c r="F45" i="1"/>
  <c r="G45" i="1"/>
  <c r="F173" i="1"/>
  <c r="G173" i="1"/>
  <c r="Q5" i="1"/>
  <c r="G22" i="1"/>
  <c r="F22" i="1"/>
  <c r="H13" i="1"/>
  <c r="F20" i="1"/>
  <c r="G4" i="1"/>
  <c r="Q50" i="1"/>
  <c r="G3" i="1"/>
  <c r="F19" i="1"/>
  <c r="H133" i="1"/>
  <c r="G51" i="1"/>
  <c r="G82" i="1"/>
  <c r="F82" i="1"/>
  <c r="G106" i="1"/>
  <c r="F106" i="1"/>
  <c r="F165" i="1"/>
  <c r="G165" i="1"/>
  <c r="G78" i="1"/>
  <c r="F78" i="1"/>
  <c r="F132" i="1"/>
  <c r="F126" i="1"/>
  <c r="G126" i="1"/>
  <c r="G109" i="1"/>
  <c r="F109" i="1"/>
  <c r="G150" i="1"/>
  <c r="F150" i="1"/>
  <c r="G48" i="1"/>
  <c r="G102" i="1"/>
  <c r="F102" i="1"/>
  <c r="Q69" i="1"/>
  <c r="F70" i="1"/>
  <c r="G70" i="1"/>
  <c r="H173" i="1"/>
  <c r="H75" i="1"/>
  <c r="G75" i="1"/>
  <c r="Q48" i="1"/>
  <c r="Q22" i="1"/>
  <c r="Q78" i="1"/>
  <c r="Q142" i="1"/>
  <c r="Q112" i="1"/>
  <c r="Q166" i="1"/>
  <c r="F115" i="1"/>
  <c r="G115" i="1"/>
  <c r="F3" i="1"/>
  <c r="F75" i="1"/>
  <c r="Q76" i="1"/>
  <c r="Q116" i="1"/>
  <c r="F21" i="1"/>
  <c r="G21" i="1"/>
  <c r="F53" i="1"/>
  <c r="G53" i="1"/>
  <c r="Q53" i="1"/>
  <c r="G85" i="1"/>
  <c r="F85" i="1"/>
  <c r="F117" i="1"/>
  <c r="G117" i="1"/>
  <c r="G149" i="1"/>
  <c r="F149" i="1"/>
  <c r="Q19" i="1"/>
  <c r="H21" i="1"/>
  <c r="H69" i="1"/>
  <c r="Q149" i="1"/>
  <c r="F46" i="1"/>
  <c r="G46" i="1"/>
  <c r="G110" i="1"/>
  <c r="F110" i="1"/>
  <c r="F174" i="1"/>
  <c r="G174" i="1"/>
  <c r="F112" i="1"/>
  <c r="G10" i="1"/>
  <c r="F10" i="1"/>
  <c r="F51" i="1"/>
  <c r="H37" i="1"/>
  <c r="F104" i="1"/>
  <c r="F148" i="1"/>
  <c r="G161" i="1"/>
  <c r="Q153" i="1"/>
  <c r="Q45" i="1"/>
  <c r="G113" i="1"/>
  <c r="G17" i="1"/>
  <c r="F114" i="1"/>
  <c r="H115" i="1"/>
  <c r="H117" i="1"/>
  <c r="G177" i="1"/>
  <c r="Q35" i="1"/>
  <c r="H14" i="1"/>
  <c r="Q30" i="1"/>
  <c r="Q86" i="1"/>
  <c r="Q150" i="1"/>
  <c r="Q17" i="1"/>
  <c r="F76" i="1"/>
  <c r="G18" i="1"/>
  <c r="F18" i="1"/>
  <c r="G158" i="1"/>
  <c r="F158" i="1"/>
  <c r="Q114" i="1"/>
  <c r="G11" i="1"/>
  <c r="G99" i="1"/>
  <c r="Q84" i="1"/>
  <c r="H78" i="1"/>
  <c r="F62" i="1"/>
  <c r="G62" i="1"/>
  <c r="Q21" i="1"/>
  <c r="H101" i="1"/>
  <c r="H22" i="1"/>
  <c r="G112" i="1"/>
  <c r="F34" i="1"/>
  <c r="F175" i="1"/>
  <c r="G104" i="1"/>
  <c r="F30" i="1"/>
  <c r="H142" i="1"/>
  <c r="H106" i="1"/>
  <c r="G124" i="1"/>
  <c r="Q169" i="1"/>
  <c r="G138" i="1"/>
  <c r="F138" i="1"/>
  <c r="Q109" i="1"/>
  <c r="F113" i="1"/>
  <c r="F17" i="1"/>
  <c r="G114" i="1"/>
  <c r="F108" i="1"/>
  <c r="G148" i="1"/>
  <c r="Q137" i="1"/>
  <c r="F177" i="1"/>
  <c r="H171" i="1"/>
  <c r="F171" i="1"/>
  <c r="F69" i="1"/>
  <c r="G69" i="1"/>
  <c r="F14" i="1"/>
  <c r="G14" i="1"/>
  <c r="G80" i="1"/>
  <c r="F77" i="1"/>
  <c r="G77" i="1"/>
  <c r="G86" i="1"/>
  <c r="F86" i="1"/>
  <c r="H86" i="1"/>
  <c r="Q10" i="1"/>
  <c r="H27" i="1"/>
  <c r="G27" i="1"/>
  <c r="Q3" i="1"/>
  <c r="G43" i="1"/>
  <c r="H43" i="1"/>
  <c r="F153" i="1"/>
  <c r="F11" i="1"/>
  <c r="F29" i="1"/>
  <c r="G29" i="1"/>
  <c r="F61" i="1"/>
  <c r="G61" i="1"/>
  <c r="F93" i="1"/>
  <c r="G93" i="1"/>
  <c r="H93" i="1"/>
  <c r="F125" i="1"/>
  <c r="G125" i="1"/>
  <c r="F157" i="1"/>
  <c r="G157" i="1"/>
  <c r="G81" i="1"/>
  <c r="H29" i="1"/>
  <c r="Q101" i="1"/>
  <c r="Q165" i="1"/>
  <c r="G54" i="1"/>
  <c r="F54" i="1"/>
  <c r="G118" i="1"/>
  <c r="F118" i="1"/>
  <c r="Q11" i="1"/>
  <c r="F123" i="1"/>
  <c r="G123" i="1"/>
  <c r="F84" i="1"/>
  <c r="Q175" i="1"/>
  <c r="H53" i="1"/>
  <c r="G39" i="1"/>
  <c r="Q171" i="1"/>
  <c r="F44" i="1"/>
  <c r="G108" i="1"/>
  <c r="F26" i="1"/>
  <c r="Q59" i="1"/>
  <c r="H70" i="1"/>
  <c r="H123" i="1"/>
  <c r="Q51" i="1"/>
  <c r="Q43" i="1"/>
  <c r="Q38" i="1"/>
  <c r="Q102" i="1"/>
  <c r="Q7" i="1"/>
  <c r="Q81" i="1"/>
  <c r="Q18" i="1"/>
  <c r="G35" i="1"/>
  <c r="G107" i="1"/>
  <c r="G171" i="1"/>
  <c r="Q44" i="1"/>
  <c r="Q132" i="1"/>
  <c r="Q172" i="1"/>
  <c r="F169" i="1"/>
  <c r="F81" i="1"/>
  <c r="Q37" i="1"/>
  <c r="Q117" i="1"/>
  <c r="H165" i="1"/>
  <c r="H46" i="1"/>
  <c r="H109" i="1"/>
  <c r="Q145" i="1"/>
  <c r="Q77" i="1"/>
  <c r="F144" i="1"/>
  <c r="F32" i="1"/>
  <c r="H149" i="1"/>
  <c r="G90" i="1"/>
  <c r="F90" i="1"/>
  <c r="G33" i="1"/>
  <c r="Q106" i="1"/>
  <c r="G42" i="1"/>
  <c r="F42" i="1"/>
  <c r="G170" i="1"/>
  <c r="F170" i="1"/>
  <c r="H110" i="1"/>
  <c r="Q173" i="1"/>
  <c r="F39" i="1"/>
  <c r="G44" i="1"/>
  <c r="F116" i="1"/>
  <c r="F164" i="1"/>
  <c r="G26" i="1"/>
  <c r="H77" i="1"/>
  <c r="H166" i="1"/>
</calcChain>
</file>

<file path=xl/sharedStrings.xml><?xml version="1.0" encoding="utf-8"?>
<sst xmlns="http://schemas.openxmlformats.org/spreadsheetml/2006/main" count="206" uniqueCount="78">
  <si>
    <t>Year</t>
  </si>
  <si>
    <t>annex2_OWID</t>
  </si>
  <si>
    <t>annex1_OWID</t>
  </si>
  <si>
    <t>non_annex1_OWID</t>
  </si>
  <si>
    <t>annex2_PRIMAP</t>
  </si>
  <si>
    <t>annex1_PRIMAP</t>
  </si>
  <si>
    <t>non_annex1_PRIMAP</t>
  </si>
  <si>
    <t>annex2_GCP_fossil</t>
  </si>
  <si>
    <t>annex1_GCP_fossil</t>
  </si>
  <si>
    <t>non_annex1_GCP_fossil</t>
  </si>
  <si>
    <t>cum_annex2_OWID</t>
  </si>
  <si>
    <t>cum_annex1_OWID</t>
  </si>
  <si>
    <t>cum_non_ann1_OWID</t>
  </si>
  <si>
    <t>cum_world_OWID</t>
  </si>
  <si>
    <t>pct_annex2_OWID</t>
  </si>
  <si>
    <t>pct_annex1_OWID</t>
  </si>
  <si>
    <t>cum_annex2_PRIMAP</t>
  </si>
  <si>
    <t>cum_annex1_PRIMAP</t>
  </si>
  <si>
    <t>cum_non_ann1_PRIMAP</t>
  </si>
  <si>
    <t>cum_world_PRIMAP</t>
  </si>
  <si>
    <t>pct_annex2_PRIMAP</t>
  </si>
  <si>
    <t>pct_annex1_PRIMAP</t>
  </si>
  <si>
    <t>cum_annex2_GCP_fossil</t>
  </si>
  <si>
    <t>cum_annex1_GCP_fossil</t>
  </si>
  <si>
    <t>cum_non_ann1_GCP_fossil</t>
  </si>
  <si>
    <t>cum_world_GCP_fossil</t>
  </si>
  <si>
    <t>pct_annex2_GCP_fossil</t>
  </si>
  <si>
    <t>pct_annex1_GCP_fossil</t>
  </si>
  <si>
    <t>AII_Min</t>
  </si>
  <si>
    <t>AII_Max</t>
  </si>
  <si>
    <t>AI_Min</t>
  </si>
  <si>
    <t>AI_Max</t>
  </si>
  <si>
    <t>Pure_AII</t>
  </si>
  <si>
    <t>Overlap</t>
  </si>
  <si>
    <t>AI_Gap</t>
  </si>
  <si>
    <t>Pure_AI</t>
  </si>
  <si>
    <t>annex2_GCP_BLUE</t>
  </si>
  <si>
    <t>annex1_GCP_BLUE</t>
  </si>
  <si>
    <t>non_annex1_GCP_BLUE</t>
  </si>
  <si>
    <t>annex2_GCP_OSCAR</t>
  </si>
  <si>
    <t>annex1_GCP_OSCAR</t>
  </si>
  <si>
    <t>non_annex1_GCP_OSCAR</t>
  </si>
  <si>
    <t>cum_annex2_GCP_BLUE</t>
  </si>
  <si>
    <t>cum_annex1_GCP_BLUE</t>
  </si>
  <si>
    <t>cum_non_ann1_GCP_BLUE</t>
  </si>
  <si>
    <t>cum_world_GCP_BLUE</t>
  </si>
  <si>
    <t>pct_annex2_GCP_BLUE</t>
  </si>
  <si>
    <t>pct_annex1_GCP_BLUE</t>
  </si>
  <si>
    <t>cum_annex2_GCP_OSCAR</t>
  </si>
  <si>
    <t>cum_annex1_GCP_OSCAR</t>
  </si>
  <si>
    <t>cum_non_ann1_GCP_OSCAR</t>
  </si>
  <si>
    <t>cum_world_GCP_OSCAR</t>
  </si>
  <si>
    <t>pct_annex2_GCP_OSCAR</t>
  </si>
  <si>
    <t>pct_annex1_GCP_OSCAR</t>
  </si>
  <si>
    <t>annex2_EDGAR</t>
  </si>
  <si>
    <t>annex1_EDGAR</t>
  </si>
  <si>
    <t>non_annex1_EDGAR</t>
  </si>
  <si>
    <t>annex2_ClimateWatch</t>
  </si>
  <si>
    <t>annex1_ClimateWatch</t>
  </si>
  <si>
    <t>non_annex1_ClimateWatch</t>
  </si>
  <si>
    <t>cum_annex2_EDGAR</t>
  </si>
  <si>
    <t>cum_annex1_EDGAR</t>
  </si>
  <si>
    <t>cum_non_ann1_EDGAR</t>
  </si>
  <si>
    <t>cum_world_EDGAR</t>
  </si>
  <si>
    <t>pct_annex2_EDGAR</t>
  </si>
  <si>
    <t>pct_annex1_EDGAR</t>
  </si>
  <si>
    <t>cum_annex2_ClimateWatch</t>
  </si>
  <si>
    <t>cum_annex1_ClimateWatch</t>
  </si>
  <si>
    <t>cum_non_ann1_ClimateWatch</t>
  </si>
  <si>
    <t>cum_world_ClimateWatch</t>
  </si>
  <si>
    <t>pct_annex2_ClimateWatch</t>
  </si>
  <si>
    <t>pct_annex1_ClimateWatch</t>
  </si>
  <si>
    <t>Cumulative CO2 emissions excluding LULUCF to 2024, different start points</t>
  </si>
  <si>
    <t>Annex II GMST</t>
  </si>
  <si>
    <t>Annex I GMST</t>
  </si>
  <si>
    <t>Cumulative CO2 emissions including from LULUCF to 2024, different start points</t>
  </si>
  <si>
    <t>Cumulative GHG emissions excluding LULUCF to 2024, different start points</t>
  </si>
  <si>
    <t>Cumulative GHG emissions including LULUCF to 2024, different start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</si>
</sst>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rgb="FF333333"/>
      <name val="Sofia Pro"/>
      <family val="3"/>
    </font>
    <font>
      <i/>
      <sz val="9"/>
      <color rgb="FF333333"/>
      <name val="Sofia Pro"/>
      <family val="3"/>
    </font>
    <font>
      <sz val="9"/>
      <color theme="1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" fontId="3" fillId="4" borderId="0" xfId="0" applyNumberFormat="1" applyFont="1" applyFill="1"/>
    <xf numFmtId="164" fontId="4" fillId="4" borderId="0" xfId="0" applyNumberFormat="1" applyFont="1" applyFill="1"/>
    <xf numFmtId="164" fontId="3" fillId="4" borderId="0" xfId="0" applyNumberFormat="1" applyFont="1" applyFill="1"/>
    <xf numFmtId="164" fontId="5" fillId="0" borderId="0" xfId="0" applyNumberFormat="1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GHG emissions including LULUCF to 2024, different start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36.435551692977214</c:v>
                </c:pt>
                <c:pt idx="1">
                  <c:v>36.435930458879689</c:v>
                </c:pt>
                <c:pt idx="2">
                  <c:v>36.436122365108211</c:v>
                </c:pt>
                <c:pt idx="3">
                  <c:v>36.436610425539804</c:v>
                </c:pt>
                <c:pt idx="4">
                  <c:v>36.436022288691447</c:v>
                </c:pt>
                <c:pt idx="5">
                  <c:v>36.434368503301947</c:v>
                </c:pt>
                <c:pt idx="6">
                  <c:v>36.432817229764566</c:v>
                </c:pt>
                <c:pt idx="7">
                  <c:v>36.430832317549502</c:v>
                </c:pt>
                <c:pt idx="8">
                  <c:v>36.428716869530575</c:v>
                </c:pt>
                <c:pt idx="9">
                  <c:v>36.426062821947511</c:v>
                </c:pt>
                <c:pt idx="10">
                  <c:v>36.42269282293055</c:v>
                </c:pt>
                <c:pt idx="11">
                  <c:v>36.417718669741419</c:v>
                </c:pt>
                <c:pt idx="12">
                  <c:v>36.412952249853291</c:v>
                </c:pt>
                <c:pt idx="13">
                  <c:v>36.407312837100889</c:v>
                </c:pt>
                <c:pt idx="14">
                  <c:v>36.400856494566654</c:v>
                </c:pt>
                <c:pt idx="15">
                  <c:v>36.394590204232337</c:v>
                </c:pt>
                <c:pt idx="16">
                  <c:v>36.387692633450953</c:v>
                </c:pt>
                <c:pt idx="17">
                  <c:v>36.380974492937625</c:v>
                </c:pt>
                <c:pt idx="18">
                  <c:v>36.372782607212571</c:v>
                </c:pt>
                <c:pt idx="19">
                  <c:v>36.364548210298807</c:v>
                </c:pt>
                <c:pt idx="20">
                  <c:v>36.356200676647425</c:v>
                </c:pt>
                <c:pt idx="21">
                  <c:v>36.34454278093726</c:v>
                </c:pt>
                <c:pt idx="22">
                  <c:v>36.330054088805085</c:v>
                </c:pt>
                <c:pt idx="23">
                  <c:v>36.31425769145298</c:v>
                </c:pt>
                <c:pt idx="24">
                  <c:v>36.29614020282326</c:v>
                </c:pt>
                <c:pt idx="25">
                  <c:v>36.278362214228885</c:v>
                </c:pt>
                <c:pt idx="26">
                  <c:v>36.258578405957834</c:v>
                </c:pt>
                <c:pt idx="27">
                  <c:v>36.238240412671338</c:v>
                </c:pt>
                <c:pt idx="28">
                  <c:v>36.217045073111009</c:v>
                </c:pt>
                <c:pt idx="29">
                  <c:v>36.195159065305695</c:v>
                </c:pt>
                <c:pt idx="30">
                  <c:v>36.171532779064528</c:v>
                </c:pt>
                <c:pt idx="31">
                  <c:v>36.14886070154256</c:v>
                </c:pt>
                <c:pt idx="32">
                  <c:v>36.127622484136438</c:v>
                </c:pt>
                <c:pt idx="33">
                  <c:v>36.105761254580862</c:v>
                </c:pt>
                <c:pt idx="34">
                  <c:v>36.082718000229839</c:v>
                </c:pt>
                <c:pt idx="35">
                  <c:v>36.060057781762517</c:v>
                </c:pt>
                <c:pt idx="36">
                  <c:v>36.038007308966961</c:v>
                </c:pt>
                <c:pt idx="37">
                  <c:v>36.015630780569303</c:v>
                </c:pt>
                <c:pt idx="38">
                  <c:v>35.991906746239991</c:v>
                </c:pt>
                <c:pt idx="39">
                  <c:v>35.966254733990517</c:v>
                </c:pt>
                <c:pt idx="40">
                  <c:v>35.941823587404336</c:v>
                </c:pt>
                <c:pt idx="41">
                  <c:v>35.915779086328257</c:v>
                </c:pt>
                <c:pt idx="42">
                  <c:v>35.888673001286165</c:v>
                </c:pt>
                <c:pt idx="43">
                  <c:v>35.861273087825147</c:v>
                </c:pt>
                <c:pt idx="44">
                  <c:v>35.833888534384862</c:v>
                </c:pt>
                <c:pt idx="45">
                  <c:v>35.80611148647003</c:v>
                </c:pt>
                <c:pt idx="46">
                  <c:v>35.776756116747485</c:v>
                </c:pt>
                <c:pt idx="47">
                  <c:v>35.746255554032551</c:v>
                </c:pt>
                <c:pt idx="48">
                  <c:v>35.714781352487904</c:v>
                </c:pt>
                <c:pt idx="49">
                  <c:v>35.681522887278319</c:v>
                </c:pt>
                <c:pt idx="50">
                  <c:v>35.645002395932984</c:v>
                </c:pt>
                <c:pt idx="51">
                  <c:v>35.607252612807159</c:v>
                </c:pt>
                <c:pt idx="52">
                  <c:v>35.570716996158133</c:v>
                </c:pt>
                <c:pt idx="53">
                  <c:v>35.533129372542803</c:v>
                </c:pt>
                <c:pt idx="54">
                  <c:v>35.492336725034896</c:v>
                </c:pt>
                <c:pt idx="55">
                  <c:v>35.451476797662608</c:v>
                </c:pt>
                <c:pt idx="56">
                  <c:v>35.407641905925153</c:v>
                </c:pt>
                <c:pt idx="57">
                  <c:v>35.362972304488849</c:v>
                </c:pt>
                <c:pt idx="58">
                  <c:v>35.311682028286086</c:v>
                </c:pt>
                <c:pt idx="59">
                  <c:v>35.263501565548907</c:v>
                </c:pt>
                <c:pt idx="60">
                  <c:v>35.21327457157529</c:v>
                </c:pt>
                <c:pt idx="61">
                  <c:v>35.158929692916765</c:v>
                </c:pt>
                <c:pt idx="62">
                  <c:v>35.103851691132512</c:v>
                </c:pt>
                <c:pt idx="63">
                  <c:v>35.046796466041734</c:v>
                </c:pt>
                <c:pt idx="64">
                  <c:v>34.984330970874076</c:v>
                </c:pt>
                <c:pt idx="65">
                  <c:v>34.927310245227929</c:v>
                </c:pt>
                <c:pt idx="66">
                  <c:v>34.871121820611521</c:v>
                </c:pt>
                <c:pt idx="67">
                  <c:v>34.810551596800053</c:v>
                </c:pt>
                <c:pt idx="68">
                  <c:v>34.746268548117918</c:v>
                </c:pt>
                <c:pt idx="69">
                  <c:v>34.678928292145386</c:v>
                </c:pt>
                <c:pt idx="70">
                  <c:v>34.619485179422817</c:v>
                </c:pt>
                <c:pt idx="71">
                  <c:v>34.555750994807902</c:v>
                </c:pt>
                <c:pt idx="72">
                  <c:v>34.503956229626247</c:v>
                </c:pt>
                <c:pt idx="73">
                  <c:v>34.448732805407424</c:v>
                </c:pt>
                <c:pt idx="74">
                  <c:v>34.385204815459211</c:v>
                </c:pt>
                <c:pt idx="75">
                  <c:v>34.321925072466982</c:v>
                </c:pt>
                <c:pt idx="76">
                  <c:v>34.258576045647921</c:v>
                </c:pt>
                <c:pt idx="77">
                  <c:v>34.198447407050949</c:v>
                </c:pt>
                <c:pt idx="78">
                  <c:v>34.13244487104307</c:v>
                </c:pt>
                <c:pt idx="79">
                  <c:v>34.06840213351083</c:v>
                </c:pt>
                <c:pt idx="80">
                  <c:v>33.999600054627635</c:v>
                </c:pt>
                <c:pt idx="81">
                  <c:v>33.942903600426263</c:v>
                </c:pt>
                <c:pt idx="82">
                  <c:v>33.898463137107747</c:v>
                </c:pt>
                <c:pt idx="83">
                  <c:v>33.865055703103529</c:v>
                </c:pt>
                <c:pt idx="84">
                  <c:v>33.829434733007069</c:v>
                </c:pt>
                <c:pt idx="85">
                  <c:v>33.790786105397878</c:v>
                </c:pt>
                <c:pt idx="86">
                  <c:v>33.751096857194142</c:v>
                </c:pt>
                <c:pt idx="87">
                  <c:v>33.706642928054428</c:v>
                </c:pt>
                <c:pt idx="88">
                  <c:v>33.65799466427378</c:v>
                </c:pt>
                <c:pt idx="89">
                  <c:v>33.618077603760206</c:v>
                </c:pt>
                <c:pt idx="90">
                  <c:v>33.573685191491734</c:v>
                </c:pt>
                <c:pt idx="91">
                  <c:v>33.528248955926593</c:v>
                </c:pt>
                <c:pt idx="92">
                  <c:v>33.47895324711385</c:v>
                </c:pt>
                <c:pt idx="93">
                  <c:v>33.422668608162702</c:v>
                </c:pt>
                <c:pt idx="94">
                  <c:v>33.364870938485971</c:v>
                </c:pt>
                <c:pt idx="95">
                  <c:v>33.30725747740496</c:v>
                </c:pt>
                <c:pt idx="96">
                  <c:v>33.2643188640075</c:v>
                </c:pt>
                <c:pt idx="97">
                  <c:v>33.217845447991742</c:v>
                </c:pt>
                <c:pt idx="98">
                  <c:v>33.160341208639757</c:v>
                </c:pt>
                <c:pt idx="99">
                  <c:v>33.095654004363048</c:v>
                </c:pt>
                <c:pt idx="100">
                  <c:v>33.040685182993364</c:v>
                </c:pt>
                <c:pt idx="101">
                  <c:v>32.986145259820574</c:v>
                </c:pt>
                <c:pt idx="102">
                  <c:v>32.933272423714051</c:v>
                </c:pt>
                <c:pt idx="103">
                  <c:v>32.88293339339593</c:v>
                </c:pt>
                <c:pt idx="104">
                  <c:v>32.832860835580234</c:v>
                </c:pt>
                <c:pt idx="105">
                  <c:v>32.790831112959189</c:v>
                </c:pt>
                <c:pt idx="106">
                  <c:v>32.743676360242674</c:v>
                </c:pt>
                <c:pt idx="107">
                  <c:v>32.692301631067892</c:v>
                </c:pt>
                <c:pt idx="108">
                  <c:v>32.645534573223351</c:v>
                </c:pt>
                <c:pt idx="109">
                  <c:v>32.607958298772921</c:v>
                </c:pt>
                <c:pt idx="110">
                  <c:v>32.581026315423998</c:v>
                </c:pt>
                <c:pt idx="111">
                  <c:v>32.537384815910087</c:v>
                </c:pt>
                <c:pt idx="112">
                  <c:v>32.491723098982192</c:v>
                </c:pt>
                <c:pt idx="113">
                  <c:v>32.430058304363847</c:v>
                </c:pt>
                <c:pt idx="114">
                  <c:v>32.362345908827095</c:v>
                </c:pt>
                <c:pt idx="115">
                  <c:v>32.284473720679046</c:v>
                </c:pt>
                <c:pt idx="116">
                  <c:v>32.198521376058679</c:v>
                </c:pt>
                <c:pt idx="117">
                  <c:v>32.10478748744535</c:v>
                </c:pt>
                <c:pt idx="118">
                  <c:v>31.986053187077008</c:v>
                </c:pt>
                <c:pt idx="119">
                  <c:v>31.852646902445937</c:v>
                </c:pt>
                <c:pt idx="120">
                  <c:v>31.72972214491044</c:v>
                </c:pt>
                <c:pt idx="121">
                  <c:v>31.601881150501832</c:v>
                </c:pt>
                <c:pt idx="122">
                  <c:v>31.464758865493199</c:v>
                </c:pt>
                <c:pt idx="123">
                  <c:v>31.327013476595518</c:v>
                </c:pt>
                <c:pt idx="124">
                  <c:v>31.177795099840232</c:v>
                </c:pt>
                <c:pt idx="125">
                  <c:v>31.036151404962691</c:v>
                </c:pt>
                <c:pt idx="126">
                  <c:v>30.906544775763724</c:v>
                </c:pt>
                <c:pt idx="127">
                  <c:v>30.762742581151571</c:v>
                </c:pt>
                <c:pt idx="128">
                  <c:v>30.620411046249391</c:v>
                </c:pt>
                <c:pt idx="129">
                  <c:v>30.480042705884252</c:v>
                </c:pt>
                <c:pt idx="130">
                  <c:v>30.320357149093567</c:v>
                </c:pt>
                <c:pt idx="131">
                  <c:v>30.169069881714272</c:v>
                </c:pt>
                <c:pt idx="132">
                  <c:v>30.02308342647088</c:v>
                </c:pt>
                <c:pt idx="133">
                  <c:v>29.892310880651323</c:v>
                </c:pt>
                <c:pt idx="134">
                  <c:v>29.76715189064026</c:v>
                </c:pt>
                <c:pt idx="135">
                  <c:v>29.646045650980806</c:v>
                </c:pt>
                <c:pt idx="136">
                  <c:v>29.536524539944281</c:v>
                </c:pt>
                <c:pt idx="137">
                  <c:v>29.43854889755762</c:v>
                </c:pt>
                <c:pt idx="138">
                  <c:v>29.328443312140788</c:v>
                </c:pt>
                <c:pt idx="139">
                  <c:v>29.204601422716063</c:v>
                </c:pt>
                <c:pt idx="140">
                  <c:v>29.066637793101506</c:v>
                </c:pt>
                <c:pt idx="141">
                  <c:v>28.898685032153438</c:v>
                </c:pt>
                <c:pt idx="142">
                  <c:v>28.733420549020721</c:v>
                </c:pt>
                <c:pt idx="143">
                  <c:v>28.549503068423547</c:v>
                </c:pt>
                <c:pt idx="144">
                  <c:v>28.355618279919675</c:v>
                </c:pt>
                <c:pt idx="145">
                  <c:v>28.165335073890073</c:v>
                </c:pt>
                <c:pt idx="146">
                  <c:v>27.957913781690319</c:v>
                </c:pt>
                <c:pt idx="147">
                  <c:v>27.738207243750612</c:v>
                </c:pt>
                <c:pt idx="148">
                  <c:v>27.543257636406288</c:v>
                </c:pt>
                <c:pt idx="149">
                  <c:v>27.29878646718139</c:v>
                </c:pt>
                <c:pt idx="150">
                  <c:v>27.036950708133507</c:v>
                </c:pt>
                <c:pt idx="151">
                  <c:v>26.735872828575353</c:v>
                </c:pt>
                <c:pt idx="152">
                  <c:v>26.423562554603354</c:v>
                </c:pt>
                <c:pt idx="153">
                  <c:v>26.061893541307242</c:v>
                </c:pt>
                <c:pt idx="154">
                  <c:v>25.708185750467138</c:v>
                </c:pt>
                <c:pt idx="155">
                  <c:v>25.353859738839162</c:v>
                </c:pt>
                <c:pt idx="156">
                  <c:v>25.024632513834614</c:v>
                </c:pt>
                <c:pt idx="157">
                  <c:v>24.661801781677461</c:v>
                </c:pt>
                <c:pt idx="158">
                  <c:v>24.261991584671549</c:v>
                </c:pt>
                <c:pt idx="159">
                  <c:v>23.942964864669516</c:v>
                </c:pt>
                <c:pt idx="160">
                  <c:v>23.702611003425371</c:v>
                </c:pt>
                <c:pt idx="161">
                  <c:v>23.450558787583589</c:v>
                </c:pt>
                <c:pt idx="162">
                  <c:v>23.110161074251923</c:v>
                </c:pt>
                <c:pt idx="163">
                  <c:v>22.81683458885038</c:v>
                </c:pt>
                <c:pt idx="164">
                  <c:v>22.637646869057324</c:v>
                </c:pt>
                <c:pt idx="165">
                  <c:v>22.464956242969176</c:v>
                </c:pt>
                <c:pt idx="166">
                  <c:v>22.287273276514323</c:v>
                </c:pt>
                <c:pt idx="167">
                  <c:v>22.173457617359215</c:v>
                </c:pt>
                <c:pt idx="168">
                  <c:v>21.887473996014307</c:v>
                </c:pt>
                <c:pt idx="169">
                  <c:v>21.533508715571131</c:v>
                </c:pt>
                <c:pt idx="170">
                  <c:v>21.28082352474053</c:v>
                </c:pt>
                <c:pt idx="171">
                  <c:v>21.314357854933043</c:v>
                </c:pt>
                <c:pt idx="172">
                  <c:v>21.236644560776597</c:v>
                </c:pt>
                <c:pt idx="173">
                  <c:v>21.06546642224021</c:v>
                </c:pt>
                <c:pt idx="174">
                  <c:v>20.161409886951269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E-4C79-9F25-9E38AD8CEB79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3.0187333026094478</c:v>
                </c:pt>
                <c:pt idx="1">
                  <c:v>3.0159396696642347</c:v>
                </c:pt>
                <c:pt idx="2">
                  <c:v>3.0127503649290688</c:v>
                </c:pt>
                <c:pt idx="3">
                  <c:v>3.0040860446232571</c:v>
                </c:pt>
                <c:pt idx="4">
                  <c:v>2.9952391602428463</c:v>
                </c:pt>
                <c:pt idx="5">
                  <c:v>2.9855670715935929</c:v>
                </c:pt>
                <c:pt idx="6">
                  <c:v>2.9746737353669914</c:v>
                </c:pt>
                <c:pt idx="7">
                  <c:v>2.9632228615630822</c:v>
                </c:pt>
                <c:pt idx="8">
                  <c:v>2.9512766986180026</c:v>
                </c:pt>
                <c:pt idx="9">
                  <c:v>2.9392802732152603</c:v>
                </c:pt>
                <c:pt idx="10">
                  <c:v>2.9270728805253583</c:v>
                </c:pt>
                <c:pt idx="11">
                  <c:v>2.9152967335795594</c:v>
                </c:pt>
                <c:pt idx="12">
                  <c:v>2.9027930418027807</c:v>
                </c:pt>
                <c:pt idx="13">
                  <c:v>2.8943429013396411</c:v>
                </c:pt>
                <c:pt idx="14">
                  <c:v>2.8862504971222975</c:v>
                </c:pt>
                <c:pt idx="15">
                  <c:v>2.877358919519061</c:v>
                </c:pt>
                <c:pt idx="16">
                  <c:v>2.8685869130849468</c:v>
                </c:pt>
                <c:pt idx="17">
                  <c:v>2.8593125936493848</c:v>
                </c:pt>
                <c:pt idx="18">
                  <c:v>2.8509505624281601</c:v>
                </c:pt>
                <c:pt idx="19">
                  <c:v>2.8424413983096457</c:v>
                </c:pt>
                <c:pt idx="20">
                  <c:v>2.8334608995201123</c:v>
                </c:pt>
                <c:pt idx="21">
                  <c:v>2.8276693344569352</c:v>
                </c:pt>
                <c:pt idx="22">
                  <c:v>2.8249002113348567</c:v>
                </c:pt>
                <c:pt idx="23">
                  <c:v>2.8163805746543531</c:v>
                </c:pt>
                <c:pt idx="24">
                  <c:v>2.8089452728645909</c:v>
                </c:pt>
                <c:pt idx="25">
                  <c:v>2.8018189014567199</c:v>
                </c:pt>
                <c:pt idx="26">
                  <c:v>2.7950842607687392</c:v>
                </c:pt>
                <c:pt idx="27">
                  <c:v>2.7886130203759976</c:v>
                </c:pt>
                <c:pt idx="28">
                  <c:v>2.7822068675447085</c:v>
                </c:pt>
                <c:pt idx="29">
                  <c:v>2.7761491141087618</c:v>
                </c:pt>
                <c:pt idx="30">
                  <c:v>2.7703473384528223</c:v>
                </c:pt>
                <c:pt idx="31">
                  <c:v>2.7609372404534795</c:v>
                </c:pt>
                <c:pt idx="32">
                  <c:v>2.7506663806907099</c:v>
                </c:pt>
                <c:pt idx="33">
                  <c:v>2.7443779086586915</c:v>
                </c:pt>
                <c:pt idx="34">
                  <c:v>2.738554846638884</c:v>
                </c:pt>
                <c:pt idx="35">
                  <c:v>2.7325751753238592</c:v>
                </c:pt>
                <c:pt idx="36">
                  <c:v>2.7262681217873492</c:v>
                </c:pt>
                <c:pt idx="37">
                  <c:v>2.7202455356862814</c:v>
                </c:pt>
                <c:pt idx="38">
                  <c:v>2.7148517634731419</c:v>
                </c:pt>
                <c:pt idx="39">
                  <c:v>2.7092171591963137</c:v>
                </c:pt>
                <c:pt idx="40">
                  <c:v>2.7029069649224056</c:v>
                </c:pt>
                <c:pt idx="41">
                  <c:v>2.6962226607411139</c:v>
                </c:pt>
                <c:pt idx="42">
                  <c:v>2.6896329904668832</c:v>
                </c:pt>
                <c:pt idx="43">
                  <c:v>2.6821079998652522</c:v>
                </c:pt>
                <c:pt idx="44">
                  <c:v>2.6752836201555326</c:v>
                </c:pt>
                <c:pt idx="45">
                  <c:v>2.6682612340882912</c:v>
                </c:pt>
                <c:pt idx="46">
                  <c:v>2.6612018957739778</c:v>
                </c:pt>
                <c:pt idx="47">
                  <c:v>2.6543978341147749</c:v>
                </c:pt>
                <c:pt idx="48">
                  <c:v>2.6471945188438966</c:v>
                </c:pt>
                <c:pt idx="49">
                  <c:v>2.6403466284612094</c:v>
                </c:pt>
                <c:pt idx="50">
                  <c:v>2.6334220563181034</c:v>
                </c:pt>
                <c:pt idx="51">
                  <c:v>2.6255910746998126</c:v>
                </c:pt>
                <c:pt idx="52">
                  <c:v>2.6187148119652761</c:v>
                </c:pt>
                <c:pt idx="53">
                  <c:v>2.6157835030741126</c:v>
                </c:pt>
                <c:pt idx="54">
                  <c:v>2.6137421522228905</c:v>
                </c:pt>
                <c:pt idx="55">
                  <c:v>2.6138417397251885</c:v>
                </c:pt>
                <c:pt idx="56">
                  <c:v>2.6153011322733875</c:v>
                </c:pt>
                <c:pt idx="57">
                  <c:v>2.6181280473726929</c:v>
                </c:pt>
                <c:pt idx="58">
                  <c:v>2.6212003882154349</c:v>
                </c:pt>
                <c:pt idx="59">
                  <c:v>2.6252753429012827</c:v>
                </c:pt>
                <c:pt idx="60">
                  <c:v>2.6295623684435938</c:v>
                </c:pt>
                <c:pt idx="61">
                  <c:v>2.6348549223084277</c:v>
                </c:pt>
                <c:pt idx="62">
                  <c:v>2.6377991958378146</c:v>
                </c:pt>
                <c:pt idx="63">
                  <c:v>2.6405320695712931</c:v>
                </c:pt>
                <c:pt idx="64">
                  <c:v>2.6419582425763011</c:v>
                </c:pt>
                <c:pt idx="65">
                  <c:v>2.6442959461891746</c:v>
                </c:pt>
                <c:pt idx="66">
                  <c:v>2.6461739676900677</c:v>
                </c:pt>
                <c:pt idx="67">
                  <c:v>2.6476768460968714</c:v>
                </c:pt>
                <c:pt idx="68">
                  <c:v>2.6500670662881021</c:v>
                </c:pt>
                <c:pt idx="69">
                  <c:v>2.6537366663261892</c:v>
                </c:pt>
                <c:pt idx="70">
                  <c:v>2.658140915184724</c:v>
                </c:pt>
                <c:pt idx="71">
                  <c:v>2.6585357190259913</c:v>
                </c:pt>
                <c:pt idx="72">
                  <c:v>2.6623663706389351</c:v>
                </c:pt>
                <c:pt idx="73">
                  <c:v>2.6682766291285986</c:v>
                </c:pt>
                <c:pt idx="74">
                  <c:v>2.6720719166414426</c:v>
                </c:pt>
                <c:pt idx="75">
                  <c:v>2.6774321948033091</c:v>
                </c:pt>
                <c:pt idx="76">
                  <c:v>2.6826067545118732</c:v>
                </c:pt>
                <c:pt idx="77">
                  <c:v>2.6884479701592738</c:v>
                </c:pt>
                <c:pt idx="78">
                  <c:v>2.6893827946017268</c:v>
                </c:pt>
                <c:pt idx="79">
                  <c:v>2.6904853302632503</c:v>
                </c:pt>
                <c:pt idx="80">
                  <c:v>2.6879150507113394</c:v>
                </c:pt>
                <c:pt idx="81">
                  <c:v>2.676711593193005</c:v>
                </c:pt>
                <c:pt idx="82">
                  <c:v>2.6664326935557128</c:v>
                </c:pt>
                <c:pt idx="83">
                  <c:v>2.6645360866490435</c:v>
                </c:pt>
                <c:pt idx="84">
                  <c:v>2.662966514948387</c:v>
                </c:pt>
                <c:pt idx="85">
                  <c:v>2.6609160475567037</c:v>
                </c:pt>
                <c:pt idx="86">
                  <c:v>2.6585674371749235</c:v>
                </c:pt>
                <c:pt idx="87">
                  <c:v>2.6556589971415505</c:v>
                </c:pt>
                <c:pt idx="88">
                  <c:v>2.6537225933269966</c:v>
                </c:pt>
                <c:pt idx="89">
                  <c:v>2.6528076639405782</c:v>
                </c:pt>
                <c:pt idx="90">
                  <c:v>2.6512401911547627</c:v>
                </c:pt>
                <c:pt idx="91">
                  <c:v>2.6514027975029819</c:v>
                </c:pt>
                <c:pt idx="92">
                  <c:v>2.6493115272378205</c:v>
                </c:pt>
                <c:pt idx="93">
                  <c:v>2.6460426766262017</c:v>
                </c:pt>
                <c:pt idx="94">
                  <c:v>2.6460276779446659</c:v>
                </c:pt>
                <c:pt idx="95">
                  <c:v>2.6473233067333837</c:v>
                </c:pt>
                <c:pt idx="96">
                  <c:v>2.6515789012905771</c:v>
                </c:pt>
                <c:pt idx="97">
                  <c:v>2.660823598853078</c:v>
                </c:pt>
                <c:pt idx="98">
                  <c:v>2.6681903149628781</c:v>
                </c:pt>
                <c:pt idx="99">
                  <c:v>2.6769579809516131</c:v>
                </c:pt>
                <c:pt idx="100">
                  <c:v>2.6886173704055736</c:v>
                </c:pt>
                <c:pt idx="101">
                  <c:v>2.6860462902642865</c:v>
                </c:pt>
                <c:pt idx="102">
                  <c:v>2.6801558434428401</c:v>
                </c:pt>
                <c:pt idx="103">
                  <c:v>2.6819403442207204</c:v>
                </c:pt>
                <c:pt idx="104">
                  <c:v>2.684304723899416</c:v>
                </c:pt>
                <c:pt idx="105">
                  <c:v>2.6843042845358625</c:v>
                </c:pt>
                <c:pt idx="106">
                  <c:v>2.6850481445387828</c:v>
                </c:pt>
                <c:pt idx="107">
                  <c:v>2.6858717018684075</c:v>
                </c:pt>
                <c:pt idx="108">
                  <c:v>2.6870502083151635</c:v>
                </c:pt>
                <c:pt idx="109">
                  <c:v>2.6869862364419248</c:v>
                </c:pt>
                <c:pt idx="110">
                  <c:v>2.6784092611976291</c:v>
                </c:pt>
                <c:pt idx="111">
                  <c:v>2.6806060297848759</c:v>
                </c:pt>
                <c:pt idx="112">
                  <c:v>2.6845901455604206</c:v>
                </c:pt>
                <c:pt idx="113">
                  <c:v>2.6940910443371635</c:v>
                </c:pt>
                <c:pt idx="114">
                  <c:v>2.7020283622726922</c:v>
                </c:pt>
                <c:pt idx="115">
                  <c:v>2.7134699686362538</c:v>
                </c:pt>
                <c:pt idx="116">
                  <c:v>2.7291876474221368</c:v>
                </c:pt>
                <c:pt idx="117">
                  <c:v>2.7448830430411846</c:v>
                </c:pt>
                <c:pt idx="118">
                  <c:v>2.7739930938899953</c:v>
                </c:pt>
                <c:pt idx="119">
                  <c:v>2.8020236054808514</c:v>
                </c:pt>
                <c:pt idx="120">
                  <c:v>2.804917714979986</c:v>
                </c:pt>
                <c:pt idx="121">
                  <c:v>2.8019827615438189</c:v>
                </c:pt>
                <c:pt idx="122">
                  <c:v>2.8099706707565879</c:v>
                </c:pt>
                <c:pt idx="123">
                  <c:v>2.8052773046519661</c:v>
                </c:pt>
                <c:pt idx="124">
                  <c:v>2.802095880296342</c:v>
                </c:pt>
                <c:pt idx="125">
                  <c:v>2.8012106752194761</c:v>
                </c:pt>
                <c:pt idx="126">
                  <c:v>2.8078379602434715</c:v>
                </c:pt>
                <c:pt idx="127">
                  <c:v>2.8143332303296091</c:v>
                </c:pt>
                <c:pt idx="128">
                  <c:v>2.8211336160384413</c:v>
                </c:pt>
                <c:pt idx="129">
                  <c:v>2.8208226653533188</c:v>
                </c:pt>
                <c:pt idx="130">
                  <c:v>2.8282423765300138</c:v>
                </c:pt>
                <c:pt idx="131">
                  <c:v>2.8380547831773271</c:v>
                </c:pt>
                <c:pt idx="132">
                  <c:v>2.8508344954524567</c:v>
                </c:pt>
                <c:pt idx="133">
                  <c:v>2.8856557211623013</c:v>
                </c:pt>
                <c:pt idx="134">
                  <c:v>2.9247142079167183</c:v>
                </c:pt>
                <c:pt idx="135">
                  <c:v>2.9583814453969133</c:v>
                </c:pt>
                <c:pt idx="136">
                  <c:v>2.9907457565152598</c:v>
                </c:pt>
                <c:pt idx="137">
                  <c:v>3.0206409811580919</c:v>
                </c:pt>
                <c:pt idx="138">
                  <c:v>3.0591486667947869</c:v>
                </c:pt>
                <c:pt idx="139">
                  <c:v>3.1034224278616556</c:v>
                </c:pt>
                <c:pt idx="140">
                  <c:v>3.1535490704006506</c:v>
                </c:pt>
                <c:pt idx="141">
                  <c:v>3.1795872734149881</c:v>
                </c:pt>
                <c:pt idx="142">
                  <c:v>3.2084417921830983</c:v>
                </c:pt>
                <c:pt idx="143">
                  <c:v>3.2333079566934622</c:v>
                </c:pt>
                <c:pt idx="144">
                  <c:v>3.2582482435487847</c:v>
                </c:pt>
                <c:pt idx="145">
                  <c:v>3.1913664569540927</c:v>
                </c:pt>
                <c:pt idx="146">
                  <c:v>3.1478878572155935</c:v>
                </c:pt>
                <c:pt idx="147">
                  <c:v>3.0875756944634247</c:v>
                </c:pt>
                <c:pt idx="148">
                  <c:v>2.9702929026796561</c:v>
                </c:pt>
                <c:pt idx="149">
                  <c:v>2.8989425352277429</c:v>
                </c:pt>
                <c:pt idx="150">
                  <c:v>2.8175321117741241</c:v>
                </c:pt>
                <c:pt idx="151">
                  <c:v>2.7282173459833245</c:v>
                </c:pt>
                <c:pt idx="152">
                  <c:v>2.6477718841246265</c:v>
                </c:pt>
                <c:pt idx="153">
                  <c:v>2.6112517654358456</c:v>
                </c:pt>
                <c:pt idx="154">
                  <c:v>2.6117722338584031</c:v>
                </c:pt>
                <c:pt idx="155">
                  <c:v>2.6180370708506331</c:v>
                </c:pt>
                <c:pt idx="156">
                  <c:v>2.5781503804999915</c:v>
                </c:pt>
                <c:pt idx="157">
                  <c:v>2.5728772996337206</c:v>
                </c:pt>
                <c:pt idx="158">
                  <c:v>2.5569039851855848</c:v>
                </c:pt>
                <c:pt idx="159">
                  <c:v>2.4955079640197475</c:v>
                </c:pt>
                <c:pt idx="160">
                  <c:v>2.3938628393699446</c:v>
                </c:pt>
                <c:pt idx="161">
                  <c:v>2.262442307865129</c:v>
                </c:pt>
                <c:pt idx="162">
                  <c:v>2.3298571802700323</c:v>
                </c:pt>
                <c:pt idx="163">
                  <c:v>2.4006609014828832</c:v>
                </c:pt>
                <c:pt idx="164">
                  <c:v>2.2755500604810663</c:v>
                </c:pt>
                <c:pt idx="165">
                  <c:v>2.1635368804170731</c:v>
                </c:pt>
                <c:pt idx="166">
                  <c:v>2.0904450304834832</c:v>
                </c:pt>
                <c:pt idx="167">
                  <c:v>1.9558214828834899</c:v>
                </c:pt>
                <c:pt idx="168">
                  <c:v>1.9559377129823794</c:v>
                </c:pt>
                <c:pt idx="169">
                  <c:v>1.9295429108799382</c:v>
                </c:pt>
                <c:pt idx="170">
                  <c:v>1.8580369144635434</c:v>
                </c:pt>
                <c:pt idx="171">
                  <c:v>1.6351754351753449</c:v>
                </c:pt>
                <c:pt idx="172">
                  <c:v>1.569097867559055</c:v>
                </c:pt>
                <c:pt idx="173">
                  <c:v>1.7591593768213123</c:v>
                </c:pt>
                <c:pt idx="174">
                  <c:v>4.1635484241035776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E-4C79-9F25-9E38AD8CEB79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E-4C79-9F25-9E38AD8CEB79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9.935670643795028</c:v>
                </c:pt>
                <c:pt idx="1">
                  <c:v>9.932386753199296</c:v>
                </c:pt>
                <c:pt idx="2">
                  <c:v>9.9298581014361389</c:v>
                </c:pt>
                <c:pt idx="3">
                  <c:v>9.932099015817009</c:v>
                </c:pt>
                <c:pt idx="4">
                  <c:v>9.9353139198404463</c:v>
                </c:pt>
                <c:pt idx="5">
                  <c:v>9.9389081141286368</c:v>
                </c:pt>
                <c:pt idx="6">
                  <c:v>9.9437670172378319</c:v>
                </c:pt>
                <c:pt idx="7">
                  <c:v>9.9491065304106243</c:v>
                </c:pt>
                <c:pt idx="8">
                  <c:v>9.954775867587152</c:v>
                </c:pt>
                <c:pt idx="9">
                  <c:v>9.9604813986904475</c:v>
                </c:pt>
                <c:pt idx="10">
                  <c:v>9.9664062645499953</c:v>
                </c:pt>
                <c:pt idx="11">
                  <c:v>9.9719464758223566</c:v>
                </c:pt>
                <c:pt idx="12">
                  <c:v>9.9777016327753429</c:v>
                </c:pt>
                <c:pt idx="13">
                  <c:v>9.979326720394198</c:v>
                </c:pt>
                <c:pt idx="14">
                  <c:v>9.9808871615405508</c:v>
                </c:pt>
                <c:pt idx="15">
                  <c:v>9.9823003195256845</c:v>
                </c:pt>
                <c:pt idx="16">
                  <c:v>9.9838671807086072</c:v>
                </c:pt>
                <c:pt idx="17">
                  <c:v>9.9848998863730358</c:v>
                </c:pt>
                <c:pt idx="18">
                  <c:v>9.9862443828262926</c:v>
                </c:pt>
                <c:pt idx="19">
                  <c:v>9.9872064629192963</c:v>
                </c:pt>
                <c:pt idx="20">
                  <c:v>9.9884592769186682</c:v>
                </c:pt>
                <c:pt idx="21">
                  <c:v>9.9858579570600341</c:v>
                </c:pt>
                <c:pt idx="22">
                  <c:v>9.9811702492444496</c:v>
                </c:pt>
                <c:pt idx="23">
                  <c:v>9.9816643844897257</c:v>
                </c:pt>
                <c:pt idx="24">
                  <c:v>9.9817222794302154</c:v>
                </c:pt>
                <c:pt idx="25">
                  <c:v>9.9804582647703768</c:v>
                </c:pt>
                <c:pt idx="26">
                  <c:v>9.9793728580172356</c:v>
                </c:pt>
                <c:pt idx="27">
                  <c:v>9.9775553024659729</c:v>
                </c:pt>
                <c:pt idx="28">
                  <c:v>9.9756662109001226</c:v>
                </c:pt>
                <c:pt idx="29">
                  <c:v>9.9729954187417746</c:v>
                </c:pt>
                <c:pt idx="30">
                  <c:v>9.9699835137552668</c:v>
                </c:pt>
                <c:pt idx="31">
                  <c:v>9.9703073289074879</c:v>
                </c:pt>
                <c:pt idx="32">
                  <c:v>9.9713329831521378</c:v>
                </c:pt>
                <c:pt idx="33">
                  <c:v>9.9682838452807658</c:v>
                </c:pt>
                <c:pt idx="34">
                  <c:v>9.9646743240064453</c:v>
                </c:pt>
                <c:pt idx="35">
                  <c:v>9.9604915890785364</c:v>
                </c:pt>
                <c:pt idx="36">
                  <c:v>9.9560844677056863</c:v>
                </c:pt>
                <c:pt idx="37">
                  <c:v>9.9517714611877679</c:v>
                </c:pt>
                <c:pt idx="38">
                  <c:v>9.947495720276045</c:v>
                </c:pt>
                <c:pt idx="39">
                  <c:v>9.9432610297030877</c:v>
                </c:pt>
                <c:pt idx="40">
                  <c:v>9.9391699029881551</c:v>
                </c:pt>
                <c:pt idx="41">
                  <c:v>9.9334820375814203</c:v>
                </c:pt>
                <c:pt idx="42">
                  <c:v>9.9273858406267124</c:v>
                </c:pt>
                <c:pt idx="43">
                  <c:v>9.9216656462342456</c:v>
                </c:pt>
                <c:pt idx="44">
                  <c:v>9.9150470816167484</c:v>
                </c:pt>
                <c:pt idx="45">
                  <c:v>9.9074943674362999</c:v>
                </c:pt>
                <c:pt idx="46">
                  <c:v>9.9004659372802593</c:v>
                </c:pt>
                <c:pt idx="47">
                  <c:v>9.8931424755618593</c:v>
                </c:pt>
                <c:pt idx="48">
                  <c:v>9.8857166271022834</c:v>
                </c:pt>
                <c:pt idx="49">
                  <c:v>9.8772955228271542</c:v>
                </c:pt>
                <c:pt idx="50">
                  <c:v>9.8692897131157551</c:v>
                </c:pt>
                <c:pt idx="51">
                  <c:v>9.8611698585031533</c:v>
                </c:pt>
                <c:pt idx="52">
                  <c:v>9.8504777765066578</c:v>
                </c:pt>
                <c:pt idx="53">
                  <c:v>9.8357191048203987</c:v>
                </c:pt>
                <c:pt idx="54">
                  <c:v>9.819578776509438</c:v>
                </c:pt>
                <c:pt idx="55">
                  <c:v>9.8004659397307989</c:v>
                </c:pt>
                <c:pt idx="56">
                  <c:v>9.7792093914981351</c:v>
                </c:pt>
                <c:pt idx="57">
                  <c:v>9.7559409836568705</c:v>
                </c:pt>
                <c:pt idx="58">
                  <c:v>9.7319866531128341</c:v>
                </c:pt>
                <c:pt idx="59">
                  <c:v>9.705421221380341</c:v>
                </c:pt>
                <c:pt idx="60">
                  <c:v>9.6778545773664248</c:v>
                </c:pt>
                <c:pt idx="61">
                  <c:v>9.658320940472592</c:v>
                </c:pt>
                <c:pt idx="62">
                  <c:v>9.6436125471531469</c:v>
                </c:pt>
                <c:pt idx="63">
                  <c:v>9.6295522866087495</c:v>
                </c:pt>
                <c:pt idx="64">
                  <c:v>9.6197359306617116</c:v>
                </c:pt>
                <c:pt idx="65">
                  <c:v>9.6107239956374997</c:v>
                </c:pt>
                <c:pt idx="66">
                  <c:v>9.6038508321344693</c:v>
                </c:pt>
                <c:pt idx="67">
                  <c:v>9.5974764387493607</c:v>
                </c:pt>
                <c:pt idx="68">
                  <c:v>9.5933587894744008</c:v>
                </c:pt>
                <c:pt idx="69">
                  <c:v>9.5930824315186172</c:v>
                </c:pt>
                <c:pt idx="70">
                  <c:v>9.5945764807622353</c:v>
                </c:pt>
                <c:pt idx="71">
                  <c:v>9.5968930767695682</c:v>
                </c:pt>
                <c:pt idx="72">
                  <c:v>9.5928611214148845</c:v>
                </c:pt>
                <c:pt idx="73">
                  <c:v>9.5872203216630751</c:v>
                </c:pt>
                <c:pt idx="74">
                  <c:v>9.5846722233692105</c:v>
                </c:pt>
                <c:pt idx="75">
                  <c:v>9.5820744844155854</c:v>
                </c:pt>
                <c:pt idx="76">
                  <c:v>9.5777289893927673</c:v>
                </c:pt>
                <c:pt idx="77">
                  <c:v>9.5708177021979566</c:v>
                </c:pt>
                <c:pt idx="78">
                  <c:v>9.5686536898210335</c:v>
                </c:pt>
                <c:pt idx="79">
                  <c:v>9.5655996944804471</c:v>
                </c:pt>
                <c:pt idx="80">
                  <c:v>9.5644873669794919</c:v>
                </c:pt>
                <c:pt idx="81">
                  <c:v>9.5645722254682184</c:v>
                </c:pt>
                <c:pt idx="82">
                  <c:v>9.5586786349773689</c:v>
                </c:pt>
                <c:pt idx="83">
                  <c:v>9.5411892218368024</c:v>
                </c:pt>
                <c:pt idx="84">
                  <c:v>9.523240838748066</c:v>
                </c:pt>
                <c:pt idx="85">
                  <c:v>9.5045437763639384</c:v>
                </c:pt>
                <c:pt idx="86">
                  <c:v>9.4836644636891734</c:v>
                </c:pt>
                <c:pt idx="87">
                  <c:v>9.4611594982832372</c:v>
                </c:pt>
                <c:pt idx="88">
                  <c:v>9.4378389971114416</c:v>
                </c:pt>
                <c:pt idx="89">
                  <c:v>9.410061485253145</c:v>
                </c:pt>
                <c:pt idx="90">
                  <c:v>9.3836529512579503</c:v>
                </c:pt>
                <c:pt idx="91">
                  <c:v>9.3609590321976839</c:v>
                </c:pt>
                <c:pt idx="92">
                  <c:v>9.3482845135486627</c:v>
                </c:pt>
                <c:pt idx="93">
                  <c:v>9.3469438219906849</c:v>
                </c:pt>
                <c:pt idx="94">
                  <c:v>9.344599402963766</c:v>
                </c:pt>
                <c:pt idx="95">
                  <c:v>9.342680748133823</c:v>
                </c:pt>
                <c:pt idx="96">
                  <c:v>9.3420156827743313</c:v>
                </c:pt>
                <c:pt idx="97">
                  <c:v>9.3369264815079944</c:v>
                </c:pt>
                <c:pt idx="98">
                  <c:v>9.3362974202840761</c:v>
                </c:pt>
                <c:pt idx="99">
                  <c:v>9.3364882343208109</c:v>
                </c:pt>
                <c:pt idx="100">
                  <c:v>9.3320219801862763</c:v>
                </c:pt>
                <c:pt idx="101">
                  <c:v>9.3383460464318517</c:v>
                </c:pt>
                <c:pt idx="102">
                  <c:v>9.3449789161865908</c:v>
                </c:pt>
                <c:pt idx="103">
                  <c:v>9.3396523421450439</c:v>
                </c:pt>
                <c:pt idx="104">
                  <c:v>9.3302416013195213</c:v>
                </c:pt>
                <c:pt idx="105">
                  <c:v>9.3192624023076576</c:v>
                </c:pt>
                <c:pt idx="106">
                  <c:v>9.3040628674470227</c:v>
                </c:pt>
                <c:pt idx="107">
                  <c:v>9.2850435960498174</c:v>
                </c:pt>
                <c:pt idx="108">
                  <c:v>9.261055045669309</c:v>
                </c:pt>
                <c:pt idx="109">
                  <c:v>9.2339534039799958</c:v>
                </c:pt>
                <c:pt idx="110">
                  <c:v>9.2040304384731471</c:v>
                </c:pt>
                <c:pt idx="111">
                  <c:v>9.1670683203340175</c:v>
                </c:pt>
                <c:pt idx="112">
                  <c:v>9.1248558436395442</c:v>
                </c:pt>
                <c:pt idx="113">
                  <c:v>9.0828559846327295</c:v>
                </c:pt>
                <c:pt idx="114">
                  <c:v>9.0382630227106091</c:v>
                </c:pt>
                <c:pt idx="115">
                  <c:v>8.9884209109571813</c:v>
                </c:pt>
                <c:pt idx="116">
                  <c:v>8.9322742618198205</c:v>
                </c:pt>
                <c:pt idx="117">
                  <c:v>8.8742280989597617</c:v>
                </c:pt>
                <c:pt idx="118">
                  <c:v>8.7999581652171557</c:v>
                </c:pt>
                <c:pt idx="119">
                  <c:v>8.7224797190662358</c:v>
                </c:pt>
                <c:pt idx="120">
                  <c:v>8.6739472776733493</c:v>
                </c:pt>
                <c:pt idx="121">
                  <c:v>8.6239499399569723</c:v>
                </c:pt>
                <c:pt idx="122">
                  <c:v>8.5610936564542399</c:v>
                </c:pt>
                <c:pt idx="123">
                  <c:v>8.5089019428465775</c:v>
                </c:pt>
                <c:pt idx="124">
                  <c:v>8.4490003104244735</c:v>
                </c:pt>
                <c:pt idx="125">
                  <c:v>8.3786472464819255</c:v>
                </c:pt>
                <c:pt idx="126">
                  <c:v>8.2906061248957172</c:v>
                </c:pt>
                <c:pt idx="127">
                  <c:v>8.1950741528353603</c:v>
                </c:pt>
                <c:pt idx="128">
                  <c:v>8.096228763515775</c:v>
                </c:pt>
                <c:pt idx="129">
                  <c:v>7.9963638035897304</c:v>
                </c:pt>
                <c:pt idx="130">
                  <c:v>7.8859409927593234</c:v>
                </c:pt>
                <c:pt idx="131">
                  <c:v>7.7560165386112416</c:v>
                </c:pt>
                <c:pt idx="132">
                  <c:v>7.6278174226620834</c:v>
                </c:pt>
                <c:pt idx="133">
                  <c:v>7.4653907361337772</c:v>
                </c:pt>
                <c:pt idx="134">
                  <c:v>7.2937590749343215</c:v>
                </c:pt>
                <c:pt idx="135">
                  <c:v>7.125394196190932</c:v>
                </c:pt>
                <c:pt idx="136">
                  <c:v>6.9427362873295309</c:v>
                </c:pt>
                <c:pt idx="137">
                  <c:v>6.7577199695537828</c:v>
                </c:pt>
                <c:pt idx="138">
                  <c:v>6.5588512366325489</c:v>
                </c:pt>
                <c:pt idx="139">
                  <c:v>6.3490623139713946</c:v>
                </c:pt>
                <c:pt idx="140">
                  <c:v>3.8123132553840477</c:v>
                </c:pt>
                <c:pt idx="141">
                  <c:v>3.5864275907049645</c:v>
                </c:pt>
                <c:pt idx="142">
                  <c:v>3.358034566536805</c:v>
                </c:pt>
                <c:pt idx="143">
                  <c:v>3.1705768165534316</c:v>
                </c:pt>
                <c:pt idx="144">
                  <c:v>3.0019693099064924</c:v>
                </c:pt>
                <c:pt idx="145">
                  <c:v>2.9144452822048272</c:v>
                </c:pt>
                <c:pt idx="146">
                  <c:v>2.8174153704299165</c:v>
                </c:pt>
                <c:pt idx="147">
                  <c:v>2.7622132311672978</c:v>
                </c:pt>
                <c:pt idx="148">
                  <c:v>2.7156200834474298</c:v>
                </c:pt>
                <c:pt idx="149">
                  <c:v>2.6852938176168522</c:v>
                </c:pt>
                <c:pt idx="150">
                  <c:v>2.6425789349212749</c:v>
                </c:pt>
                <c:pt idx="151">
                  <c:v>2.6029875408395995</c:v>
                </c:pt>
                <c:pt idx="152">
                  <c:v>2.5862561654224407</c:v>
                </c:pt>
                <c:pt idx="153">
                  <c:v>2.5676998041425847</c:v>
                </c:pt>
                <c:pt idx="154">
                  <c:v>2.5147157360528887</c:v>
                </c:pt>
                <c:pt idx="155">
                  <c:v>2.4823623949672005</c:v>
                </c:pt>
                <c:pt idx="156">
                  <c:v>2.4984293296992313</c:v>
                </c:pt>
                <c:pt idx="157">
                  <c:v>2.4726783312997966</c:v>
                </c:pt>
                <c:pt idx="158">
                  <c:v>2.4512471368473037</c:v>
                </c:pt>
                <c:pt idx="159">
                  <c:v>2.4602340352732632</c:v>
                </c:pt>
                <c:pt idx="160">
                  <c:v>2.5613976464161219</c:v>
                </c:pt>
                <c:pt idx="161">
                  <c:v>2.6875851335175618</c:v>
                </c:pt>
                <c:pt idx="162">
                  <c:v>2.5978103450891403</c:v>
                </c:pt>
                <c:pt idx="163">
                  <c:v>2.5113963304556997</c:v>
                </c:pt>
                <c:pt idx="164">
                  <c:v>2.6395958875806258</c:v>
                </c:pt>
                <c:pt idx="165">
                  <c:v>2.7624071547657856</c:v>
                </c:pt>
                <c:pt idx="166">
                  <c:v>2.8815364910676458</c:v>
                </c:pt>
                <c:pt idx="167">
                  <c:v>3.0465112573529964</c:v>
                </c:pt>
                <c:pt idx="168">
                  <c:v>3.0800042113488786</c:v>
                </c:pt>
                <c:pt idx="169">
                  <c:v>3.0578491852271092</c:v>
                </c:pt>
                <c:pt idx="170">
                  <c:v>3.0831465297342433</c:v>
                </c:pt>
                <c:pt idx="171">
                  <c:v>3.2892238127400155</c:v>
                </c:pt>
                <c:pt idx="172">
                  <c:v>3.1756844423211845</c:v>
                </c:pt>
                <c:pt idx="173">
                  <c:v>3.0993639710118792</c:v>
                </c:pt>
                <c:pt idx="174">
                  <c:v>0.65276335079753522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2E-4C79-9F25-9E38AD8CEB79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  <c:pt idx="0">
                  <c:v>1.5666652342306122</c:v>
                </c:pt>
                <c:pt idx="1">
                  <c:v>1.5666932807745297</c:v>
                </c:pt>
                <c:pt idx="2">
                  <c:v>1.5658014059028318</c:v>
                </c:pt>
                <c:pt idx="3">
                  <c:v>1.560809383159544</c:v>
                </c:pt>
                <c:pt idx="4">
                  <c:v>1.5547703063990852</c:v>
                </c:pt>
                <c:pt idx="5">
                  <c:v>1.548383419351822</c:v>
                </c:pt>
                <c:pt idx="6">
                  <c:v>1.5405948359948596</c:v>
                </c:pt>
                <c:pt idx="7">
                  <c:v>1.5323628220696435</c:v>
                </c:pt>
                <c:pt idx="8">
                  <c:v>1.5237808016337553</c:v>
                </c:pt>
                <c:pt idx="9">
                  <c:v>1.5151260931970825</c:v>
                </c:pt>
                <c:pt idx="10">
                  <c:v>1.506319959682294</c:v>
                </c:pt>
                <c:pt idx="11">
                  <c:v>1.4979740482972801</c:v>
                </c:pt>
                <c:pt idx="12">
                  <c:v>1.4891019997961408</c:v>
                </c:pt>
                <c:pt idx="13">
                  <c:v>1.4843341812755071</c:v>
                </c:pt>
                <c:pt idx="14">
                  <c:v>1.4795466640770769</c:v>
                </c:pt>
                <c:pt idx="15">
                  <c:v>1.4748853689886587</c:v>
                </c:pt>
                <c:pt idx="16">
                  <c:v>1.4700324217222942</c:v>
                </c:pt>
                <c:pt idx="17">
                  <c:v>1.4656298849477736</c:v>
                </c:pt>
                <c:pt idx="18">
                  <c:v>1.4608751693262434</c:v>
                </c:pt>
                <c:pt idx="19">
                  <c:v>1.4564021830334255</c:v>
                </c:pt>
                <c:pt idx="20">
                  <c:v>1.4516017263170511</c:v>
                </c:pt>
                <c:pt idx="21">
                  <c:v>1.4505527613438574</c:v>
                </c:pt>
                <c:pt idx="22">
                  <c:v>1.4520790628798252</c:v>
                </c:pt>
                <c:pt idx="23">
                  <c:v>1.449712599268544</c:v>
                </c:pt>
                <c:pt idx="24">
                  <c:v>1.4479614371452527</c:v>
                </c:pt>
                <c:pt idx="25">
                  <c:v>1.44724713106487</c:v>
                </c:pt>
                <c:pt idx="26">
                  <c:v>1.4465720489617411</c:v>
                </c:pt>
                <c:pt idx="27">
                  <c:v>1.4462929650511853</c:v>
                </c:pt>
                <c:pt idx="28">
                  <c:v>1.4461820184844356</c:v>
                </c:pt>
                <c:pt idx="29">
                  <c:v>1.4467383551340305</c:v>
                </c:pt>
                <c:pt idx="30">
                  <c:v>1.4477593183353434</c:v>
                </c:pt>
                <c:pt idx="31">
                  <c:v>1.445794807687129</c:v>
                </c:pt>
                <c:pt idx="32">
                  <c:v>1.4436139528552019</c:v>
                </c:pt>
                <c:pt idx="33">
                  <c:v>1.4449497298314213</c:v>
                </c:pt>
                <c:pt idx="34">
                  <c:v>1.4468737814865875</c:v>
                </c:pt>
                <c:pt idx="35">
                  <c:v>1.4493193626165493</c:v>
                </c:pt>
                <c:pt idx="36">
                  <c:v>1.4518565502852354</c:v>
                </c:pt>
                <c:pt idx="37">
                  <c:v>1.4542253053265881</c:v>
                </c:pt>
                <c:pt idx="38">
                  <c:v>1.4565637857947848</c:v>
                </c:pt>
                <c:pt idx="39">
                  <c:v>1.4589925969416129</c:v>
                </c:pt>
                <c:pt idx="40">
                  <c:v>1.4609202908130214</c:v>
                </c:pt>
                <c:pt idx="41">
                  <c:v>1.4645197207348772</c:v>
                </c:pt>
                <c:pt idx="42">
                  <c:v>1.4683253936303728</c:v>
                </c:pt>
                <c:pt idx="43">
                  <c:v>1.471896688948128</c:v>
                </c:pt>
                <c:pt idx="44">
                  <c:v>1.4758706902647987</c:v>
                </c:pt>
                <c:pt idx="45">
                  <c:v>1.4810799798698042</c:v>
                </c:pt>
                <c:pt idx="46">
                  <c:v>1.4856819890875599</c:v>
                </c:pt>
                <c:pt idx="47">
                  <c:v>1.4905120926528994</c:v>
                </c:pt>
                <c:pt idx="48">
                  <c:v>1.4952822512803152</c:v>
                </c:pt>
                <c:pt idx="49">
                  <c:v>1.5008403321615447</c:v>
                </c:pt>
                <c:pt idx="50">
                  <c:v>1.506160812773004</c:v>
                </c:pt>
                <c:pt idx="51">
                  <c:v>1.5115388836754065</c:v>
                </c:pt>
                <c:pt idx="52">
                  <c:v>1.5200084086203844</c:v>
                </c:pt>
                <c:pt idx="53">
                  <c:v>1.5327883178302031</c:v>
                </c:pt>
                <c:pt idx="54">
                  <c:v>1.547923300083049</c:v>
                </c:pt>
                <c:pt idx="55">
                  <c:v>1.5659144292895917</c:v>
                </c:pt>
                <c:pt idx="56">
                  <c:v>1.5869873947050976</c:v>
                </c:pt>
                <c:pt idx="57">
                  <c:v>1.6101806213494854</c:v>
                </c:pt>
                <c:pt idx="58">
                  <c:v>1.6346679500089394</c:v>
                </c:pt>
                <c:pt idx="59">
                  <c:v>1.6609409164023177</c:v>
                </c:pt>
                <c:pt idx="60">
                  <c:v>1.6882796173223014</c:v>
                </c:pt>
                <c:pt idx="61">
                  <c:v>1.7083116948943697</c:v>
                </c:pt>
                <c:pt idx="62">
                  <c:v>1.72253786762505</c:v>
                </c:pt>
                <c:pt idx="63">
                  <c:v>1.7351826373914605</c:v>
                </c:pt>
                <c:pt idx="64">
                  <c:v>1.7430051983290014</c:v>
                </c:pt>
                <c:pt idx="65">
                  <c:v>1.7497224733796841</c:v>
                </c:pt>
                <c:pt idx="66">
                  <c:v>1.7542941571771422</c:v>
                </c:pt>
                <c:pt idx="67">
                  <c:v>1.7585980484762516</c:v>
                </c:pt>
                <c:pt idx="68">
                  <c:v>1.7613323055839061</c:v>
                </c:pt>
                <c:pt idx="69">
                  <c:v>1.7636044638782451</c:v>
                </c:pt>
                <c:pt idx="70">
                  <c:v>1.7663772952809964</c:v>
                </c:pt>
                <c:pt idx="71">
                  <c:v>1.7677708618300869</c:v>
                </c:pt>
                <c:pt idx="72">
                  <c:v>1.7738663279716462</c:v>
                </c:pt>
                <c:pt idx="73">
                  <c:v>1.7819698702843993</c:v>
                </c:pt>
                <c:pt idx="74">
                  <c:v>1.7894027186067731</c:v>
                </c:pt>
                <c:pt idx="75">
                  <c:v>1.7962113473879455</c:v>
                </c:pt>
                <c:pt idx="76">
                  <c:v>1.8049212497873128</c:v>
                </c:pt>
                <c:pt idx="77">
                  <c:v>1.8137372379630605</c:v>
                </c:pt>
                <c:pt idx="78">
                  <c:v>1.8181362069230502</c:v>
                </c:pt>
                <c:pt idx="79">
                  <c:v>1.822483177001196</c:v>
                </c:pt>
                <c:pt idx="80">
                  <c:v>1.8254804929505895</c:v>
                </c:pt>
                <c:pt idx="81">
                  <c:v>1.8258252514578501</c:v>
                </c:pt>
                <c:pt idx="82">
                  <c:v>1.8288263808288008</c:v>
                </c:pt>
                <c:pt idx="83">
                  <c:v>1.8399165044263981</c:v>
                </c:pt>
                <c:pt idx="84">
                  <c:v>1.8512764675218349</c:v>
                </c:pt>
                <c:pt idx="85">
                  <c:v>1.8624159879042423</c:v>
                </c:pt>
                <c:pt idx="86">
                  <c:v>1.8752016926104673</c:v>
                </c:pt>
                <c:pt idx="87">
                  <c:v>1.8895355087262189</c:v>
                </c:pt>
                <c:pt idx="88">
                  <c:v>1.9053165966000591</c:v>
                </c:pt>
                <c:pt idx="89">
                  <c:v>1.9231725081391957</c:v>
                </c:pt>
                <c:pt idx="90">
                  <c:v>1.9412218703198647</c:v>
                </c:pt>
                <c:pt idx="91">
                  <c:v>1.948801042161989</c:v>
                </c:pt>
                <c:pt idx="92">
                  <c:v>1.9516937956370626</c:v>
                </c:pt>
                <c:pt idx="93">
                  <c:v>1.9492920800314906</c:v>
                </c:pt>
                <c:pt idx="94">
                  <c:v>1.9455301278400228</c:v>
                </c:pt>
                <c:pt idx="95">
                  <c:v>1.9440762482708891</c:v>
                </c:pt>
                <c:pt idx="96">
                  <c:v>1.9459423091362069</c:v>
                </c:pt>
                <c:pt idx="97">
                  <c:v>1.95202311241232</c:v>
                </c:pt>
                <c:pt idx="98">
                  <c:v>1.9540778331121444</c:v>
                </c:pt>
                <c:pt idx="99">
                  <c:v>1.955429088916631</c:v>
                </c:pt>
                <c:pt idx="100">
                  <c:v>1.9567096371519739</c:v>
                </c:pt>
                <c:pt idx="101">
                  <c:v>1.9464913954277634</c:v>
                </c:pt>
                <c:pt idx="102">
                  <c:v>1.9232101457589366</c:v>
                </c:pt>
                <c:pt idx="103">
                  <c:v>1.9059579553613304</c:v>
                </c:pt>
                <c:pt idx="104">
                  <c:v>1.8869873370882146</c:v>
                </c:pt>
                <c:pt idx="105">
                  <c:v>1.8634281573975784</c:v>
                </c:pt>
                <c:pt idx="106">
                  <c:v>1.8384154289793457</c:v>
                </c:pt>
                <c:pt idx="107">
                  <c:v>1.8109539241851067</c:v>
                </c:pt>
                <c:pt idx="108">
                  <c:v>1.779630390936596</c:v>
                </c:pt>
                <c:pt idx="109">
                  <c:v>1.7446336949935812</c:v>
                </c:pt>
                <c:pt idx="110">
                  <c:v>1.7184439008394818</c:v>
                </c:pt>
                <c:pt idx="111">
                  <c:v>1.6963642933589895</c:v>
                </c:pt>
                <c:pt idx="112">
                  <c:v>1.677293830559563</c:v>
                </c:pt>
                <c:pt idx="113">
                  <c:v>1.6532590759642929</c:v>
                </c:pt>
                <c:pt idx="114">
                  <c:v>1.62674547337474</c:v>
                </c:pt>
                <c:pt idx="115">
                  <c:v>1.6005284186903737</c:v>
                </c:pt>
                <c:pt idx="116">
                  <c:v>1.5767618810404755</c:v>
                </c:pt>
                <c:pt idx="117">
                  <c:v>1.5520362332499218</c:v>
                </c:pt>
                <c:pt idx="118">
                  <c:v>1.5393396947736306</c:v>
                </c:pt>
                <c:pt idx="119">
                  <c:v>1.5272763467196384</c:v>
                </c:pt>
                <c:pt idx="120">
                  <c:v>1.4841467722130091</c:v>
                </c:pt>
                <c:pt idx="121">
                  <c:v>1.442667934115704</c:v>
                </c:pt>
                <c:pt idx="122">
                  <c:v>1.4064298116442799</c:v>
                </c:pt>
                <c:pt idx="123">
                  <c:v>1.3527921427856029</c:v>
                </c:pt>
                <c:pt idx="124">
                  <c:v>1.3018888681673815</c:v>
                </c:pt>
                <c:pt idx="125">
                  <c:v>1.2526097210385174</c:v>
                </c:pt>
                <c:pt idx="126">
                  <c:v>1.2075329577727274</c:v>
                </c:pt>
                <c:pt idx="127">
                  <c:v>1.1620306349853209</c:v>
                </c:pt>
                <c:pt idx="128">
                  <c:v>1.1108235197546961</c:v>
                </c:pt>
                <c:pt idx="129">
                  <c:v>1.0505603734684001</c:v>
                </c:pt>
                <c:pt idx="130">
                  <c:v>0.99615049223181273</c:v>
                </c:pt>
                <c:pt idx="131">
                  <c:v>0.94518583097155329</c:v>
                </c:pt>
                <c:pt idx="132">
                  <c:v>0.89084103250991831</c:v>
                </c:pt>
                <c:pt idx="133">
                  <c:v>0.86083115796852638</c:v>
                </c:pt>
                <c:pt idx="134">
                  <c:v>0.83012185431241647</c:v>
                </c:pt>
                <c:pt idx="135">
                  <c:v>0.78729713259079404</c:v>
                </c:pt>
                <c:pt idx="136">
                  <c:v>0.73587350864744394</c:v>
                </c:pt>
                <c:pt idx="137">
                  <c:v>0.67245414406574611</c:v>
                </c:pt>
                <c:pt idx="138">
                  <c:v>0.6111802636089152</c:v>
                </c:pt>
                <c:pt idx="139">
                  <c:v>0.5513419346924664</c:v>
                </c:pt>
                <c:pt idx="140">
                  <c:v>2.8152563232418828</c:v>
                </c:pt>
                <c:pt idx="141">
                  <c:v>2.8309322429510857</c:v>
                </c:pt>
                <c:pt idx="142">
                  <c:v>2.8840791285153884</c:v>
                </c:pt>
                <c:pt idx="143">
                  <c:v>2.939433740546491</c:v>
                </c:pt>
                <c:pt idx="144">
                  <c:v>3.0034606865551012</c:v>
                </c:pt>
                <c:pt idx="145">
                  <c:v>3.0217346458897509</c:v>
                </c:pt>
                <c:pt idx="146">
                  <c:v>3.0684479132120188</c:v>
                </c:pt>
                <c:pt idx="147">
                  <c:v>3.054270563474617</c:v>
                </c:pt>
                <c:pt idx="148">
                  <c:v>3.0627970906186306</c:v>
                </c:pt>
                <c:pt idx="149">
                  <c:v>3.0388167735889695</c:v>
                </c:pt>
                <c:pt idx="150">
                  <c:v>3.0671242203453488</c:v>
                </c:pt>
                <c:pt idx="151">
                  <c:v>3.1288521561818783</c:v>
                </c:pt>
                <c:pt idx="152">
                  <c:v>3.1995750553136659</c:v>
                </c:pt>
                <c:pt idx="153">
                  <c:v>3.2931267972681013</c:v>
                </c:pt>
                <c:pt idx="154">
                  <c:v>3.3956452291979495</c:v>
                </c:pt>
                <c:pt idx="155">
                  <c:v>3.4472548416763082</c:v>
                </c:pt>
                <c:pt idx="156">
                  <c:v>3.4563477795724111</c:v>
                </c:pt>
                <c:pt idx="157">
                  <c:v>3.5490370267397147</c:v>
                </c:pt>
                <c:pt idx="158">
                  <c:v>3.6399462536660216</c:v>
                </c:pt>
                <c:pt idx="159">
                  <c:v>3.695427861569744</c:v>
                </c:pt>
                <c:pt idx="160">
                  <c:v>3.7203194431539259</c:v>
                </c:pt>
                <c:pt idx="161">
                  <c:v>3.7024516772474776</c:v>
                </c:pt>
                <c:pt idx="162">
                  <c:v>3.8857575172244481</c:v>
                </c:pt>
                <c:pt idx="163">
                  <c:v>4.0184798114322824</c:v>
                </c:pt>
                <c:pt idx="164">
                  <c:v>4.0244643193989766</c:v>
                </c:pt>
                <c:pt idx="165">
                  <c:v>4.0560205345025686</c:v>
                </c:pt>
                <c:pt idx="166">
                  <c:v>4.024071529820322</c:v>
                </c:pt>
                <c:pt idx="167">
                  <c:v>3.8464558680789374</c:v>
                </c:pt>
                <c:pt idx="168">
                  <c:v>3.7915608558718894</c:v>
                </c:pt>
                <c:pt idx="169">
                  <c:v>3.8338842424550705</c:v>
                </c:pt>
                <c:pt idx="170">
                  <c:v>3.8349505288861607</c:v>
                </c:pt>
                <c:pt idx="171">
                  <c:v>3.6722067348178413</c:v>
                </c:pt>
                <c:pt idx="172">
                  <c:v>3.5767684655538865</c:v>
                </c:pt>
                <c:pt idx="173">
                  <c:v>3.2831638268672307</c:v>
                </c:pt>
                <c:pt idx="174">
                  <c:v>7.251665583421957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E-4C79-9F25-9E38AD8CE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36.435551692977214</c:v>
                </c:pt>
                <c:pt idx="1">
                  <c:v>36.435930458879689</c:v>
                </c:pt>
                <c:pt idx="2">
                  <c:v>36.436122365108211</c:v>
                </c:pt>
                <c:pt idx="3">
                  <c:v>36.436610425539804</c:v>
                </c:pt>
                <c:pt idx="4">
                  <c:v>36.436022288691447</c:v>
                </c:pt>
                <c:pt idx="5">
                  <c:v>36.434368503301947</c:v>
                </c:pt>
                <c:pt idx="6">
                  <c:v>36.432817229764566</c:v>
                </c:pt>
                <c:pt idx="7">
                  <c:v>36.430832317549502</c:v>
                </c:pt>
                <c:pt idx="8">
                  <c:v>36.428716869530575</c:v>
                </c:pt>
                <c:pt idx="9">
                  <c:v>36.426062821947511</c:v>
                </c:pt>
                <c:pt idx="10">
                  <c:v>36.42269282293055</c:v>
                </c:pt>
                <c:pt idx="11">
                  <c:v>36.417718669741419</c:v>
                </c:pt>
                <c:pt idx="12">
                  <c:v>36.412952249853291</c:v>
                </c:pt>
                <c:pt idx="13">
                  <c:v>36.407312837100889</c:v>
                </c:pt>
                <c:pt idx="14">
                  <c:v>36.400856494566654</c:v>
                </c:pt>
                <c:pt idx="15">
                  <c:v>36.394590204232337</c:v>
                </c:pt>
                <c:pt idx="16">
                  <c:v>36.387692633450953</c:v>
                </c:pt>
                <c:pt idx="17">
                  <c:v>36.380974492937625</c:v>
                </c:pt>
                <c:pt idx="18">
                  <c:v>36.372782607212571</c:v>
                </c:pt>
                <c:pt idx="19">
                  <c:v>36.364548210298807</c:v>
                </c:pt>
                <c:pt idx="20">
                  <c:v>36.356200676647425</c:v>
                </c:pt>
                <c:pt idx="21">
                  <c:v>36.34454278093726</c:v>
                </c:pt>
                <c:pt idx="22">
                  <c:v>36.330054088805085</c:v>
                </c:pt>
                <c:pt idx="23">
                  <c:v>36.31425769145298</c:v>
                </c:pt>
                <c:pt idx="24">
                  <c:v>36.29614020282326</c:v>
                </c:pt>
                <c:pt idx="25">
                  <c:v>36.278362214228885</c:v>
                </c:pt>
                <c:pt idx="26">
                  <c:v>36.258578405957834</c:v>
                </c:pt>
                <c:pt idx="27">
                  <c:v>36.238240412671338</c:v>
                </c:pt>
                <c:pt idx="28">
                  <c:v>36.217045073111009</c:v>
                </c:pt>
                <c:pt idx="29">
                  <c:v>36.195159065305695</c:v>
                </c:pt>
                <c:pt idx="30">
                  <c:v>36.171532779064528</c:v>
                </c:pt>
                <c:pt idx="31">
                  <c:v>36.14886070154256</c:v>
                </c:pt>
                <c:pt idx="32">
                  <c:v>36.127622484136438</c:v>
                </c:pt>
                <c:pt idx="33">
                  <c:v>36.105761254580862</c:v>
                </c:pt>
                <c:pt idx="34">
                  <c:v>36.082718000229839</c:v>
                </c:pt>
                <c:pt idx="35">
                  <c:v>36.060057781762517</c:v>
                </c:pt>
                <c:pt idx="36">
                  <c:v>36.038007308966961</c:v>
                </c:pt>
                <c:pt idx="37">
                  <c:v>36.015630780569303</c:v>
                </c:pt>
                <c:pt idx="38">
                  <c:v>35.991906746239991</c:v>
                </c:pt>
                <c:pt idx="39">
                  <c:v>35.966254733990517</c:v>
                </c:pt>
                <c:pt idx="40">
                  <c:v>35.941823587404336</c:v>
                </c:pt>
                <c:pt idx="41">
                  <c:v>35.915779086328257</c:v>
                </c:pt>
                <c:pt idx="42">
                  <c:v>35.888673001286165</c:v>
                </c:pt>
                <c:pt idx="43">
                  <c:v>35.861273087825147</c:v>
                </c:pt>
                <c:pt idx="44">
                  <c:v>35.833888534384862</c:v>
                </c:pt>
                <c:pt idx="45">
                  <c:v>35.80611148647003</c:v>
                </c:pt>
                <c:pt idx="46">
                  <c:v>35.776756116747485</c:v>
                </c:pt>
                <c:pt idx="47">
                  <c:v>35.746255554032551</c:v>
                </c:pt>
                <c:pt idx="48">
                  <c:v>35.714781352487904</c:v>
                </c:pt>
                <c:pt idx="49">
                  <c:v>35.681522887278319</c:v>
                </c:pt>
                <c:pt idx="50">
                  <c:v>35.645002395932984</c:v>
                </c:pt>
                <c:pt idx="51">
                  <c:v>35.607252612807159</c:v>
                </c:pt>
                <c:pt idx="52">
                  <c:v>35.570716996158133</c:v>
                </c:pt>
                <c:pt idx="53">
                  <c:v>35.533129372542803</c:v>
                </c:pt>
                <c:pt idx="54">
                  <c:v>35.492336725034896</c:v>
                </c:pt>
                <c:pt idx="55">
                  <c:v>35.451476797662608</c:v>
                </c:pt>
                <c:pt idx="56">
                  <c:v>35.407641905925153</c:v>
                </c:pt>
                <c:pt idx="57">
                  <c:v>35.362972304488849</c:v>
                </c:pt>
                <c:pt idx="58">
                  <c:v>35.311682028286086</c:v>
                </c:pt>
                <c:pt idx="59">
                  <c:v>35.263501565548907</c:v>
                </c:pt>
                <c:pt idx="60">
                  <c:v>35.21327457157529</c:v>
                </c:pt>
                <c:pt idx="61">
                  <c:v>35.158929692916765</c:v>
                </c:pt>
                <c:pt idx="62">
                  <c:v>35.103851691132512</c:v>
                </c:pt>
                <c:pt idx="63">
                  <c:v>35.046796466041734</c:v>
                </c:pt>
                <c:pt idx="64">
                  <c:v>34.984330970874076</c:v>
                </c:pt>
                <c:pt idx="65">
                  <c:v>34.927310245227929</c:v>
                </c:pt>
                <c:pt idx="66">
                  <c:v>34.871121820611521</c:v>
                </c:pt>
                <c:pt idx="67">
                  <c:v>34.810551596800053</c:v>
                </c:pt>
                <c:pt idx="68">
                  <c:v>34.746268548117918</c:v>
                </c:pt>
                <c:pt idx="69">
                  <c:v>34.678928292145386</c:v>
                </c:pt>
                <c:pt idx="70">
                  <c:v>34.619485179422817</c:v>
                </c:pt>
                <c:pt idx="71">
                  <c:v>34.555750994807902</c:v>
                </c:pt>
                <c:pt idx="72">
                  <c:v>34.503956229626247</c:v>
                </c:pt>
                <c:pt idx="73">
                  <c:v>34.448732805407424</c:v>
                </c:pt>
                <c:pt idx="74">
                  <c:v>34.385204815459211</c:v>
                </c:pt>
                <c:pt idx="75">
                  <c:v>34.321925072466982</c:v>
                </c:pt>
                <c:pt idx="76">
                  <c:v>34.258576045647921</c:v>
                </c:pt>
                <c:pt idx="77">
                  <c:v>34.198447407050949</c:v>
                </c:pt>
                <c:pt idx="78">
                  <c:v>34.13244487104307</c:v>
                </c:pt>
                <c:pt idx="79">
                  <c:v>34.06840213351083</c:v>
                </c:pt>
                <c:pt idx="80">
                  <c:v>33.999600054627635</c:v>
                </c:pt>
                <c:pt idx="81">
                  <c:v>33.942903600426263</c:v>
                </c:pt>
                <c:pt idx="82">
                  <c:v>33.898463137107747</c:v>
                </c:pt>
                <c:pt idx="83">
                  <c:v>33.865055703103529</c:v>
                </c:pt>
                <c:pt idx="84">
                  <c:v>33.829434733007069</c:v>
                </c:pt>
                <c:pt idx="85">
                  <c:v>33.790786105397878</c:v>
                </c:pt>
                <c:pt idx="86">
                  <c:v>33.751096857194142</c:v>
                </c:pt>
                <c:pt idx="87">
                  <c:v>33.706642928054428</c:v>
                </c:pt>
                <c:pt idx="88">
                  <c:v>33.65799466427378</c:v>
                </c:pt>
                <c:pt idx="89">
                  <c:v>33.618077603760206</c:v>
                </c:pt>
                <c:pt idx="90">
                  <c:v>33.573685191491734</c:v>
                </c:pt>
                <c:pt idx="91">
                  <c:v>33.528248955926593</c:v>
                </c:pt>
                <c:pt idx="92">
                  <c:v>33.47895324711385</c:v>
                </c:pt>
                <c:pt idx="93">
                  <c:v>33.422668608162702</c:v>
                </c:pt>
                <c:pt idx="94">
                  <c:v>33.364870938485971</c:v>
                </c:pt>
                <c:pt idx="95">
                  <c:v>33.30725747740496</c:v>
                </c:pt>
                <c:pt idx="96">
                  <c:v>33.2643188640075</c:v>
                </c:pt>
                <c:pt idx="97">
                  <c:v>33.217845447991742</c:v>
                </c:pt>
                <c:pt idx="98">
                  <c:v>33.160341208639757</c:v>
                </c:pt>
                <c:pt idx="99">
                  <c:v>33.095654004363048</c:v>
                </c:pt>
                <c:pt idx="100">
                  <c:v>33.040685182993364</c:v>
                </c:pt>
                <c:pt idx="101">
                  <c:v>32.986145259820574</c:v>
                </c:pt>
                <c:pt idx="102">
                  <c:v>32.933272423714051</c:v>
                </c:pt>
                <c:pt idx="103">
                  <c:v>32.88293339339593</c:v>
                </c:pt>
                <c:pt idx="104">
                  <c:v>32.832860835580234</c:v>
                </c:pt>
                <c:pt idx="105">
                  <c:v>32.790831112959189</c:v>
                </c:pt>
                <c:pt idx="106">
                  <c:v>32.743676360242674</c:v>
                </c:pt>
                <c:pt idx="107">
                  <c:v>32.692301631067892</c:v>
                </c:pt>
                <c:pt idx="108">
                  <c:v>32.645534573223351</c:v>
                </c:pt>
                <c:pt idx="109">
                  <c:v>32.607958298772921</c:v>
                </c:pt>
                <c:pt idx="110">
                  <c:v>32.581026315423998</c:v>
                </c:pt>
                <c:pt idx="111">
                  <c:v>32.537384815910087</c:v>
                </c:pt>
                <c:pt idx="112">
                  <c:v>32.491723098982192</c:v>
                </c:pt>
                <c:pt idx="113">
                  <c:v>32.430058304363847</c:v>
                </c:pt>
                <c:pt idx="114">
                  <c:v>32.362345908827095</c:v>
                </c:pt>
                <c:pt idx="115">
                  <c:v>32.284473720679046</c:v>
                </c:pt>
                <c:pt idx="116">
                  <c:v>32.198521376058679</c:v>
                </c:pt>
                <c:pt idx="117">
                  <c:v>32.10478748744535</c:v>
                </c:pt>
                <c:pt idx="118">
                  <c:v>31.986053187077008</c:v>
                </c:pt>
                <c:pt idx="119">
                  <c:v>31.852646902445937</c:v>
                </c:pt>
                <c:pt idx="120">
                  <c:v>31.72972214491044</c:v>
                </c:pt>
                <c:pt idx="121">
                  <c:v>31.601881150501832</c:v>
                </c:pt>
                <c:pt idx="122">
                  <c:v>31.464758865493199</c:v>
                </c:pt>
                <c:pt idx="123">
                  <c:v>31.327013476595518</c:v>
                </c:pt>
                <c:pt idx="124">
                  <c:v>31.177795099840232</c:v>
                </c:pt>
                <c:pt idx="125">
                  <c:v>31.036151404962691</c:v>
                </c:pt>
                <c:pt idx="126">
                  <c:v>30.906544775763724</c:v>
                </c:pt>
                <c:pt idx="127">
                  <c:v>30.762742581151571</c:v>
                </c:pt>
                <c:pt idx="128">
                  <c:v>30.620411046249391</c:v>
                </c:pt>
                <c:pt idx="129">
                  <c:v>30.480042705884252</c:v>
                </c:pt>
                <c:pt idx="130">
                  <c:v>30.320357149093567</c:v>
                </c:pt>
                <c:pt idx="131">
                  <c:v>30.169069881714272</c:v>
                </c:pt>
                <c:pt idx="132">
                  <c:v>30.02308342647088</c:v>
                </c:pt>
                <c:pt idx="133">
                  <c:v>29.892310880651323</c:v>
                </c:pt>
                <c:pt idx="134">
                  <c:v>29.76715189064026</c:v>
                </c:pt>
                <c:pt idx="135">
                  <c:v>29.646045650980806</c:v>
                </c:pt>
                <c:pt idx="136">
                  <c:v>29.536524539944281</c:v>
                </c:pt>
                <c:pt idx="137">
                  <c:v>29.43854889755762</c:v>
                </c:pt>
                <c:pt idx="138">
                  <c:v>29.328443312140788</c:v>
                </c:pt>
                <c:pt idx="139">
                  <c:v>29.204601422716063</c:v>
                </c:pt>
                <c:pt idx="140">
                  <c:v>29.066637793101506</c:v>
                </c:pt>
                <c:pt idx="141">
                  <c:v>28.898685032153438</c:v>
                </c:pt>
                <c:pt idx="142">
                  <c:v>28.733420549020721</c:v>
                </c:pt>
                <c:pt idx="143">
                  <c:v>28.549503068423547</c:v>
                </c:pt>
                <c:pt idx="144">
                  <c:v>28.355618279919675</c:v>
                </c:pt>
                <c:pt idx="145">
                  <c:v>28.165335073890073</c:v>
                </c:pt>
                <c:pt idx="146">
                  <c:v>27.957913781690319</c:v>
                </c:pt>
                <c:pt idx="147">
                  <c:v>27.738207243750612</c:v>
                </c:pt>
                <c:pt idx="148">
                  <c:v>27.543257636406288</c:v>
                </c:pt>
                <c:pt idx="149">
                  <c:v>27.29878646718139</c:v>
                </c:pt>
                <c:pt idx="150">
                  <c:v>27.036950708133507</c:v>
                </c:pt>
                <c:pt idx="151">
                  <c:v>26.735872828575353</c:v>
                </c:pt>
                <c:pt idx="152">
                  <c:v>26.423562554603354</c:v>
                </c:pt>
                <c:pt idx="153">
                  <c:v>26.113003602692842</c:v>
                </c:pt>
                <c:pt idx="154">
                  <c:v>25.81740469995259</c:v>
                </c:pt>
                <c:pt idx="155">
                  <c:v>25.494081108184059</c:v>
                </c:pt>
                <c:pt idx="156">
                  <c:v>25.158996026575085</c:v>
                </c:pt>
                <c:pt idx="157">
                  <c:v>24.869744903738518</c:v>
                </c:pt>
                <c:pt idx="158">
                  <c:v>24.548068066125481</c:v>
                </c:pt>
                <c:pt idx="159">
                  <c:v>24.242906931973334</c:v>
                </c:pt>
                <c:pt idx="160">
                  <c:v>24.035908291657858</c:v>
                </c:pt>
                <c:pt idx="161">
                  <c:v>23.785746443082495</c:v>
                </c:pt>
                <c:pt idx="162">
                  <c:v>23.599611375253264</c:v>
                </c:pt>
                <c:pt idx="163">
                  <c:v>23.447223204226518</c:v>
                </c:pt>
                <c:pt idx="164">
                  <c:v>23.27196695168762</c:v>
                </c:pt>
                <c:pt idx="165">
                  <c:v>23.100054310076789</c:v>
                </c:pt>
                <c:pt idx="166">
                  <c:v>22.941639792040373</c:v>
                </c:pt>
                <c:pt idx="167">
                  <c:v>22.718708241229304</c:v>
                </c:pt>
                <c:pt idx="168">
                  <c:v>22.458670514388391</c:v>
                </c:pt>
                <c:pt idx="169">
                  <c:v>22.140156835475633</c:v>
                </c:pt>
                <c:pt idx="170">
                  <c:v>21.856636952576121</c:v>
                </c:pt>
                <c:pt idx="171">
                  <c:v>21.72215812282418</c:v>
                </c:pt>
                <c:pt idx="172">
                  <c:v>21.41630609330252</c:v>
                </c:pt>
                <c:pt idx="173">
                  <c:v>21.06546642224021</c:v>
                </c:pt>
                <c:pt idx="174">
                  <c:v>20.89484287782097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2E-4C79-9F25-9E38AD8CEB79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39.454284995586661</c:v>
                </c:pt>
                <c:pt idx="1">
                  <c:v>39.451870128543923</c:v>
                </c:pt>
                <c:pt idx="2">
                  <c:v>39.44887273003728</c:v>
                </c:pt>
                <c:pt idx="3">
                  <c:v>39.440696470163061</c:v>
                </c:pt>
                <c:pt idx="4">
                  <c:v>39.431261448934293</c:v>
                </c:pt>
                <c:pt idx="5">
                  <c:v>39.41993557489554</c:v>
                </c:pt>
                <c:pt idx="6">
                  <c:v>39.407490965131558</c:v>
                </c:pt>
                <c:pt idx="7">
                  <c:v>39.394055179112584</c:v>
                </c:pt>
                <c:pt idx="8">
                  <c:v>39.379993568148578</c:v>
                </c:pt>
                <c:pt idx="9">
                  <c:v>39.365343095162771</c:v>
                </c:pt>
                <c:pt idx="10">
                  <c:v>39.349765703455908</c:v>
                </c:pt>
                <c:pt idx="11">
                  <c:v>39.333015403320978</c:v>
                </c:pt>
                <c:pt idx="12">
                  <c:v>39.315745291656071</c:v>
                </c:pt>
                <c:pt idx="13">
                  <c:v>39.30165573844053</c:v>
                </c:pt>
                <c:pt idx="14">
                  <c:v>39.287106991688951</c:v>
                </c:pt>
                <c:pt idx="15">
                  <c:v>39.271949123751398</c:v>
                </c:pt>
                <c:pt idx="16">
                  <c:v>39.2562795465359</c:v>
                </c:pt>
                <c:pt idx="17">
                  <c:v>39.24028708658701</c:v>
                </c:pt>
                <c:pt idx="18">
                  <c:v>39.223733169640731</c:v>
                </c:pt>
                <c:pt idx="19">
                  <c:v>39.206989608608453</c:v>
                </c:pt>
                <c:pt idx="20">
                  <c:v>39.189661576167538</c:v>
                </c:pt>
                <c:pt idx="21">
                  <c:v>39.172212115394196</c:v>
                </c:pt>
                <c:pt idx="22">
                  <c:v>39.154954300139941</c:v>
                </c:pt>
                <c:pt idx="23">
                  <c:v>39.130638266107333</c:v>
                </c:pt>
                <c:pt idx="24">
                  <c:v>39.105085475687851</c:v>
                </c:pt>
                <c:pt idx="25">
                  <c:v>39.080181115685605</c:v>
                </c:pt>
                <c:pt idx="26">
                  <c:v>39.053662666726574</c:v>
                </c:pt>
                <c:pt idx="27">
                  <c:v>39.026853433047336</c:v>
                </c:pt>
                <c:pt idx="28">
                  <c:v>38.999251940655718</c:v>
                </c:pt>
                <c:pt idx="29">
                  <c:v>38.971308179414457</c:v>
                </c:pt>
                <c:pt idx="30">
                  <c:v>38.94188011751735</c:v>
                </c:pt>
                <c:pt idx="31">
                  <c:v>38.90979794199604</c:v>
                </c:pt>
                <c:pt idx="32">
                  <c:v>38.878288864827148</c:v>
                </c:pt>
                <c:pt idx="33">
                  <c:v>38.850139163239554</c:v>
                </c:pt>
                <c:pt idx="34">
                  <c:v>38.821272846868723</c:v>
                </c:pt>
                <c:pt idx="35">
                  <c:v>38.792632957086376</c:v>
                </c:pt>
                <c:pt idx="36">
                  <c:v>38.76427543075431</c:v>
                </c:pt>
                <c:pt idx="37">
                  <c:v>38.735876316255585</c:v>
                </c:pt>
                <c:pt idx="38">
                  <c:v>38.706758509713133</c:v>
                </c:pt>
                <c:pt idx="39">
                  <c:v>38.675471893186831</c:v>
                </c:pt>
                <c:pt idx="40">
                  <c:v>38.644730552326742</c:v>
                </c:pt>
                <c:pt idx="41">
                  <c:v>38.612001747069371</c:v>
                </c:pt>
                <c:pt idx="42">
                  <c:v>38.578305991753048</c:v>
                </c:pt>
                <c:pt idx="43">
                  <c:v>38.543381087690399</c:v>
                </c:pt>
                <c:pt idx="44">
                  <c:v>38.509172154540394</c:v>
                </c:pt>
                <c:pt idx="45">
                  <c:v>38.474372720558321</c:v>
                </c:pt>
                <c:pt idx="46">
                  <c:v>38.437958012521463</c:v>
                </c:pt>
                <c:pt idx="47">
                  <c:v>38.400653388147326</c:v>
                </c:pt>
                <c:pt idx="48">
                  <c:v>38.361975871331801</c:v>
                </c:pt>
                <c:pt idx="49">
                  <c:v>38.321869515739529</c:v>
                </c:pt>
                <c:pt idx="50">
                  <c:v>38.278424452251087</c:v>
                </c:pt>
                <c:pt idx="51">
                  <c:v>38.232843687506971</c:v>
                </c:pt>
                <c:pt idx="52">
                  <c:v>38.189431808123409</c:v>
                </c:pt>
                <c:pt idx="53">
                  <c:v>38.148912875616915</c:v>
                </c:pt>
                <c:pt idx="54">
                  <c:v>38.106078877257787</c:v>
                </c:pt>
                <c:pt idx="55">
                  <c:v>38.065318537387796</c:v>
                </c:pt>
                <c:pt idx="56">
                  <c:v>38.022943038198541</c:v>
                </c:pt>
                <c:pt idx="57">
                  <c:v>37.981100351861542</c:v>
                </c:pt>
                <c:pt idx="58">
                  <c:v>37.932882416501521</c:v>
                </c:pt>
                <c:pt idx="59">
                  <c:v>37.88877690845019</c:v>
                </c:pt>
                <c:pt idx="60">
                  <c:v>37.842836940018884</c:v>
                </c:pt>
                <c:pt idx="61">
                  <c:v>37.793784615225192</c:v>
                </c:pt>
                <c:pt idx="62">
                  <c:v>37.741650886970326</c:v>
                </c:pt>
                <c:pt idx="63">
                  <c:v>37.687328535613027</c:v>
                </c:pt>
                <c:pt idx="64">
                  <c:v>37.626289213450377</c:v>
                </c:pt>
                <c:pt idx="65">
                  <c:v>37.571606191417104</c:v>
                </c:pt>
                <c:pt idx="66">
                  <c:v>37.517295788301588</c:v>
                </c:pt>
                <c:pt idx="67">
                  <c:v>37.458228442896925</c:v>
                </c:pt>
                <c:pt idx="68">
                  <c:v>37.39633561440602</c:v>
                </c:pt>
                <c:pt idx="69">
                  <c:v>37.332664958471575</c:v>
                </c:pt>
                <c:pt idx="70">
                  <c:v>37.277626094607541</c:v>
                </c:pt>
                <c:pt idx="71">
                  <c:v>37.214286713833893</c:v>
                </c:pt>
                <c:pt idx="72">
                  <c:v>37.166322600265183</c:v>
                </c:pt>
                <c:pt idx="73">
                  <c:v>37.117009434536023</c:v>
                </c:pt>
                <c:pt idx="74">
                  <c:v>37.057276732100654</c:v>
                </c:pt>
                <c:pt idx="75">
                  <c:v>36.999357267270291</c:v>
                </c:pt>
                <c:pt idx="76">
                  <c:v>36.941182800159794</c:v>
                </c:pt>
                <c:pt idx="77">
                  <c:v>36.886895377210223</c:v>
                </c:pt>
                <c:pt idx="78">
                  <c:v>36.821827665644797</c:v>
                </c:pt>
                <c:pt idx="79">
                  <c:v>36.75888746377408</c:v>
                </c:pt>
                <c:pt idx="80">
                  <c:v>36.687515105338974</c:v>
                </c:pt>
                <c:pt idx="81">
                  <c:v>36.619615193619268</c:v>
                </c:pt>
                <c:pt idx="82">
                  <c:v>36.56489583066346</c:v>
                </c:pt>
                <c:pt idx="83">
                  <c:v>36.529591789752573</c:v>
                </c:pt>
                <c:pt idx="84">
                  <c:v>36.492401247955456</c:v>
                </c:pt>
                <c:pt idx="85">
                  <c:v>36.451702152954581</c:v>
                </c:pt>
                <c:pt idx="86">
                  <c:v>36.409664294369065</c:v>
                </c:pt>
                <c:pt idx="87">
                  <c:v>36.362301925195979</c:v>
                </c:pt>
                <c:pt idx="88">
                  <c:v>36.311717257600776</c:v>
                </c:pt>
                <c:pt idx="89">
                  <c:v>36.270885267700784</c:v>
                </c:pt>
                <c:pt idx="90">
                  <c:v>36.224925382646497</c:v>
                </c:pt>
                <c:pt idx="91">
                  <c:v>36.179651753429575</c:v>
                </c:pt>
                <c:pt idx="92">
                  <c:v>36.12826477435167</c:v>
                </c:pt>
                <c:pt idx="93">
                  <c:v>36.068711284788904</c:v>
                </c:pt>
                <c:pt idx="94">
                  <c:v>36.010898616430637</c:v>
                </c:pt>
                <c:pt idx="95">
                  <c:v>35.954580784138344</c:v>
                </c:pt>
                <c:pt idx="96">
                  <c:v>35.915897765298077</c:v>
                </c:pt>
                <c:pt idx="97">
                  <c:v>35.87866904684482</c:v>
                </c:pt>
                <c:pt idx="98">
                  <c:v>35.828531523602635</c:v>
                </c:pt>
                <c:pt idx="99">
                  <c:v>35.772611985314661</c:v>
                </c:pt>
                <c:pt idx="100">
                  <c:v>35.729302553398938</c:v>
                </c:pt>
                <c:pt idx="101">
                  <c:v>35.672191550084861</c:v>
                </c:pt>
                <c:pt idx="102">
                  <c:v>35.613428267156891</c:v>
                </c:pt>
                <c:pt idx="103">
                  <c:v>35.564873737616651</c:v>
                </c:pt>
                <c:pt idx="104">
                  <c:v>35.51716555947965</c:v>
                </c:pt>
                <c:pt idx="105">
                  <c:v>35.475135397495052</c:v>
                </c:pt>
                <c:pt idx="106">
                  <c:v>35.428724504781457</c:v>
                </c:pt>
                <c:pt idx="107">
                  <c:v>35.378173332936299</c:v>
                </c:pt>
                <c:pt idx="108">
                  <c:v>35.332584781538515</c:v>
                </c:pt>
                <c:pt idx="109">
                  <c:v>35.294944535214846</c:v>
                </c:pt>
                <c:pt idx="110">
                  <c:v>35.259435576621627</c:v>
                </c:pt>
                <c:pt idx="111">
                  <c:v>35.217990845694963</c:v>
                </c:pt>
                <c:pt idx="112">
                  <c:v>35.176313244542612</c:v>
                </c:pt>
                <c:pt idx="113">
                  <c:v>35.12414934870101</c:v>
                </c:pt>
                <c:pt idx="114">
                  <c:v>35.064374271099787</c:v>
                </c:pt>
                <c:pt idx="115">
                  <c:v>34.997943689315299</c:v>
                </c:pt>
                <c:pt idx="116">
                  <c:v>34.927709023480816</c:v>
                </c:pt>
                <c:pt idx="117">
                  <c:v>34.849670530486534</c:v>
                </c:pt>
                <c:pt idx="118">
                  <c:v>34.760046280967003</c:v>
                </c:pt>
                <c:pt idx="119">
                  <c:v>34.654670507926788</c:v>
                </c:pt>
                <c:pt idx="120">
                  <c:v>34.534639859890426</c:v>
                </c:pt>
                <c:pt idx="121">
                  <c:v>34.403863912045651</c:v>
                </c:pt>
                <c:pt idx="122">
                  <c:v>34.274729536249787</c:v>
                </c:pt>
                <c:pt idx="123">
                  <c:v>34.132290781247484</c:v>
                </c:pt>
                <c:pt idx="124">
                  <c:v>33.979890980136574</c:v>
                </c:pt>
                <c:pt idx="125">
                  <c:v>33.837362080182167</c:v>
                </c:pt>
                <c:pt idx="126">
                  <c:v>33.714382736007195</c:v>
                </c:pt>
                <c:pt idx="127">
                  <c:v>33.57707581148118</c:v>
                </c:pt>
                <c:pt idx="128">
                  <c:v>33.441544662287832</c:v>
                </c:pt>
                <c:pt idx="129">
                  <c:v>33.30086537123757</c:v>
                </c:pt>
                <c:pt idx="130">
                  <c:v>33.148599525623581</c:v>
                </c:pt>
                <c:pt idx="131">
                  <c:v>33.007124664891599</c:v>
                </c:pt>
                <c:pt idx="132">
                  <c:v>32.873917921923336</c:v>
                </c:pt>
                <c:pt idx="133">
                  <c:v>32.777966601813624</c:v>
                </c:pt>
                <c:pt idx="134">
                  <c:v>32.691866098556979</c:v>
                </c:pt>
                <c:pt idx="135">
                  <c:v>32.604427096377719</c:v>
                </c:pt>
                <c:pt idx="136">
                  <c:v>32.527270296459541</c:v>
                </c:pt>
                <c:pt idx="137">
                  <c:v>32.459189878715712</c:v>
                </c:pt>
                <c:pt idx="138">
                  <c:v>32.387591978935575</c:v>
                </c:pt>
                <c:pt idx="139">
                  <c:v>32.308023850577719</c:v>
                </c:pt>
                <c:pt idx="140">
                  <c:v>32.220186863502157</c:v>
                </c:pt>
                <c:pt idx="141">
                  <c:v>32.078272305568426</c:v>
                </c:pt>
                <c:pt idx="142">
                  <c:v>31.941862341203819</c:v>
                </c:pt>
                <c:pt idx="143">
                  <c:v>31.78281102511701</c:v>
                </c:pt>
                <c:pt idx="144">
                  <c:v>31.613866523468459</c:v>
                </c:pt>
                <c:pt idx="145">
                  <c:v>31.356701530844166</c:v>
                </c:pt>
                <c:pt idx="146">
                  <c:v>31.105801638905913</c:v>
                </c:pt>
                <c:pt idx="147">
                  <c:v>30.825782938214036</c:v>
                </c:pt>
                <c:pt idx="148">
                  <c:v>30.513550539085944</c:v>
                </c:pt>
                <c:pt idx="149">
                  <c:v>30.197729002409133</c:v>
                </c:pt>
                <c:pt idx="150">
                  <c:v>29.854482819907631</c:v>
                </c:pt>
                <c:pt idx="151">
                  <c:v>29.464090174558677</c:v>
                </c:pt>
                <c:pt idx="152">
                  <c:v>29.07133443872798</c:v>
                </c:pt>
                <c:pt idx="153">
                  <c:v>28.673145306743088</c:v>
                </c:pt>
                <c:pt idx="154">
                  <c:v>28.319957984325541</c:v>
                </c:pt>
                <c:pt idx="155">
                  <c:v>27.971896809689795</c:v>
                </c:pt>
                <c:pt idx="156">
                  <c:v>27.602782894334606</c:v>
                </c:pt>
                <c:pt idx="157">
                  <c:v>27.234679081311182</c:v>
                </c:pt>
                <c:pt idx="158">
                  <c:v>26.818895569857133</c:v>
                </c:pt>
                <c:pt idx="159">
                  <c:v>26.438472828689264</c:v>
                </c:pt>
                <c:pt idx="160">
                  <c:v>26.096473842795316</c:v>
                </c:pt>
                <c:pt idx="161">
                  <c:v>25.713001095448718</c:v>
                </c:pt>
                <c:pt idx="162">
                  <c:v>25.440018254521956</c:v>
                </c:pt>
                <c:pt idx="163">
                  <c:v>25.217495490333263</c:v>
                </c:pt>
                <c:pt idx="164">
                  <c:v>24.91319692953839</c:v>
                </c:pt>
                <c:pt idx="165">
                  <c:v>24.628493123386249</c:v>
                </c:pt>
                <c:pt idx="166">
                  <c:v>24.377718306997807</c:v>
                </c:pt>
                <c:pt idx="167">
                  <c:v>24.129279100242705</c:v>
                </c:pt>
                <c:pt idx="168">
                  <c:v>23.843411708996687</c:v>
                </c:pt>
                <c:pt idx="169">
                  <c:v>23.463051626451069</c:v>
                </c:pt>
                <c:pt idx="170">
                  <c:v>23.138860439204073</c:v>
                </c:pt>
                <c:pt idx="171">
                  <c:v>22.949533290108388</c:v>
                </c:pt>
                <c:pt idx="172">
                  <c:v>22.805742428335652</c:v>
                </c:pt>
                <c:pt idx="173">
                  <c:v>22.824625799061522</c:v>
                </c:pt>
                <c:pt idx="174">
                  <c:v>24.324958311054846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2E-4C79-9F25-9E38AD8CEB79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29.692322785701069</c:v>
                </c:pt>
                <c:pt idx="141">
                  <c:v>29.501353766941207</c:v>
                </c:pt>
                <c:pt idx="142">
                  <c:v>29.309248098966943</c:v>
                </c:pt>
                <c:pt idx="143">
                  <c:v>29.109417385587861</c:v>
                </c:pt>
                <c:pt idx="144">
                  <c:v>28.879286626217908</c:v>
                </c:pt>
                <c:pt idx="145">
                  <c:v>28.634659801602751</c:v>
                </c:pt>
                <c:pt idx="146">
                  <c:v>28.383523739671766</c:v>
                </c:pt>
                <c:pt idx="147">
                  <c:v>28.127044586791456</c:v>
                </c:pt>
                <c:pt idx="148">
                  <c:v>27.831953047746715</c:v>
                </c:pt>
                <c:pt idx="149">
                  <c:v>27.502714605136465</c:v>
                </c:pt>
                <c:pt idx="150">
                  <c:v>27.174231977429091</c:v>
                </c:pt>
                <c:pt idx="151">
                  <c:v>26.827819206222259</c:v>
                </c:pt>
                <c:pt idx="152">
                  <c:v>26.459962913781236</c:v>
                </c:pt>
                <c:pt idx="153">
                  <c:v>26.061893541307242</c:v>
                </c:pt>
                <c:pt idx="154">
                  <c:v>25.708185750467138</c:v>
                </c:pt>
                <c:pt idx="155">
                  <c:v>25.353859738839162</c:v>
                </c:pt>
                <c:pt idx="156">
                  <c:v>25.024632513834614</c:v>
                </c:pt>
                <c:pt idx="157">
                  <c:v>24.661801781677461</c:v>
                </c:pt>
                <c:pt idx="158">
                  <c:v>24.261991584671549</c:v>
                </c:pt>
                <c:pt idx="159">
                  <c:v>23.942964864669516</c:v>
                </c:pt>
                <c:pt idx="160">
                  <c:v>23.702611003425371</c:v>
                </c:pt>
                <c:pt idx="161">
                  <c:v>23.450558787583589</c:v>
                </c:pt>
                <c:pt idx="162">
                  <c:v>23.110161074251923</c:v>
                </c:pt>
                <c:pt idx="163">
                  <c:v>22.81683458885038</c:v>
                </c:pt>
                <c:pt idx="164">
                  <c:v>22.637646869057324</c:v>
                </c:pt>
                <c:pt idx="165">
                  <c:v>22.464956242969176</c:v>
                </c:pt>
                <c:pt idx="166">
                  <c:v>22.287273276514323</c:v>
                </c:pt>
                <c:pt idx="167">
                  <c:v>22.173457617359215</c:v>
                </c:pt>
                <c:pt idx="168">
                  <c:v>21.887473996014307</c:v>
                </c:pt>
                <c:pt idx="169">
                  <c:v>21.533508715571131</c:v>
                </c:pt>
                <c:pt idx="170">
                  <c:v>21.28082352474053</c:v>
                </c:pt>
                <c:pt idx="171">
                  <c:v>21.314357854933043</c:v>
                </c:pt>
                <c:pt idx="172">
                  <c:v>21.236644560776597</c:v>
                </c:pt>
                <c:pt idx="173">
                  <c:v>21.20722770303934</c:v>
                </c:pt>
                <c:pt idx="174">
                  <c:v>20.161409886951269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2E-4C79-9F25-9E38AD8CEB79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2E-4C79-9F25-9E38AD8CEB79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49.389955639381689</c:v>
                </c:pt>
                <c:pt idx="1">
                  <c:v>49.384256881743219</c:v>
                </c:pt>
                <c:pt idx="2">
                  <c:v>49.378730831473419</c:v>
                </c:pt>
                <c:pt idx="3">
                  <c:v>49.37279548598007</c:v>
                </c:pt>
                <c:pt idx="4">
                  <c:v>49.36657536877474</c:v>
                </c:pt>
                <c:pt idx="5">
                  <c:v>49.358843689024177</c:v>
                </c:pt>
                <c:pt idx="6">
                  <c:v>49.35125798236939</c:v>
                </c:pt>
                <c:pt idx="7">
                  <c:v>49.343161709523208</c:v>
                </c:pt>
                <c:pt idx="8">
                  <c:v>49.33476943573573</c:v>
                </c:pt>
                <c:pt idx="9">
                  <c:v>49.325824493853219</c:v>
                </c:pt>
                <c:pt idx="10">
                  <c:v>49.316171968005904</c:v>
                </c:pt>
                <c:pt idx="11">
                  <c:v>49.304961879143335</c:v>
                </c:pt>
                <c:pt idx="12">
                  <c:v>49.293446924431414</c:v>
                </c:pt>
                <c:pt idx="13">
                  <c:v>49.280982458834728</c:v>
                </c:pt>
                <c:pt idx="14">
                  <c:v>49.267994153229502</c:v>
                </c:pt>
                <c:pt idx="15">
                  <c:v>49.254249443277082</c:v>
                </c:pt>
                <c:pt idx="16">
                  <c:v>49.240146727244507</c:v>
                </c:pt>
                <c:pt idx="17">
                  <c:v>49.225186972960046</c:v>
                </c:pt>
                <c:pt idx="18">
                  <c:v>49.209977552467024</c:v>
                </c:pt>
                <c:pt idx="19">
                  <c:v>49.194196071527749</c:v>
                </c:pt>
                <c:pt idx="20">
                  <c:v>49.178120853086206</c:v>
                </c:pt>
                <c:pt idx="21">
                  <c:v>49.15807007245423</c:v>
                </c:pt>
                <c:pt idx="22">
                  <c:v>49.136124549384391</c:v>
                </c:pt>
                <c:pt idx="23">
                  <c:v>49.112302650597059</c:v>
                </c:pt>
                <c:pt idx="24">
                  <c:v>49.086807755118066</c:v>
                </c:pt>
                <c:pt idx="25">
                  <c:v>49.060639380455981</c:v>
                </c:pt>
                <c:pt idx="26">
                  <c:v>49.033035524743809</c:v>
                </c:pt>
                <c:pt idx="27">
                  <c:v>49.004408735513309</c:v>
                </c:pt>
                <c:pt idx="28">
                  <c:v>48.97491815155584</c:v>
                </c:pt>
                <c:pt idx="29">
                  <c:v>48.944303598156232</c:v>
                </c:pt>
                <c:pt idx="30">
                  <c:v>48.911863631272617</c:v>
                </c:pt>
                <c:pt idx="31">
                  <c:v>48.880105270903528</c:v>
                </c:pt>
                <c:pt idx="32">
                  <c:v>48.849621847979286</c:v>
                </c:pt>
                <c:pt idx="33">
                  <c:v>48.81842300852032</c:v>
                </c:pt>
                <c:pt idx="34">
                  <c:v>48.785947170875168</c:v>
                </c:pt>
                <c:pt idx="35">
                  <c:v>48.753124546164912</c:v>
                </c:pt>
                <c:pt idx="36">
                  <c:v>48.720359898459996</c:v>
                </c:pt>
                <c:pt idx="37">
                  <c:v>48.687647777443352</c:v>
                </c:pt>
                <c:pt idx="38">
                  <c:v>48.654254229989178</c:v>
                </c:pt>
                <c:pt idx="39">
                  <c:v>48.618732922889919</c:v>
                </c:pt>
                <c:pt idx="40">
                  <c:v>48.583900455314897</c:v>
                </c:pt>
                <c:pt idx="41">
                  <c:v>48.545483784650791</c:v>
                </c:pt>
                <c:pt idx="42">
                  <c:v>48.50569183237976</c:v>
                </c:pt>
                <c:pt idx="43">
                  <c:v>48.465046733924645</c:v>
                </c:pt>
                <c:pt idx="44">
                  <c:v>48.424219236157143</c:v>
                </c:pt>
                <c:pt idx="45">
                  <c:v>48.381867087994621</c:v>
                </c:pt>
                <c:pt idx="46">
                  <c:v>48.338423949801722</c:v>
                </c:pt>
                <c:pt idx="47">
                  <c:v>48.293795863709185</c:v>
                </c:pt>
                <c:pt idx="48">
                  <c:v>48.247692498434084</c:v>
                </c:pt>
                <c:pt idx="49">
                  <c:v>48.199165038566683</c:v>
                </c:pt>
                <c:pt idx="50">
                  <c:v>48.147714165366843</c:v>
                </c:pt>
                <c:pt idx="51">
                  <c:v>48.094013546010125</c:v>
                </c:pt>
                <c:pt idx="52">
                  <c:v>48.039909584630067</c:v>
                </c:pt>
                <c:pt idx="53">
                  <c:v>47.984631980437314</c:v>
                </c:pt>
                <c:pt idx="54">
                  <c:v>47.925657653767225</c:v>
                </c:pt>
                <c:pt idx="55">
                  <c:v>47.865784477118595</c:v>
                </c:pt>
                <c:pt idx="56">
                  <c:v>47.802152429696676</c:v>
                </c:pt>
                <c:pt idx="57">
                  <c:v>47.737041335518413</c:v>
                </c:pt>
                <c:pt idx="58">
                  <c:v>47.664869069614355</c:v>
                </c:pt>
                <c:pt idx="59">
                  <c:v>47.594198129830531</c:v>
                </c:pt>
                <c:pt idx="60">
                  <c:v>47.520691517385309</c:v>
                </c:pt>
                <c:pt idx="61">
                  <c:v>47.452105555697784</c:v>
                </c:pt>
                <c:pt idx="62">
                  <c:v>47.385263434123473</c:v>
                </c:pt>
                <c:pt idx="63">
                  <c:v>47.316880822221776</c:v>
                </c:pt>
                <c:pt idx="64">
                  <c:v>47.246025144112089</c:v>
                </c:pt>
                <c:pt idx="65">
                  <c:v>47.182330187054603</c:v>
                </c:pt>
                <c:pt idx="66">
                  <c:v>47.121146620436058</c:v>
                </c:pt>
                <c:pt idx="67">
                  <c:v>47.055704881646285</c:v>
                </c:pt>
                <c:pt idx="68">
                  <c:v>46.989694403880421</c:v>
                </c:pt>
                <c:pt idx="69">
                  <c:v>46.925747389990192</c:v>
                </c:pt>
                <c:pt idx="70">
                  <c:v>46.872202575369776</c:v>
                </c:pt>
                <c:pt idx="71">
                  <c:v>46.811179790603461</c:v>
                </c:pt>
                <c:pt idx="72">
                  <c:v>46.759183721680067</c:v>
                </c:pt>
                <c:pt idx="73">
                  <c:v>46.704229756199098</c:v>
                </c:pt>
                <c:pt idx="74">
                  <c:v>46.641948955469864</c:v>
                </c:pt>
                <c:pt idx="75">
                  <c:v>46.581431751685876</c:v>
                </c:pt>
                <c:pt idx="76">
                  <c:v>46.518911789552561</c:v>
                </c:pt>
                <c:pt idx="77">
                  <c:v>46.45771307940818</c:v>
                </c:pt>
                <c:pt idx="78">
                  <c:v>46.39048135546583</c:v>
                </c:pt>
                <c:pt idx="79">
                  <c:v>46.324487158254527</c:v>
                </c:pt>
                <c:pt idx="80">
                  <c:v>46.252002472318466</c:v>
                </c:pt>
                <c:pt idx="81">
                  <c:v>46.184187419087486</c:v>
                </c:pt>
                <c:pt idx="82">
                  <c:v>46.123574465640829</c:v>
                </c:pt>
                <c:pt idx="83">
                  <c:v>46.070781011589375</c:v>
                </c:pt>
                <c:pt idx="84">
                  <c:v>46.015642086703522</c:v>
                </c:pt>
                <c:pt idx="85">
                  <c:v>45.95624592931852</c:v>
                </c:pt>
                <c:pt idx="86">
                  <c:v>45.893328758058239</c:v>
                </c:pt>
                <c:pt idx="87">
                  <c:v>45.823461423479216</c:v>
                </c:pt>
                <c:pt idx="88">
                  <c:v>45.749556254712218</c:v>
                </c:pt>
                <c:pt idx="89">
                  <c:v>45.680946752953929</c:v>
                </c:pt>
                <c:pt idx="90">
                  <c:v>45.608578333904447</c:v>
                </c:pt>
                <c:pt idx="91">
                  <c:v>45.540610785627258</c:v>
                </c:pt>
                <c:pt idx="92">
                  <c:v>45.476549287900333</c:v>
                </c:pt>
                <c:pt idx="93">
                  <c:v>45.415655106779589</c:v>
                </c:pt>
                <c:pt idx="94">
                  <c:v>45.355498019394403</c:v>
                </c:pt>
                <c:pt idx="95">
                  <c:v>45.297261532272167</c:v>
                </c:pt>
                <c:pt idx="96">
                  <c:v>45.257913448072408</c:v>
                </c:pt>
                <c:pt idx="97">
                  <c:v>45.215595528352814</c:v>
                </c:pt>
                <c:pt idx="98">
                  <c:v>45.164828943886711</c:v>
                </c:pt>
                <c:pt idx="99">
                  <c:v>45.109100219635472</c:v>
                </c:pt>
                <c:pt idx="100">
                  <c:v>45.061324533585214</c:v>
                </c:pt>
                <c:pt idx="101">
                  <c:v>45.010537596516713</c:v>
                </c:pt>
                <c:pt idx="102">
                  <c:v>44.958407183343482</c:v>
                </c:pt>
                <c:pt idx="103">
                  <c:v>44.904526079761695</c:v>
                </c:pt>
                <c:pt idx="104">
                  <c:v>44.847407160799172</c:v>
                </c:pt>
                <c:pt idx="105">
                  <c:v>44.794397799802709</c:v>
                </c:pt>
                <c:pt idx="106">
                  <c:v>44.732787372228479</c:v>
                </c:pt>
                <c:pt idx="107">
                  <c:v>44.663216928986117</c:v>
                </c:pt>
                <c:pt idx="108">
                  <c:v>44.593639827207824</c:v>
                </c:pt>
                <c:pt idx="109">
                  <c:v>44.528897939194842</c:v>
                </c:pt>
                <c:pt idx="110">
                  <c:v>44.463466015094774</c:v>
                </c:pt>
                <c:pt idx="111">
                  <c:v>44.385059166028981</c:v>
                </c:pt>
                <c:pt idx="112">
                  <c:v>44.301169088182156</c:v>
                </c:pt>
                <c:pt idx="113">
                  <c:v>44.20700533333374</c:v>
                </c:pt>
                <c:pt idx="114">
                  <c:v>44.102637293810396</c:v>
                </c:pt>
                <c:pt idx="115">
                  <c:v>43.986364600272481</c:v>
                </c:pt>
                <c:pt idx="116">
                  <c:v>43.859983285300636</c:v>
                </c:pt>
                <c:pt idx="117">
                  <c:v>43.723898629446296</c:v>
                </c:pt>
                <c:pt idx="118">
                  <c:v>43.560004446184159</c:v>
                </c:pt>
                <c:pt idx="119">
                  <c:v>43.377150226993024</c:v>
                </c:pt>
                <c:pt idx="120">
                  <c:v>43.208587137563775</c:v>
                </c:pt>
                <c:pt idx="121">
                  <c:v>43.027813852002623</c:v>
                </c:pt>
                <c:pt idx="122">
                  <c:v>42.835823192704026</c:v>
                </c:pt>
                <c:pt idx="123">
                  <c:v>42.641192724094061</c:v>
                </c:pt>
                <c:pt idx="124">
                  <c:v>42.428891290561047</c:v>
                </c:pt>
                <c:pt idx="125">
                  <c:v>42.216009326664093</c:v>
                </c:pt>
                <c:pt idx="126">
                  <c:v>42.004988860902913</c:v>
                </c:pt>
                <c:pt idx="127">
                  <c:v>41.77214996431654</c:v>
                </c:pt>
                <c:pt idx="128">
                  <c:v>41.537773425803607</c:v>
                </c:pt>
                <c:pt idx="129">
                  <c:v>41.297229174827301</c:v>
                </c:pt>
                <c:pt idx="130">
                  <c:v>41.034540518382904</c:v>
                </c:pt>
                <c:pt idx="131">
                  <c:v>40.76314120350284</c:v>
                </c:pt>
                <c:pt idx="132">
                  <c:v>40.50173534458542</c:v>
                </c:pt>
                <c:pt idx="133">
                  <c:v>40.243357337947401</c:v>
                </c:pt>
                <c:pt idx="134">
                  <c:v>39.9856251734913</c:v>
                </c:pt>
                <c:pt idx="135">
                  <c:v>39.729821292568651</c:v>
                </c:pt>
                <c:pt idx="136">
                  <c:v>39.470006583789072</c:v>
                </c:pt>
                <c:pt idx="137">
                  <c:v>39.216909848269495</c:v>
                </c:pt>
                <c:pt idx="138">
                  <c:v>38.946443215568124</c:v>
                </c:pt>
                <c:pt idx="139">
                  <c:v>38.657086164549114</c:v>
                </c:pt>
                <c:pt idx="140">
                  <c:v>38.357513732436814</c:v>
                </c:pt>
                <c:pt idx="141">
                  <c:v>38.021285895826772</c:v>
                </c:pt>
                <c:pt idx="142">
                  <c:v>37.704595314127623</c:v>
                </c:pt>
                <c:pt idx="143">
                  <c:v>37.406974812201511</c:v>
                </c:pt>
                <c:pt idx="144">
                  <c:v>37.114585948236922</c:v>
                </c:pt>
                <c:pt idx="145">
                  <c:v>36.860837587050732</c:v>
                </c:pt>
                <c:pt idx="146">
                  <c:v>36.599160368921638</c:v>
                </c:pt>
                <c:pt idx="147">
                  <c:v>36.304994004171967</c:v>
                </c:pt>
                <c:pt idx="148">
                  <c:v>36.082782341050695</c:v>
                </c:pt>
                <c:pt idx="149">
                  <c:v>35.806055021734863</c:v>
                </c:pt>
                <c:pt idx="150">
                  <c:v>35.515272602787945</c:v>
                </c:pt>
                <c:pt idx="151">
                  <c:v>35.195929871580155</c:v>
                </c:pt>
                <c:pt idx="152">
                  <c:v>34.857165659464087</c:v>
                </c:pt>
                <c:pt idx="153">
                  <c:v>34.533971908153774</c:v>
                </c:pt>
                <c:pt idx="154">
                  <c:v>34.230318949576379</c:v>
                </c:pt>
                <c:pt idx="155">
                  <c:v>33.901514046333304</c:v>
                </c:pt>
                <c:pt idx="156">
                  <c:v>33.557560003606248</c:v>
                </c:pt>
                <c:pt idx="157">
                  <c:v>33.256394439350693</c:v>
                </c:pt>
                <c:pt idx="158">
                  <c:v>32.910088960370459</c:v>
                </c:pt>
                <c:pt idx="159">
                  <c:v>32.594134725532271</c:v>
                </c:pt>
                <c:pt idx="160">
                  <c:v>32.378190932365364</c:v>
                </c:pt>
                <c:pt idx="161">
                  <c:v>32.103037906213757</c:v>
                </c:pt>
                <c:pt idx="162">
                  <c:v>31.923586116835544</c:v>
                </c:pt>
                <c:pt idx="163">
                  <c:v>31.747371632221245</c:v>
                </c:pt>
                <c:pt idx="164">
                  <c:v>31.577257136517993</c:v>
                </c:pt>
                <c:pt idx="165">
                  <c:v>31.446920812654604</c:v>
                </c:pt>
                <c:pt idx="166">
                  <c:v>31.283326327885774</c:v>
                </c:pt>
                <c:pt idx="167">
                  <c:v>31.022246225674639</c:v>
                </c:pt>
                <c:pt idx="168">
                  <c:v>30.714976776217455</c:v>
                </c:pt>
                <c:pt idx="169">
                  <c:v>30.354785054133249</c:v>
                </c:pt>
                <c:pt idx="170">
                  <c:v>30.056957497824477</c:v>
                </c:pt>
                <c:pt idx="171">
                  <c:v>29.910963837666245</c:v>
                </c:pt>
                <c:pt idx="172">
                  <c:v>29.558195336210723</c:v>
                </c:pt>
                <c:pt idx="173">
                  <c:v>29.207153596940632</c:v>
                </c:pt>
                <c:pt idx="174">
                  <c:v>29.056678470446805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2E-4C79-9F25-9E38AD8CEB79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50.956620873612302</c:v>
                </c:pt>
                <c:pt idx="1">
                  <c:v>50.950950162517749</c:v>
                </c:pt>
                <c:pt idx="2">
                  <c:v>50.944532237376251</c:v>
                </c:pt>
                <c:pt idx="3">
                  <c:v>50.933604869139614</c:v>
                </c:pt>
                <c:pt idx="4">
                  <c:v>50.921345675173825</c:v>
                </c:pt>
                <c:pt idx="5">
                  <c:v>50.907227108375999</c:v>
                </c:pt>
                <c:pt idx="6">
                  <c:v>50.891852818364249</c:v>
                </c:pt>
                <c:pt idx="7">
                  <c:v>50.875524531592852</c:v>
                </c:pt>
                <c:pt idx="8">
                  <c:v>50.858550237369485</c:v>
                </c:pt>
                <c:pt idx="9">
                  <c:v>50.840950587050301</c:v>
                </c:pt>
                <c:pt idx="10">
                  <c:v>50.822491927688198</c:v>
                </c:pt>
                <c:pt idx="11">
                  <c:v>50.802935927440615</c:v>
                </c:pt>
                <c:pt idx="12">
                  <c:v>50.782548924227555</c:v>
                </c:pt>
                <c:pt idx="13">
                  <c:v>50.765316640110235</c:v>
                </c:pt>
                <c:pt idx="14">
                  <c:v>50.747540817306579</c:v>
                </c:pt>
                <c:pt idx="15">
                  <c:v>50.729134812265741</c:v>
                </c:pt>
                <c:pt idx="16">
                  <c:v>50.710179148966802</c:v>
                </c:pt>
                <c:pt idx="17">
                  <c:v>50.690816857907819</c:v>
                </c:pt>
                <c:pt idx="18">
                  <c:v>50.670852721793267</c:v>
                </c:pt>
                <c:pt idx="19">
                  <c:v>50.650598254561174</c:v>
                </c:pt>
                <c:pt idx="20">
                  <c:v>50.629722579403257</c:v>
                </c:pt>
                <c:pt idx="21">
                  <c:v>50.608622833798087</c:v>
                </c:pt>
                <c:pt idx="22">
                  <c:v>50.588203612264216</c:v>
                </c:pt>
                <c:pt idx="23">
                  <c:v>50.562015249865603</c:v>
                </c:pt>
                <c:pt idx="24">
                  <c:v>50.534769192263319</c:v>
                </c:pt>
                <c:pt idx="25">
                  <c:v>50.507886511520852</c:v>
                </c:pt>
                <c:pt idx="26">
                  <c:v>50.47960757370555</c:v>
                </c:pt>
                <c:pt idx="27">
                  <c:v>50.450701700564494</c:v>
                </c:pt>
                <c:pt idx="28">
                  <c:v>50.421100170040276</c:v>
                </c:pt>
                <c:pt idx="29">
                  <c:v>50.391041953290262</c:v>
                </c:pt>
                <c:pt idx="30">
                  <c:v>50.35962294960796</c:v>
                </c:pt>
                <c:pt idx="31">
                  <c:v>50.325900078590657</c:v>
                </c:pt>
                <c:pt idx="32">
                  <c:v>50.293235800834488</c:v>
                </c:pt>
                <c:pt idx="33">
                  <c:v>50.263372738351741</c:v>
                </c:pt>
                <c:pt idx="34">
                  <c:v>50.232820952361756</c:v>
                </c:pt>
                <c:pt idx="35">
                  <c:v>50.202443908781461</c:v>
                </c:pt>
                <c:pt idx="36">
                  <c:v>50.172216448745232</c:v>
                </c:pt>
                <c:pt idx="37">
                  <c:v>50.141873082769941</c:v>
                </c:pt>
                <c:pt idx="38">
                  <c:v>50.110818015783963</c:v>
                </c:pt>
                <c:pt idx="39">
                  <c:v>50.077725519831532</c:v>
                </c:pt>
                <c:pt idx="40">
                  <c:v>50.044820746127918</c:v>
                </c:pt>
                <c:pt idx="41">
                  <c:v>50.010003505385669</c:v>
                </c:pt>
                <c:pt idx="42">
                  <c:v>49.974017226010133</c:v>
                </c:pt>
                <c:pt idx="43">
                  <c:v>49.936943422872773</c:v>
                </c:pt>
                <c:pt idx="44">
                  <c:v>49.900089926421941</c:v>
                </c:pt>
                <c:pt idx="45">
                  <c:v>49.862947067864425</c:v>
                </c:pt>
                <c:pt idx="46">
                  <c:v>49.824105938889282</c:v>
                </c:pt>
                <c:pt idx="47">
                  <c:v>49.784307956362085</c:v>
                </c:pt>
                <c:pt idx="48">
                  <c:v>49.742974749714399</c:v>
                </c:pt>
                <c:pt idx="49">
                  <c:v>49.700005370728228</c:v>
                </c:pt>
                <c:pt idx="50">
                  <c:v>49.653874978139847</c:v>
                </c:pt>
                <c:pt idx="51">
                  <c:v>49.605552429685531</c:v>
                </c:pt>
                <c:pt idx="52">
                  <c:v>49.559917993250451</c:v>
                </c:pt>
                <c:pt idx="53">
                  <c:v>49.517420298267517</c:v>
                </c:pt>
                <c:pt idx="54">
                  <c:v>49.473580953850274</c:v>
                </c:pt>
                <c:pt idx="55">
                  <c:v>49.431698906408187</c:v>
                </c:pt>
                <c:pt idx="56">
                  <c:v>49.389139824401774</c:v>
                </c:pt>
                <c:pt idx="57">
                  <c:v>49.347221956867898</c:v>
                </c:pt>
                <c:pt idx="58">
                  <c:v>49.299537019623294</c:v>
                </c:pt>
                <c:pt idx="59">
                  <c:v>49.255139046232848</c:v>
                </c:pt>
                <c:pt idx="60">
                  <c:v>49.20897113470761</c:v>
                </c:pt>
                <c:pt idx="61">
                  <c:v>49.160417250592154</c:v>
                </c:pt>
                <c:pt idx="62">
                  <c:v>49.107801301748523</c:v>
                </c:pt>
                <c:pt idx="63">
                  <c:v>49.052063459613237</c:v>
                </c:pt>
                <c:pt idx="64">
                  <c:v>48.98903034244109</c:v>
                </c:pt>
                <c:pt idx="65">
                  <c:v>48.932052660434287</c:v>
                </c:pt>
                <c:pt idx="66">
                  <c:v>48.8754407776132</c:v>
                </c:pt>
                <c:pt idx="67">
                  <c:v>48.814302930122537</c:v>
                </c:pt>
                <c:pt idx="68">
                  <c:v>48.751026709464327</c:v>
                </c:pt>
                <c:pt idx="69">
                  <c:v>48.689351853868438</c:v>
                </c:pt>
                <c:pt idx="70">
                  <c:v>48.638579870650773</c:v>
                </c:pt>
                <c:pt idx="71">
                  <c:v>48.578950652433548</c:v>
                </c:pt>
                <c:pt idx="72">
                  <c:v>48.533050049651713</c:v>
                </c:pt>
                <c:pt idx="73">
                  <c:v>48.486199626483497</c:v>
                </c:pt>
                <c:pt idx="74">
                  <c:v>48.431351674076637</c:v>
                </c:pt>
                <c:pt idx="75">
                  <c:v>48.377643099073822</c:v>
                </c:pt>
                <c:pt idx="76">
                  <c:v>48.323833039339874</c:v>
                </c:pt>
                <c:pt idx="77">
                  <c:v>48.27145031737124</c:v>
                </c:pt>
                <c:pt idx="78">
                  <c:v>48.208617562388881</c:v>
                </c:pt>
                <c:pt idx="79">
                  <c:v>48.146970335255723</c:v>
                </c:pt>
                <c:pt idx="80">
                  <c:v>48.077482965269056</c:v>
                </c:pt>
                <c:pt idx="81">
                  <c:v>48.010012670545336</c:v>
                </c:pt>
                <c:pt idx="82">
                  <c:v>47.952400846469629</c:v>
                </c:pt>
                <c:pt idx="83">
                  <c:v>47.910697516015773</c:v>
                </c:pt>
                <c:pt idx="84">
                  <c:v>47.866918554225357</c:v>
                </c:pt>
                <c:pt idx="85">
                  <c:v>47.818661917222762</c:v>
                </c:pt>
                <c:pt idx="86">
                  <c:v>47.768530450668706</c:v>
                </c:pt>
                <c:pt idx="87">
                  <c:v>47.712996932205435</c:v>
                </c:pt>
                <c:pt idx="88">
                  <c:v>47.654872851312277</c:v>
                </c:pt>
                <c:pt idx="89">
                  <c:v>47.604119261093125</c:v>
                </c:pt>
                <c:pt idx="90">
                  <c:v>47.549800204224312</c:v>
                </c:pt>
                <c:pt idx="91">
                  <c:v>47.489411827789247</c:v>
                </c:pt>
                <c:pt idx="92">
                  <c:v>47.428243083537396</c:v>
                </c:pt>
                <c:pt idx="93">
                  <c:v>47.364947186811079</c:v>
                </c:pt>
                <c:pt idx="94">
                  <c:v>47.301028147234426</c:v>
                </c:pt>
                <c:pt idx="95">
                  <c:v>47.241337780543056</c:v>
                </c:pt>
                <c:pt idx="96">
                  <c:v>47.203855757208615</c:v>
                </c:pt>
                <c:pt idx="97">
                  <c:v>47.167618640765134</c:v>
                </c:pt>
                <c:pt idx="98">
                  <c:v>47.118906776998855</c:v>
                </c:pt>
                <c:pt idx="99">
                  <c:v>47.064529308552103</c:v>
                </c:pt>
                <c:pt idx="100">
                  <c:v>47.018034170737188</c:v>
                </c:pt>
                <c:pt idx="101">
                  <c:v>46.957028991944476</c:v>
                </c:pt>
                <c:pt idx="102">
                  <c:v>46.881617329102419</c:v>
                </c:pt>
                <c:pt idx="103">
                  <c:v>46.810484035123025</c:v>
                </c:pt>
                <c:pt idx="104">
                  <c:v>46.734394497887386</c:v>
                </c:pt>
                <c:pt idx="105">
                  <c:v>46.657825957200288</c:v>
                </c:pt>
                <c:pt idx="106">
                  <c:v>46.571202801207825</c:v>
                </c:pt>
                <c:pt idx="107">
                  <c:v>46.474170853171223</c:v>
                </c:pt>
                <c:pt idx="108">
                  <c:v>46.37327021814442</c:v>
                </c:pt>
                <c:pt idx="109">
                  <c:v>46.273531634188423</c:v>
                </c:pt>
                <c:pt idx="110">
                  <c:v>46.181909915934256</c:v>
                </c:pt>
                <c:pt idx="111">
                  <c:v>46.08142345938797</c:v>
                </c:pt>
                <c:pt idx="112">
                  <c:v>45.97846291874172</c:v>
                </c:pt>
                <c:pt idx="113">
                  <c:v>45.860264409298033</c:v>
                </c:pt>
                <c:pt idx="114">
                  <c:v>45.729382767185136</c:v>
                </c:pt>
                <c:pt idx="115">
                  <c:v>45.586893018962854</c:v>
                </c:pt>
                <c:pt idx="116">
                  <c:v>45.436745166341112</c:v>
                </c:pt>
                <c:pt idx="117">
                  <c:v>45.275934862696218</c:v>
                </c:pt>
                <c:pt idx="118">
                  <c:v>45.09934414095779</c:v>
                </c:pt>
                <c:pt idx="119">
                  <c:v>44.904426573712662</c:v>
                </c:pt>
                <c:pt idx="120">
                  <c:v>44.692733909776784</c:v>
                </c:pt>
                <c:pt idx="121">
                  <c:v>44.470481786118327</c:v>
                </c:pt>
                <c:pt idx="122">
                  <c:v>44.242253004348306</c:v>
                </c:pt>
                <c:pt idx="123">
                  <c:v>43.993984866879664</c:v>
                </c:pt>
                <c:pt idx="124">
                  <c:v>43.730780158728429</c:v>
                </c:pt>
                <c:pt idx="125">
                  <c:v>43.46861904770261</c:v>
                </c:pt>
                <c:pt idx="126">
                  <c:v>43.21252181867564</c:v>
                </c:pt>
                <c:pt idx="127">
                  <c:v>42.934180599301861</c:v>
                </c:pt>
                <c:pt idx="128">
                  <c:v>42.648596945558303</c:v>
                </c:pt>
                <c:pt idx="129">
                  <c:v>42.347789548295701</c:v>
                </c:pt>
                <c:pt idx="130">
                  <c:v>42.030691010614717</c:v>
                </c:pt>
                <c:pt idx="131">
                  <c:v>41.708327034474394</c:v>
                </c:pt>
                <c:pt idx="132">
                  <c:v>41.392576377095338</c:v>
                </c:pt>
                <c:pt idx="133">
                  <c:v>41.104188495915928</c:v>
                </c:pt>
                <c:pt idx="134">
                  <c:v>40.815747027803717</c:v>
                </c:pt>
                <c:pt idx="135">
                  <c:v>40.517118425159445</c:v>
                </c:pt>
                <c:pt idx="136">
                  <c:v>40.205880092436516</c:v>
                </c:pt>
                <c:pt idx="137">
                  <c:v>39.889363992335241</c:v>
                </c:pt>
                <c:pt idx="138">
                  <c:v>39.557623479177039</c:v>
                </c:pt>
                <c:pt idx="139">
                  <c:v>39.20842809924158</c:v>
                </c:pt>
                <c:pt idx="140">
                  <c:v>38.847756442128087</c:v>
                </c:pt>
                <c:pt idx="141">
                  <c:v>38.495632139224476</c:v>
                </c:pt>
                <c:pt idx="142">
                  <c:v>38.183976036256013</c:v>
                </c:pt>
                <c:pt idx="143">
                  <c:v>37.892821582216932</c:v>
                </c:pt>
                <c:pt idx="144">
                  <c:v>37.619296519930053</c:v>
                </c:pt>
                <c:pt idx="145">
                  <c:v>37.292881458938744</c:v>
                </c:pt>
                <c:pt idx="146">
                  <c:v>36.991664922547848</c:v>
                </c:pt>
                <c:pt idx="147">
                  <c:v>36.642266732855951</c:v>
                </c:pt>
                <c:pt idx="148">
                  <c:v>36.291967713152005</c:v>
                </c:pt>
                <c:pt idx="149">
                  <c:v>35.921839593614955</c:v>
                </c:pt>
                <c:pt idx="150">
                  <c:v>35.564185975174254</c:v>
                </c:pt>
                <c:pt idx="151">
                  <c:v>35.150433155071624</c:v>
                </c:pt>
                <c:pt idx="152">
                  <c:v>34.739106099246236</c:v>
                </c:pt>
                <c:pt idx="153">
                  <c:v>34.327008445479237</c:v>
                </c:pt>
                <c:pt idx="154">
                  <c:v>33.951716318341617</c:v>
                </c:pt>
                <c:pt idx="155">
                  <c:v>33.634879099535148</c:v>
                </c:pt>
                <c:pt idx="156">
                  <c:v>33.289625138998659</c:v>
                </c:pt>
                <c:pt idx="157">
                  <c:v>32.940137752999554</c:v>
                </c:pt>
                <c:pt idx="158">
                  <c:v>32.547801121657166</c:v>
                </c:pt>
                <c:pt idx="159">
                  <c:v>32.1836922720763</c:v>
                </c:pt>
                <c:pt idx="160">
                  <c:v>31.901962244189114</c:v>
                </c:pt>
                <c:pt idx="161">
                  <c:v>31.575837962761589</c:v>
                </c:pt>
                <c:pt idx="162">
                  <c:v>31.307245375809273</c:v>
                </c:pt>
                <c:pt idx="163">
                  <c:v>31.022682466098633</c:v>
                </c:pt>
                <c:pt idx="164">
                  <c:v>30.765986243339512</c:v>
                </c:pt>
                <c:pt idx="165">
                  <c:v>30.51448759189584</c:v>
                </c:pt>
                <c:pt idx="166">
                  <c:v>30.317901111378671</c:v>
                </c:pt>
                <c:pt idx="167">
                  <c:v>30.078885403313144</c:v>
                </c:pt>
                <c:pt idx="168">
                  <c:v>29.830751387902765</c:v>
                </c:pt>
                <c:pt idx="169">
                  <c:v>29.433948722320814</c:v>
                </c:pt>
                <c:pt idx="170">
                  <c:v>29.072152435377657</c:v>
                </c:pt>
                <c:pt idx="171">
                  <c:v>28.92988802319406</c:v>
                </c:pt>
                <c:pt idx="172">
                  <c:v>28.601751719681406</c:v>
                </c:pt>
                <c:pt idx="173">
                  <c:v>29.05119817306862</c:v>
                </c:pt>
                <c:pt idx="174">
                  <c:v>32.229387245274339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2E-4C79-9F25-9E38AD8CEB79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36.032500118886205</c:v>
                </c:pt>
                <c:pt idx="141">
                  <c:v>35.66469989627339</c:v>
                </c:pt>
                <c:pt idx="142">
                  <c:v>35.299896907740624</c:v>
                </c:pt>
                <c:pt idx="143">
                  <c:v>34.953387841670441</c:v>
                </c:pt>
                <c:pt idx="144">
                  <c:v>34.615835833374952</c:v>
                </c:pt>
                <c:pt idx="145">
                  <c:v>34.271146813048993</c:v>
                </c:pt>
                <c:pt idx="146">
                  <c:v>33.923217009335829</c:v>
                </c:pt>
                <c:pt idx="147">
                  <c:v>33.587996169381334</c:v>
                </c:pt>
                <c:pt idx="148">
                  <c:v>33.229170622533374</c:v>
                </c:pt>
                <c:pt idx="149">
                  <c:v>32.883022820025985</c:v>
                </c:pt>
                <c:pt idx="150">
                  <c:v>32.497061754828906</c:v>
                </c:pt>
                <c:pt idx="151">
                  <c:v>32.067077715398277</c:v>
                </c:pt>
                <c:pt idx="152">
                  <c:v>31.657590604150421</c:v>
                </c:pt>
                <c:pt idx="153">
                  <c:v>31.240845110885672</c:v>
                </c:pt>
                <c:pt idx="154">
                  <c:v>30.834673720378429</c:v>
                </c:pt>
                <c:pt idx="155">
                  <c:v>30.454259204656996</c:v>
                </c:pt>
                <c:pt idx="156">
                  <c:v>30.101212224033837</c:v>
                </c:pt>
                <c:pt idx="157">
                  <c:v>29.707357412610978</c:v>
                </c:pt>
                <c:pt idx="158">
                  <c:v>29.270142706704437</c:v>
                </c:pt>
                <c:pt idx="159">
                  <c:v>28.898706863962527</c:v>
                </c:pt>
                <c:pt idx="160">
                  <c:v>28.657871489211438</c:v>
                </c:pt>
                <c:pt idx="161">
                  <c:v>28.400586228966279</c:v>
                </c:pt>
                <c:pt idx="162">
                  <c:v>28.037828599611096</c:v>
                </c:pt>
                <c:pt idx="163">
                  <c:v>27.728891820788963</c:v>
                </c:pt>
                <c:pt idx="164">
                  <c:v>27.552792817119016</c:v>
                </c:pt>
                <c:pt idx="165">
                  <c:v>27.390900278152035</c:v>
                </c:pt>
                <c:pt idx="166">
                  <c:v>27.259254798065452</c:v>
                </c:pt>
                <c:pt idx="167">
                  <c:v>27.175790357595702</c:v>
                </c:pt>
                <c:pt idx="168">
                  <c:v>26.923415920345565</c:v>
                </c:pt>
                <c:pt idx="169">
                  <c:v>26.520900811678178</c:v>
                </c:pt>
                <c:pt idx="170">
                  <c:v>26.222006968938317</c:v>
                </c:pt>
                <c:pt idx="171">
                  <c:v>26.238757102848403</c:v>
                </c:pt>
                <c:pt idx="172">
                  <c:v>25.981426870656836</c:v>
                </c:pt>
                <c:pt idx="173">
                  <c:v>25.923989770073401</c:v>
                </c:pt>
                <c:pt idx="174">
                  <c:v>24.977721661852382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22E-4C79-9F25-9E38AD8CEB79}"/>
            </c:ext>
          </c:extLst>
        </c:ser>
        <c:ser>
          <c:idx val="12"/>
          <c:order val="12"/>
          <c:tx>
            <c:strRef>
              <c:f>data_ghg_incLUC!$P$2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2E-4C79-9F25-9E38AD8CEB79}"/>
            </c:ext>
          </c:extLst>
        </c:ser>
        <c:ser>
          <c:idx val="13"/>
          <c:order val="13"/>
          <c:tx>
            <c:strRef>
              <c:f>data_ghg_incLUC!$R$2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data_ghg_incLUC!$R$3:$R$177</c:f>
              <c:numCache>
                <c:formatCode>0.0</c:formatCode>
                <c:ptCount val="175"/>
                <c:pt idx="0">
                  <c:v>34.289000000000001</c:v>
                </c:pt>
                <c:pt idx="1">
                  <c:v>34.289000000000001</c:v>
                </c:pt>
                <c:pt idx="2">
                  <c:v>34.283000000000001</c:v>
                </c:pt>
                <c:pt idx="3">
                  <c:v>34.277999999999999</c:v>
                </c:pt>
                <c:pt idx="4">
                  <c:v>34.271000000000001</c:v>
                </c:pt>
                <c:pt idx="5">
                  <c:v>34.262</c:v>
                </c:pt>
                <c:pt idx="6">
                  <c:v>34.253999999999998</c:v>
                </c:pt>
                <c:pt idx="7">
                  <c:v>34.244999999999997</c:v>
                </c:pt>
                <c:pt idx="8">
                  <c:v>34.234999999999999</c:v>
                </c:pt>
                <c:pt idx="9">
                  <c:v>34.225999999999999</c:v>
                </c:pt>
                <c:pt idx="10">
                  <c:v>34.215000000000003</c:v>
                </c:pt>
                <c:pt idx="11">
                  <c:v>34.203000000000003</c:v>
                </c:pt>
                <c:pt idx="12">
                  <c:v>34.19</c:v>
                </c:pt>
                <c:pt idx="13">
                  <c:v>34.177</c:v>
                </c:pt>
                <c:pt idx="14">
                  <c:v>34.162999999999997</c:v>
                </c:pt>
                <c:pt idx="15">
                  <c:v>34.149000000000001</c:v>
                </c:pt>
                <c:pt idx="16">
                  <c:v>34.134999999999998</c:v>
                </c:pt>
                <c:pt idx="17">
                  <c:v>34.119999999999997</c:v>
                </c:pt>
                <c:pt idx="18">
                  <c:v>34.103999999999999</c:v>
                </c:pt>
                <c:pt idx="19">
                  <c:v>34.087000000000003</c:v>
                </c:pt>
                <c:pt idx="20">
                  <c:v>34.070999999999998</c:v>
                </c:pt>
                <c:pt idx="21">
                  <c:v>34.051000000000002</c:v>
                </c:pt>
                <c:pt idx="22">
                  <c:v>34.027999999999999</c:v>
                </c:pt>
                <c:pt idx="23">
                  <c:v>34.003999999999998</c:v>
                </c:pt>
                <c:pt idx="24">
                  <c:v>33.976999999999997</c:v>
                </c:pt>
                <c:pt idx="25">
                  <c:v>33.951000000000001</c:v>
                </c:pt>
                <c:pt idx="26">
                  <c:v>33.923000000000002</c:v>
                </c:pt>
                <c:pt idx="27">
                  <c:v>33.895000000000003</c:v>
                </c:pt>
                <c:pt idx="28">
                  <c:v>33.866</c:v>
                </c:pt>
                <c:pt idx="29">
                  <c:v>33.837000000000003</c:v>
                </c:pt>
                <c:pt idx="30">
                  <c:v>33.805999999999997</c:v>
                </c:pt>
                <c:pt idx="31">
                  <c:v>33.774999999999999</c:v>
                </c:pt>
                <c:pt idx="32">
                  <c:v>33.746000000000002</c:v>
                </c:pt>
                <c:pt idx="33">
                  <c:v>33.716000000000001</c:v>
                </c:pt>
                <c:pt idx="34">
                  <c:v>33.685000000000002</c:v>
                </c:pt>
                <c:pt idx="35">
                  <c:v>33.654000000000003</c:v>
                </c:pt>
                <c:pt idx="36">
                  <c:v>33.625</c:v>
                </c:pt>
                <c:pt idx="37">
                  <c:v>33.595999999999997</c:v>
                </c:pt>
                <c:pt idx="38">
                  <c:v>33.564999999999998</c:v>
                </c:pt>
                <c:pt idx="39">
                  <c:v>33.531999999999996</c:v>
                </c:pt>
                <c:pt idx="40">
                  <c:v>33.500999999999998</c:v>
                </c:pt>
                <c:pt idx="41">
                  <c:v>33.466000000000001</c:v>
                </c:pt>
                <c:pt idx="42">
                  <c:v>33.430999999999997</c:v>
                </c:pt>
                <c:pt idx="43">
                  <c:v>33.396999999999998</c:v>
                </c:pt>
                <c:pt idx="44">
                  <c:v>33.363</c:v>
                </c:pt>
                <c:pt idx="45">
                  <c:v>33.328000000000003</c:v>
                </c:pt>
                <c:pt idx="46">
                  <c:v>33.290999999999997</c:v>
                </c:pt>
                <c:pt idx="47">
                  <c:v>33.253</c:v>
                </c:pt>
                <c:pt idx="48">
                  <c:v>33.213999999999999</c:v>
                </c:pt>
                <c:pt idx="49">
                  <c:v>33.171999999999997</c:v>
                </c:pt>
                <c:pt idx="50">
                  <c:v>33.127000000000002</c:v>
                </c:pt>
                <c:pt idx="51">
                  <c:v>33.08</c:v>
                </c:pt>
                <c:pt idx="52">
                  <c:v>33.034999999999997</c:v>
                </c:pt>
                <c:pt idx="53">
                  <c:v>32.988</c:v>
                </c:pt>
                <c:pt idx="54">
                  <c:v>32.936999999999998</c:v>
                </c:pt>
                <c:pt idx="55">
                  <c:v>32.886000000000003</c:v>
                </c:pt>
                <c:pt idx="56">
                  <c:v>32.831000000000003</c:v>
                </c:pt>
                <c:pt idx="57">
                  <c:v>32.773000000000003</c:v>
                </c:pt>
                <c:pt idx="58">
                  <c:v>32.707000000000001</c:v>
                </c:pt>
                <c:pt idx="59">
                  <c:v>32.646999999999998</c:v>
                </c:pt>
                <c:pt idx="60">
                  <c:v>32.582999999999998</c:v>
                </c:pt>
                <c:pt idx="61">
                  <c:v>32.514000000000003</c:v>
                </c:pt>
                <c:pt idx="62">
                  <c:v>32.445999999999998</c:v>
                </c:pt>
                <c:pt idx="63">
                  <c:v>32.374000000000002</c:v>
                </c:pt>
                <c:pt idx="64">
                  <c:v>32.293999999999997</c:v>
                </c:pt>
                <c:pt idx="65">
                  <c:v>32.223999999999997</c:v>
                </c:pt>
                <c:pt idx="66">
                  <c:v>32.154000000000003</c:v>
                </c:pt>
                <c:pt idx="67">
                  <c:v>32.079000000000001</c:v>
                </c:pt>
                <c:pt idx="68">
                  <c:v>32</c:v>
                </c:pt>
                <c:pt idx="69">
                  <c:v>31.917000000000002</c:v>
                </c:pt>
                <c:pt idx="70">
                  <c:v>31.847000000000001</c:v>
                </c:pt>
                <c:pt idx="71">
                  <c:v>31.768999999999998</c:v>
                </c:pt>
                <c:pt idx="72">
                  <c:v>31.707000000000001</c:v>
                </c:pt>
                <c:pt idx="73">
                  <c:v>31.640999999999998</c:v>
                </c:pt>
                <c:pt idx="74">
                  <c:v>31.565000000000001</c:v>
                </c:pt>
                <c:pt idx="75">
                  <c:v>31.489000000000001</c:v>
                </c:pt>
                <c:pt idx="76">
                  <c:v>31.414000000000001</c:v>
                </c:pt>
                <c:pt idx="77">
                  <c:v>31.344999999999999</c:v>
                </c:pt>
                <c:pt idx="78">
                  <c:v>31.271000000000001</c:v>
                </c:pt>
                <c:pt idx="79">
                  <c:v>31.196999999999999</c:v>
                </c:pt>
                <c:pt idx="80">
                  <c:v>31.117999999999999</c:v>
                </c:pt>
                <c:pt idx="81">
                  <c:v>31.056000000000001</c:v>
                </c:pt>
                <c:pt idx="82">
                  <c:v>31.010999999999999</c:v>
                </c:pt>
                <c:pt idx="83">
                  <c:v>30.981000000000002</c:v>
                </c:pt>
                <c:pt idx="84">
                  <c:v>30.951000000000001</c:v>
                </c:pt>
                <c:pt idx="85">
                  <c:v>30.914000000000001</c:v>
                </c:pt>
                <c:pt idx="86">
                  <c:v>30.875</c:v>
                </c:pt>
                <c:pt idx="87">
                  <c:v>30.832000000000001</c:v>
                </c:pt>
                <c:pt idx="88">
                  <c:v>30.786000000000001</c:v>
                </c:pt>
                <c:pt idx="89">
                  <c:v>30.751999999999999</c:v>
                </c:pt>
                <c:pt idx="90">
                  <c:v>30.709</c:v>
                </c:pt>
                <c:pt idx="91">
                  <c:v>30.669</c:v>
                </c:pt>
                <c:pt idx="92">
                  <c:v>30.616</c:v>
                </c:pt>
                <c:pt idx="93">
                  <c:v>30.556000000000001</c:v>
                </c:pt>
                <c:pt idx="94">
                  <c:v>30.498999999999999</c:v>
                </c:pt>
                <c:pt idx="95">
                  <c:v>30.442</c:v>
                </c:pt>
                <c:pt idx="96">
                  <c:v>30.402999999999999</c:v>
                </c:pt>
                <c:pt idx="97">
                  <c:v>30.358000000000001</c:v>
                </c:pt>
                <c:pt idx="98">
                  <c:v>30.298999999999999</c:v>
                </c:pt>
                <c:pt idx="99">
                  <c:v>30.228999999999999</c:v>
                </c:pt>
                <c:pt idx="100">
                  <c:v>30.172999999999998</c:v>
                </c:pt>
                <c:pt idx="101">
                  <c:v>30.106999999999999</c:v>
                </c:pt>
                <c:pt idx="102">
                  <c:v>30.033999999999999</c:v>
                </c:pt>
                <c:pt idx="103">
                  <c:v>29.957999999999998</c:v>
                </c:pt>
                <c:pt idx="104">
                  <c:v>29.881</c:v>
                </c:pt>
                <c:pt idx="105">
                  <c:v>29.812999999999999</c:v>
                </c:pt>
                <c:pt idx="106">
                  <c:v>29.736999999999998</c:v>
                </c:pt>
                <c:pt idx="107">
                  <c:v>29.655999999999999</c:v>
                </c:pt>
                <c:pt idx="108">
                  <c:v>29.581</c:v>
                </c:pt>
                <c:pt idx="109">
                  <c:v>29.510999999999999</c:v>
                </c:pt>
                <c:pt idx="110">
                  <c:v>29.454999999999998</c:v>
                </c:pt>
                <c:pt idx="111">
                  <c:v>29.38</c:v>
                </c:pt>
                <c:pt idx="112">
                  <c:v>29.303000000000001</c:v>
                </c:pt>
                <c:pt idx="113">
                  <c:v>29.210999999999999</c:v>
                </c:pt>
                <c:pt idx="114">
                  <c:v>29.11</c:v>
                </c:pt>
                <c:pt idx="115">
                  <c:v>28.995999999999999</c:v>
                </c:pt>
                <c:pt idx="116">
                  <c:v>28.867999999999999</c:v>
                </c:pt>
                <c:pt idx="117">
                  <c:v>28.734000000000002</c:v>
                </c:pt>
                <c:pt idx="118">
                  <c:v>28.579000000000001</c:v>
                </c:pt>
                <c:pt idx="119">
                  <c:v>28.405999999999999</c:v>
                </c:pt>
                <c:pt idx="120">
                  <c:v>28.234999999999999</c:v>
                </c:pt>
                <c:pt idx="121">
                  <c:v>28.07</c:v>
                </c:pt>
                <c:pt idx="122">
                  <c:v>27.899000000000001</c:v>
                </c:pt>
                <c:pt idx="123">
                  <c:v>27.722999999999999</c:v>
                </c:pt>
                <c:pt idx="124">
                  <c:v>27.54</c:v>
                </c:pt>
                <c:pt idx="125">
                  <c:v>27.363</c:v>
                </c:pt>
                <c:pt idx="126">
                  <c:v>27.201000000000001</c:v>
                </c:pt>
                <c:pt idx="127">
                  <c:v>27.027999999999999</c:v>
                </c:pt>
                <c:pt idx="128">
                  <c:v>26.859000000000002</c:v>
                </c:pt>
                <c:pt idx="129">
                  <c:v>26.692</c:v>
                </c:pt>
                <c:pt idx="130">
                  <c:v>26.498000000000001</c:v>
                </c:pt>
                <c:pt idx="131">
                  <c:v>26.309000000000001</c:v>
                </c:pt>
                <c:pt idx="132">
                  <c:v>26.126000000000001</c:v>
                </c:pt>
                <c:pt idx="133">
                  <c:v>25.965</c:v>
                </c:pt>
                <c:pt idx="134">
                  <c:v>25.821999999999999</c:v>
                </c:pt>
                <c:pt idx="135">
                  <c:v>25.686</c:v>
                </c:pt>
                <c:pt idx="136">
                  <c:v>25.558</c:v>
                </c:pt>
                <c:pt idx="137">
                  <c:v>25.440999999999999</c:v>
                </c:pt>
                <c:pt idx="138">
                  <c:v>25.327000000000002</c:v>
                </c:pt>
                <c:pt idx="139">
                  <c:v>25.210999999999999</c:v>
                </c:pt>
                <c:pt idx="140">
                  <c:v>25.091000000000001</c:v>
                </c:pt>
                <c:pt idx="141">
                  <c:v>24.93</c:v>
                </c:pt>
                <c:pt idx="142">
                  <c:v>24.768000000000001</c:v>
                </c:pt>
                <c:pt idx="143">
                  <c:v>24.588999999999999</c:v>
                </c:pt>
                <c:pt idx="144">
                  <c:v>24.391999999999999</c:v>
                </c:pt>
                <c:pt idx="145">
                  <c:v>24.196999999999999</c:v>
                </c:pt>
                <c:pt idx="146">
                  <c:v>23.989000000000001</c:v>
                </c:pt>
                <c:pt idx="147">
                  <c:v>23.768999999999998</c:v>
                </c:pt>
                <c:pt idx="148">
                  <c:v>23.556999999999999</c:v>
                </c:pt>
                <c:pt idx="149">
                  <c:v>23.291</c:v>
                </c:pt>
                <c:pt idx="150">
                  <c:v>23.012</c:v>
                </c:pt>
                <c:pt idx="151">
                  <c:v>22.710999999999999</c:v>
                </c:pt>
                <c:pt idx="152">
                  <c:v>22.411999999999999</c:v>
                </c:pt>
                <c:pt idx="153">
                  <c:v>22.116</c:v>
                </c:pt>
                <c:pt idx="154">
                  <c:v>21.834</c:v>
                </c:pt>
                <c:pt idx="155">
                  <c:v>21.521999999999998</c:v>
                </c:pt>
                <c:pt idx="156">
                  <c:v>21.224</c:v>
                </c:pt>
                <c:pt idx="157">
                  <c:v>20.954999999999998</c:v>
                </c:pt>
                <c:pt idx="158">
                  <c:v>20.635999999999999</c:v>
                </c:pt>
                <c:pt idx="159">
                  <c:v>20.332000000000001</c:v>
                </c:pt>
                <c:pt idx="160">
                  <c:v>20.13</c:v>
                </c:pt>
                <c:pt idx="161">
                  <c:v>19.898</c:v>
                </c:pt>
                <c:pt idx="162">
                  <c:v>19.727</c:v>
                </c:pt>
                <c:pt idx="163">
                  <c:v>19.597999999999999</c:v>
                </c:pt>
                <c:pt idx="164">
                  <c:v>19.466000000000001</c:v>
                </c:pt>
                <c:pt idx="165">
                  <c:v>19.324999999999999</c:v>
                </c:pt>
                <c:pt idx="166">
                  <c:v>19.193000000000001</c:v>
                </c:pt>
                <c:pt idx="167">
                  <c:v>19.021999999999998</c:v>
                </c:pt>
                <c:pt idx="168">
                  <c:v>18.806000000000001</c:v>
                </c:pt>
                <c:pt idx="169">
                  <c:v>18.515000000000001</c:v>
                </c:pt>
                <c:pt idx="170">
                  <c:v>18.265000000000001</c:v>
                </c:pt>
                <c:pt idx="171">
                  <c:v>18.260000000000002</c:v>
                </c:pt>
                <c:pt idx="172">
                  <c:v>18.068999999999999</c:v>
                </c:pt>
                <c:pt idx="173">
                  <c:v>17.913</c:v>
                </c:pt>
                <c:pt idx="174">
                  <c:v>17.709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22E-4C79-9F25-9E38AD8CEB79}"/>
            </c:ext>
          </c:extLst>
        </c:ser>
        <c:ser>
          <c:idx val="14"/>
          <c:order val="14"/>
          <c:tx>
            <c:strRef>
              <c:f>data_ghg_incLUC!$S$2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data_ghg_incLUC!$S$3:$S$177</c:f>
              <c:numCache>
                <c:formatCode>0.0</c:formatCode>
                <c:ptCount val="175"/>
                <c:pt idx="0">
                  <c:v>46.369</c:v>
                </c:pt>
                <c:pt idx="1">
                  <c:v>46.369</c:v>
                </c:pt>
                <c:pt idx="2">
                  <c:v>46.356000000000002</c:v>
                </c:pt>
                <c:pt idx="3">
                  <c:v>46.341999999999999</c:v>
                </c:pt>
                <c:pt idx="4">
                  <c:v>46.328000000000003</c:v>
                </c:pt>
                <c:pt idx="5">
                  <c:v>46.311</c:v>
                </c:pt>
                <c:pt idx="6">
                  <c:v>46.295000000000002</c:v>
                </c:pt>
                <c:pt idx="7">
                  <c:v>46.279000000000003</c:v>
                </c:pt>
                <c:pt idx="8">
                  <c:v>46.261000000000003</c:v>
                </c:pt>
                <c:pt idx="9">
                  <c:v>46.244</c:v>
                </c:pt>
                <c:pt idx="10">
                  <c:v>46.225000000000001</c:v>
                </c:pt>
                <c:pt idx="11">
                  <c:v>46.204999999999998</c:v>
                </c:pt>
                <c:pt idx="12">
                  <c:v>46.183999999999997</c:v>
                </c:pt>
                <c:pt idx="13">
                  <c:v>46.161999999999999</c:v>
                </c:pt>
                <c:pt idx="14">
                  <c:v>46.14</c:v>
                </c:pt>
                <c:pt idx="15">
                  <c:v>46.116999999999997</c:v>
                </c:pt>
                <c:pt idx="16">
                  <c:v>46.093000000000004</c:v>
                </c:pt>
                <c:pt idx="17">
                  <c:v>46.067999999999998</c:v>
                </c:pt>
                <c:pt idx="18">
                  <c:v>46.042999999999999</c:v>
                </c:pt>
                <c:pt idx="19">
                  <c:v>46.017000000000003</c:v>
                </c:pt>
                <c:pt idx="20">
                  <c:v>45.99</c:v>
                </c:pt>
                <c:pt idx="21">
                  <c:v>45.96</c:v>
                </c:pt>
                <c:pt idx="22">
                  <c:v>45.927</c:v>
                </c:pt>
                <c:pt idx="23">
                  <c:v>45.892000000000003</c:v>
                </c:pt>
                <c:pt idx="24">
                  <c:v>45.856000000000002</c:v>
                </c:pt>
                <c:pt idx="25">
                  <c:v>45.819000000000003</c:v>
                </c:pt>
                <c:pt idx="26">
                  <c:v>45.780999999999999</c:v>
                </c:pt>
                <c:pt idx="27">
                  <c:v>45.741999999999997</c:v>
                </c:pt>
                <c:pt idx="28">
                  <c:v>45.701999999999998</c:v>
                </c:pt>
                <c:pt idx="29">
                  <c:v>45.661999999999999</c:v>
                </c:pt>
                <c:pt idx="30">
                  <c:v>45.619</c:v>
                </c:pt>
                <c:pt idx="31">
                  <c:v>45.576999999999998</c:v>
                </c:pt>
                <c:pt idx="32">
                  <c:v>45.534999999999997</c:v>
                </c:pt>
                <c:pt idx="33">
                  <c:v>45.493000000000002</c:v>
                </c:pt>
                <c:pt idx="34">
                  <c:v>45.45</c:v>
                </c:pt>
                <c:pt idx="35">
                  <c:v>45.405999999999999</c:v>
                </c:pt>
                <c:pt idx="36">
                  <c:v>45.363</c:v>
                </c:pt>
                <c:pt idx="37">
                  <c:v>45.320999999999998</c:v>
                </c:pt>
                <c:pt idx="38">
                  <c:v>45.277000000000001</c:v>
                </c:pt>
                <c:pt idx="39">
                  <c:v>45.231000000000002</c:v>
                </c:pt>
                <c:pt idx="40">
                  <c:v>45.186</c:v>
                </c:pt>
                <c:pt idx="41">
                  <c:v>45.137</c:v>
                </c:pt>
                <c:pt idx="42">
                  <c:v>45.085000000000001</c:v>
                </c:pt>
                <c:pt idx="43">
                  <c:v>45.033999999999999</c:v>
                </c:pt>
                <c:pt idx="44">
                  <c:v>44.982999999999997</c:v>
                </c:pt>
                <c:pt idx="45">
                  <c:v>44.93</c:v>
                </c:pt>
                <c:pt idx="46">
                  <c:v>44.875999999999998</c:v>
                </c:pt>
                <c:pt idx="47">
                  <c:v>44.82</c:v>
                </c:pt>
                <c:pt idx="48">
                  <c:v>44.762</c:v>
                </c:pt>
                <c:pt idx="49">
                  <c:v>44.701999999999998</c:v>
                </c:pt>
                <c:pt idx="50">
                  <c:v>44.637</c:v>
                </c:pt>
                <c:pt idx="51">
                  <c:v>44.570999999999998</c:v>
                </c:pt>
                <c:pt idx="52">
                  <c:v>44.503</c:v>
                </c:pt>
                <c:pt idx="53">
                  <c:v>44.435000000000002</c:v>
                </c:pt>
                <c:pt idx="54">
                  <c:v>44.360999999999997</c:v>
                </c:pt>
                <c:pt idx="55">
                  <c:v>44.286999999999999</c:v>
                </c:pt>
                <c:pt idx="56">
                  <c:v>44.207000000000001</c:v>
                </c:pt>
                <c:pt idx="57">
                  <c:v>44.125</c:v>
                </c:pt>
                <c:pt idx="58">
                  <c:v>44.033000000000001</c:v>
                </c:pt>
                <c:pt idx="59">
                  <c:v>43.945</c:v>
                </c:pt>
                <c:pt idx="60">
                  <c:v>43.853000000000002</c:v>
                </c:pt>
                <c:pt idx="61">
                  <c:v>43.765000000000001</c:v>
                </c:pt>
                <c:pt idx="62">
                  <c:v>43.679000000000002</c:v>
                </c:pt>
                <c:pt idx="63">
                  <c:v>43.591000000000001</c:v>
                </c:pt>
                <c:pt idx="64">
                  <c:v>43.497999999999998</c:v>
                </c:pt>
                <c:pt idx="65">
                  <c:v>43.417000000000002</c:v>
                </c:pt>
                <c:pt idx="66">
                  <c:v>43.338999999999999</c:v>
                </c:pt>
                <c:pt idx="67">
                  <c:v>43.256999999999998</c:v>
                </c:pt>
                <c:pt idx="68">
                  <c:v>43.173000000000002</c:v>
                </c:pt>
                <c:pt idx="69">
                  <c:v>43.094999999999999</c:v>
                </c:pt>
                <c:pt idx="70">
                  <c:v>43.031999999999996</c:v>
                </c:pt>
                <c:pt idx="71">
                  <c:v>42.959000000000003</c:v>
                </c:pt>
                <c:pt idx="72">
                  <c:v>42.9</c:v>
                </c:pt>
                <c:pt idx="73">
                  <c:v>42.837000000000003</c:v>
                </c:pt>
                <c:pt idx="74">
                  <c:v>42.765000000000001</c:v>
                </c:pt>
                <c:pt idx="75">
                  <c:v>42.695</c:v>
                </c:pt>
                <c:pt idx="76">
                  <c:v>42.625</c:v>
                </c:pt>
                <c:pt idx="77">
                  <c:v>42.558</c:v>
                </c:pt>
                <c:pt idx="78">
                  <c:v>42.484999999999999</c:v>
                </c:pt>
                <c:pt idx="79">
                  <c:v>42.414000000000001</c:v>
                </c:pt>
                <c:pt idx="80">
                  <c:v>42.335000000000001</c:v>
                </c:pt>
                <c:pt idx="81">
                  <c:v>42.264000000000003</c:v>
                </c:pt>
                <c:pt idx="82">
                  <c:v>42.203000000000003</c:v>
                </c:pt>
                <c:pt idx="83">
                  <c:v>42.155000000000001</c:v>
                </c:pt>
                <c:pt idx="84">
                  <c:v>42.104999999999997</c:v>
                </c:pt>
                <c:pt idx="85">
                  <c:v>42.045000000000002</c:v>
                </c:pt>
                <c:pt idx="86">
                  <c:v>41.981000000000002</c:v>
                </c:pt>
                <c:pt idx="87">
                  <c:v>41.908000000000001</c:v>
                </c:pt>
                <c:pt idx="88">
                  <c:v>41.83</c:v>
                </c:pt>
                <c:pt idx="89">
                  <c:v>41.759</c:v>
                </c:pt>
                <c:pt idx="90">
                  <c:v>41.677</c:v>
                </c:pt>
                <c:pt idx="91">
                  <c:v>41.600999999999999</c:v>
                </c:pt>
                <c:pt idx="92">
                  <c:v>41.523000000000003</c:v>
                </c:pt>
                <c:pt idx="93">
                  <c:v>41.448999999999998</c:v>
                </c:pt>
                <c:pt idx="94">
                  <c:v>41.378999999999998</c:v>
                </c:pt>
                <c:pt idx="95">
                  <c:v>41.311</c:v>
                </c:pt>
                <c:pt idx="96">
                  <c:v>41.268000000000001</c:v>
                </c:pt>
                <c:pt idx="97">
                  <c:v>41.222000000000001</c:v>
                </c:pt>
                <c:pt idx="98">
                  <c:v>41.164000000000001</c:v>
                </c:pt>
                <c:pt idx="99">
                  <c:v>41.095999999999997</c:v>
                </c:pt>
                <c:pt idx="100">
                  <c:v>41.04</c:v>
                </c:pt>
                <c:pt idx="101">
                  <c:v>40.972999999999999</c:v>
                </c:pt>
                <c:pt idx="102">
                  <c:v>40.896999999999998</c:v>
                </c:pt>
                <c:pt idx="103">
                  <c:v>40.814</c:v>
                </c:pt>
                <c:pt idx="104">
                  <c:v>40.726999999999997</c:v>
                </c:pt>
                <c:pt idx="105">
                  <c:v>40.645000000000003</c:v>
                </c:pt>
                <c:pt idx="106">
                  <c:v>40.552</c:v>
                </c:pt>
                <c:pt idx="107">
                  <c:v>40.450000000000003</c:v>
                </c:pt>
                <c:pt idx="108">
                  <c:v>40.347999999999999</c:v>
                </c:pt>
                <c:pt idx="109">
                  <c:v>40.247</c:v>
                </c:pt>
                <c:pt idx="110">
                  <c:v>40.149000000000001</c:v>
                </c:pt>
                <c:pt idx="111">
                  <c:v>40.04</c:v>
                </c:pt>
                <c:pt idx="112">
                  <c:v>39.921999999999997</c:v>
                </c:pt>
                <c:pt idx="113">
                  <c:v>39.789000000000001</c:v>
                </c:pt>
                <c:pt idx="114">
                  <c:v>39.642000000000003</c:v>
                </c:pt>
                <c:pt idx="115">
                  <c:v>39.481000000000002</c:v>
                </c:pt>
                <c:pt idx="116">
                  <c:v>39.299999999999997</c:v>
                </c:pt>
                <c:pt idx="117">
                  <c:v>39.112000000000002</c:v>
                </c:pt>
                <c:pt idx="118">
                  <c:v>38.899000000000001</c:v>
                </c:pt>
                <c:pt idx="119">
                  <c:v>38.667000000000002</c:v>
                </c:pt>
                <c:pt idx="120">
                  <c:v>38.444000000000003</c:v>
                </c:pt>
                <c:pt idx="121">
                  <c:v>38.22</c:v>
                </c:pt>
                <c:pt idx="122">
                  <c:v>37.984999999999999</c:v>
                </c:pt>
                <c:pt idx="123">
                  <c:v>37.744</c:v>
                </c:pt>
                <c:pt idx="124">
                  <c:v>37.488</c:v>
                </c:pt>
                <c:pt idx="125">
                  <c:v>37.228000000000002</c:v>
                </c:pt>
                <c:pt idx="126">
                  <c:v>36.97</c:v>
                </c:pt>
                <c:pt idx="127">
                  <c:v>36.692999999999998</c:v>
                </c:pt>
                <c:pt idx="128">
                  <c:v>36.414999999999999</c:v>
                </c:pt>
                <c:pt idx="129">
                  <c:v>36.128</c:v>
                </c:pt>
                <c:pt idx="130">
                  <c:v>35.808999999999997</c:v>
                </c:pt>
                <c:pt idx="131">
                  <c:v>35.475000000000001</c:v>
                </c:pt>
                <c:pt idx="132">
                  <c:v>35.15</c:v>
                </c:pt>
                <c:pt idx="133">
                  <c:v>34.834000000000003</c:v>
                </c:pt>
                <c:pt idx="134">
                  <c:v>34.529000000000003</c:v>
                </c:pt>
                <c:pt idx="135">
                  <c:v>34.225000000000001</c:v>
                </c:pt>
                <c:pt idx="136">
                  <c:v>33.908999999999999</c:v>
                </c:pt>
                <c:pt idx="137">
                  <c:v>33.594999999999999</c:v>
                </c:pt>
                <c:pt idx="138">
                  <c:v>33.276000000000003</c:v>
                </c:pt>
                <c:pt idx="139">
                  <c:v>32.947000000000003</c:v>
                </c:pt>
                <c:pt idx="140">
                  <c:v>32.613999999999997</c:v>
                </c:pt>
                <c:pt idx="141">
                  <c:v>32.229999999999997</c:v>
                </c:pt>
                <c:pt idx="142">
                  <c:v>31.875</c:v>
                </c:pt>
                <c:pt idx="143">
                  <c:v>31.555</c:v>
                </c:pt>
                <c:pt idx="144">
                  <c:v>31.244</c:v>
                </c:pt>
                <c:pt idx="145">
                  <c:v>30.988</c:v>
                </c:pt>
                <c:pt idx="146">
                  <c:v>30.74</c:v>
                </c:pt>
                <c:pt idx="147">
                  <c:v>30.471</c:v>
                </c:pt>
                <c:pt idx="148">
                  <c:v>30.266999999999999</c:v>
                </c:pt>
                <c:pt idx="149">
                  <c:v>30.02</c:v>
                </c:pt>
                <c:pt idx="150">
                  <c:v>29.77</c:v>
                </c:pt>
                <c:pt idx="151">
                  <c:v>29.516999999999999</c:v>
                </c:pt>
                <c:pt idx="152">
                  <c:v>29.257999999999999</c:v>
                </c:pt>
                <c:pt idx="153">
                  <c:v>29.027999999999999</c:v>
                </c:pt>
                <c:pt idx="154">
                  <c:v>28.821000000000002</c:v>
                </c:pt>
                <c:pt idx="155">
                  <c:v>28.600999999999999</c:v>
                </c:pt>
                <c:pt idx="156">
                  <c:v>28.396000000000001</c:v>
                </c:pt>
                <c:pt idx="157">
                  <c:v>28.225999999999999</c:v>
                </c:pt>
                <c:pt idx="158">
                  <c:v>28.003</c:v>
                </c:pt>
                <c:pt idx="159">
                  <c:v>27.818000000000001</c:v>
                </c:pt>
                <c:pt idx="160">
                  <c:v>27.744</c:v>
                </c:pt>
                <c:pt idx="161">
                  <c:v>27.63</c:v>
                </c:pt>
                <c:pt idx="162">
                  <c:v>27.603999999999999</c:v>
                </c:pt>
                <c:pt idx="163">
                  <c:v>27.57</c:v>
                </c:pt>
                <c:pt idx="164">
                  <c:v>27.547000000000001</c:v>
                </c:pt>
                <c:pt idx="165">
                  <c:v>27.536000000000001</c:v>
                </c:pt>
                <c:pt idx="166">
                  <c:v>27.478000000000002</c:v>
                </c:pt>
                <c:pt idx="167">
                  <c:v>27.324999999999999</c:v>
                </c:pt>
                <c:pt idx="168">
                  <c:v>27.111999999999998</c:v>
                </c:pt>
                <c:pt idx="169">
                  <c:v>26.802</c:v>
                </c:pt>
                <c:pt idx="170">
                  <c:v>26.54</c:v>
                </c:pt>
                <c:pt idx="171">
                  <c:v>26.504999999999999</c:v>
                </c:pt>
                <c:pt idx="172">
                  <c:v>26.234000000000002</c:v>
                </c:pt>
                <c:pt idx="173">
                  <c:v>26.094000000000001</c:v>
                </c:pt>
                <c:pt idx="174">
                  <c:v>25.975000000000001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2E-4C79-9F25-9E38AD8CE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GHG emissions excluding LULUCF to 2024, different start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0.0</c:formatCode>
                <c:ptCount val="175"/>
                <c:pt idx="0">
                  <c:v>42.96309628573384</c:v>
                </c:pt>
                <c:pt idx="1">
                  <c:v>42.965405864785353</c:v>
                </c:pt>
                <c:pt idx="2">
                  <c:v>42.967670046517547</c:v>
                </c:pt>
                <c:pt idx="3">
                  <c:v>42.96972563621398</c:v>
                </c:pt>
                <c:pt idx="4">
                  <c:v>42.971514801108285</c:v>
                </c:pt>
                <c:pt idx="5">
                  <c:v>42.972347116089566</c:v>
                </c:pt>
                <c:pt idx="6">
                  <c:v>42.973067189046226</c:v>
                </c:pt>
                <c:pt idx="7">
                  <c:v>42.97335023664585</c:v>
                </c:pt>
                <c:pt idx="8">
                  <c:v>42.973563344316283</c:v>
                </c:pt>
                <c:pt idx="9">
                  <c:v>42.973720489537151</c:v>
                </c:pt>
                <c:pt idx="10">
                  <c:v>42.973426875363614</c:v>
                </c:pt>
                <c:pt idx="11">
                  <c:v>42.972415852195958</c:v>
                </c:pt>
                <c:pt idx="12">
                  <c:v>42.971010555319147</c:v>
                </c:pt>
                <c:pt idx="13">
                  <c:v>42.969529415121166</c:v>
                </c:pt>
                <c:pt idx="14">
                  <c:v>42.967576952121505</c:v>
                </c:pt>
                <c:pt idx="15">
                  <c:v>42.96496981600913</c:v>
                </c:pt>
                <c:pt idx="16">
                  <c:v>42.961816618470813</c:v>
                </c:pt>
                <c:pt idx="17">
                  <c:v>42.958397173387894</c:v>
                </c:pt>
                <c:pt idx="18">
                  <c:v>42.954311747037515</c:v>
                </c:pt>
                <c:pt idx="19">
                  <c:v>42.949988773324755</c:v>
                </c:pt>
                <c:pt idx="20">
                  <c:v>42.94502106908373</c:v>
                </c:pt>
                <c:pt idx="21">
                  <c:v>42.93989490675574</c:v>
                </c:pt>
                <c:pt idx="22">
                  <c:v>42.934182415352865</c:v>
                </c:pt>
                <c:pt idx="23">
                  <c:v>42.927060802343341</c:v>
                </c:pt>
                <c:pt idx="24">
                  <c:v>42.919052830156609</c:v>
                </c:pt>
                <c:pt idx="25">
                  <c:v>42.912248183238525</c:v>
                </c:pt>
                <c:pt idx="26">
                  <c:v>42.904153800838451</c:v>
                </c:pt>
                <c:pt idx="27">
                  <c:v>42.896211439680393</c:v>
                </c:pt>
                <c:pt idx="28">
                  <c:v>42.887920415931646</c:v>
                </c:pt>
                <c:pt idx="29">
                  <c:v>42.879765936830978</c:v>
                </c:pt>
                <c:pt idx="30">
                  <c:v>42.870509037749308</c:v>
                </c:pt>
                <c:pt idx="31">
                  <c:v>42.858910671036014</c:v>
                </c:pt>
                <c:pt idx="32">
                  <c:v>42.846776643861126</c:v>
                </c:pt>
                <c:pt idx="33">
                  <c:v>42.833566403837011</c:v>
                </c:pt>
                <c:pt idx="34">
                  <c:v>42.819239836075617</c:v>
                </c:pt>
                <c:pt idx="35">
                  <c:v>42.804850027233663</c:v>
                </c:pt>
                <c:pt idx="36">
                  <c:v>42.790515826348866</c:v>
                </c:pt>
                <c:pt idx="37">
                  <c:v>42.775990668324951</c:v>
                </c:pt>
                <c:pt idx="38">
                  <c:v>42.760435868679487</c:v>
                </c:pt>
                <c:pt idx="39">
                  <c:v>42.742363428942028</c:v>
                </c:pt>
                <c:pt idx="40">
                  <c:v>42.724658011192268</c:v>
                </c:pt>
                <c:pt idx="41">
                  <c:v>42.704667164981402</c:v>
                </c:pt>
                <c:pt idx="42">
                  <c:v>42.683524650779994</c:v>
                </c:pt>
                <c:pt idx="43">
                  <c:v>42.662194005353065</c:v>
                </c:pt>
                <c:pt idx="44">
                  <c:v>42.641807311276814</c:v>
                </c:pt>
                <c:pt idx="45">
                  <c:v>42.620287962703785</c:v>
                </c:pt>
                <c:pt idx="46">
                  <c:v>42.597268905648718</c:v>
                </c:pt>
                <c:pt idx="47">
                  <c:v>42.573357054142456</c:v>
                </c:pt>
                <c:pt idx="48">
                  <c:v>42.548153824953758</c:v>
                </c:pt>
                <c:pt idx="49">
                  <c:v>42.521464609536238</c:v>
                </c:pt>
                <c:pt idx="50">
                  <c:v>42.491306842519805</c:v>
                </c:pt>
                <c:pt idx="51">
                  <c:v>42.458949653832931</c:v>
                </c:pt>
                <c:pt idx="52">
                  <c:v>42.425731217987838</c:v>
                </c:pt>
                <c:pt idx="53">
                  <c:v>42.391163835461803</c:v>
                </c:pt>
                <c:pt idx="54">
                  <c:v>42.352085688960862</c:v>
                </c:pt>
                <c:pt idx="55">
                  <c:v>42.313032381071523</c:v>
                </c:pt>
                <c:pt idx="56">
                  <c:v>42.270171129141517</c:v>
                </c:pt>
                <c:pt idx="57">
                  <c:v>42.225843582043652</c:v>
                </c:pt>
                <c:pt idx="58">
                  <c:v>42.173930492393033</c:v>
                </c:pt>
                <c:pt idx="59">
                  <c:v>42.12553228905265</c:v>
                </c:pt>
                <c:pt idx="60">
                  <c:v>42.074573506549342</c:v>
                </c:pt>
                <c:pt idx="61">
                  <c:v>42.019802577207102</c:v>
                </c:pt>
                <c:pt idx="62">
                  <c:v>41.964695502827361</c:v>
                </c:pt>
                <c:pt idx="63">
                  <c:v>41.906244369889812</c:v>
                </c:pt>
                <c:pt idx="64">
                  <c:v>41.842126313823513</c:v>
                </c:pt>
                <c:pt idx="65">
                  <c:v>41.784754978788726</c:v>
                </c:pt>
                <c:pt idx="66">
                  <c:v>41.728118251963096</c:v>
                </c:pt>
                <c:pt idx="67">
                  <c:v>41.666341664072327</c:v>
                </c:pt>
                <c:pt idx="68">
                  <c:v>41.601288712055855</c:v>
                </c:pt>
                <c:pt idx="69">
                  <c:v>41.533698860374152</c:v>
                </c:pt>
                <c:pt idx="70">
                  <c:v>41.47440840935397</c:v>
                </c:pt>
                <c:pt idx="71">
                  <c:v>41.406299370972057</c:v>
                </c:pt>
                <c:pt idx="72">
                  <c:v>41.350966155979734</c:v>
                </c:pt>
                <c:pt idx="73">
                  <c:v>41.291218139694408</c:v>
                </c:pt>
                <c:pt idx="74">
                  <c:v>41.219454384446109</c:v>
                </c:pt>
                <c:pt idx="75">
                  <c:v>41.148329370930497</c:v>
                </c:pt>
                <c:pt idx="76">
                  <c:v>41.075542965855021</c:v>
                </c:pt>
                <c:pt idx="77">
                  <c:v>41.005839682681447</c:v>
                </c:pt>
                <c:pt idx="78">
                  <c:v>40.928088537073108</c:v>
                </c:pt>
                <c:pt idx="79">
                  <c:v>40.852322319094995</c:v>
                </c:pt>
                <c:pt idx="80">
                  <c:v>40.7700380612212</c:v>
                </c:pt>
                <c:pt idx="81">
                  <c:v>40.697816324883419</c:v>
                </c:pt>
                <c:pt idx="82">
                  <c:v>40.637815118399203</c:v>
                </c:pt>
                <c:pt idx="83">
                  <c:v>40.587860703645021</c:v>
                </c:pt>
                <c:pt idx="84">
                  <c:v>40.534974484850991</c:v>
                </c:pt>
                <c:pt idx="85">
                  <c:v>40.478188720133211</c:v>
                </c:pt>
                <c:pt idx="86">
                  <c:v>40.419767667549081</c:v>
                </c:pt>
                <c:pt idx="87">
                  <c:v>40.354299445354684</c:v>
                </c:pt>
                <c:pt idx="88">
                  <c:v>40.282819577165547</c:v>
                </c:pt>
                <c:pt idx="89">
                  <c:v>40.22089221194959</c:v>
                </c:pt>
                <c:pt idx="90">
                  <c:v>40.153127304355991</c:v>
                </c:pt>
                <c:pt idx="91">
                  <c:v>40.085158352464326</c:v>
                </c:pt>
                <c:pt idx="92">
                  <c:v>40.011302896042992</c:v>
                </c:pt>
                <c:pt idx="93">
                  <c:v>39.929454735575284</c:v>
                </c:pt>
                <c:pt idx="94">
                  <c:v>39.84778773066293</c:v>
                </c:pt>
                <c:pt idx="95">
                  <c:v>39.766592023659733</c:v>
                </c:pt>
                <c:pt idx="96">
                  <c:v>39.701055015256891</c:v>
                </c:pt>
                <c:pt idx="97">
                  <c:v>39.63226688146257</c:v>
                </c:pt>
                <c:pt idx="98">
                  <c:v>39.550558397439318</c:v>
                </c:pt>
                <c:pt idx="99">
                  <c:v>39.46089541387326</c:v>
                </c:pt>
                <c:pt idx="100">
                  <c:v>39.382712517890681</c:v>
                </c:pt>
                <c:pt idx="101">
                  <c:v>39.289629197299305</c:v>
                </c:pt>
                <c:pt idx="102">
                  <c:v>39.189646614729035</c:v>
                </c:pt>
                <c:pt idx="103">
                  <c:v>39.092792954295909</c:v>
                </c:pt>
                <c:pt idx="104">
                  <c:v>38.994034188069769</c:v>
                </c:pt>
                <c:pt idx="105">
                  <c:v>38.89847024792202</c:v>
                </c:pt>
                <c:pt idx="106">
                  <c:v>38.794970511640663</c:v>
                </c:pt>
                <c:pt idx="107">
                  <c:v>38.685335815659435</c:v>
                </c:pt>
                <c:pt idx="108">
                  <c:v>38.578594352574811</c:v>
                </c:pt>
                <c:pt idx="109">
                  <c:v>38.482788697322498</c:v>
                </c:pt>
                <c:pt idx="110">
                  <c:v>38.39023854256741</c:v>
                </c:pt>
                <c:pt idx="111">
                  <c:v>38.291969903277945</c:v>
                </c:pt>
                <c:pt idx="112">
                  <c:v>38.185606644181803</c:v>
                </c:pt>
                <c:pt idx="113">
                  <c:v>38.069043460153345</c:v>
                </c:pt>
                <c:pt idx="114">
                  <c:v>37.943062006216529</c:v>
                </c:pt>
                <c:pt idx="115">
                  <c:v>37.809186692654642</c:v>
                </c:pt>
                <c:pt idx="116">
                  <c:v>37.669755039832282</c:v>
                </c:pt>
                <c:pt idx="117">
                  <c:v>37.52631351479058</c:v>
                </c:pt>
                <c:pt idx="118">
                  <c:v>37.371265331452328</c:v>
                </c:pt>
                <c:pt idx="119">
                  <c:v>37.20519560384237</c:v>
                </c:pt>
                <c:pt idx="120">
                  <c:v>35.943900918086683</c:v>
                </c:pt>
                <c:pt idx="121">
                  <c:v>35.750456558462893</c:v>
                </c:pt>
                <c:pt idx="122">
                  <c:v>35.559338192067472</c:v>
                </c:pt>
                <c:pt idx="123">
                  <c:v>35.356763788491307</c:v>
                </c:pt>
                <c:pt idx="124">
                  <c:v>35.141678121481753</c:v>
                </c:pt>
                <c:pt idx="125">
                  <c:v>34.936290498138661</c:v>
                </c:pt>
                <c:pt idx="126">
                  <c:v>34.750518095915247</c:v>
                </c:pt>
                <c:pt idx="127">
                  <c:v>34.548833573045037</c:v>
                </c:pt>
                <c:pt idx="128">
                  <c:v>34.345229830661268</c:v>
                </c:pt>
                <c:pt idx="129">
                  <c:v>34.144934069814653</c:v>
                </c:pt>
                <c:pt idx="130">
                  <c:v>33.93560598503808</c:v>
                </c:pt>
                <c:pt idx="131">
                  <c:v>33.737728908858131</c:v>
                </c:pt>
                <c:pt idx="132">
                  <c:v>33.54101193648949</c:v>
                </c:pt>
                <c:pt idx="133">
                  <c:v>33.362343006668652</c:v>
                </c:pt>
                <c:pt idx="134">
                  <c:v>33.187300795357693</c:v>
                </c:pt>
                <c:pt idx="135">
                  <c:v>33.00230328074192</c:v>
                </c:pt>
                <c:pt idx="136">
                  <c:v>32.814063916979215</c:v>
                </c:pt>
                <c:pt idx="137">
                  <c:v>32.631059034124462</c:v>
                </c:pt>
                <c:pt idx="138">
                  <c:v>32.443787266468718</c:v>
                </c:pt>
                <c:pt idx="139">
                  <c:v>32.245717258285161</c:v>
                </c:pt>
                <c:pt idx="140">
                  <c:v>32.040554796705287</c:v>
                </c:pt>
                <c:pt idx="141">
                  <c:v>31.837331055279193</c:v>
                </c:pt>
                <c:pt idx="142">
                  <c:v>31.625855200586223</c:v>
                </c:pt>
                <c:pt idx="143">
                  <c:v>31.400672951657278</c:v>
                </c:pt>
                <c:pt idx="144">
                  <c:v>31.162423668198606</c:v>
                </c:pt>
                <c:pt idx="145">
                  <c:v>30.903862952985765</c:v>
                </c:pt>
                <c:pt idx="146">
                  <c:v>30.638793466449648</c:v>
                </c:pt>
                <c:pt idx="147">
                  <c:v>30.34855526586977</c:v>
                </c:pt>
                <c:pt idx="148">
                  <c:v>30.032721727559363</c:v>
                </c:pt>
                <c:pt idx="149">
                  <c:v>29.697117902020391</c:v>
                </c:pt>
                <c:pt idx="150">
                  <c:v>29.344627963812364</c:v>
                </c:pt>
                <c:pt idx="151">
                  <c:v>28.972637586355948</c:v>
                </c:pt>
                <c:pt idx="152">
                  <c:v>28.589738541532817</c:v>
                </c:pt>
                <c:pt idx="153">
                  <c:v>28.203914647928958</c:v>
                </c:pt>
                <c:pt idx="154">
                  <c:v>27.816762476781676</c:v>
                </c:pt>
                <c:pt idx="155">
                  <c:v>27.431012351597033</c:v>
                </c:pt>
                <c:pt idx="156">
                  <c:v>27.05009198850491</c:v>
                </c:pt>
                <c:pt idx="157">
                  <c:v>26.688716477217206</c:v>
                </c:pt>
                <c:pt idx="158">
                  <c:v>26.317997544704337</c:v>
                </c:pt>
                <c:pt idx="159">
                  <c:v>25.967034857334198</c:v>
                </c:pt>
                <c:pt idx="160">
                  <c:v>25.675869651555789</c:v>
                </c:pt>
                <c:pt idx="161">
                  <c:v>25.362752398627208</c:v>
                </c:pt>
                <c:pt idx="162">
                  <c:v>25.10518091358529</c:v>
                </c:pt>
                <c:pt idx="163">
                  <c:v>24.8714249639659</c:v>
                </c:pt>
                <c:pt idx="164">
                  <c:v>24.617547633913599</c:v>
                </c:pt>
                <c:pt idx="165">
                  <c:v>24.367036162560805</c:v>
                </c:pt>
                <c:pt idx="166">
                  <c:v>24.087315208372885</c:v>
                </c:pt>
                <c:pt idx="167">
                  <c:v>23.793000924846979</c:v>
                </c:pt>
                <c:pt idx="168">
                  <c:v>23.484898220091281</c:v>
                </c:pt>
                <c:pt idx="169">
                  <c:v>23.137727784864619</c:v>
                </c:pt>
                <c:pt idx="170">
                  <c:v>22.797758948443402</c:v>
                </c:pt>
                <c:pt idx="171">
                  <c:v>22.621710561294321</c:v>
                </c:pt>
                <c:pt idx="172">
                  <c:v>22.345478782688009</c:v>
                </c:pt>
                <c:pt idx="173">
                  <c:v>21.909650548042364</c:v>
                </c:pt>
                <c:pt idx="174">
                  <c:v>21.729549270643705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1-4321-8113-EF6BDD10717E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0.0</c:formatCode>
                <c:ptCount val="175"/>
                <c:pt idx="0">
                  <c:v>2.8997722374218782</c:v>
                </c:pt>
                <c:pt idx="1">
                  <c:v>2.8946316877113532</c:v>
                </c:pt>
                <c:pt idx="2">
                  <c:v>2.8895138233208968</c:v>
                </c:pt>
                <c:pt idx="3">
                  <c:v>2.8843865059638034</c:v>
                </c:pt>
                <c:pt idx="4">
                  <c:v>2.87923361450855</c:v>
                </c:pt>
                <c:pt idx="5">
                  <c:v>2.8739457565528639</c:v>
                </c:pt>
                <c:pt idx="6">
                  <c:v>2.8686728761054354</c:v>
                </c:pt>
                <c:pt idx="7">
                  <c:v>2.8633579682134709</c:v>
                </c:pt>
                <c:pt idx="8">
                  <c:v>2.8580562961193863</c:v>
                </c:pt>
                <c:pt idx="9">
                  <c:v>2.852778423393751</c:v>
                </c:pt>
                <c:pt idx="10">
                  <c:v>2.8474224870848346</c:v>
                </c:pt>
                <c:pt idx="11">
                  <c:v>2.8419646674669963</c:v>
                </c:pt>
                <c:pt idx="12">
                  <c:v>2.8364787888794467</c:v>
                </c:pt>
                <c:pt idx="13">
                  <c:v>2.8309927672076611</c:v>
                </c:pt>
                <c:pt idx="14">
                  <c:v>2.8254390880091194</c:v>
                </c:pt>
                <c:pt idx="15">
                  <c:v>2.8198007317564517</c:v>
                </c:pt>
                <c:pt idx="16">
                  <c:v>2.8140983484428048</c:v>
                </c:pt>
                <c:pt idx="17">
                  <c:v>2.8083638533263624</c:v>
                </c:pt>
                <c:pt idx="18">
                  <c:v>2.8025572205018676</c:v>
                </c:pt>
                <c:pt idx="19">
                  <c:v>2.7967382718345277</c:v>
                </c:pt>
                <c:pt idx="20">
                  <c:v>2.7908204651847583</c:v>
                </c:pt>
                <c:pt idx="21">
                  <c:v>2.7849120952736683</c:v>
                </c:pt>
                <c:pt idx="22">
                  <c:v>2.7789442530954318</c:v>
                </c:pt>
                <c:pt idx="23">
                  <c:v>2.7728196482980323</c:v>
                </c:pt>
                <c:pt idx="24">
                  <c:v>2.7666005706399019</c:v>
                </c:pt>
                <c:pt idx="25">
                  <c:v>2.7605594411086685</c:v>
                </c:pt>
                <c:pt idx="26">
                  <c:v>2.7544056596608684</c:v>
                </c:pt>
                <c:pt idx="27">
                  <c:v>2.7483257727970027</c:v>
                </c:pt>
                <c:pt idx="28">
                  <c:v>2.7422208679247007</c:v>
                </c:pt>
                <c:pt idx="29">
                  <c:v>2.7361878319416917</c:v>
                </c:pt>
                <c:pt idx="30">
                  <c:v>2.730062814440295</c:v>
                </c:pt>
                <c:pt idx="31">
                  <c:v>2.7237485158335346</c:v>
                </c:pt>
                <c:pt idx="32">
                  <c:v>2.7172465810449822</c:v>
                </c:pt>
                <c:pt idx="33">
                  <c:v>2.7106083126764986</c:v>
                </c:pt>
                <c:pt idx="34">
                  <c:v>2.703821062830734</c:v>
                </c:pt>
                <c:pt idx="35">
                  <c:v>2.6970280527647859</c:v>
                </c:pt>
                <c:pt idx="36">
                  <c:v>2.6902602021798501</c:v>
                </c:pt>
                <c:pt idx="37">
                  <c:v>2.6834204528610854</c:v>
                </c:pt>
                <c:pt idx="38">
                  <c:v>2.6764140069213056</c:v>
                </c:pt>
                <c:pt idx="39">
                  <c:v>2.6691164334452253</c:v>
                </c:pt>
                <c:pt idx="40">
                  <c:v>2.6618996735015372</c:v>
                </c:pt>
                <c:pt idx="41">
                  <c:v>2.6543358166281408</c:v>
                </c:pt>
                <c:pt idx="42">
                  <c:v>2.6466970270763142</c:v>
                </c:pt>
                <c:pt idx="43">
                  <c:v>2.6390592212210109</c:v>
                </c:pt>
                <c:pt idx="44">
                  <c:v>2.6316387664664234</c:v>
                </c:pt>
                <c:pt idx="45">
                  <c:v>2.6241358169697975</c:v>
                </c:pt>
                <c:pt idx="46">
                  <c:v>2.6164775254667276</c:v>
                </c:pt>
                <c:pt idx="47">
                  <c:v>2.608740789057812</c:v>
                </c:pt>
                <c:pt idx="48">
                  <c:v>2.6009109286868934</c:v>
                </c:pt>
                <c:pt idx="49">
                  <c:v>2.5929656884471513</c:v>
                </c:pt>
                <c:pt idx="50">
                  <c:v>2.5846751039136393</c:v>
                </c:pt>
                <c:pt idx="51">
                  <c:v>2.5762388120484374</c:v>
                </c:pt>
                <c:pt idx="52">
                  <c:v>2.5676029177685891</c:v>
                </c:pt>
                <c:pt idx="53">
                  <c:v>2.5587594580406545</c:v>
                </c:pt>
                <c:pt idx="54">
                  <c:v>2.5493431237697664</c:v>
                </c:pt>
                <c:pt idx="55">
                  <c:v>2.5399131727063491</c:v>
                </c:pt>
                <c:pt idx="56">
                  <c:v>2.5300123179360838</c:v>
                </c:pt>
                <c:pt idx="57">
                  <c:v>2.5197147923634233</c:v>
                </c:pt>
                <c:pt idx="58">
                  <c:v>2.5091334814164696</c:v>
                </c:pt>
                <c:pt idx="59">
                  <c:v>2.499124641665901</c:v>
                </c:pt>
                <c:pt idx="60">
                  <c:v>2.488738424963536</c:v>
                </c:pt>
                <c:pt idx="61">
                  <c:v>2.477936421162994</c:v>
                </c:pt>
                <c:pt idx="62">
                  <c:v>2.4669268925981029</c:v>
                </c:pt>
                <c:pt idx="63">
                  <c:v>2.4559026586872648</c:v>
                </c:pt>
                <c:pt idx="64">
                  <c:v>2.4443387778487491</c:v>
                </c:pt>
                <c:pt idx="65">
                  <c:v>2.43331816280147</c:v>
                </c:pt>
                <c:pt idx="66">
                  <c:v>2.4221259990620183</c:v>
                </c:pt>
                <c:pt idx="67">
                  <c:v>2.4101564542676499</c:v>
                </c:pt>
                <c:pt idx="68">
                  <c:v>2.3971054839652837</c:v>
                </c:pt>
                <c:pt idx="69">
                  <c:v>2.3837444298268196</c:v>
                </c:pt>
                <c:pt idx="70">
                  <c:v>2.371112338407201</c:v>
                </c:pt>
                <c:pt idx="71">
                  <c:v>2.3575103669893736</c:v>
                </c:pt>
                <c:pt idx="72">
                  <c:v>2.3454376211926302</c:v>
                </c:pt>
                <c:pt idx="73">
                  <c:v>2.3328863142627583</c:v>
                </c:pt>
                <c:pt idx="74">
                  <c:v>2.3185193872534242</c:v>
                </c:pt>
                <c:pt idx="75">
                  <c:v>2.3042805771200534</c:v>
                </c:pt>
                <c:pt idx="76">
                  <c:v>2.2902684345202147</c:v>
                </c:pt>
                <c:pt idx="77">
                  <c:v>2.2763564226074777</c:v>
                </c:pt>
                <c:pt idx="78">
                  <c:v>2.2616780271223647</c:v>
                </c:pt>
                <c:pt idx="79">
                  <c:v>2.246643593898213</c:v>
                </c:pt>
                <c:pt idx="80">
                  <c:v>2.2307757525270233</c:v>
                </c:pt>
                <c:pt idx="81">
                  <c:v>2.2157371082423865</c:v>
                </c:pt>
                <c:pt idx="82">
                  <c:v>2.202233693425022</c:v>
                </c:pt>
                <c:pt idx="83">
                  <c:v>2.1899193245235864</c:v>
                </c:pt>
                <c:pt idx="84">
                  <c:v>2.1771800634908516</c:v>
                </c:pt>
                <c:pt idx="85">
                  <c:v>2.164028421782298</c:v>
                </c:pt>
                <c:pt idx="86">
                  <c:v>2.1506731537332158</c:v>
                </c:pt>
                <c:pt idx="87">
                  <c:v>2.1363538495921972</c:v>
                </c:pt>
                <c:pt idx="88">
                  <c:v>2.1213697928213691</c:v>
                </c:pt>
                <c:pt idx="89">
                  <c:v>2.1071677924653542</c:v>
                </c:pt>
                <c:pt idx="90">
                  <c:v>2.0924314506195216</c:v>
                </c:pt>
                <c:pt idx="91">
                  <c:v>2.077406068651598</c:v>
                </c:pt>
                <c:pt idx="92">
                  <c:v>2.0608625865775494</c:v>
                </c:pt>
                <c:pt idx="93">
                  <c:v>2.0422820270752382</c:v>
                </c:pt>
                <c:pt idx="94">
                  <c:v>2.0213675345616906</c:v>
                </c:pt>
                <c:pt idx="95">
                  <c:v>2.0019339288961433</c:v>
                </c:pt>
                <c:pt idx="96">
                  <c:v>1.9832663102152353</c:v>
                </c:pt>
                <c:pt idx="97">
                  <c:v>1.9648166541952037</c:v>
                </c:pt>
                <c:pt idx="98">
                  <c:v>1.946622051551266</c:v>
                </c:pt>
                <c:pt idx="99">
                  <c:v>1.9279032857821079</c:v>
                </c:pt>
                <c:pt idx="100">
                  <c:v>1.9101637931098878</c:v>
                </c:pt>
                <c:pt idx="101">
                  <c:v>1.8942183868491043</c:v>
                </c:pt>
                <c:pt idx="102">
                  <c:v>1.8775926999098544</c:v>
                </c:pt>
                <c:pt idx="103">
                  <c:v>1.8615263304769698</c:v>
                </c:pt>
                <c:pt idx="104">
                  <c:v>1.8451480441506618</c:v>
                </c:pt>
                <c:pt idx="105">
                  <c:v>1.829568813722048</c:v>
                </c:pt>
                <c:pt idx="106">
                  <c:v>1.814018136230203</c:v>
                </c:pt>
                <c:pt idx="107">
                  <c:v>1.7980484037153417</c:v>
                </c:pt>
                <c:pt idx="108">
                  <c:v>1.7826825301849638</c:v>
                </c:pt>
                <c:pt idx="109">
                  <c:v>1.7690273945103883</c:v>
                </c:pt>
                <c:pt idx="110">
                  <c:v>1.7567846369905951</c:v>
                </c:pt>
                <c:pt idx="111">
                  <c:v>1.7434961795242572</c:v>
                </c:pt>
                <c:pt idx="112">
                  <c:v>1.7293768511999446</c:v>
                </c:pt>
                <c:pt idx="113">
                  <c:v>1.7145468528053271</c:v>
                </c:pt>
                <c:pt idx="114">
                  <c:v>1.7007678507232598</c:v>
                </c:pt>
                <c:pt idx="115">
                  <c:v>1.6863786095411939</c:v>
                </c:pt>
                <c:pt idx="116">
                  <c:v>1.6731337711249452</c:v>
                </c:pt>
                <c:pt idx="117">
                  <c:v>1.6583100580068049</c:v>
                </c:pt>
                <c:pt idx="118">
                  <c:v>1.6437427302617067</c:v>
                </c:pt>
                <c:pt idx="119">
                  <c:v>1.6273254586542905</c:v>
                </c:pt>
                <c:pt idx="120">
                  <c:v>2.6942712177914672</c:v>
                </c:pt>
                <c:pt idx="121">
                  <c:v>2.6836603193393813</c:v>
                </c:pt>
                <c:pt idx="122">
                  <c:v>2.6718787988860129</c:v>
                </c:pt>
                <c:pt idx="123">
                  <c:v>2.6604619861738996</c:v>
                </c:pt>
                <c:pt idx="124">
                  <c:v>2.6506514475581682</c:v>
                </c:pt>
                <c:pt idx="125">
                  <c:v>2.6423688343860405</c:v>
                </c:pt>
                <c:pt idx="126">
                  <c:v>2.6355175557836574</c:v>
                </c:pt>
                <c:pt idx="127">
                  <c:v>2.6309489229328449</c:v>
                </c:pt>
                <c:pt idx="128">
                  <c:v>2.6292548962637952</c:v>
                </c:pt>
                <c:pt idx="129">
                  <c:v>2.6211994507226564</c:v>
                </c:pt>
                <c:pt idx="130">
                  <c:v>2.6123376667346534</c:v>
                </c:pt>
                <c:pt idx="131">
                  <c:v>2.6025053310696649</c:v>
                </c:pt>
                <c:pt idx="132">
                  <c:v>2.5970595906848644</c:v>
                </c:pt>
                <c:pt idx="133">
                  <c:v>2.594836069050622</c:v>
                </c:pt>
                <c:pt idx="134">
                  <c:v>2.5931359521794022</c:v>
                </c:pt>
                <c:pt idx="135">
                  <c:v>2.5963521471440743</c:v>
                </c:pt>
                <c:pt idx="136">
                  <c:v>2.6109459009306235</c:v>
                </c:pt>
                <c:pt idx="137">
                  <c:v>2.6259890015456264</c:v>
                </c:pt>
                <c:pt idx="138">
                  <c:v>2.6363401195087164</c:v>
                </c:pt>
                <c:pt idx="139">
                  <c:v>2.6510240397087514</c:v>
                </c:pt>
                <c:pt idx="140">
                  <c:v>2.6581052204631561</c:v>
                </c:pt>
                <c:pt idx="141">
                  <c:v>2.6317366302212761</c:v>
                </c:pt>
                <c:pt idx="142">
                  <c:v>2.6172910013945483</c:v>
                </c:pt>
                <c:pt idx="143">
                  <c:v>2.5803731985747547</c:v>
                </c:pt>
                <c:pt idx="144">
                  <c:v>2.5481648106244634</c:v>
                </c:pt>
                <c:pt idx="145">
                  <c:v>2.5160313026270735</c:v>
                </c:pt>
                <c:pt idx="146">
                  <c:v>2.4824199385044352</c:v>
                </c:pt>
                <c:pt idx="147">
                  <c:v>2.4541684074485772</c:v>
                </c:pt>
                <c:pt idx="148">
                  <c:v>2.4368489165928366</c:v>
                </c:pt>
                <c:pt idx="149">
                  <c:v>2.4087654938244079</c:v>
                </c:pt>
                <c:pt idx="150">
                  <c:v>2.3837370153625628</c:v>
                </c:pt>
                <c:pt idx="151">
                  <c:v>2.3499103096057468</c:v>
                </c:pt>
                <c:pt idx="152">
                  <c:v>2.3180507627535292</c:v>
                </c:pt>
                <c:pt idx="153">
                  <c:v>2.2713324222259743</c:v>
                </c:pt>
                <c:pt idx="154">
                  <c:v>2.2328929842451046</c:v>
                </c:pt>
                <c:pt idx="155">
                  <c:v>2.1831864134692189</c:v>
                </c:pt>
                <c:pt idx="156">
                  <c:v>2.1317544877815564</c:v>
                </c:pt>
                <c:pt idx="157">
                  <c:v>2.0766577409043983</c:v>
                </c:pt>
                <c:pt idx="158">
                  <c:v>2.0145278038812329</c:v>
                </c:pt>
                <c:pt idx="159">
                  <c:v>1.9667967399177293</c:v>
                </c:pt>
                <c:pt idx="160">
                  <c:v>1.9298196425876526</c:v>
                </c:pt>
                <c:pt idx="161">
                  <c:v>1.9076648945624619</c:v>
                </c:pt>
                <c:pt idx="162">
                  <c:v>1.8920367623496581</c:v>
                </c:pt>
                <c:pt idx="163">
                  <c:v>1.8813313960136639</c:v>
                </c:pt>
                <c:pt idx="164">
                  <c:v>1.8465478618353259</c:v>
                </c:pt>
                <c:pt idx="165">
                  <c:v>1.8060494235846285</c:v>
                </c:pt>
                <c:pt idx="166">
                  <c:v>1.7734398773660054</c:v>
                </c:pt>
                <c:pt idx="167">
                  <c:v>1.7454941621386908</c:v>
                </c:pt>
                <c:pt idx="168">
                  <c:v>1.7164620636024921</c:v>
                </c:pt>
                <c:pt idx="169">
                  <c:v>1.6711327608983773</c:v>
                </c:pt>
                <c:pt idx="170">
                  <c:v>1.6413903628670248</c:v>
                </c:pt>
                <c:pt idx="171">
                  <c:v>1.6326908312431208</c:v>
                </c:pt>
                <c:pt idx="172">
                  <c:v>1.5409452452534538</c:v>
                </c:pt>
                <c:pt idx="173">
                  <c:v>1.5977516681615143</c:v>
                </c:pt>
                <c:pt idx="174">
                  <c:v>2.5954090404111412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1-4321-8113-EF6BDD10717E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F1-4321-8113-EF6BDD10717E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0.0</c:formatCode>
                <c:ptCount val="175"/>
                <c:pt idx="0">
                  <c:v>10.287659069900201</c:v>
                </c:pt>
                <c:pt idx="1">
                  <c:v>10.293132459633739</c:v>
                </c:pt>
                <c:pt idx="2">
                  <c:v>10.2985262905569</c:v>
                </c:pt>
                <c:pt idx="3">
                  <c:v>10.303902702451303</c:v>
                </c:pt>
                <c:pt idx="4">
                  <c:v>10.30930776480983</c:v>
                </c:pt>
                <c:pt idx="5">
                  <c:v>10.31499968299417</c:v>
                </c:pt>
                <c:pt idx="6">
                  <c:v>10.32062157503308</c:v>
                </c:pt>
                <c:pt idx="7">
                  <c:v>10.326314250247584</c:v>
                </c:pt>
                <c:pt idx="8">
                  <c:v>10.33194386599822</c:v>
                </c:pt>
                <c:pt idx="9">
                  <c:v>10.337486498308948</c:v>
                </c:pt>
                <c:pt idx="10">
                  <c:v>10.343173667625777</c:v>
                </c:pt>
                <c:pt idx="11">
                  <c:v>10.349052642363823</c:v>
                </c:pt>
                <c:pt idx="12">
                  <c:v>10.354982681523047</c:v>
                </c:pt>
                <c:pt idx="13">
                  <c:v>10.36083864568154</c:v>
                </c:pt>
                <c:pt idx="14">
                  <c:v>10.366789541200092</c:v>
                </c:pt>
                <c:pt idx="15">
                  <c:v>10.37288343323376</c:v>
                </c:pt>
                <c:pt idx="16">
                  <c:v>10.3790698570226</c:v>
                </c:pt>
                <c:pt idx="17">
                  <c:v>10.38524240235332</c:v>
                </c:pt>
                <c:pt idx="18">
                  <c:v>10.391529821387017</c:v>
                </c:pt>
                <c:pt idx="19">
                  <c:v>10.397787739766144</c:v>
                </c:pt>
                <c:pt idx="20">
                  <c:v>10.404191516090954</c:v>
                </c:pt>
                <c:pt idx="21">
                  <c:v>10.410536880427685</c:v>
                </c:pt>
                <c:pt idx="22">
                  <c:v>10.4168941182268</c:v>
                </c:pt>
                <c:pt idx="23">
                  <c:v>10.423601759059693</c:v>
                </c:pt>
                <c:pt idx="24">
                  <c:v>10.430486637855743</c:v>
                </c:pt>
                <c:pt idx="25">
                  <c:v>10.436747213424866</c:v>
                </c:pt>
                <c:pt idx="26">
                  <c:v>10.443319115018895</c:v>
                </c:pt>
                <c:pt idx="27">
                  <c:v>10.449412000031927</c:v>
                </c:pt>
                <c:pt idx="28">
                  <c:v>10.455551925001018</c:v>
                </c:pt>
                <c:pt idx="29">
                  <c:v>10.461391619628529</c:v>
                </c:pt>
                <c:pt idx="30">
                  <c:v>10.467403649900156</c:v>
                </c:pt>
                <c:pt idx="31">
                  <c:v>10.47399017252517</c:v>
                </c:pt>
                <c:pt idx="32">
                  <c:v>10.48078636515352</c:v>
                </c:pt>
                <c:pt idx="33">
                  <c:v>10.48786444064573</c:v>
                </c:pt>
                <c:pt idx="34">
                  <c:v>10.495102648053155</c:v>
                </c:pt>
                <c:pt idx="35">
                  <c:v>10.502238837069264</c:v>
                </c:pt>
                <c:pt idx="36">
                  <c:v>10.509161809969768</c:v>
                </c:pt>
                <c:pt idx="37">
                  <c:v>10.516100031524175</c:v>
                </c:pt>
                <c:pt idx="38">
                  <c:v>10.523322266435464</c:v>
                </c:pt>
                <c:pt idx="39">
                  <c:v>10.531153465148343</c:v>
                </c:pt>
                <c:pt idx="40">
                  <c:v>10.538584194818526</c:v>
                </c:pt>
                <c:pt idx="41">
                  <c:v>10.546617137152467</c:v>
                </c:pt>
                <c:pt idx="42">
                  <c:v>10.554677838283858</c:v>
                </c:pt>
                <c:pt idx="43">
                  <c:v>10.562754663558628</c:v>
                </c:pt>
                <c:pt idx="44">
                  <c:v>10.570091584621281</c:v>
                </c:pt>
                <c:pt idx="45">
                  <c:v>10.577675013297927</c:v>
                </c:pt>
                <c:pt idx="46">
                  <c:v>10.585383660002385</c:v>
                </c:pt>
                <c:pt idx="47">
                  <c:v>10.593165297835924</c:v>
                </c:pt>
                <c:pt idx="48">
                  <c:v>10.600923568913693</c:v>
                </c:pt>
                <c:pt idx="49">
                  <c:v>10.608673039268723</c:v>
                </c:pt>
                <c:pt idx="50">
                  <c:v>10.617136230221902</c:v>
                </c:pt>
                <c:pt idx="51">
                  <c:v>10.625810259794498</c:v>
                </c:pt>
                <c:pt idx="52">
                  <c:v>10.634576591148075</c:v>
                </c:pt>
                <c:pt idx="53">
                  <c:v>10.643945482530448</c:v>
                </c:pt>
                <c:pt idx="54">
                  <c:v>10.654820036134922</c:v>
                </c:pt>
                <c:pt idx="55">
                  <c:v>10.665325526201237</c:v>
                </c:pt>
                <c:pt idx="56">
                  <c:v>10.677200083658626</c:v>
                </c:pt>
                <c:pt idx="57">
                  <c:v>10.689351176839573</c:v>
                </c:pt>
                <c:pt idx="58">
                  <c:v>10.702726725957085</c:v>
                </c:pt>
                <c:pt idx="59">
                  <c:v>10.71450024627012</c:v>
                </c:pt>
                <c:pt idx="60">
                  <c:v>10.726800829733889</c:v>
                </c:pt>
                <c:pt idx="61">
                  <c:v>10.740432589511869</c:v>
                </c:pt>
                <c:pt idx="62">
                  <c:v>10.754250663322516</c:v>
                </c:pt>
                <c:pt idx="63">
                  <c:v>10.767831416119748</c:v>
                </c:pt>
                <c:pt idx="64">
                  <c:v>10.782771524064678</c:v>
                </c:pt>
                <c:pt idx="65">
                  <c:v>10.796990595068316</c:v>
                </c:pt>
                <c:pt idx="66">
                  <c:v>10.811743652329632</c:v>
                </c:pt>
                <c:pt idx="67">
                  <c:v>10.827907763429593</c:v>
                </c:pt>
                <c:pt idx="68">
                  <c:v>10.846180256649284</c:v>
                </c:pt>
                <c:pt idx="69">
                  <c:v>10.868576078533238</c:v>
                </c:pt>
                <c:pt idx="70">
                  <c:v>10.892444177588324</c:v>
                </c:pt>
                <c:pt idx="71">
                  <c:v>10.91728902094713</c:v>
                </c:pt>
                <c:pt idx="72">
                  <c:v>10.937846561610947</c:v>
                </c:pt>
                <c:pt idx="73">
                  <c:v>10.959842852473756</c:v>
                </c:pt>
                <c:pt idx="74">
                  <c:v>10.986802410847986</c:v>
                </c:pt>
                <c:pt idx="75">
                  <c:v>11.013070577140788</c:v>
                </c:pt>
                <c:pt idx="76">
                  <c:v>11.039526181893415</c:v>
                </c:pt>
                <c:pt idx="77">
                  <c:v>11.064169300685627</c:v>
                </c:pt>
                <c:pt idx="78">
                  <c:v>11.090013709532499</c:v>
                </c:pt>
                <c:pt idx="79">
                  <c:v>11.115395561438952</c:v>
                </c:pt>
                <c:pt idx="80">
                  <c:v>11.142222595749679</c:v>
                </c:pt>
                <c:pt idx="81">
                  <c:v>11.165133762154781</c:v>
                </c:pt>
                <c:pt idx="82">
                  <c:v>11.182484866757861</c:v>
                </c:pt>
                <c:pt idx="83">
                  <c:v>11.196369840170078</c:v>
                </c:pt>
                <c:pt idx="84">
                  <c:v>11.21085386231951</c:v>
                </c:pt>
                <c:pt idx="85">
                  <c:v>11.225060118411207</c:v>
                </c:pt>
                <c:pt idx="86">
                  <c:v>11.238933493719408</c:v>
                </c:pt>
                <c:pt idx="87">
                  <c:v>11.25372402818212</c:v>
                </c:pt>
                <c:pt idx="88">
                  <c:v>11.270336303979462</c:v>
                </c:pt>
                <c:pt idx="89">
                  <c:v>11.28306229206008</c:v>
                </c:pt>
                <c:pt idx="90">
                  <c:v>11.298049982990882</c:v>
                </c:pt>
                <c:pt idx="91">
                  <c:v>11.306265515323588</c:v>
                </c:pt>
                <c:pt idx="92">
                  <c:v>11.319805895252642</c:v>
                </c:pt>
                <c:pt idx="93">
                  <c:v>11.340560439733061</c:v>
                </c:pt>
                <c:pt idx="94">
                  <c:v>11.360499931245272</c:v>
                </c:pt>
                <c:pt idx="95">
                  <c:v>11.380856650149099</c:v>
                </c:pt>
                <c:pt idx="96">
                  <c:v>11.403557307472326</c:v>
                </c:pt>
                <c:pt idx="97">
                  <c:v>11.424237875326384</c:v>
                </c:pt>
                <c:pt idx="98">
                  <c:v>11.444638439260622</c:v>
                </c:pt>
                <c:pt idx="99">
                  <c:v>11.465383622081383</c:v>
                </c:pt>
                <c:pt idx="100">
                  <c:v>11.47936650265877</c:v>
                </c:pt>
                <c:pt idx="101">
                  <c:v>11.490834312169923</c:v>
                </c:pt>
                <c:pt idx="102">
                  <c:v>11.502116655850791</c:v>
                </c:pt>
                <c:pt idx="103">
                  <c:v>11.509639864286811</c:v>
                </c:pt>
                <c:pt idx="104">
                  <c:v>11.515041258626177</c:v>
                </c:pt>
                <c:pt idx="105">
                  <c:v>11.515706425487373</c:v>
                </c:pt>
                <c:pt idx="106">
                  <c:v>11.513758515388098</c:v>
                </c:pt>
                <c:pt idx="107">
                  <c:v>11.509049004404744</c:v>
                </c:pt>
                <c:pt idx="108">
                  <c:v>11.498291337725746</c:v>
                </c:pt>
                <c:pt idx="109">
                  <c:v>11.482176228481052</c:v>
                </c:pt>
                <c:pt idx="110">
                  <c:v>11.463252223338074</c:v>
                </c:pt>
                <c:pt idx="111">
                  <c:v>11.444265713985942</c:v>
                </c:pt>
                <c:pt idx="112">
                  <c:v>11.421931013895232</c:v>
                </c:pt>
                <c:pt idx="113">
                  <c:v>11.396074354439378</c:v>
                </c:pt>
                <c:pt idx="114">
                  <c:v>11.364682482411112</c:v>
                </c:pt>
                <c:pt idx="115">
                  <c:v>11.329650361624068</c:v>
                </c:pt>
                <c:pt idx="116">
                  <c:v>11.290269796769486</c:v>
                </c:pt>
                <c:pt idx="117">
                  <c:v>11.248959620111208</c:v>
                </c:pt>
                <c:pt idx="118">
                  <c:v>11.202551657539331</c:v>
                </c:pt>
                <c:pt idx="119">
                  <c:v>11.15682744061057</c:v>
                </c:pt>
                <c:pt idx="120">
                  <c:v>9.8123787469167993</c:v>
                </c:pt>
                <c:pt idx="121">
                  <c:v>9.7765006192869421</c:v>
                </c:pt>
                <c:pt idx="122">
                  <c:v>9.7386578198115643</c:v>
                </c:pt>
                <c:pt idx="123">
                  <c:v>9.6966879815671945</c:v>
                </c:pt>
                <c:pt idx="124">
                  <c:v>9.6486902740647835</c:v>
                </c:pt>
                <c:pt idx="125">
                  <c:v>9.5897748196888628</c:v>
                </c:pt>
                <c:pt idx="126">
                  <c:v>9.5169814106650463</c:v>
                </c:pt>
                <c:pt idx="127">
                  <c:v>9.4379241563692133</c:v>
                </c:pt>
                <c:pt idx="128">
                  <c:v>9.3509695233334114</c:v>
                </c:pt>
                <c:pt idx="129">
                  <c:v>9.2577879167452011</c:v>
                </c:pt>
                <c:pt idx="130">
                  <c:v>9.1626307497095354</c:v>
                </c:pt>
                <c:pt idx="131">
                  <c:v>9.0573759387277946</c:v>
                </c:pt>
                <c:pt idx="132">
                  <c:v>8.9449086269937936</c:v>
                </c:pt>
                <c:pt idx="133">
                  <c:v>8.8200653707631531</c:v>
                </c:pt>
                <c:pt idx="134">
                  <c:v>8.6883863629867193</c:v>
                </c:pt>
                <c:pt idx="135">
                  <c:v>8.5476326269857381</c:v>
                </c:pt>
                <c:pt idx="136">
                  <c:v>8.3889434150819469</c:v>
                </c:pt>
                <c:pt idx="137">
                  <c:v>8.2202078701732191</c:v>
                </c:pt>
                <c:pt idx="138">
                  <c:v>8.0467208583876086</c:v>
                </c:pt>
                <c:pt idx="139">
                  <c:v>7.8659677823502321</c:v>
                </c:pt>
                <c:pt idx="140">
                  <c:v>7.6920079702385706</c:v>
                </c:pt>
                <c:pt idx="141">
                  <c:v>7.5376426257164013</c:v>
                </c:pt>
                <c:pt idx="142">
                  <c:v>7.3822066986966206</c:v>
                </c:pt>
                <c:pt idx="143">
                  <c:v>7.2722567154202054</c:v>
                </c:pt>
                <c:pt idx="144">
                  <c:v>7.1794692948211605</c:v>
                </c:pt>
                <c:pt idx="145">
                  <c:v>7.1140332411314731</c:v>
                </c:pt>
                <c:pt idx="146">
                  <c:v>7.0573979368590116</c:v>
                </c:pt>
                <c:pt idx="147">
                  <c:v>7.0033479356116928</c:v>
                </c:pt>
                <c:pt idx="148">
                  <c:v>6.9518966715216735</c:v>
                </c:pt>
                <c:pt idx="149">
                  <c:v>6.9170171014265946</c:v>
                </c:pt>
                <c:pt idx="150">
                  <c:v>6.8772711626978094</c:v>
                </c:pt>
                <c:pt idx="151">
                  <c:v>6.8460186897372175</c:v>
                </c:pt>
                <c:pt idx="152">
                  <c:v>6.8122758877126159</c:v>
                </c:pt>
                <c:pt idx="153">
                  <c:v>6.7937094638243742</c:v>
                </c:pt>
                <c:pt idx="154">
                  <c:v>6.761002303481888</c:v>
                </c:pt>
                <c:pt idx="155">
                  <c:v>6.7483787449070327</c:v>
                </c:pt>
                <c:pt idx="156">
                  <c:v>6.7444202101263429</c:v>
                </c:pt>
                <c:pt idx="157">
                  <c:v>6.7393536886537682</c:v>
                </c:pt>
                <c:pt idx="158">
                  <c:v>6.7411732668244895</c:v>
                </c:pt>
                <c:pt idx="159">
                  <c:v>6.7308672028299945</c:v>
                </c:pt>
                <c:pt idx="160">
                  <c:v>6.7334685347789822</c:v>
                </c:pt>
                <c:pt idx="161">
                  <c:v>6.7191870385545336</c:v>
                </c:pt>
                <c:pt idx="162">
                  <c:v>6.6893031502042533</c:v>
                </c:pt>
                <c:pt idx="163">
                  <c:v>6.6585316107913499</c:v>
                </c:pt>
                <c:pt idx="164">
                  <c:v>6.6735004215522586</c:v>
                </c:pt>
                <c:pt idx="165">
                  <c:v>6.7071165020466026</c:v>
                </c:pt>
                <c:pt idx="166">
                  <c:v>6.7331787430414458</c:v>
                </c:pt>
                <c:pt idx="167">
                  <c:v>6.7480891521073403</c:v>
                </c:pt>
                <c:pt idx="168">
                  <c:v>6.7511817922943997</c:v>
                </c:pt>
                <c:pt idx="169">
                  <c:v>6.757084123466516</c:v>
                </c:pt>
                <c:pt idx="170">
                  <c:v>6.7526840068806671</c:v>
                </c:pt>
                <c:pt idx="171">
                  <c:v>6.7135205602643779</c:v>
                </c:pt>
                <c:pt idx="172">
                  <c:v>6.6787001872587162</c:v>
                </c:pt>
                <c:pt idx="173">
                  <c:v>6.5755315783623587</c:v>
                </c:pt>
                <c:pt idx="174">
                  <c:v>5.5810965434977433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F1-4321-8113-EF6BDD10717E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data_ghg_excLUC!$Q$3:$Q$177</c:f>
              <c:numCache>
                <c:formatCode>0.0</c:formatCode>
                <c:ptCount val="175"/>
                <c:pt idx="0">
                  <c:v>3.2515724106195307</c:v>
                </c:pt>
                <c:pt idx="1">
                  <c:v>3.246824403759021</c:v>
                </c:pt>
                <c:pt idx="2">
                  <c:v>3.2421183732683403</c:v>
                </c:pt>
                <c:pt idx="3">
                  <c:v>3.2374308667860632</c:v>
                </c:pt>
                <c:pt idx="4">
                  <c:v>3.2327529443919829</c:v>
                </c:pt>
                <c:pt idx="5">
                  <c:v>3.2280123949541135</c:v>
                </c:pt>
                <c:pt idx="6">
                  <c:v>3.2232975203052803</c:v>
                </c:pt>
                <c:pt idx="7">
                  <c:v>3.2185976813748454</c:v>
                </c:pt>
                <c:pt idx="8">
                  <c:v>3.2139335420682826</c:v>
                </c:pt>
                <c:pt idx="9">
                  <c:v>3.2092962175179167</c:v>
                </c:pt>
                <c:pt idx="10">
                  <c:v>3.2046291485827609</c:v>
                </c:pt>
                <c:pt idx="11">
                  <c:v>3.1999184422384772</c:v>
                </c:pt>
                <c:pt idx="12">
                  <c:v>3.1952003251908181</c:v>
                </c:pt>
                <c:pt idx="13">
                  <c:v>3.1904847940101178</c:v>
                </c:pt>
                <c:pt idx="14">
                  <c:v>3.1857314963567092</c:v>
                </c:pt>
                <c:pt idx="15">
                  <c:v>3.1809329605284873</c:v>
                </c:pt>
                <c:pt idx="16">
                  <c:v>3.1760982990623106</c:v>
                </c:pt>
                <c:pt idx="17">
                  <c:v>3.1712500912367076</c:v>
                </c:pt>
                <c:pt idx="18">
                  <c:v>3.1663505422632099</c:v>
                </c:pt>
                <c:pt idx="19">
                  <c:v>3.161448264073428</c:v>
                </c:pt>
                <c:pt idx="20">
                  <c:v>3.156481241230189</c:v>
                </c:pt>
                <c:pt idx="21">
                  <c:v>3.1515286191046883</c:v>
                </c:pt>
                <c:pt idx="22">
                  <c:v>3.1465402069015269</c:v>
                </c:pt>
                <c:pt idx="23">
                  <c:v>3.1414827732708162</c:v>
                </c:pt>
                <c:pt idx="24">
                  <c:v>3.1363967816765737</c:v>
                </c:pt>
                <c:pt idx="25">
                  <c:v>3.1314495445322166</c:v>
                </c:pt>
                <c:pt idx="26">
                  <c:v>3.1264714513771494</c:v>
                </c:pt>
                <c:pt idx="27">
                  <c:v>3.121547411982057</c:v>
                </c:pt>
                <c:pt idx="28">
                  <c:v>3.1166513596665339</c:v>
                </c:pt>
                <c:pt idx="29">
                  <c:v>3.1118456646714563</c:v>
                </c:pt>
                <c:pt idx="30">
                  <c:v>3.1070093660346103</c:v>
                </c:pt>
                <c:pt idx="31">
                  <c:v>3.1020912660154352</c:v>
                </c:pt>
                <c:pt idx="32">
                  <c:v>3.0970482930461785</c:v>
                </c:pt>
                <c:pt idx="33">
                  <c:v>3.0919257213566951</c:v>
                </c:pt>
                <c:pt idx="34">
                  <c:v>3.0866916919939413</c:v>
                </c:pt>
                <c:pt idx="35">
                  <c:v>3.0814562306223294</c:v>
                </c:pt>
                <c:pt idx="36">
                  <c:v>3.0762303262732544</c:v>
                </c:pt>
                <c:pt idx="37">
                  <c:v>3.0709536693660908</c:v>
                </c:pt>
                <c:pt idx="38">
                  <c:v>3.0655683850261397</c:v>
                </c:pt>
                <c:pt idx="39">
                  <c:v>3.0600028161727764</c:v>
                </c:pt>
                <c:pt idx="40">
                  <c:v>3.0544783289107684</c:v>
                </c:pt>
                <c:pt idx="41">
                  <c:v>3.048702198560683</c:v>
                </c:pt>
                <c:pt idx="42">
                  <c:v>3.0428752766379787</c:v>
                </c:pt>
                <c:pt idx="43">
                  <c:v>3.0370795075904269</c:v>
                </c:pt>
                <c:pt idx="44">
                  <c:v>3.0314054126324379</c:v>
                </c:pt>
                <c:pt idx="45">
                  <c:v>3.0257153376845523</c:v>
                </c:pt>
                <c:pt idx="46">
                  <c:v>3.0198970211081004</c:v>
                </c:pt>
                <c:pt idx="47">
                  <c:v>3.014033493338097</c:v>
                </c:pt>
                <c:pt idx="48">
                  <c:v>3.0080878842714682</c:v>
                </c:pt>
                <c:pt idx="49">
                  <c:v>3.0020341438086291</c:v>
                </c:pt>
                <c:pt idx="50">
                  <c:v>2.9957497597093266</c:v>
                </c:pt>
                <c:pt idx="51">
                  <c:v>2.9893386153543915</c:v>
                </c:pt>
                <c:pt idx="52">
                  <c:v>2.9827942013303002</c:v>
                </c:pt>
                <c:pt idx="53">
                  <c:v>2.9762120202626363</c:v>
                </c:pt>
                <c:pt idx="54">
                  <c:v>2.9693350994675285</c:v>
                </c:pt>
                <c:pt idx="55">
                  <c:v>2.9624675594068677</c:v>
                </c:pt>
                <c:pt idx="56">
                  <c:v>2.9554074243399171</c:v>
                </c:pt>
                <c:pt idx="57">
                  <c:v>2.9479295064563615</c:v>
                </c:pt>
                <c:pt idx="58">
                  <c:v>2.9406017670393965</c:v>
                </c:pt>
                <c:pt idx="59">
                  <c:v>2.9336379499790226</c:v>
                </c:pt>
                <c:pt idx="60">
                  <c:v>2.9265002145968282</c:v>
                </c:pt>
                <c:pt idx="61">
                  <c:v>2.9192160096220547</c:v>
                </c:pt>
                <c:pt idx="62">
                  <c:v>2.9116053403514073</c:v>
                </c:pt>
                <c:pt idx="63">
                  <c:v>2.9039225654633114</c:v>
                </c:pt>
                <c:pt idx="64">
                  <c:v>2.8958926399793867</c:v>
                </c:pt>
                <c:pt idx="65">
                  <c:v>2.8883059478199087</c:v>
                </c:pt>
                <c:pt idx="66">
                  <c:v>2.8805756331405519</c:v>
                </c:pt>
                <c:pt idx="67">
                  <c:v>2.872332663870715</c:v>
                </c:pt>
                <c:pt idx="68">
                  <c:v>2.8633937315116356</c:v>
                </c:pt>
                <c:pt idx="69">
                  <c:v>2.854718421461456</c:v>
                </c:pt>
                <c:pt idx="70">
                  <c:v>2.8471114777342521</c:v>
                </c:pt>
                <c:pt idx="71">
                  <c:v>2.8386172349430012</c:v>
                </c:pt>
                <c:pt idx="72">
                  <c:v>2.8310726443796241</c:v>
                </c:pt>
                <c:pt idx="73">
                  <c:v>2.8232154645963234</c:v>
                </c:pt>
                <c:pt idx="74">
                  <c:v>2.8143131333813542</c:v>
                </c:pt>
                <c:pt idx="75">
                  <c:v>2.8054904303702983</c:v>
                </c:pt>
                <c:pt idx="76">
                  <c:v>2.796865009119557</c:v>
                </c:pt>
                <c:pt idx="77">
                  <c:v>2.7880186282578379</c:v>
                </c:pt>
                <c:pt idx="78">
                  <c:v>2.7786379115073956</c:v>
                </c:pt>
                <c:pt idx="79">
                  <c:v>2.7686938754413788</c:v>
                </c:pt>
                <c:pt idx="80">
                  <c:v>2.7580060880219719</c:v>
                </c:pt>
                <c:pt idx="81">
                  <c:v>2.7475595327535629</c:v>
                </c:pt>
                <c:pt idx="82">
                  <c:v>2.7379345301357745</c:v>
                </c:pt>
                <c:pt idx="83">
                  <c:v>2.72905517934214</c:v>
                </c:pt>
                <c:pt idx="84">
                  <c:v>2.7197973323704119</c:v>
                </c:pt>
                <c:pt idx="85">
                  <c:v>2.710008049272318</c:v>
                </c:pt>
                <c:pt idx="86">
                  <c:v>2.6998756813823732</c:v>
                </c:pt>
                <c:pt idx="87">
                  <c:v>2.688689567044598</c:v>
                </c:pt>
                <c:pt idx="88">
                  <c:v>2.6768743175963223</c:v>
                </c:pt>
                <c:pt idx="89">
                  <c:v>2.6650992483740694</c:v>
                </c:pt>
                <c:pt idx="90">
                  <c:v>2.652868031042793</c:v>
                </c:pt>
                <c:pt idx="91">
                  <c:v>2.6394616235500052</c:v>
                </c:pt>
                <c:pt idx="92">
                  <c:v>2.6250800645927441</c:v>
                </c:pt>
                <c:pt idx="93">
                  <c:v>2.6117832941322661</c:v>
                </c:pt>
                <c:pt idx="94">
                  <c:v>2.5980454222110723</c:v>
                </c:pt>
                <c:pt idx="95">
                  <c:v>2.5808898794721244</c:v>
                </c:pt>
                <c:pt idx="96">
                  <c:v>2.5643319905943471</c:v>
                </c:pt>
                <c:pt idx="97">
                  <c:v>2.5468662891445035</c:v>
                </c:pt>
                <c:pt idx="98">
                  <c:v>2.5298440468768106</c:v>
                </c:pt>
                <c:pt idx="99">
                  <c:v>2.5122474430009945</c:v>
                </c:pt>
                <c:pt idx="100">
                  <c:v>2.4942310313838902</c:v>
                </c:pt>
                <c:pt idx="101">
                  <c:v>2.4796019442229635</c:v>
                </c:pt>
                <c:pt idx="102">
                  <c:v>2.4643363974690473</c:v>
                </c:pt>
                <c:pt idx="103">
                  <c:v>2.4494296829789235</c:v>
                </c:pt>
                <c:pt idx="104">
                  <c:v>2.4340553804356659</c:v>
                </c:pt>
                <c:pt idx="105">
                  <c:v>2.4191452197303036</c:v>
                </c:pt>
                <c:pt idx="106">
                  <c:v>2.4048060104900912</c:v>
                </c:pt>
                <c:pt idx="107">
                  <c:v>2.390120397303356</c:v>
                </c:pt>
                <c:pt idx="108">
                  <c:v>2.3758192489069359</c:v>
                </c:pt>
                <c:pt idx="109">
                  <c:v>2.3632799274505984</c:v>
                </c:pt>
                <c:pt idx="110">
                  <c:v>2.3524930763435492</c:v>
                </c:pt>
                <c:pt idx="111">
                  <c:v>2.3411568374599199</c:v>
                </c:pt>
                <c:pt idx="112">
                  <c:v>2.3287355779651335</c:v>
                </c:pt>
                <c:pt idx="113">
                  <c:v>2.3157261872661792</c:v>
                </c:pt>
                <c:pt idx="114">
                  <c:v>2.3038517971439845</c:v>
                </c:pt>
                <c:pt idx="115">
                  <c:v>2.2913916479665559</c:v>
                </c:pt>
                <c:pt idx="116">
                  <c:v>2.280907842285508</c:v>
                </c:pt>
                <c:pt idx="117">
                  <c:v>2.2705196716044895</c:v>
                </c:pt>
                <c:pt idx="118">
                  <c:v>2.2615129320805707</c:v>
                </c:pt>
                <c:pt idx="119">
                  <c:v>2.2510708523282972</c:v>
                </c:pt>
                <c:pt idx="120">
                  <c:v>3.538840719160099</c:v>
                </c:pt>
                <c:pt idx="121">
                  <c:v>3.5169229700003584</c:v>
                </c:pt>
                <c:pt idx="122">
                  <c:v>3.4904065716315742</c:v>
                </c:pt>
                <c:pt idx="123">
                  <c:v>3.462948508045443</c:v>
                </c:pt>
                <c:pt idx="124">
                  <c:v>3.4381374559164684</c:v>
                </c:pt>
                <c:pt idx="125">
                  <c:v>3.4135658638960962</c:v>
                </c:pt>
                <c:pt idx="126">
                  <c:v>3.3879793683585362</c:v>
                </c:pt>
                <c:pt idx="127">
                  <c:v>3.3625166144560978</c:v>
                </c:pt>
                <c:pt idx="128">
                  <c:v>3.3368372179212997</c:v>
                </c:pt>
                <c:pt idx="129">
                  <c:v>3.3097675808292166</c:v>
                </c:pt>
                <c:pt idx="130">
                  <c:v>3.2835743577707817</c:v>
                </c:pt>
                <c:pt idx="131">
                  <c:v>3.2523901100766111</c:v>
                </c:pt>
                <c:pt idx="132">
                  <c:v>3.2267072379818202</c:v>
                </c:pt>
                <c:pt idx="133">
                  <c:v>3.2013671659556096</c:v>
                </c:pt>
                <c:pt idx="134">
                  <c:v>3.1754264057642203</c:v>
                </c:pt>
                <c:pt idx="135">
                  <c:v>3.1552186110821125</c:v>
                </c:pt>
                <c:pt idx="136">
                  <c:v>3.1337335898846774</c:v>
                </c:pt>
                <c:pt idx="137">
                  <c:v>3.1155712159829037</c:v>
                </c:pt>
                <c:pt idx="138">
                  <c:v>3.0981989491328932</c:v>
                </c:pt>
                <c:pt idx="139">
                  <c:v>3.0850230957125504</c:v>
                </c:pt>
                <c:pt idx="140">
                  <c:v>3.069552441615663</c:v>
                </c:pt>
                <c:pt idx="141">
                  <c:v>3.0261259574739512</c:v>
                </c:pt>
                <c:pt idx="142">
                  <c:v>3.0070061637368894</c:v>
                </c:pt>
                <c:pt idx="143">
                  <c:v>2.9803421832131463</c:v>
                </c:pt>
                <c:pt idx="144">
                  <c:v>2.9535297072935691</c:v>
                </c:pt>
                <c:pt idx="145">
                  <c:v>2.9312601788086354</c:v>
                </c:pt>
                <c:pt idx="146">
                  <c:v>2.9056631452114559</c:v>
                </c:pt>
                <c:pt idx="147">
                  <c:v>2.8836794311275611</c:v>
                </c:pt>
                <c:pt idx="148">
                  <c:v>2.8696448265387744</c:v>
                </c:pt>
                <c:pt idx="149">
                  <c:v>2.8426256372939065</c:v>
                </c:pt>
                <c:pt idx="150">
                  <c:v>2.8263509028896081</c:v>
                </c:pt>
                <c:pt idx="151">
                  <c:v>2.8064774570331963</c:v>
                </c:pt>
                <c:pt idx="152">
                  <c:v>2.7806619713693408</c:v>
                </c:pt>
                <c:pt idx="153">
                  <c:v>2.7434675185827757</c:v>
                </c:pt>
                <c:pt idx="154">
                  <c:v>2.7218313372592817</c:v>
                </c:pt>
                <c:pt idx="155">
                  <c:v>2.6833692013796409</c:v>
                </c:pt>
                <c:pt idx="156">
                  <c:v>2.6377743829861515</c:v>
                </c:pt>
                <c:pt idx="157">
                  <c:v>2.5839576356642624</c:v>
                </c:pt>
                <c:pt idx="158">
                  <c:v>2.52033576333924</c:v>
                </c:pt>
                <c:pt idx="159">
                  <c:v>2.470673428980767</c:v>
                </c:pt>
                <c:pt idx="160">
                  <c:v>2.4304239700048242</c:v>
                </c:pt>
                <c:pt idx="161">
                  <c:v>2.4051227091257132</c:v>
                </c:pt>
                <c:pt idx="162">
                  <c:v>2.3906908027641904</c:v>
                </c:pt>
                <c:pt idx="163">
                  <c:v>2.3781442704938343</c:v>
                </c:pt>
                <c:pt idx="164">
                  <c:v>2.341422852246474</c:v>
                </c:pt>
                <c:pt idx="165">
                  <c:v>2.298040493936</c:v>
                </c:pt>
                <c:pt idx="166">
                  <c:v>2.2611842259135813</c:v>
                </c:pt>
                <c:pt idx="167">
                  <c:v>2.2175636011140085</c:v>
                </c:pt>
                <c:pt idx="168">
                  <c:v>2.1694582778839511</c:v>
                </c:pt>
                <c:pt idx="169">
                  <c:v>2.1067995926956051</c:v>
                </c:pt>
                <c:pt idx="170">
                  <c:v>2.0737768786355986</c:v>
                </c:pt>
                <c:pt idx="171">
                  <c:v>2.0502326919964382</c:v>
                </c:pt>
                <c:pt idx="172">
                  <c:v>1.9771606851682009</c:v>
                </c:pt>
                <c:pt idx="173">
                  <c:v>1.9939946639252923</c:v>
                </c:pt>
                <c:pt idx="174">
                  <c:v>2.3233323907217489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F1-4321-8113-EF6BDD107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0.0</c:formatCode>
                <c:ptCount val="175"/>
                <c:pt idx="0">
                  <c:v>45.862868523155718</c:v>
                </c:pt>
                <c:pt idx="1">
                  <c:v>45.860037552496706</c:v>
                </c:pt>
                <c:pt idx="2">
                  <c:v>45.857183869838444</c:v>
                </c:pt>
                <c:pt idx="3">
                  <c:v>45.854112142177783</c:v>
                </c:pt>
                <c:pt idx="4">
                  <c:v>45.850748415616835</c:v>
                </c:pt>
                <c:pt idx="5">
                  <c:v>45.846292872642429</c:v>
                </c:pt>
                <c:pt idx="6">
                  <c:v>45.841740065151662</c:v>
                </c:pt>
                <c:pt idx="7">
                  <c:v>45.83670820485932</c:v>
                </c:pt>
                <c:pt idx="8">
                  <c:v>45.831619640435669</c:v>
                </c:pt>
                <c:pt idx="9">
                  <c:v>45.826498912930901</c:v>
                </c:pt>
                <c:pt idx="10">
                  <c:v>45.820849362448449</c:v>
                </c:pt>
                <c:pt idx="11">
                  <c:v>45.814380519662954</c:v>
                </c:pt>
                <c:pt idx="12">
                  <c:v>45.807489344198594</c:v>
                </c:pt>
                <c:pt idx="13">
                  <c:v>45.800522182328827</c:v>
                </c:pt>
                <c:pt idx="14">
                  <c:v>45.793016040130624</c:v>
                </c:pt>
                <c:pt idx="15">
                  <c:v>45.784770547765582</c:v>
                </c:pt>
                <c:pt idx="16">
                  <c:v>45.775914966913618</c:v>
                </c:pt>
                <c:pt idx="17">
                  <c:v>45.766761026714256</c:v>
                </c:pt>
                <c:pt idx="18">
                  <c:v>45.756868967539383</c:v>
                </c:pt>
                <c:pt idx="19">
                  <c:v>45.746727045159282</c:v>
                </c:pt>
                <c:pt idx="20">
                  <c:v>45.735841534268488</c:v>
                </c:pt>
                <c:pt idx="21">
                  <c:v>45.724807002029408</c:v>
                </c:pt>
                <c:pt idx="22">
                  <c:v>45.713126668448297</c:v>
                </c:pt>
                <c:pt idx="23">
                  <c:v>45.699880450641373</c:v>
                </c:pt>
                <c:pt idx="24">
                  <c:v>45.685653400796511</c:v>
                </c:pt>
                <c:pt idx="25">
                  <c:v>45.672807624347193</c:v>
                </c:pt>
                <c:pt idx="26">
                  <c:v>45.658559460499319</c:v>
                </c:pt>
                <c:pt idx="27">
                  <c:v>45.644537212477395</c:v>
                </c:pt>
                <c:pt idx="28">
                  <c:v>45.630141283856346</c:v>
                </c:pt>
                <c:pt idx="29">
                  <c:v>45.61595376877267</c:v>
                </c:pt>
                <c:pt idx="30">
                  <c:v>45.600571852189603</c:v>
                </c:pt>
                <c:pt idx="31">
                  <c:v>45.582659186869549</c:v>
                </c:pt>
                <c:pt idx="32">
                  <c:v>45.564023224906109</c:v>
                </c:pt>
                <c:pt idx="33">
                  <c:v>45.54417471651351</c:v>
                </c:pt>
                <c:pt idx="34">
                  <c:v>45.523060898906351</c:v>
                </c:pt>
                <c:pt idx="35">
                  <c:v>45.501878079998448</c:v>
                </c:pt>
                <c:pt idx="36">
                  <c:v>45.480776028528716</c:v>
                </c:pt>
                <c:pt idx="37">
                  <c:v>45.459411121186037</c:v>
                </c:pt>
                <c:pt idx="38">
                  <c:v>45.436849875600792</c:v>
                </c:pt>
                <c:pt idx="39">
                  <c:v>45.411479862387253</c:v>
                </c:pt>
                <c:pt idx="40">
                  <c:v>45.386557684693805</c:v>
                </c:pt>
                <c:pt idx="41">
                  <c:v>45.359002981609542</c:v>
                </c:pt>
                <c:pt idx="42">
                  <c:v>45.330221677856308</c:v>
                </c:pt>
                <c:pt idx="43">
                  <c:v>45.301253226574076</c:v>
                </c:pt>
                <c:pt idx="44">
                  <c:v>45.273446077743237</c:v>
                </c:pt>
                <c:pt idx="45">
                  <c:v>45.244423779673582</c:v>
                </c:pt>
                <c:pt idx="46">
                  <c:v>45.213746431115446</c:v>
                </c:pt>
                <c:pt idx="47">
                  <c:v>45.182097843200268</c:v>
                </c:pt>
                <c:pt idx="48">
                  <c:v>45.149064753640651</c:v>
                </c:pt>
                <c:pt idx="49">
                  <c:v>45.11443029798339</c:v>
                </c:pt>
                <c:pt idx="50">
                  <c:v>45.075981946433444</c:v>
                </c:pt>
                <c:pt idx="51">
                  <c:v>45.035188465881369</c:v>
                </c:pt>
                <c:pt idx="52">
                  <c:v>44.993334135756427</c:v>
                </c:pt>
                <c:pt idx="53">
                  <c:v>44.949923293502458</c:v>
                </c:pt>
                <c:pt idx="54">
                  <c:v>44.901428812730629</c:v>
                </c:pt>
                <c:pt idx="55">
                  <c:v>44.852945553777872</c:v>
                </c:pt>
                <c:pt idx="56">
                  <c:v>44.8001834470776</c:v>
                </c:pt>
                <c:pt idx="57">
                  <c:v>44.745558374407075</c:v>
                </c:pt>
                <c:pt idx="58">
                  <c:v>44.683063973809503</c:v>
                </c:pt>
                <c:pt idx="59">
                  <c:v>44.624656930718551</c:v>
                </c:pt>
                <c:pt idx="60">
                  <c:v>44.563311931512878</c:v>
                </c:pt>
                <c:pt idx="61">
                  <c:v>44.497738998370096</c:v>
                </c:pt>
                <c:pt idx="62">
                  <c:v>44.431622395425464</c:v>
                </c:pt>
                <c:pt idx="63">
                  <c:v>44.362147028577077</c:v>
                </c:pt>
                <c:pt idx="64">
                  <c:v>44.286465091672262</c:v>
                </c:pt>
                <c:pt idx="65">
                  <c:v>44.218073141590196</c:v>
                </c:pt>
                <c:pt idx="66">
                  <c:v>44.150244251025114</c:v>
                </c:pt>
                <c:pt idx="67">
                  <c:v>44.076498118339977</c:v>
                </c:pt>
                <c:pt idx="68">
                  <c:v>43.998394196021138</c:v>
                </c:pt>
                <c:pt idx="69">
                  <c:v>43.917443290200971</c:v>
                </c:pt>
                <c:pt idx="70">
                  <c:v>43.845520747761171</c:v>
                </c:pt>
                <c:pt idx="71">
                  <c:v>43.763809737961431</c:v>
                </c:pt>
                <c:pt idx="72">
                  <c:v>43.696403777172364</c:v>
                </c:pt>
                <c:pt idx="73">
                  <c:v>43.624104453957166</c:v>
                </c:pt>
                <c:pt idx="74">
                  <c:v>43.537973771699534</c:v>
                </c:pt>
                <c:pt idx="75">
                  <c:v>43.452609948050551</c:v>
                </c:pt>
                <c:pt idx="76">
                  <c:v>43.365811400375236</c:v>
                </c:pt>
                <c:pt idx="77">
                  <c:v>43.282196105288925</c:v>
                </c:pt>
                <c:pt idx="78">
                  <c:v>43.189766564195473</c:v>
                </c:pt>
                <c:pt idx="79">
                  <c:v>43.098965912993208</c:v>
                </c:pt>
                <c:pt idx="80">
                  <c:v>43.000813813748223</c:v>
                </c:pt>
                <c:pt idx="81">
                  <c:v>42.913553433125806</c:v>
                </c:pt>
                <c:pt idx="82">
                  <c:v>42.840048811824225</c:v>
                </c:pt>
                <c:pt idx="83">
                  <c:v>42.777780028168607</c:v>
                </c:pt>
                <c:pt idx="84">
                  <c:v>42.712154548341843</c:v>
                </c:pt>
                <c:pt idx="85">
                  <c:v>42.642217141915509</c:v>
                </c:pt>
                <c:pt idx="86">
                  <c:v>42.570440821282297</c:v>
                </c:pt>
                <c:pt idx="87">
                  <c:v>42.490653294946881</c:v>
                </c:pt>
                <c:pt idx="88">
                  <c:v>42.404189369986916</c:v>
                </c:pt>
                <c:pt idx="89">
                  <c:v>42.328060004414944</c:v>
                </c:pt>
                <c:pt idx="90">
                  <c:v>42.245558754975512</c:v>
                </c:pt>
                <c:pt idx="91">
                  <c:v>42.162564421115924</c:v>
                </c:pt>
                <c:pt idx="92">
                  <c:v>42.072165482620541</c:v>
                </c:pt>
                <c:pt idx="93">
                  <c:v>41.971736762650522</c:v>
                </c:pt>
                <c:pt idx="94">
                  <c:v>41.86915526522462</c:v>
                </c:pt>
                <c:pt idx="95">
                  <c:v>41.768525952555876</c:v>
                </c:pt>
                <c:pt idx="96">
                  <c:v>41.684321325472126</c:v>
                </c:pt>
                <c:pt idx="97">
                  <c:v>41.597083535657774</c:v>
                </c:pt>
                <c:pt idx="98">
                  <c:v>41.497180448990584</c:v>
                </c:pt>
                <c:pt idx="99">
                  <c:v>41.388798699655368</c:v>
                </c:pt>
                <c:pt idx="100">
                  <c:v>41.292876311000569</c:v>
                </c:pt>
                <c:pt idx="101">
                  <c:v>41.18384758414841</c:v>
                </c:pt>
                <c:pt idx="102">
                  <c:v>41.06723931463889</c:v>
                </c:pt>
                <c:pt idx="103">
                  <c:v>40.954319284772879</c:v>
                </c:pt>
                <c:pt idx="104">
                  <c:v>40.839182232220431</c:v>
                </c:pt>
                <c:pt idx="105">
                  <c:v>40.728039061644068</c:v>
                </c:pt>
                <c:pt idx="106">
                  <c:v>40.608988647870866</c:v>
                </c:pt>
                <c:pt idx="107">
                  <c:v>40.483384219374777</c:v>
                </c:pt>
                <c:pt idx="108">
                  <c:v>40.361276882759775</c:v>
                </c:pt>
                <c:pt idx="109">
                  <c:v>40.251816091832886</c:v>
                </c:pt>
                <c:pt idx="110">
                  <c:v>40.147023179558005</c:v>
                </c:pt>
                <c:pt idx="111">
                  <c:v>40.035466082802202</c:v>
                </c:pt>
                <c:pt idx="112">
                  <c:v>39.914983495381748</c:v>
                </c:pt>
                <c:pt idx="113">
                  <c:v>39.783590312958673</c:v>
                </c:pt>
                <c:pt idx="114">
                  <c:v>39.643829856939789</c:v>
                </c:pt>
                <c:pt idx="115">
                  <c:v>39.495565302195835</c:v>
                </c:pt>
                <c:pt idx="116">
                  <c:v>39.342888810957227</c:v>
                </c:pt>
                <c:pt idx="117">
                  <c:v>39.184623572797385</c:v>
                </c:pt>
                <c:pt idx="118">
                  <c:v>39.015008061714035</c:v>
                </c:pt>
                <c:pt idx="119">
                  <c:v>38.83252106249666</c:v>
                </c:pt>
                <c:pt idx="120">
                  <c:v>38.63817213587815</c:v>
                </c:pt>
                <c:pt idx="121">
                  <c:v>38.434116877802275</c:v>
                </c:pt>
                <c:pt idx="122">
                  <c:v>38.231216990953484</c:v>
                </c:pt>
                <c:pt idx="123">
                  <c:v>38.017225774665206</c:v>
                </c:pt>
                <c:pt idx="124">
                  <c:v>37.792329569039921</c:v>
                </c:pt>
                <c:pt idx="125">
                  <c:v>37.578659332524701</c:v>
                </c:pt>
                <c:pt idx="126">
                  <c:v>37.386035651698904</c:v>
                </c:pt>
                <c:pt idx="127">
                  <c:v>37.179782495977882</c:v>
                </c:pt>
                <c:pt idx="128">
                  <c:v>36.974484726925063</c:v>
                </c:pt>
                <c:pt idx="129">
                  <c:v>36.766133520537309</c:v>
                </c:pt>
                <c:pt idx="130">
                  <c:v>36.547943651772734</c:v>
                </c:pt>
                <c:pt idx="131">
                  <c:v>36.340234239927796</c:v>
                </c:pt>
                <c:pt idx="132">
                  <c:v>36.138071527174354</c:v>
                </c:pt>
                <c:pt idx="133">
                  <c:v>35.957179075719274</c:v>
                </c:pt>
                <c:pt idx="134">
                  <c:v>35.780436747537095</c:v>
                </c:pt>
                <c:pt idx="135">
                  <c:v>35.598655427885994</c:v>
                </c:pt>
                <c:pt idx="136">
                  <c:v>35.425009817909839</c:v>
                </c:pt>
                <c:pt idx="137">
                  <c:v>35.257048035670088</c:v>
                </c:pt>
                <c:pt idx="138">
                  <c:v>35.080127385977434</c:v>
                </c:pt>
                <c:pt idx="139">
                  <c:v>34.896741297993913</c:v>
                </c:pt>
                <c:pt idx="140">
                  <c:v>34.698660017168443</c:v>
                </c:pt>
                <c:pt idx="141">
                  <c:v>34.46906768550047</c:v>
                </c:pt>
                <c:pt idx="142">
                  <c:v>34.243146201980771</c:v>
                </c:pt>
                <c:pt idx="143">
                  <c:v>33.981046150232032</c:v>
                </c:pt>
                <c:pt idx="144">
                  <c:v>33.71058847882307</c:v>
                </c:pt>
                <c:pt idx="145">
                  <c:v>33.419894255612839</c:v>
                </c:pt>
                <c:pt idx="146">
                  <c:v>33.121213404954084</c:v>
                </c:pt>
                <c:pt idx="147">
                  <c:v>32.802723673318347</c:v>
                </c:pt>
                <c:pt idx="148">
                  <c:v>32.469570644152199</c:v>
                </c:pt>
                <c:pt idx="149">
                  <c:v>32.105883395844799</c:v>
                </c:pt>
                <c:pt idx="150">
                  <c:v>31.728364979174927</c:v>
                </c:pt>
                <c:pt idx="151">
                  <c:v>31.322547895961694</c:v>
                </c:pt>
                <c:pt idx="152">
                  <c:v>30.907789304286347</c:v>
                </c:pt>
                <c:pt idx="153">
                  <c:v>30.475247070154932</c:v>
                </c:pt>
                <c:pt idx="154">
                  <c:v>30.049655461026781</c:v>
                </c:pt>
                <c:pt idx="155">
                  <c:v>29.614198765066252</c:v>
                </c:pt>
                <c:pt idx="156">
                  <c:v>29.181846476286466</c:v>
                </c:pt>
                <c:pt idx="157">
                  <c:v>28.765374218121604</c:v>
                </c:pt>
                <c:pt idx="158">
                  <c:v>28.33252534858557</c:v>
                </c:pt>
                <c:pt idx="159">
                  <c:v>27.933831597251928</c:v>
                </c:pt>
                <c:pt idx="160">
                  <c:v>27.605689294143442</c:v>
                </c:pt>
                <c:pt idx="161">
                  <c:v>27.27041729318967</c:v>
                </c:pt>
                <c:pt idx="162">
                  <c:v>26.997217675934948</c:v>
                </c:pt>
                <c:pt idx="163">
                  <c:v>26.752756359979564</c:v>
                </c:pt>
                <c:pt idx="164">
                  <c:v>26.464095495748925</c:v>
                </c:pt>
                <c:pt idx="165">
                  <c:v>26.173085586145433</c:v>
                </c:pt>
                <c:pt idx="166">
                  <c:v>25.860755085738891</c:v>
                </c:pt>
                <c:pt idx="167">
                  <c:v>25.53849508698567</c:v>
                </c:pt>
                <c:pt idx="168">
                  <c:v>25.201360283693774</c:v>
                </c:pt>
                <c:pt idx="169">
                  <c:v>24.808860545762997</c:v>
                </c:pt>
                <c:pt idx="170">
                  <c:v>24.439149311310427</c:v>
                </c:pt>
                <c:pt idx="171">
                  <c:v>24.254401392537442</c:v>
                </c:pt>
                <c:pt idx="172">
                  <c:v>23.886424027941462</c:v>
                </c:pt>
                <c:pt idx="173">
                  <c:v>23.429090509986398</c:v>
                </c:pt>
                <c:pt idx="174">
                  <c:v>23.206093264282856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F1-4321-8113-EF6BDD10717E}"/>
            </c:ext>
          </c:extLst>
        </c:ser>
        <c:ser>
          <c:idx val="6"/>
          <c:order val="6"/>
          <c:tx>
            <c:strRef>
              <c:f>data_ghg_excLUC!$J$2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data_ghg_excLUC!$J$3:$J$177</c:f>
              <c:numCache>
                <c:formatCode>0.0</c:formatCode>
                <c:ptCount val="175"/>
                <c:pt idx="0">
                  <c:v>42.96309628573384</c:v>
                </c:pt>
                <c:pt idx="1">
                  <c:v>42.965405864785353</c:v>
                </c:pt>
                <c:pt idx="2">
                  <c:v>42.967670046517547</c:v>
                </c:pt>
                <c:pt idx="3">
                  <c:v>42.96972563621398</c:v>
                </c:pt>
                <c:pt idx="4">
                  <c:v>42.971514801108285</c:v>
                </c:pt>
                <c:pt idx="5">
                  <c:v>42.972347116089566</c:v>
                </c:pt>
                <c:pt idx="6">
                  <c:v>42.973067189046226</c:v>
                </c:pt>
                <c:pt idx="7">
                  <c:v>42.97335023664585</c:v>
                </c:pt>
                <c:pt idx="8">
                  <c:v>42.973563344316283</c:v>
                </c:pt>
                <c:pt idx="9">
                  <c:v>42.973720489537151</c:v>
                </c:pt>
                <c:pt idx="10">
                  <c:v>42.973426875363614</c:v>
                </c:pt>
                <c:pt idx="11">
                  <c:v>42.972415852195958</c:v>
                </c:pt>
                <c:pt idx="12">
                  <c:v>42.971010555319147</c:v>
                </c:pt>
                <c:pt idx="13">
                  <c:v>42.969529415121166</c:v>
                </c:pt>
                <c:pt idx="14">
                  <c:v>42.967576952121505</c:v>
                </c:pt>
                <c:pt idx="15">
                  <c:v>42.96496981600913</c:v>
                </c:pt>
                <c:pt idx="16">
                  <c:v>42.961816618470813</c:v>
                </c:pt>
                <c:pt idx="17">
                  <c:v>42.958397173387894</c:v>
                </c:pt>
                <c:pt idx="18">
                  <c:v>42.954311747037515</c:v>
                </c:pt>
                <c:pt idx="19">
                  <c:v>42.949988773324755</c:v>
                </c:pt>
                <c:pt idx="20">
                  <c:v>42.94502106908373</c:v>
                </c:pt>
                <c:pt idx="21">
                  <c:v>42.93989490675574</c:v>
                </c:pt>
                <c:pt idx="22">
                  <c:v>42.934182415352865</c:v>
                </c:pt>
                <c:pt idx="23">
                  <c:v>42.927060802343341</c:v>
                </c:pt>
                <c:pt idx="24">
                  <c:v>42.919052830156609</c:v>
                </c:pt>
                <c:pt idx="25">
                  <c:v>42.912248183238525</c:v>
                </c:pt>
                <c:pt idx="26">
                  <c:v>42.904153800838451</c:v>
                </c:pt>
                <c:pt idx="27">
                  <c:v>42.896211439680393</c:v>
                </c:pt>
                <c:pt idx="28">
                  <c:v>42.887920415931646</c:v>
                </c:pt>
                <c:pt idx="29">
                  <c:v>42.879765936830978</c:v>
                </c:pt>
                <c:pt idx="30">
                  <c:v>42.870509037749308</c:v>
                </c:pt>
                <c:pt idx="31">
                  <c:v>42.858910671036014</c:v>
                </c:pt>
                <c:pt idx="32">
                  <c:v>42.846776643861126</c:v>
                </c:pt>
                <c:pt idx="33">
                  <c:v>42.833566403837011</c:v>
                </c:pt>
                <c:pt idx="34">
                  <c:v>42.819239836075617</c:v>
                </c:pt>
                <c:pt idx="35">
                  <c:v>42.804850027233663</c:v>
                </c:pt>
                <c:pt idx="36">
                  <c:v>42.790515826348866</c:v>
                </c:pt>
                <c:pt idx="37">
                  <c:v>42.775990668324951</c:v>
                </c:pt>
                <c:pt idx="38">
                  <c:v>42.760435868679487</c:v>
                </c:pt>
                <c:pt idx="39">
                  <c:v>42.742363428942028</c:v>
                </c:pt>
                <c:pt idx="40">
                  <c:v>42.724658011192268</c:v>
                </c:pt>
                <c:pt idx="41">
                  <c:v>42.704667164981402</c:v>
                </c:pt>
                <c:pt idx="42">
                  <c:v>42.683524650779994</c:v>
                </c:pt>
                <c:pt idx="43">
                  <c:v>42.662194005353065</c:v>
                </c:pt>
                <c:pt idx="44">
                  <c:v>42.641807311276814</c:v>
                </c:pt>
                <c:pt idx="45">
                  <c:v>42.620287962703785</c:v>
                </c:pt>
                <c:pt idx="46">
                  <c:v>42.597268905648718</c:v>
                </c:pt>
                <c:pt idx="47">
                  <c:v>42.573357054142456</c:v>
                </c:pt>
                <c:pt idx="48">
                  <c:v>42.548153824953758</c:v>
                </c:pt>
                <c:pt idx="49">
                  <c:v>42.521464609536238</c:v>
                </c:pt>
                <c:pt idx="50">
                  <c:v>42.491306842519805</c:v>
                </c:pt>
                <c:pt idx="51">
                  <c:v>42.458949653832931</c:v>
                </c:pt>
                <c:pt idx="52">
                  <c:v>42.425731217987838</c:v>
                </c:pt>
                <c:pt idx="53">
                  <c:v>42.391163835461803</c:v>
                </c:pt>
                <c:pt idx="54">
                  <c:v>42.352085688960862</c:v>
                </c:pt>
                <c:pt idx="55">
                  <c:v>42.313032381071523</c:v>
                </c:pt>
                <c:pt idx="56">
                  <c:v>42.270171129141517</c:v>
                </c:pt>
                <c:pt idx="57">
                  <c:v>42.225843582043652</c:v>
                </c:pt>
                <c:pt idx="58">
                  <c:v>42.173930492393033</c:v>
                </c:pt>
                <c:pt idx="59">
                  <c:v>42.12553228905265</c:v>
                </c:pt>
                <c:pt idx="60">
                  <c:v>42.074573506549342</c:v>
                </c:pt>
                <c:pt idx="61">
                  <c:v>42.019802577207102</c:v>
                </c:pt>
                <c:pt idx="62">
                  <c:v>41.964695502827361</c:v>
                </c:pt>
                <c:pt idx="63">
                  <c:v>41.906244369889812</c:v>
                </c:pt>
                <c:pt idx="64">
                  <c:v>41.842126313823513</c:v>
                </c:pt>
                <c:pt idx="65">
                  <c:v>41.784754978788726</c:v>
                </c:pt>
                <c:pt idx="66">
                  <c:v>41.728118251963096</c:v>
                </c:pt>
                <c:pt idx="67">
                  <c:v>41.666341664072327</c:v>
                </c:pt>
                <c:pt idx="68">
                  <c:v>41.601288712055855</c:v>
                </c:pt>
                <c:pt idx="69">
                  <c:v>41.533698860374152</c:v>
                </c:pt>
                <c:pt idx="70">
                  <c:v>41.47440840935397</c:v>
                </c:pt>
                <c:pt idx="71">
                  <c:v>41.406299370972057</c:v>
                </c:pt>
                <c:pt idx="72">
                  <c:v>41.350966155979734</c:v>
                </c:pt>
                <c:pt idx="73">
                  <c:v>41.291218139694408</c:v>
                </c:pt>
                <c:pt idx="74">
                  <c:v>41.219454384446109</c:v>
                </c:pt>
                <c:pt idx="75">
                  <c:v>41.148329370930497</c:v>
                </c:pt>
                <c:pt idx="76">
                  <c:v>41.075542965855021</c:v>
                </c:pt>
                <c:pt idx="77">
                  <c:v>41.005839682681447</c:v>
                </c:pt>
                <c:pt idx="78">
                  <c:v>40.928088537073108</c:v>
                </c:pt>
                <c:pt idx="79">
                  <c:v>40.852322319094995</c:v>
                </c:pt>
                <c:pt idx="80">
                  <c:v>40.7700380612212</c:v>
                </c:pt>
                <c:pt idx="81">
                  <c:v>40.697816324883419</c:v>
                </c:pt>
                <c:pt idx="82">
                  <c:v>40.637815118399203</c:v>
                </c:pt>
                <c:pt idx="83">
                  <c:v>40.587860703645021</c:v>
                </c:pt>
                <c:pt idx="84">
                  <c:v>40.534974484850991</c:v>
                </c:pt>
                <c:pt idx="85">
                  <c:v>40.478188720133211</c:v>
                </c:pt>
                <c:pt idx="86">
                  <c:v>40.419767667549081</c:v>
                </c:pt>
                <c:pt idx="87">
                  <c:v>40.354299445354684</c:v>
                </c:pt>
                <c:pt idx="88">
                  <c:v>40.282819577165547</c:v>
                </c:pt>
                <c:pt idx="89">
                  <c:v>40.22089221194959</c:v>
                </c:pt>
                <c:pt idx="90">
                  <c:v>40.153127304355991</c:v>
                </c:pt>
                <c:pt idx="91">
                  <c:v>40.085158352464326</c:v>
                </c:pt>
                <c:pt idx="92">
                  <c:v>40.011302896042992</c:v>
                </c:pt>
                <c:pt idx="93">
                  <c:v>39.929454735575284</c:v>
                </c:pt>
                <c:pt idx="94">
                  <c:v>39.84778773066293</c:v>
                </c:pt>
                <c:pt idx="95">
                  <c:v>39.766592023659733</c:v>
                </c:pt>
                <c:pt idx="96">
                  <c:v>39.701055015256891</c:v>
                </c:pt>
                <c:pt idx="97">
                  <c:v>39.63226688146257</c:v>
                </c:pt>
                <c:pt idx="98">
                  <c:v>39.550558397439318</c:v>
                </c:pt>
                <c:pt idx="99">
                  <c:v>39.46089541387326</c:v>
                </c:pt>
                <c:pt idx="100">
                  <c:v>39.382712517890681</c:v>
                </c:pt>
                <c:pt idx="101">
                  <c:v>39.289629197299305</c:v>
                </c:pt>
                <c:pt idx="102">
                  <c:v>39.189646614729035</c:v>
                </c:pt>
                <c:pt idx="103">
                  <c:v>39.092792954295909</c:v>
                </c:pt>
                <c:pt idx="104">
                  <c:v>38.994034188069769</c:v>
                </c:pt>
                <c:pt idx="105">
                  <c:v>38.89847024792202</c:v>
                </c:pt>
                <c:pt idx="106">
                  <c:v>38.794970511640663</c:v>
                </c:pt>
                <c:pt idx="107">
                  <c:v>38.685335815659435</c:v>
                </c:pt>
                <c:pt idx="108">
                  <c:v>38.578594352574811</c:v>
                </c:pt>
                <c:pt idx="109">
                  <c:v>38.482788697322498</c:v>
                </c:pt>
                <c:pt idx="110">
                  <c:v>38.39023854256741</c:v>
                </c:pt>
                <c:pt idx="111">
                  <c:v>38.291969903277945</c:v>
                </c:pt>
                <c:pt idx="112">
                  <c:v>38.185606644181803</c:v>
                </c:pt>
                <c:pt idx="113">
                  <c:v>38.069043460153345</c:v>
                </c:pt>
                <c:pt idx="114">
                  <c:v>37.943062006216529</c:v>
                </c:pt>
                <c:pt idx="115">
                  <c:v>37.809186692654642</c:v>
                </c:pt>
                <c:pt idx="116">
                  <c:v>37.669755039832282</c:v>
                </c:pt>
                <c:pt idx="117">
                  <c:v>37.52631351479058</c:v>
                </c:pt>
                <c:pt idx="118">
                  <c:v>37.371265331452328</c:v>
                </c:pt>
                <c:pt idx="119">
                  <c:v>37.20519560384237</c:v>
                </c:pt>
                <c:pt idx="120">
                  <c:v>37.02675178215059</c:v>
                </c:pt>
                <c:pt idx="121">
                  <c:v>36.840828902407928</c:v>
                </c:pt>
                <c:pt idx="122">
                  <c:v>36.65327440266136</c:v>
                </c:pt>
                <c:pt idx="123">
                  <c:v>36.453847058980777</c:v>
                </c:pt>
                <c:pt idx="124">
                  <c:v>36.241909668544835</c:v>
                </c:pt>
                <c:pt idx="125">
                  <c:v>36.037849515885547</c:v>
                </c:pt>
                <c:pt idx="126">
                  <c:v>35.854560810940065</c:v>
                </c:pt>
                <c:pt idx="127">
                  <c:v>35.655344640391228</c:v>
                </c:pt>
                <c:pt idx="128">
                  <c:v>35.457590520362288</c:v>
                </c:pt>
                <c:pt idx="129">
                  <c:v>35.255336111427383</c:v>
                </c:pt>
                <c:pt idx="130">
                  <c:v>35.043282742759033</c:v>
                </c:pt>
                <c:pt idx="131">
                  <c:v>34.842741717688845</c:v>
                </c:pt>
                <c:pt idx="132">
                  <c:v>34.64767157124264</c:v>
                </c:pt>
                <c:pt idx="133">
                  <c:v>34.47434871147442</c:v>
                </c:pt>
                <c:pt idx="134">
                  <c:v>34.30433374627475</c:v>
                </c:pt>
                <c:pt idx="135">
                  <c:v>34.126219421939197</c:v>
                </c:pt>
                <c:pt idx="136">
                  <c:v>33.954282869232649</c:v>
                </c:pt>
                <c:pt idx="137">
                  <c:v>33.787775172313893</c:v>
                </c:pt>
                <c:pt idx="138">
                  <c:v>33.614390514611792</c:v>
                </c:pt>
                <c:pt idx="139">
                  <c:v>33.430993050501016</c:v>
                </c:pt>
                <c:pt idx="140">
                  <c:v>33.235796856147061</c:v>
                </c:pt>
                <c:pt idx="141">
                  <c:v>33.027633368370786</c:v>
                </c:pt>
                <c:pt idx="142">
                  <c:v>32.817226375013128</c:v>
                </c:pt>
                <c:pt idx="143">
                  <c:v>32.577691770445256</c:v>
                </c:pt>
                <c:pt idx="144">
                  <c:v>32.32720515909422</c:v>
                </c:pt>
                <c:pt idx="145">
                  <c:v>32.054329032837863</c:v>
                </c:pt>
                <c:pt idx="146">
                  <c:v>31.772539055844451</c:v>
                </c:pt>
                <c:pt idx="147">
                  <c:v>31.471476345821426</c:v>
                </c:pt>
                <c:pt idx="148">
                  <c:v>31.15791862271023</c:v>
                </c:pt>
                <c:pt idx="149">
                  <c:v>30.820057935717664</c:v>
                </c:pt>
                <c:pt idx="150">
                  <c:v>30.474932857116887</c:v>
                </c:pt>
                <c:pt idx="151">
                  <c:v>30.103843808557489</c:v>
                </c:pt>
                <c:pt idx="152">
                  <c:v>29.726231381519369</c:v>
                </c:pt>
                <c:pt idx="153">
                  <c:v>29.33633989853346</c:v>
                </c:pt>
                <c:pt idx="154">
                  <c:v>28.952494980307158</c:v>
                </c:pt>
                <c:pt idx="155">
                  <c:v>28.565380603302465</c:v>
                </c:pt>
                <c:pt idx="156">
                  <c:v>28.186296775056206</c:v>
                </c:pt>
                <c:pt idx="157">
                  <c:v>27.818256739132696</c:v>
                </c:pt>
                <c:pt idx="158">
                  <c:v>27.432255202083628</c:v>
                </c:pt>
                <c:pt idx="159">
                  <c:v>27.072407751684697</c:v>
                </c:pt>
                <c:pt idx="160">
                  <c:v>26.773836561978641</c:v>
                </c:pt>
                <c:pt idx="161">
                  <c:v>26.45613128473563</c:v>
                </c:pt>
                <c:pt idx="162">
                  <c:v>26.194890772731881</c:v>
                </c:pt>
                <c:pt idx="163">
                  <c:v>25.959277362271322</c:v>
                </c:pt>
                <c:pt idx="164">
                  <c:v>25.679486026818822</c:v>
                </c:pt>
                <c:pt idx="165">
                  <c:v>25.403633982151884</c:v>
                </c:pt>
                <c:pt idx="166">
                  <c:v>25.124328888319052</c:v>
                </c:pt>
                <c:pt idx="167">
                  <c:v>24.85336644886257</c:v>
                </c:pt>
                <c:pt idx="168">
                  <c:v>24.586771116041874</c:v>
                </c:pt>
                <c:pt idx="169">
                  <c:v>24.265218806085283</c:v>
                </c:pt>
                <c:pt idx="170">
                  <c:v>23.96451333864205</c:v>
                </c:pt>
                <c:pt idx="171">
                  <c:v>23.872318861588695</c:v>
                </c:pt>
                <c:pt idx="172">
                  <c:v>23.693464924117976</c:v>
                </c:pt>
                <c:pt idx="173">
                  <c:v>23.507402216203879</c:v>
                </c:pt>
                <c:pt idx="174">
                  <c:v>24.324958311054846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F1-4321-8113-EF6BDD10717E}"/>
            </c:ext>
          </c:extLst>
        </c:ser>
        <c:ser>
          <c:idx val="7"/>
          <c:order val="7"/>
          <c:tx>
            <c:strRef>
              <c:f>data_ghg_excLUC!$K$2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data_ghg_excLUC!$K$3:$K$177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35.943900918086683</c:v>
                </c:pt>
                <c:pt idx="121">
                  <c:v>35.750456558462893</c:v>
                </c:pt>
                <c:pt idx="122">
                  <c:v>35.559338192067472</c:v>
                </c:pt>
                <c:pt idx="123">
                  <c:v>35.356763788491307</c:v>
                </c:pt>
                <c:pt idx="124">
                  <c:v>35.141678121481753</c:v>
                </c:pt>
                <c:pt idx="125">
                  <c:v>34.936290498138661</c:v>
                </c:pt>
                <c:pt idx="126">
                  <c:v>34.750518095915247</c:v>
                </c:pt>
                <c:pt idx="127">
                  <c:v>34.548833573045037</c:v>
                </c:pt>
                <c:pt idx="128">
                  <c:v>34.345229830661268</c:v>
                </c:pt>
                <c:pt idx="129">
                  <c:v>34.144934069814653</c:v>
                </c:pt>
                <c:pt idx="130">
                  <c:v>33.93560598503808</c:v>
                </c:pt>
                <c:pt idx="131">
                  <c:v>33.737728908858131</c:v>
                </c:pt>
                <c:pt idx="132">
                  <c:v>33.54101193648949</c:v>
                </c:pt>
                <c:pt idx="133">
                  <c:v>33.362343006668652</c:v>
                </c:pt>
                <c:pt idx="134">
                  <c:v>33.187300795357693</c:v>
                </c:pt>
                <c:pt idx="135">
                  <c:v>33.00230328074192</c:v>
                </c:pt>
                <c:pt idx="136">
                  <c:v>32.814063916979215</c:v>
                </c:pt>
                <c:pt idx="137">
                  <c:v>32.631059034124462</c:v>
                </c:pt>
                <c:pt idx="138">
                  <c:v>32.443787266468718</c:v>
                </c:pt>
                <c:pt idx="139">
                  <c:v>32.245717258285161</c:v>
                </c:pt>
                <c:pt idx="140">
                  <c:v>32.040554796705287</c:v>
                </c:pt>
                <c:pt idx="141">
                  <c:v>31.837331055279193</c:v>
                </c:pt>
                <c:pt idx="142">
                  <c:v>31.625855200586223</c:v>
                </c:pt>
                <c:pt idx="143">
                  <c:v>31.400672951657278</c:v>
                </c:pt>
                <c:pt idx="144">
                  <c:v>31.162423668198606</c:v>
                </c:pt>
                <c:pt idx="145">
                  <c:v>30.903862952985765</c:v>
                </c:pt>
                <c:pt idx="146">
                  <c:v>30.638793466449648</c:v>
                </c:pt>
                <c:pt idx="147">
                  <c:v>30.34855526586977</c:v>
                </c:pt>
                <c:pt idx="148">
                  <c:v>30.032721727559363</c:v>
                </c:pt>
                <c:pt idx="149">
                  <c:v>29.697117902020391</c:v>
                </c:pt>
                <c:pt idx="150">
                  <c:v>29.344627963812364</c:v>
                </c:pt>
                <c:pt idx="151">
                  <c:v>28.972637586355948</c:v>
                </c:pt>
                <c:pt idx="152">
                  <c:v>28.589738541532817</c:v>
                </c:pt>
                <c:pt idx="153">
                  <c:v>28.203914647928958</c:v>
                </c:pt>
                <c:pt idx="154">
                  <c:v>27.816762476781676</c:v>
                </c:pt>
                <c:pt idx="155">
                  <c:v>27.431012351597033</c:v>
                </c:pt>
                <c:pt idx="156">
                  <c:v>27.05009198850491</c:v>
                </c:pt>
                <c:pt idx="157">
                  <c:v>26.688716477217206</c:v>
                </c:pt>
                <c:pt idx="158">
                  <c:v>26.317997544704337</c:v>
                </c:pt>
                <c:pt idx="159">
                  <c:v>25.967034857334198</c:v>
                </c:pt>
                <c:pt idx="160">
                  <c:v>25.675869651555789</c:v>
                </c:pt>
                <c:pt idx="161">
                  <c:v>25.362752398627208</c:v>
                </c:pt>
                <c:pt idx="162">
                  <c:v>25.10518091358529</c:v>
                </c:pt>
                <c:pt idx="163">
                  <c:v>24.8714249639659</c:v>
                </c:pt>
                <c:pt idx="164">
                  <c:v>24.617547633913599</c:v>
                </c:pt>
                <c:pt idx="165">
                  <c:v>24.367036162560805</c:v>
                </c:pt>
                <c:pt idx="166">
                  <c:v>24.087315208372885</c:v>
                </c:pt>
                <c:pt idx="167">
                  <c:v>23.793000924846979</c:v>
                </c:pt>
                <c:pt idx="168">
                  <c:v>23.484898220091281</c:v>
                </c:pt>
                <c:pt idx="169">
                  <c:v>23.137727784864619</c:v>
                </c:pt>
                <c:pt idx="170">
                  <c:v>22.797758948443402</c:v>
                </c:pt>
                <c:pt idx="171">
                  <c:v>22.621710561294321</c:v>
                </c:pt>
                <c:pt idx="172">
                  <c:v>22.345478782688009</c:v>
                </c:pt>
                <c:pt idx="173">
                  <c:v>21.909650548042364</c:v>
                </c:pt>
                <c:pt idx="174">
                  <c:v>21.729549270643705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F1-4321-8113-EF6BDD10717E}"/>
            </c:ext>
          </c:extLst>
        </c:ser>
        <c:ser>
          <c:idx val="8"/>
          <c:order val="8"/>
          <c:tx>
            <c:strRef>
              <c:f>data_ghg_excLUC!$L$2</c:f>
              <c:strCache>
                <c:ptCount val="1"/>
                <c:pt idx="0">
                  <c:v>pct_annex2_ClimateWatch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data_ghg_excLUC!$L$3:$L$177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32.325267186422046</c:v>
                </c:pt>
                <c:pt idx="141">
                  <c:v>32.136025301206203</c:v>
                </c:pt>
                <c:pt idx="142">
                  <c:v>31.940101591582071</c:v>
                </c:pt>
                <c:pt idx="143">
                  <c:v>31.729071728311148</c:v>
                </c:pt>
                <c:pt idx="144">
                  <c:v>31.508309092423097</c:v>
                </c:pt>
                <c:pt idx="145">
                  <c:v>31.265513004653467</c:v>
                </c:pt>
                <c:pt idx="146">
                  <c:v>31.016464230193495</c:v>
                </c:pt>
                <c:pt idx="147">
                  <c:v>30.741415139487881</c:v>
                </c:pt>
                <c:pt idx="148">
                  <c:v>30.440617337509458</c:v>
                </c:pt>
                <c:pt idx="149">
                  <c:v>30.120589261550574</c:v>
                </c:pt>
                <c:pt idx="150">
                  <c:v>29.782353652083632</c:v>
                </c:pt>
                <c:pt idx="151">
                  <c:v>29.421852816659072</c:v>
                </c:pt>
                <c:pt idx="152">
                  <c:v>29.048825126297796</c:v>
                </c:pt>
                <c:pt idx="153">
                  <c:v>28.675103348060976</c:v>
                </c:pt>
                <c:pt idx="154">
                  <c:v>28.303855680101321</c:v>
                </c:pt>
                <c:pt idx="155">
                  <c:v>27.933257259866973</c:v>
                </c:pt>
                <c:pt idx="156">
                  <c:v>27.572240514197532</c:v>
                </c:pt>
                <c:pt idx="157">
                  <c:v>27.225067616536457</c:v>
                </c:pt>
                <c:pt idx="158">
                  <c:v>26.870499552283722</c:v>
                </c:pt>
                <c:pt idx="159">
                  <c:v>26.542902371802334</c:v>
                </c:pt>
                <c:pt idx="160">
                  <c:v>26.275299424974296</c:v>
                </c:pt>
                <c:pt idx="161">
                  <c:v>25.991681239320798</c:v>
                </c:pt>
                <c:pt idx="162">
                  <c:v>25.754011717453469</c:v>
                </c:pt>
                <c:pt idx="163">
                  <c:v>25.537890634362569</c:v>
                </c:pt>
                <c:pt idx="164">
                  <c:v>25.31414217650395</c:v>
                </c:pt>
                <c:pt idx="165">
                  <c:v>25.088289244689843</c:v>
                </c:pt>
                <c:pt idx="166">
                  <c:v>24.825156758508356</c:v>
                </c:pt>
                <c:pt idx="167">
                  <c:v>24.5529414104838</c:v>
                </c:pt>
                <c:pt idx="168">
                  <c:v>24.260421136774632</c:v>
                </c:pt>
                <c:pt idx="169">
                  <c:v>23.89369276644187</c:v>
                </c:pt>
                <c:pt idx="170">
                  <c:v>23.531623790560523</c:v>
                </c:pt>
                <c:pt idx="171">
                  <c:v>23.390730061024012</c:v>
                </c:pt>
                <c:pt idx="172">
                  <c:v>23.155061636279108</c:v>
                </c:pt>
                <c:pt idx="173">
                  <c:v>22.63868373244577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F1-4321-8113-EF6BDD10717E}"/>
            </c:ext>
          </c:extLst>
        </c:ser>
        <c:ser>
          <c:idx val="9"/>
          <c:order val="9"/>
          <c:tx>
            <c:strRef>
              <c:f>data_ghg_excLUC!$M$2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data_ghg_excLUC!$M$3:$M$177</c:f>
              <c:numCache>
                <c:formatCode>0.0</c:formatCode>
                <c:ptCount val="175"/>
                <c:pt idx="0">
                  <c:v>59.40210000367545</c:v>
                </c:pt>
                <c:pt idx="1">
                  <c:v>59.399994415889466</c:v>
                </c:pt>
                <c:pt idx="2">
                  <c:v>59.397828533663684</c:v>
                </c:pt>
                <c:pt idx="3">
                  <c:v>59.39544571141515</c:v>
                </c:pt>
                <c:pt idx="4">
                  <c:v>59.392809124818648</c:v>
                </c:pt>
                <c:pt idx="5">
                  <c:v>59.389304950590713</c:v>
                </c:pt>
                <c:pt idx="6">
                  <c:v>59.385659160490022</c:v>
                </c:pt>
                <c:pt idx="7">
                  <c:v>59.38162013648175</c:v>
                </c:pt>
                <c:pt idx="8">
                  <c:v>59.377497048502171</c:v>
                </c:pt>
                <c:pt idx="9">
                  <c:v>59.373281628757766</c:v>
                </c:pt>
                <c:pt idx="10">
                  <c:v>59.368652178656987</c:v>
                </c:pt>
                <c:pt idx="11">
                  <c:v>59.363351604265254</c:v>
                </c:pt>
                <c:pt idx="12">
                  <c:v>59.357672350912459</c:v>
                </c:pt>
                <c:pt idx="13">
                  <c:v>59.351845622020484</c:v>
                </c:pt>
                <c:pt idx="14">
                  <c:v>59.345537077687425</c:v>
                </c:pt>
                <c:pt idx="15">
                  <c:v>59.338586941527829</c:v>
                </c:pt>
                <c:pt idx="16">
                  <c:v>59.331083122998528</c:v>
                </c:pt>
                <c:pt idx="17">
                  <c:v>59.323253520304284</c:v>
                </c:pt>
                <c:pt idx="18">
                  <c:v>59.31474933118961</c:v>
                </c:pt>
                <c:pt idx="19">
                  <c:v>59.305963048998855</c:v>
                </c:pt>
                <c:pt idx="20">
                  <c:v>59.296514291589631</c:v>
                </c:pt>
                <c:pt idx="21">
                  <c:v>59.286872501561781</c:v>
                </c:pt>
                <c:pt idx="22">
                  <c:v>59.276560993576624</c:v>
                </c:pt>
                <c:pt idx="23">
                  <c:v>59.264964982971883</c:v>
                </c:pt>
                <c:pt idx="24">
                  <c:v>59.252536820328828</c:v>
                </c:pt>
                <c:pt idx="25">
                  <c:v>59.241004382304276</c:v>
                </c:pt>
                <c:pt idx="26">
                  <c:v>59.228350026895363</c:v>
                </c:pt>
                <c:pt idx="27">
                  <c:v>59.215496624491379</c:v>
                </c:pt>
                <c:pt idx="28">
                  <c:v>59.202344568523898</c:v>
                </c:pt>
                <c:pt idx="29">
                  <c:v>59.189191053072655</c:v>
                </c:pt>
                <c:pt idx="30">
                  <c:v>59.174984868124369</c:v>
                </c:pt>
                <c:pt idx="31">
                  <c:v>59.158740625410154</c:v>
                </c:pt>
                <c:pt idx="32">
                  <c:v>59.141857883105807</c:v>
                </c:pt>
                <c:pt idx="33">
                  <c:v>59.123964878515935</c:v>
                </c:pt>
                <c:pt idx="34">
                  <c:v>59.104855238953448</c:v>
                </c:pt>
                <c:pt idx="35">
                  <c:v>59.085573147690042</c:v>
                </c:pt>
                <c:pt idx="36">
                  <c:v>59.066168164771739</c:v>
                </c:pt>
                <c:pt idx="37">
                  <c:v>59.046464822076302</c:v>
                </c:pt>
                <c:pt idx="38">
                  <c:v>59.025740527062396</c:v>
                </c:pt>
                <c:pt idx="39">
                  <c:v>59.002636143708372</c:v>
                </c:pt>
                <c:pt idx="40">
                  <c:v>58.9796202084231</c:v>
                </c:pt>
                <c:pt idx="41">
                  <c:v>58.954322317322692</c:v>
                </c:pt>
                <c:pt idx="42">
                  <c:v>58.927774792778145</c:v>
                </c:pt>
                <c:pt idx="43">
                  <c:v>58.901087397723131</c:v>
                </c:pt>
                <c:pt idx="44">
                  <c:v>58.874943074996956</c:v>
                </c:pt>
                <c:pt idx="45">
                  <c:v>58.847814130656062</c:v>
                </c:pt>
                <c:pt idx="46">
                  <c:v>58.819027112225932</c:v>
                </c:pt>
                <c:pt idx="47">
                  <c:v>58.789296634374288</c:v>
                </c:pt>
                <c:pt idx="48">
                  <c:v>58.758076206825812</c:v>
                </c:pt>
                <c:pt idx="49">
                  <c:v>58.725137481060742</c:v>
                </c:pt>
                <c:pt idx="50">
                  <c:v>58.688867936364673</c:v>
                </c:pt>
                <c:pt idx="51">
                  <c:v>58.650337341030259</c:v>
                </c:pt>
                <c:pt idx="52">
                  <c:v>58.610704928234803</c:v>
                </c:pt>
                <c:pt idx="53">
                  <c:v>58.570080796295542</c:v>
                </c:pt>
                <c:pt idx="54">
                  <c:v>58.525583948333079</c:v>
                </c:pt>
                <c:pt idx="55">
                  <c:v>58.480738639385976</c:v>
                </c:pt>
                <c:pt idx="56">
                  <c:v>58.432790955076143</c:v>
                </c:pt>
                <c:pt idx="57">
                  <c:v>58.382839057703009</c:v>
                </c:pt>
                <c:pt idx="58">
                  <c:v>58.326392466805984</c:v>
                </c:pt>
                <c:pt idx="59">
                  <c:v>58.272795126967694</c:v>
                </c:pt>
                <c:pt idx="60">
                  <c:v>58.216612975843596</c:v>
                </c:pt>
                <c:pt idx="61">
                  <c:v>58.15738759750402</c:v>
                </c:pt>
                <c:pt idx="62">
                  <c:v>58.097478399099387</c:v>
                </c:pt>
                <c:pt idx="63">
                  <c:v>58.033901010160136</c:v>
                </c:pt>
                <c:pt idx="64">
                  <c:v>57.965129255716327</c:v>
                </c:pt>
                <c:pt idx="65">
                  <c:v>57.90336968447842</c:v>
                </c:pt>
                <c:pt idx="66">
                  <c:v>57.842563536495298</c:v>
                </c:pt>
                <c:pt idx="67">
                  <c:v>57.776738545640285</c:v>
                </c:pt>
                <c:pt idx="68">
                  <c:v>57.707968184182057</c:v>
                </c:pt>
                <c:pt idx="69">
                  <c:v>57.640737790195665</c:v>
                </c:pt>
                <c:pt idx="70">
                  <c:v>57.585076403083747</c:v>
                </c:pt>
                <c:pt idx="71">
                  <c:v>57.519715993851563</c:v>
                </c:pt>
                <c:pt idx="72">
                  <c:v>57.465322983162935</c:v>
                </c:pt>
                <c:pt idx="73">
                  <c:v>57.407162771027245</c:v>
                </c:pt>
                <c:pt idx="74">
                  <c:v>57.339089315928874</c:v>
                </c:pt>
                <c:pt idx="75">
                  <c:v>57.271170955561637</c:v>
                </c:pt>
                <c:pt idx="76">
                  <c:v>57.202202591388208</c:v>
                </c:pt>
                <c:pt idx="77">
                  <c:v>57.13438403423239</c:v>
                </c:pt>
                <c:pt idx="78">
                  <c:v>57.058418185235368</c:v>
                </c:pt>
                <c:pt idx="79">
                  <c:v>56.983055349873538</c:v>
                </c:pt>
                <c:pt idx="80">
                  <c:v>56.901042497519875</c:v>
                </c:pt>
                <c:pt idx="81">
                  <c:v>56.82624672803415</c:v>
                </c:pt>
                <c:pt idx="82">
                  <c:v>56.76046820871786</c:v>
                </c:pt>
                <c:pt idx="83">
                  <c:v>56.703205047680825</c:v>
                </c:pt>
                <c:pt idx="84">
                  <c:v>56.642805743031765</c:v>
                </c:pt>
                <c:pt idx="85">
                  <c:v>56.577285309599034</c:v>
                </c:pt>
                <c:pt idx="86">
                  <c:v>56.509249996384078</c:v>
                </c:pt>
                <c:pt idx="87">
                  <c:v>56.433066890173599</c:v>
                </c:pt>
                <c:pt idx="88">
                  <c:v>56.351399991562701</c:v>
                </c:pt>
                <c:pt idx="89">
                  <c:v>56.276221544849093</c:v>
                </c:pt>
                <c:pt idx="90">
                  <c:v>56.196476769009188</c:v>
                </c:pt>
                <c:pt idx="91">
                  <c:v>56.108291559989517</c:v>
                </c:pt>
                <c:pt idx="92">
                  <c:v>56.017051442465927</c:v>
                </c:pt>
                <c:pt idx="93">
                  <c:v>55.924080496515849</c:v>
                </c:pt>
                <c:pt idx="94">
                  <c:v>55.827700618680964</c:v>
                </c:pt>
                <c:pt idx="95">
                  <c:v>55.730272482177099</c:v>
                </c:pt>
                <c:pt idx="96">
                  <c:v>55.652210623538799</c:v>
                </c:pt>
                <c:pt idx="97">
                  <c:v>55.568187700128661</c:v>
                </c:pt>
                <c:pt idx="98">
                  <c:v>55.471662935128016</c:v>
                </c:pt>
                <c:pt idx="99">
                  <c:v>55.366429764737745</c:v>
                </c:pt>
                <c:pt idx="100">
                  <c:v>55.26647384504323</c:v>
                </c:pt>
                <c:pt idx="101">
                  <c:v>55.154283840541297</c:v>
                </c:pt>
                <c:pt idx="102">
                  <c:v>55.033692367958729</c:v>
                </c:pt>
                <c:pt idx="103">
                  <c:v>54.913388832038613</c:v>
                </c:pt>
                <c:pt idx="104">
                  <c:v>54.788278871282273</c:v>
                </c:pt>
                <c:pt idx="105">
                  <c:v>54.662890706861745</c:v>
                </c:pt>
                <c:pt idx="106">
                  <c:v>54.527553173749055</c:v>
                </c:pt>
                <c:pt idx="107">
                  <c:v>54.382553621082877</c:v>
                </c:pt>
                <c:pt idx="108">
                  <c:v>54.235387469392457</c:v>
                </c:pt>
                <c:pt idx="109">
                  <c:v>54.097272247764536</c:v>
                </c:pt>
                <c:pt idx="110">
                  <c:v>53.962768479239628</c:v>
                </c:pt>
                <c:pt idx="111">
                  <c:v>53.820888634248064</c:v>
                </c:pt>
                <c:pt idx="112">
                  <c:v>53.665650087242113</c:v>
                </c:pt>
                <c:pt idx="113">
                  <c:v>53.49539085466423</c:v>
                </c:pt>
                <c:pt idx="114">
                  <c:v>53.312364136494885</c:v>
                </c:pt>
                <c:pt idx="115">
                  <c:v>53.11660731178646</c:v>
                </c:pt>
                <c:pt idx="116">
                  <c:v>52.914066450012221</c:v>
                </c:pt>
                <c:pt idx="117">
                  <c:v>52.704102864513082</c:v>
                </c:pt>
                <c:pt idx="118">
                  <c:v>52.479072651333937</c:v>
                </c:pt>
                <c:pt idx="119">
                  <c:v>52.240419355435527</c:v>
                </c:pt>
                <c:pt idx="120">
                  <c:v>51.989391601955049</c:v>
                </c:pt>
                <c:pt idx="121">
                  <c:v>51.727540467089575</c:v>
                </c:pt>
                <c:pt idx="122">
                  <c:v>51.460281382396623</c:v>
                </c:pt>
                <c:pt idx="123">
                  <c:v>51.176862264277844</c:v>
                </c:pt>
                <c:pt idx="124">
                  <c:v>50.879157299021173</c:v>
                </c:pt>
                <c:pt idx="125">
                  <c:v>50.58200001610966</c:v>
                </c:pt>
                <c:pt idx="126">
                  <c:v>50.290996430722487</c:v>
                </c:pt>
                <c:pt idx="127">
                  <c:v>49.980223266803193</c:v>
                </c:pt>
                <c:pt idx="128">
                  <c:v>49.662291468179774</c:v>
                </c:pt>
                <c:pt idx="129">
                  <c:v>49.333689018111727</c:v>
                </c:pt>
                <c:pt idx="130">
                  <c:v>48.994148759253051</c:v>
                </c:pt>
                <c:pt idx="131">
                  <c:v>48.650000288732201</c:v>
                </c:pt>
                <c:pt idx="132">
                  <c:v>48.309687392149968</c:v>
                </c:pt>
                <c:pt idx="133">
                  <c:v>47.978611612438037</c:v>
                </c:pt>
                <c:pt idx="134">
                  <c:v>47.644249516288035</c:v>
                </c:pt>
                <c:pt idx="135">
                  <c:v>47.301506665953845</c:v>
                </c:pt>
                <c:pt idx="136">
                  <c:v>46.947686822876463</c:v>
                </c:pt>
                <c:pt idx="137">
                  <c:v>46.592827121826211</c:v>
                </c:pt>
                <c:pt idx="138">
                  <c:v>46.225047193497936</c:v>
                </c:pt>
                <c:pt idx="139">
                  <c:v>45.847732176056695</c:v>
                </c:pt>
                <c:pt idx="140">
                  <c:v>45.460220429022677</c:v>
                </c:pt>
                <c:pt idx="141">
                  <c:v>45.032836268690822</c:v>
                </c:pt>
                <c:pt idx="142">
                  <c:v>44.632359064414281</c:v>
                </c:pt>
                <c:pt idx="143">
                  <c:v>44.233645048865384</c:v>
                </c:pt>
                <c:pt idx="144">
                  <c:v>43.843587480937799</c:v>
                </c:pt>
                <c:pt idx="145">
                  <c:v>43.465187675552947</c:v>
                </c:pt>
                <c:pt idx="146">
                  <c:v>43.084274487024551</c:v>
                </c:pt>
                <c:pt idx="147">
                  <c:v>42.689751040057601</c:v>
                </c:pt>
                <c:pt idx="148">
                  <c:v>42.291112142212647</c:v>
                </c:pt>
                <c:pt idx="149">
                  <c:v>41.8655261345653</c:v>
                </c:pt>
                <c:pt idx="150">
                  <c:v>41.431987044762344</c:v>
                </c:pt>
                <c:pt idx="151">
                  <c:v>40.975044042732108</c:v>
                </c:pt>
                <c:pt idx="152">
                  <c:v>40.500727163368303</c:v>
                </c:pt>
                <c:pt idx="153">
                  <c:v>40.012424052562082</c:v>
                </c:pt>
                <c:pt idx="154">
                  <c:v>39.532489101767951</c:v>
                </c:pt>
                <c:pt idx="155">
                  <c:v>39.045946711352926</c:v>
                </c:pt>
                <c:pt idx="156">
                  <c:v>38.564041069398961</c:v>
                </c:pt>
                <c:pt idx="157">
                  <c:v>38.088685542439634</c:v>
                </c:pt>
                <c:pt idx="158">
                  <c:v>37.594034378749299</c:v>
                </c:pt>
                <c:pt idx="159">
                  <c:v>37.135372229062689</c:v>
                </c:pt>
                <c:pt idx="160">
                  <c:v>36.769581798927248</c:v>
                </c:pt>
                <c:pt idx="161">
                  <c:v>36.394727040869917</c:v>
                </c:pt>
                <c:pt idx="162">
                  <c:v>36.077211628903392</c:v>
                </c:pt>
                <c:pt idx="163">
                  <c:v>35.789432241264748</c:v>
                </c:pt>
                <c:pt idx="164">
                  <c:v>35.479018769547658</c:v>
                </c:pt>
                <c:pt idx="165">
                  <c:v>35.178242582128036</c:v>
                </c:pt>
                <c:pt idx="166">
                  <c:v>34.855118054693918</c:v>
                </c:pt>
                <c:pt idx="167">
                  <c:v>34.504147840207018</c:v>
                </c:pt>
                <c:pt idx="168">
                  <c:v>34.122000353872124</c:v>
                </c:pt>
                <c:pt idx="169">
                  <c:v>33.672744261925118</c:v>
                </c:pt>
                <c:pt idx="170">
                  <c:v>33.265610196826692</c:v>
                </c:pt>
                <c:pt idx="171">
                  <c:v>33.018154644798258</c:v>
                </c:pt>
                <c:pt idx="172">
                  <c:v>32.542284900368379</c:v>
                </c:pt>
                <c:pt idx="173">
                  <c:v>32.07692845849153</c:v>
                </c:pt>
                <c:pt idx="174">
                  <c:v>31.882786293130572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F1-4321-8113-EF6BDD10717E}"/>
            </c:ext>
          </c:extLst>
        </c:ser>
        <c:ser>
          <c:idx val="10"/>
          <c:order val="10"/>
          <c:tx>
            <c:strRef>
              <c:f>data_ghg_excLUC!$N$2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data_ghg_excLUC!$N$3:$N$177</c:f>
              <c:numCache>
                <c:formatCode>0.0</c:formatCode>
                <c:ptCount val="175"/>
                <c:pt idx="0">
                  <c:v>56.150527593055919</c:v>
                </c:pt>
                <c:pt idx="1">
                  <c:v>56.153170012130445</c:v>
                </c:pt>
                <c:pt idx="2">
                  <c:v>56.155710160395344</c:v>
                </c:pt>
                <c:pt idx="3">
                  <c:v>56.158014844629086</c:v>
                </c:pt>
                <c:pt idx="4">
                  <c:v>56.160056180426665</c:v>
                </c:pt>
                <c:pt idx="5">
                  <c:v>56.161292555636599</c:v>
                </c:pt>
                <c:pt idx="6">
                  <c:v>56.162361640184741</c:v>
                </c:pt>
                <c:pt idx="7">
                  <c:v>56.163022455106905</c:v>
                </c:pt>
                <c:pt idx="8">
                  <c:v>56.163563506433889</c:v>
                </c:pt>
                <c:pt idx="9">
                  <c:v>56.16398541123985</c:v>
                </c:pt>
                <c:pt idx="10">
                  <c:v>56.164023030074226</c:v>
                </c:pt>
                <c:pt idx="11">
                  <c:v>56.163433162026777</c:v>
                </c:pt>
                <c:pt idx="12">
                  <c:v>56.162472025721641</c:v>
                </c:pt>
                <c:pt idx="13">
                  <c:v>56.161360828010366</c:v>
                </c:pt>
                <c:pt idx="14">
                  <c:v>56.159805581330716</c:v>
                </c:pt>
                <c:pt idx="15">
                  <c:v>56.157653980999342</c:v>
                </c:pt>
                <c:pt idx="16">
                  <c:v>56.154984823936218</c:v>
                </c:pt>
                <c:pt idx="17">
                  <c:v>56.152003429067577</c:v>
                </c:pt>
                <c:pt idx="18">
                  <c:v>56.1483987889264</c:v>
                </c:pt>
                <c:pt idx="19">
                  <c:v>56.144514784925427</c:v>
                </c:pt>
                <c:pt idx="20">
                  <c:v>56.140033050359442</c:v>
                </c:pt>
                <c:pt idx="21">
                  <c:v>56.135343882457093</c:v>
                </c:pt>
                <c:pt idx="22">
                  <c:v>56.130020786675097</c:v>
                </c:pt>
                <c:pt idx="23">
                  <c:v>56.123482209701066</c:v>
                </c:pt>
                <c:pt idx="24">
                  <c:v>56.116140038652254</c:v>
                </c:pt>
                <c:pt idx="25">
                  <c:v>56.109554837772059</c:v>
                </c:pt>
                <c:pt idx="26">
                  <c:v>56.101878575518214</c:v>
                </c:pt>
                <c:pt idx="27">
                  <c:v>56.093949212509322</c:v>
                </c:pt>
                <c:pt idx="28">
                  <c:v>56.085693208857364</c:v>
                </c:pt>
                <c:pt idx="29">
                  <c:v>56.077345388401199</c:v>
                </c:pt>
                <c:pt idx="30">
                  <c:v>56.067975502089759</c:v>
                </c:pt>
                <c:pt idx="31">
                  <c:v>56.056649359394719</c:v>
                </c:pt>
                <c:pt idx="32">
                  <c:v>56.044809590059629</c:v>
                </c:pt>
                <c:pt idx="33">
                  <c:v>56.03203915715924</c:v>
                </c:pt>
                <c:pt idx="34">
                  <c:v>56.018163546959507</c:v>
                </c:pt>
                <c:pt idx="35">
                  <c:v>56.004116917067712</c:v>
                </c:pt>
                <c:pt idx="36">
                  <c:v>55.989937838498484</c:v>
                </c:pt>
                <c:pt idx="37">
                  <c:v>55.975511152710212</c:v>
                </c:pt>
                <c:pt idx="38">
                  <c:v>55.960172142036257</c:v>
                </c:pt>
                <c:pt idx="39">
                  <c:v>55.942633327535596</c:v>
                </c:pt>
                <c:pt idx="40">
                  <c:v>55.925141879512331</c:v>
                </c:pt>
                <c:pt idx="41">
                  <c:v>55.905620118762009</c:v>
                </c:pt>
                <c:pt idx="42">
                  <c:v>55.884899516140166</c:v>
                </c:pt>
                <c:pt idx="43">
                  <c:v>55.864007890132704</c:v>
                </c:pt>
                <c:pt idx="44">
                  <c:v>55.843537662364518</c:v>
                </c:pt>
                <c:pt idx="45">
                  <c:v>55.822098792971509</c:v>
                </c:pt>
                <c:pt idx="46">
                  <c:v>55.799130091117831</c:v>
                </c:pt>
                <c:pt idx="47">
                  <c:v>55.775263141036191</c:v>
                </c:pt>
                <c:pt idx="48">
                  <c:v>55.749988322554344</c:v>
                </c:pt>
                <c:pt idx="49">
                  <c:v>55.723103337252113</c:v>
                </c:pt>
                <c:pt idx="50">
                  <c:v>55.693118176655346</c:v>
                </c:pt>
                <c:pt idx="51">
                  <c:v>55.660998725675867</c:v>
                </c:pt>
                <c:pt idx="52">
                  <c:v>55.627910726904503</c:v>
                </c:pt>
                <c:pt idx="53">
                  <c:v>55.593868776032906</c:v>
                </c:pt>
                <c:pt idx="54">
                  <c:v>55.55624884886555</c:v>
                </c:pt>
                <c:pt idx="55">
                  <c:v>55.518271079979108</c:v>
                </c:pt>
                <c:pt idx="56">
                  <c:v>55.477383530736226</c:v>
                </c:pt>
                <c:pt idx="57">
                  <c:v>55.434909551246648</c:v>
                </c:pt>
                <c:pt idx="58">
                  <c:v>55.385790699766588</c:v>
                </c:pt>
                <c:pt idx="59">
                  <c:v>55.339157176988671</c:v>
                </c:pt>
                <c:pt idx="60">
                  <c:v>55.290112761246768</c:v>
                </c:pt>
                <c:pt idx="61">
                  <c:v>55.238171587881965</c:v>
                </c:pt>
                <c:pt idx="62">
                  <c:v>55.18587305874798</c:v>
                </c:pt>
                <c:pt idx="63">
                  <c:v>55.129978444696825</c:v>
                </c:pt>
                <c:pt idx="64">
                  <c:v>55.069236615736941</c:v>
                </c:pt>
                <c:pt idx="65">
                  <c:v>55.015063736658512</c:v>
                </c:pt>
                <c:pt idx="66">
                  <c:v>54.961987903354746</c:v>
                </c:pt>
                <c:pt idx="67">
                  <c:v>54.90440588176957</c:v>
                </c:pt>
                <c:pt idx="68">
                  <c:v>54.844574452670422</c:v>
                </c:pt>
                <c:pt idx="69">
                  <c:v>54.786019368734209</c:v>
                </c:pt>
                <c:pt idx="70">
                  <c:v>54.737964925349495</c:v>
                </c:pt>
                <c:pt idx="71">
                  <c:v>54.681098758908561</c:v>
                </c:pt>
                <c:pt idx="72">
                  <c:v>54.63425033878331</c:v>
                </c:pt>
                <c:pt idx="73">
                  <c:v>54.583947306430922</c:v>
                </c:pt>
                <c:pt idx="74">
                  <c:v>54.524776182547519</c:v>
                </c:pt>
                <c:pt idx="75">
                  <c:v>54.465680525191338</c:v>
                </c:pt>
                <c:pt idx="76">
                  <c:v>54.40533758226865</c:v>
                </c:pt>
                <c:pt idx="77">
                  <c:v>54.346365405974552</c:v>
                </c:pt>
                <c:pt idx="78">
                  <c:v>54.279780273727972</c:v>
                </c:pt>
                <c:pt idx="79">
                  <c:v>54.21436147443216</c:v>
                </c:pt>
                <c:pt idx="80">
                  <c:v>54.143036409497903</c:v>
                </c:pt>
                <c:pt idx="81">
                  <c:v>54.078687195280587</c:v>
                </c:pt>
                <c:pt idx="82">
                  <c:v>54.022533678582086</c:v>
                </c:pt>
                <c:pt idx="83">
                  <c:v>53.974149868338685</c:v>
                </c:pt>
                <c:pt idx="84">
                  <c:v>53.923008410661353</c:v>
                </c:pt>
                <c:pt idx="85">
                  <c:v>53.867277260326716</c:v>
                </c:pt>
                <c:pt idx="86">
                  <c:v>53.809374315001705</c:v>
                </c:pt>
                <c:pt idx="87">
                  <c:v>53.744377323129001</c:v>
                </c:pt>
                <c:pt idx="88">
                  <c:v>53.674525673966379</c:v>
                </c:pt>
                <c:pt idx="89">
                  <c:v>53.611122296475024</c:v>
                </c:pt>
                <c:pt idx="90">
                  <c:v>53.543608737966395</c:v>
                </c:pt>
                <c:pt idx="91">
                  <c:v>53.468829936439512</c:v>
                </c:pt>
                <c:pt idx="92">
                  <c:v>53.391971377873183</c:v>
                </c:pt>
                <c:pt idx="93">
                  <c:v>53.312297202383583</c:v>
                </c:pt>
                <c:pt idx="94">
                  <c:v>53.229655196469892</c:v>
                </c:pt>
                <c:pt idx="95">
                  <c:v>53.149382602704975</c:v>
                </c:pt>
                <c:pt idx="96">
                  <c:v>53.087878632944452</c:v>
                </c:pt>
                <c:pt idx="97">
                  <c:v>53.021321410984157</c:v>
                </c:pt>
                <c:pt idx="98">
                  <c:v>52.941818888251206</c:v>
                </c:pt>
                <c:pt idx="99">
                  <c:v>52.854182321736751</c:v>
                </c:pt>
                <c:pt idx="100">
                  <c:v>52.772242813659339</c:v>
                </c:pt>
                <c:pt idx="101">
                  <c:v>52.674681896318333</c:v>
                </c:pt>
                <c:pt idx="102">
                  <c:v>52.569355970489681</c:v>
                </c:pt>
                <c:pt idx="103">
                  <c:v>52.46395914905969</c:v>
                </c:pt>
                <c:pt idx="104">
                  <c:v>52.354223490846607</c:v>
                </c:pt>
                <c:pt idx="105">
                  <c:v>52.243745487131442</c:v>
                </c:pt>
                <c:pt idx="106">
                  <c:v>52.122747163258964</c:v>
                </c:pt>
                <c:pt idx="107">
                  <c:v>51.992433223779521</c:v>
                </c:pt>
                <c:pt idx="108">
                  <c:v>51.859568220485521</c:v>
                </c:pt>
                <c:pt idx="109">
                  <c:v>51.733992320313938</c:v>
                </c:pt>
                <c:pt idx="110">
                  <c:v>51.610275402896079</c:v>
                </c:pt>
                <c:pt idx="111">
                  <c:v>51.479731796788144</c:v>
                </c:pt>
                <c:pt idx="112">
                  <c:v>51.33691450927698</c:v>
                </c:pt>
                <c:pt idx="113">
                  <c:v>51.17966466739805</c:v>
                </c:pt>
                <c:pt idx="114">
                  <c:v>51.008512339350901</c:v>
                </c:pt>
                <c:pt idx="115">
                  <c:v>50.825215663819904</c:v>
                </c:pt>
                <c:pt idx="116">
                  <c:v>50.633158607726713</c:v>
                </c:pt>
                <c:pt idx="117">
                  <c:v>50.433583192908593</c:v>
                </c:pt>
                <c:pt idx="118">
                  <c:v>50.217559719253366</c:v>
                </c:pt>
                <c:pt idx="119">
                  <c:v>49.98934850310723</c:v>
                </c:pt>
                <c:pt idx="120">
                  <c:v>49.747252164505881</c:v>
                </c:pt>
                <c:pt idx="121">
                  <c:v>49.495522345312736</c:v>
                </c:pt>
                <c:pt idx="122">
                  <c:v>49.236425388817828</c:v>
                </c:pt>
                <c:pt idx="123">
                  <c:v>48.958764753583701</c:v>
                </c:pt>
                <c:pt idx="124">
                  <c:v>48.66394102951859</c:v>
                </c:pt>
                <c:pt idx="125">
                  <c:v>48.367865280873303</c:v>
                </c:pt>
                <c:pt idx="126">
                  <c:v>48.07950261272191</c:v>
                </c:pt>
                <c:pt idx="127">
                  <c:v>47.76836423022192</c:v>
                </c:pt>
                <c:pt idx="128">
                  <c:v>47.450914560809828</c:v>
                </c:pt>
                <c:pt idx="129">
                  <c:v>47.120782456289675</c:v>
                </c:pt>
                <c:pt idx="130">
                  <c:v>46.778593130892958</c:v>
                </c:pt>
                <c:pt idx="131">
                  <c:v>46.433836473609006</c:v>
                </c:pt>
                <c:pt idx="132">
                  <c:v>46.09249093235497</c:v>
                </c:pt>
                <c:pt idx="133">
                  <c:v>45.760832752065419</c:v>
                </c:pt>
                <c:pt idx="134">
                  <c:v>45.424470409207757</c:v>
                </c:pt>
                <c:pt idx="135">
                  <c:v>45.074632276160436</c:v>
                </c:pt>
                <c:pt idx="136">
                  <c:v>44.712916539506047</c:v>
                </c:pt>
                <c:pt idx="137">
                  <c:v>44.347182704579133</c:v>
                </c:pt>
                <c:pt idx="138">
                  <c:v>43.969044167188777</c:v>
                </c:pt>
                <c:pt idx="139">
                  <c:v>43.575832447409105</c:v>
                </c:pt>
                <c:pt idx="140">
                  <c:v>43.172625027544818</c:v>
                </c:pt>
                <c:pt idx="141">
                  <c:v>42.766150935300118</c:v>
                </c:pt>
                <c:pt idx="142">
                  <c:v>42.376531046398554</c:v>
                </c:pt>
                <c:pt idx="143">
                  <c:v>41.993200454948408</c:v>
                </c:pt>
                <c:pt idx="144">
                  <c:v>41.613872876692611</c:v>
                </c:pt>
                <c:pt idx="145">
                  <c:v>41.240274967108284</c:v>
                </c:pt>
                <c:pt idx="146">
                  <c:v>40.865094603457713</c:v>
                </c:pt>
                <c:pt idx="147">
                  <c:v>40.476713868796047</c:v>
                </c:pt>
                <c:pt idx="148">
                  <c:v>40.085550545515346</c:v>
                </c:pt>
                <c:pt idx="149">
                  <c:v>39.675452132573014</c:v>
                </c:pt>
                <c:pt idx="150">
                  <c:v>39.263696415452429</c:v>
                </c:pt>
                <c:pt idx="151">
                  <c:v>38.831207420318933</c:v>
                </c:pt>
                <c:pt idx="152">
                  <c:v>38.386199486077601</c:v>
                </c:pt>
                <c:pt idx="153">
                  <c:v>37.935159838670209</c:v>
                </c:pt>
                <c:pt idx="154">
                  <c:v>37.490128713929685</c:v>
                </c:pt>
                <c:pt idx="155">
                  <c:v>37.045637518435186</c:v>
                </c:pt>
                <c:pt idx="156">
                  <c:v>36.611979542284836</c:v>
                </c:pt>
                <c:pt idx="157">
                  <c:v>36.180306663217266</c:v>
                </c:pt>
                <c:pt idx="158">
                  <c:v>35.72796030791887</c:v>
                </c:pt>
                <c:pt idx="159">
                  <c:v>35.301024494704301</c:v>
                </c:pt>
                <c:pt idx="160">
                  <c:v>34.960223157586057</c:v>
                </c:pt>
                <c:pt idx="161">
                  <c:v>34.59501935916542</c:v>
                </c:pt>
                <c:pt idx="162">
                  <c:v>34.280444029367956</c:v>
                </c:pt>
                <c:pt idx="163">
                  <c:v>33.991137027595563</c:v>
                </c:pt>
                <c:pt idx="164">
                  <c:v>33.676936698554435</c:v>
                </c:pt>
                <c:pt idx="165">
                  <c:v>33.379072864129625</c:v>
                </c:pt>
                <c:pt idx="166">
                  <c:v>33.087146059513259</c:v>
                </c:pt>
                <c:pt idx="167">
                  <c:v>32.792755335653546</c:v>
                </c:pt>
                <c:pt idx="168">
                  <c:v>32.494573736788759</c:v>
                </c:pt>
                <c:pt idx="169">
                  <c:v>32.126869393204728</c:v>
                </c:pt>
                <c:pt idx="170">
                  <c:v>31.792422912987643</c:v>
                </c:pt>
                <c:pt idx="171">
                  <c:v>31.650458672735066</c:v>
                </c:pt>
                <c:pt idx="172">
                  <c:v>31.380720994961898</c:v>
                </c:pt>
                <c:pt idx="173">
                  <c:v>31.197464674276148</c:v>
                </c:pt>
                <c:pt idx="174">
                  <c:v>32.229387245274339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F1-4321-8113-EF6BDD10717E}"/>
            </c:ext>
          </c:extLst>
        </c:ser>
        <c:ser>
          <c:idx val="11"/>
          <c:order val="11"/>
          <c:tx>
            <c:strRef>
              <c:f>data_ghg_excLUC!$O$2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data_ghg_excLUC!$O$3:$O$177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48.45055088279495</c:v>
                </c:pt>
                <c:pt idx="121">
                  <c:v>48.210617497089217</c:v>
                </c:pt>
                <c:pt idx="122">
                  <c:v>47.969874810765049</c:v>
                </c:pt>
                <c:pt idx="123">
                  <c:v>47.713913756232401</c:v>
                </c:pt>
                <c:pt idx="124">
                  <c:v>47.441019843104705</c:v>
                </c:pt>
                <c:pt idx="125">
                  <c:v>47.168434152213564</c:v>
                </c:pt>
                <c:pt idx="126">
                  <c:v>46.903017062363951</c:v>
                </c:pt>
                <c:pt idx="127">
                  <c:v>46.617706652347096</c:v>
                </c:pt>
                <c:pt idx="128">
                  <c:v>46.325454250258474</c:v>
                </c:pt>
                <c:pt idx="129">
                  <c:v>46.02392143728251</c:v>
                </c:pt>
                <c:pt idx="130">
                  <c:v>45.710574401482269</c:v>
                </c:pt>
                <c:pt idx="131">
                  <c:v>45.39761017865559</c:v>
                </c:pt>
                <c:pt idx="132">
                  <c:v>45.082980154168148</c:v>
                </c:pt>
                <c:pt idx="133">
                  <c:v>44.777244446482428</c:v>
                </c:pt>
                <c:pt idx="134">
                  <c:v>44.468823110523815</c:v>
                </c:pt>
                <c:pt idx="135">
                  <c:v>44.146288054871732</c:v>
                </c:pt>
                <c:pt idx="136">
                  <c:v>43.813953232991786</c:v>
                </c:pt>
                <c:pt idx="137">
                  <c:v>43.477255905843307</c:v>
                </c:pt>
                <c:pt idx="138">
                  <c:v>43.126848244365043</c:v>
                </c:pt>
                <c:pt idx="139">
                  <c:v>42.762709080344145</c:v>
                </c:pt>
                <c:pt idx="140">
                  <c:v>42.390667987407014</c:v>
                </c:pt>
                <c:pt idx="141">
                  <c:v>42.006710311216871</c:v>
                </c:pt>
                <c:pt idx="142">
                  <c:v>41.625352900677392</c:v>
                </c:pt>
                <c:pt idx="143">
                  <c:v>41.253302865652238</c:v>
                </c:pt>
                <c:pt idx="144">
                  <c:v>40.89005777364423</c:v>
                </c:pt>
                <c:pt idx="145">
                  <c:v>40.533927496744312</c:v>
                </c:pt>
                <c:pt idx="146">
                  <c:v>40.178611341813095</c:v>
                </c:pt>
                <c:pt idx="147">
                  <c:v>39.80607160893004</c:v>
                </c:pt>
                <c:pt idx="148">
                  <c:v>39.421467315673873</c:v>
                </c:pt>
                <c:pt idx="149">
                  <c:v>39.022900497271394</c:v>
                </c:pt>
                <c:pt idx="150">
                  <c:v>38.605636141872736</c:v>
                </c:pt>
                <c:pt idx="151">
                  <c:v>38.168566585698912</c:v>
                </c:pt>
                <c:pt idx="152">
                  <c:v>37.720065191998962</c:v>
                </c:pt>
                <c:pt idx="153">
                  <c:v>37.268956533979306</c:v>
                </c:pt>
                <c:pt idx="154">
                  <c:v>36.810657764508669</c:v>
                </c:pt>
                <c:pt idx="155">
                  <c:v>36.362577509973285</c:v>
                </c:pt>
                <c:pt idx="156">
                  <c:v>35.926266686412809</c:v>
                </c:pt>
                <c:pt idx="157">
                  <c:v>35.504727906775372</c:v>
                </c:pt>
                <c:pt idx="158">
                  <c:v>35.073698615410059</c:v>
                </c:pt>
                <c:pt idx="159">
                  <c:v>34.664698800081922</c:v>
                </c:pt>
                <c:pt idx="160">
                  <c:v>34.339157828922424</c:v>
                </c:pt>
                <c:pt idx="161">
                  <c:v>33.989604331744204</c:v>
                </c:pt>
                <c:pt idx="162">
                  <c:v>33.686520826139201</c:v>
                </c:pt>
                <c:pt idx="163">
                  <c:v>33.411287970770914</c:v>
                </c:pt>
                <c:pt idx="164">
                  <c:v>33.137595917301184</c:v>
                </c:pt>
                <c:pt idx="165">
                  <c:v>32.880202088192036</c:v>
                </c:pt>
                <c:pt idx="166">
                  <c:v>32.593933828780337</c:v>
                </c:pt>
                <c:pt idx="167">
                  <c:v>32.28658423909301</c:v>
                </c:pt>
                <c:pt idx="168">
                  <c:v>31.952542075988173</c:v>
                </c:pt>
                <c:pt idx="169">
                  <c:v>31.565944669229513</c:v>
                </c:pt>
                <c:pt idx="170">
                  <c:v>31.191833318191094</c:v>
                </c:pt>
                <c:pt idx="171">
                  <c:v>30.96792195280182</c:v>
                </c:pt>
                <c:pt idx="172">
                  <c:v>30.565124215200179</c:v>
                </c:pt>
                <c:pt idx="173">
                  <c:v>30.082933794566237</c:v>
                </c:pt>
                <c:pt idx="174">
                  <c:v>29.90605485455259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F1-4321-8113-EF6BDD10717E}"/>
            </c:ext>
          </c:extLst>
        </c:ser>
        <c:ser>
          <c:idx val="12"/>
          <c:order val="12"/>
          <c:tx>
            <c:strRef>
              <c:f>data_ghg_excLUC!$P$2</c:f>
              <c:strCache>
                <c:ptCount val="1"/>
                <c:pt idx="0">
                  <c:v>pct_annex1_ClimateWatch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data_ghg_excLUC!$P$3:$P$177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42.81938837945394</c:v>
                </c:pt>
                <c:pt idx="141">
                  <c:v>42.441671396579373</c:v>
                </c:pt>
                <c:pt idx="142">
                  <c:v>42.067251067324293</c:v>
                </c:pt>
                <c:pt idx="143">
                  <c:v>41.703888947431459</c:v>
                </c:pt>
                <c:pt idx="144">
                  <c:v>41.351720861427019</c:v>
                </c:pt>
                <c:pt idx="145">
                  <c:v>41.004981667507622</c:v>
                </c:pt>
                <c:pt idx="146">
                  <c:v>40.661565008479258</c:v>
                </c:pt>
                <c:pt idx="147">
                  <c:v>40.299544514714761</c:v>
                </c:pt>
                <c:pt idx="148">
                  <c:v>39.925675951798148</c:v>
                </c:pt>
                <c:pt idx="149">
                  <c:v>39.538197075573727</c:v>
                </c:pt>
                <c:pt idx="150">
                  <c:v>39.131763493075681</c:v>
                </c:pt>
                <c:pt idx="151">
                  <c:v>38.699897135707673</c:v>
                </c:pt>
                <c:pt idx="152">
                  <c:v>38.254100445615506</c:v>
                </c:pt>
                <c:pt idx="153">
                  <c:v>37.80756483020172</c:v>
                </c:pt>
                <c:pt idx="154">
                  <c:v>37.355172088137316</c:v>
                </c:pt>
                <c:pt idx="155">
                  <c:v>36.913910790883776</c:v>
                </c:pt>
                <c:pt idx="156">
                  <c:v>36.484656602564236</c:v>
                </c:pt>
                <c:pt idx="157">
                  <c:v>36.063883402172806</c:v>
                </c:pt>
                <c:pt idx="158">
                  <c:v>35.635063577897355</c:v>
                </c:pt>
                <c:pt idx="159">
                  <c:v>35.235472011043093</c:v>
                </c:pt>
                <c:pt idx="160">
                  <c:v>34.921299725023957</c:v>
                </c:pt>
                <c:pt idx="161">
                  <c:v>34.592058782764553</c:v>
                </c:pt>
                <c:pt idx="162">
                  <c:v>34.297346465362722</c:v>
                </c:pt>
                <c:pt idx="163">
                  <c:v>34.031526866774847</c:v>
                </c:pt>
                <c:pt idx="164">
                  <c:v>33.780147284396051</c:v>
                </c:pt>
                <c:pt idx="165">
                  <c:v>33.541341737788045</c:v>
                </c:pt>
                <c:pt idx="166">
                  <c:v>33.279421023226057</c:v>
                </c:pt>
                <c:pt idx="167">
                  <c:v>32.998351403989226</c:v>
                </c:pt>
                <c:pt idx="168">
                  <c:v>32.687747331316849</c:v>
                </c:pt>
                <c:pt idx="169">
                  <c:v>32.284541582431345</c:v>
                </c:pt>
                <c:pt idx="170">
                  <c:v>31.904653795049505</c:v>
                </c:pt>
                <c:pt idx="171">
                  <c:v>31.738204553785536</c:v>
                </c:pt>
                <c:pt idx="172">
                  <c:v>31.36107059802724</c:v>
                </c:pt>
                <c:pt idx="173">
                  <c:v>30.770028681063938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F1-4321-8113-EF6BDD10717E}"/>
            </c:ext>
          </c:extLst>
        </c:ser>
        <c:ser>
          <c:idx val="13"/>
          <c:order val="13"/>
          <c:tx>
            <c:strRef>
              <c:f>data_ghg_excLUC!$R$2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data_ghg_excLUC!$R$3:$R$177</c:f>
              <c:numCache>
                <c:formatCode>0.0</c:formatCode>
                <c:ptCount val="175"/>
                <c:pt idx="0">
                  <c:v>42.798000000000002</c:v>
                </c:pt>
                <c:pt idx="1">
                  <c:v>42.798000000000002</c:v>
                </c:pt>
                <c:pt idx="2">
                  <c:v>42.790999999999997</c:v>
                </c:pt>
                <c:pt idx="3">
                  <c:v>42.783999999999999</c:v>
                </c:pt>
                <c:pt idx="4">
                  <c:v>42.776000000000003</c:v>
                </c:pt>
                <c:pt idx="5">
                  <c:v>42.765999999999998</c:v>
                </c:pt>
                <c:pt idx="6">
                  <c:v>42.756999999999998</c:v>
                </c:pt>
                <c:pt idx="7">
                  <c:v>42.747</c:v>
                </c:pt>
                <c:pt idx="8">
                  <c:v>42.737000000000002</c:v>
                </c:pt>
                <c:pt idx="9">
                  <c:v>42.725999999999999</c:v>
                </c:pt>
                <c:pt idx="10">
                  <c:v>42.715000000000003</c:v>
                </c:pt>
                <c:pt idx="11">
                  <c:v>42.703000000000003</c:v>
                </c:pt>
                <c:pt idx="12">
                  <c:v>42.691000000000003</c:v>
                </c:pt>
                <c:pt idx="13">
                  <c:v>42.677999999999997</c:v>
                </c:pt>
                <c:pt idx="14">
                  <c:v>42.664999999999999</c:v>
                </c:pt>
                <c:pt idx="15">
                  <c:v>42.651000000000003</c:v>
                </c:pt>
                <c:pt idx="16">
                  <c:v>42.637</c:v>
                </c:pt>
                <c:pt idx="17">
                  <c:v>42.621000000000002</c:v>
                </c:pt>
                <c:pt idx="18">
                  <c:v>42.606000000000002</c:v>
                </c:pt>
                <c:pt idx="19">
                  <c:v>42.59</c:v>
                </c:pt>
                <c:pt idx="20">
                  <c:v>42.573</c:v>
                </c:pt>
                <c:pt idx="21">
                  <c:v>42.555999999999997</c:v>
                </c:pt>
                <c:pt idx="22">
                  <c:v>42.539000000000001</c:v>
                </c:pt>
                <c:pt idx="23">
                  <c:v>42.518999999999998</c:v>
                </c:pt>
                <c:pt idx="24">
                  <c:v>42.499000000000002</c:v>
                </c:pt>
                <c:pt idx="25">
                  <c:v>42.481000000000002</c:v>
                </c:pt>
                <c:pt idx="26">
                  <c:v>42.460999999999999</c:v>
                </c:pt>
                <c:pt idx="27">
                  <c:v>42.442999999999998</c:v>
                </c:pt>
                <c:pt idx="28">
                  <c:v>42.423999999999999</c:v>
                </c:pt>
                <c:pt idx="29">
                  <c:v>42.405000000000001</c:v>
                </c:pt>
                <c:pt idx="30">
                  <c:v>42.384999999999998</c:v>
                </c:pt>
                <c:pt idx="31">
                  <c:v>42.363</c:v>
                </c:pt>
                <c:pt idx="32">
                  <c:v>42.338999999999999</c:v>
                </c:pt>
                <c:pt idx="33">
                  <c:v>42.314999999999998</c:v>
                </c:pt>
                <c:pt idx="34">
                  <c:v>42.287999999999997</c:v>
                </c:pt>
                <c:pt idx="35">
                  <c:v>42.262999999999998</c:v>
                </c:pt>
                <c:pt idx="36">
                  <c:v>42.238</c:v>
                </c:pt>
                <c:pt idx="37">
                  <c:v>42.213000000000001</c:v>
                </c:pt>
                <c:pt idx="38">
                  <c:v>42.188000000000002</c:v>
                </c:pt>
                <c:pt idx="39">
                  <c:v>42.158000000000001</c:v>
                </c:pt>
                <c:pt idx="40">
                  <c:v>42.13</c:v>
                </c:pt>
                <c:pt idx="41">
                  <c:v>42.097999999999999</c:v>
                </c:pt>
                <c:pt idx="42">
                  <c:v>42.064</c:v>
                </c:pt>
                <c:pt idx="43">
                  <c:v>42.031999999999996</c:v>
                </c:pt>
                <c:pt idx="44">
                  <c:v>42.002000000000002</c:v>
                </c:pt>
                <c:pt idx="45">
                  <c:v>41.969000000000001</c:v>
                </c:pt>
                <c:pt idx="46">
                  <c:v>41.935000000000002</c:v>
                </c:pt>
                <c:pt idx="47">
                  <c:v>41.899000000000001</c:v>
                </c:pt>
                <c:pt idx="48">
                  <c:v>41.862000000000002</c:v>
                </c:pt>
                <c:pt idx="49">
                  <c:v>41.823</c:v>
                </c:pt>
                <c:pt idx="50">
                  <c:v>41.779000000000003</c:v>
                </c:pt>
                <c:pt idx="51">
                  <c:v>41.732999999999997</c:v>
                </c:pt>
                <c:pt idx="52">
                  <c:v>41.686999999999998</c:v>
                </c:pt>
                <c:pt idx="53">
                  <c:v>41.637999999999998</c:v>
                </c:pt>
                <c:pt idx="54">
                  <c:v>41.584000000000003</c:v>
                </c:pt>
                <c:pt idx="55">
                  <c:v>41.529000000000003</c:v>
                </c:pt>
                <c:pt idx="56">
                  <c:v>41.469000000000001</c:v>
                </c:pt>
                <c:pt idx="57">
                  <c:v>41.405999999999999</c:v>
                </c:pt>
                <c:pt idx="58">
                  <c:v>41.332000000000001</c:v>
                </c:pt>
                <c:pt idx="59">
                  <c:v>41.265999999999998</c:v>
                </c:pt>
                <c:pt idx="60">
                  <c:v>41.195</c:v>
                </c:pt>
                <c:pt idx="61">
                  <c:v>41.12</c:v>
                </c:pt>
                <c:pt idx="62">
                  <c:v>41.043999999999997</c:v>
                </c:pt>
                <c:pt idx="63">
                  <c:v>40.963999999999999</c:v>
                </c:pt>
                <c:pt idx="64">
                  <c:v>40.875</c:v>
                </c:pt>
                <c:pt idx="65">
                  <c:v>40.796999999999997</c:v>
                </c:pt>
                <c:pt idx="66">
                  <c:v>40.720999999999997</c:v>
                </c:pt>
                <c:pt idx="67">
                  <c:v>40.637</c:v>
                </c:pt>
                <c:pt idx="68">
                  <c:v>40.548000000000002</c:v>
                </c:pt>
                <c:pt idx="69">
                  <c:v>40.454999999999998</c:v>
                </c:pt>
                <c:pt idx="70">
                  <c:v>40.377000000000002</c:v>
                </c:pt>
                <c:pt idx="71">
                  <c:v>40.284999999999997</c:v>
                </c:pt>
                <c:pt idx="72">
                  <c:v>40.213999999999999</c:v>
                </c:pt>
                <c:pt idx="73">
                  <c:v>40.137</c:v>
                </c:pt>
                <c:pt idx="74">
                  <c:v>40.042999999999999</c:v>
                </c:pt>
                <c:pt idx="75">
                  <c:v>39.948999999999998</c:v>
                </c:pt>
                <c:pt idx="76">
                  <c:v>39.856999999999999</c:v>
                </c:pt>
                <c:pt idx="77">
                  <c:v>39.771000000000001</c:v>
                </c:pt>
                <c:pt idx="78">
                  <c:v>39.677</c:v>
                </c:pt>
                <c:pt idx="79">
                  <c:v>39.582999999999998</c:v>
                </c:pt>
                <c:pt idx="80">
                  <c:v>39.481000000000002</c:v>
                </c:pt>
                <c:pt idx="81">
                  <c:v>39.396000000000001</c:v>
                </c:pt>
                <c:pt idx="82">
                  <c:v>39.331000000000003</c:v>
                </c:pt>
                <c:pt idx="83">
                  <c:v>39.283000000000001</c:v>
                </c:pt>
                <c:pt idx="84">
                  <c:v>39.234000000000002</c:v>
                </c:pt>
                <c:pt idx="85">
                  <c:v>39.176000000000002</c:v>
                </c:pt>
                <c:pt idx="86">
                  <c:v>39.115000000000002</c:v>
                </c:pt>
                <c:pt idx="87">
                  <c:v>39.046999999999997</c:v>
                </c:pt>
                <c:pt idx="88">
                  <c:v>38.973999999999997</c:v>
                </c:pt>
                <c:pt idx="89">
                  <c:v>38.915999999999997</c:v>
                </c:pt>
                <c:pt idx="90">
                  <c:v>38.844999999999999</c:v>
                </c:pt>
                <c:pt idx="91">
                  <c:v>38.779000000000003</c:v>
                </c:pt>
                <c:pt idx="92">
                  <c:v>38.695999999999998</c:v>
                </c:pt>
                <c:pt idx="93">
                  <c:v>38.601999999999997</c:v>
                </c:pt>
                <c:pt idx="94">
                  <c:v>38.511000000000003</c:v>
                </c:pt>
                <c:pt idx="95">
                  <c:v>38.423000000000002</c:v>
                </c:pt>
                <c:pt idx="96">
                  <c:v>38.353999999999999</c:v>
                </c:pt>
                <c:pt idx="97">
                  <c:v>38.280999999999999</c:v>
                </c:pt>
                <c:pt idx="98">
                  <c:v>38.192</c:v>
                </c:pt>
                <c:pt idx="99">
                  <c:v>38.088000000000001</c:v>
                </c:pt>
                <c:pt idx="100">
                  <c:v>38.003</c:v>
                </c:pt>
                <c:pt idx="101">
                  <c:v>37.895000000000003</c:v>
                </c:pt>
                <c:pt idx="102">
                  <c:v>37.768000000000001</c:v>
                </c:pt>
                <c:pt idx="103">
                  <c:v>37.637999999999998</c:v>
                </c:pt>
                <c:pt idx="104">
                  <c:v>37.506</c:v>
                </c:pt>
                <c:pt idx="105">
                  <c:v>37.378</c:v>
                </c:pt>
                <c:pt idx="106">
                  <c:v>37.241</c:v>
                </c:pt>
                <c:pt idx="107">
                  <c:v>37.097000000000001</c:v>
                </c:pt>
                <c:pt idx="108">
                  <c:v>36.959000000000003</c:v>
                </c:pt>
                <c:pt idx="109">
                  <c:v>36.829000000000001</c:v>
                </c:pt>
                <c:pt idx="110">
                  <c:v>36.709000000000003</c:v>
                </c:pt>
                <c:pt idx="111">
                  <c:v>36.579000000000001</c:v>
                </c:pt>
                <c:pt idx="112">
                  <c:v>36.441000000000003</c:v>
                </c:pt>
                <c:pt idx="113">
                  <c:v>36.29</c:v>
                </c:pt>
                <c:pt idx="114">
                  <c:v>36.128999999999998</c:v>
                </c:pt>
                <c:pt idx="115">
                  <c:v>35.954000000000001</c:v>
                </c:pt>
                <c:pt idx="116">
                  <c:v>35.768000000000001</c:v>
                </c:pt>
                <c:pt idx="117">
                  <c:v>35.573999999999998</c:v>
                </c:pt>
                <c:pt idx="118">
                  <c:v>35.372</c:v>
                </c:pt>
                <c:pt idx="119">
                  <c:v>35.155999999999999</c:v>
                </c:pt>
                <c:pt idx="120">
                  <c:v>34.918999999999997</c:v>
                </c:pt>
                <c:pt idx="121">
                  <c:v>34.685000000000002</c:v>
                </c:pt>
                <c:pt idx="122">
                  <c:v>34.454999999999998</c:v>
                </c:pt>
                <c:pt idx="123">
                  <c:v>34.215000000000003</c:v>
                </c:pt>
                <c:pt idx="124">
                  <c:v>33.968000000000004</c:v>
                </c:pt>
                <c:pt idx="125">
                  <c:v>33.732999999999997</c:v>
                </c:pt>
                <c:pt idx="126">
                  <c:v>33.521000000000001</c:v>
                </c:pt>
                <c:pt idx="127">
                  <c:v>33.301000000000002</c:v>
                </c:pt>
                <c:pt idx="128">
                  <c:v>33.081000000000003</c:v>
                </c:pt>
                <c:pt idx="129">
                  <c:v>32.854999999999997</c:v>
                </c:pt>
                <c:pt idx="130">
                  <c:v>32.606999999999999</c:v>
                </c:pt>
                <c:pt idx="131">
                  <c:v>32.363999999999997</c:v>
                </c:pt>
                <c:pt idx="132">
                  <c:v>32.119999999999997</c:v>
                </c:pt>
                <c:pt idx="133">
                  <c:v>31.908000000000001</c:v>
                </c:pt>
                <c:pt idx="134">
                  <c:v>31.707999999999998</c:v>
                </c:pt>
                <c:pt idx="135">
                  <c:v>31.515999999999998</c:v>
                </c:pt>
                <c:pt idx="136">
                  <c:v>31.33</c:v>
                </c:pt>
                <c:pt idx="137">
                  <c:v>31.146999999999998</c:v>
                </c:pt>
                <c:pt idx="138">
                  <c:v>30.968</c:v>
                </c:pt>
                <c:pt idx="139">
                  <c:v>30.797999999999998</c:v>
                </c:pt>
                <c:pt idx="140">
                  <c:v>30.62</c:v>
                </c:pt>
                <c:pt idx="141">
                  <c:v>30.398</c:v>
                </c:pt>
                <c:pt idx="142">
                  <c:v>30.17</c:v>
                </c:pt>
                <c:pt idx="143">
                  <c:v>29.904</c:v>
                </c:pt>
                <c:pt idx="144">
                  <c:v>29.62</c:v>
                </c:pt>
                <c:pt idx="145">
                  <c:v>29.312000000000001</c:v>
                </c:pt>
                <c:pt idx="146">
                  <c:v>28.998999999999999</c:v>
                </c:pt>
                <c:pt idx="147">
                  <c:v>28.667000000000002</c:v>
                </c:pt>
                <c:pt idx="148">
                  <c:v>28.315000000000001</c:v>
                </c:pt>
                <c:pt idx="149">
                  <c:v>27.928000000000001</c:v>
                </c:pt>
                <c:pt idx="150">
                  <c:v>27.535</c:v>
                </c:pt>
                <c:pt idx="151">
                  <c:v>27.138999999999999</c:v>
                </c:pt>
                <c:pt idx="152">
                  <c:v>26.759</c:v>
                </c:pt>
                <c:pt idx="153">
                  <c:v>26.356999999999999</c:v>
                </c:pt>
                <c:pt idx="154">
                  <c:v>25.962</c:v>
                </c:pt>
                <c:pt idx="155">
                  <c:v>25.553000000000001</c:v>
                </c:pt>
                <c:pt idx="156">
                  <c:v>25.157</c:v>
                </c:pt>
                <c:pt idx="157">
                  <c:v>24.771999999999998</c:v>
                </c:pt>
                <c:pt idx="158">
                  <c:v>24.36</c:v>
                </c:pt>
                <c:pt idx="159">
                  <c:v>23.969000000000001</c:v>
                </c:pt>
                <c:pt idx="160">
                  <c:v>23.66</c:v>
                </c:pt>
                <c:pt idx="161">
                  <c:v>23.353000000000002</c:v>
                </c:pt>
                <c:pt idx="162">
                  <c:v>23.137</c:v>
                </c:pt>
                <c:pt idx="163">
                  <c:v>22.966000000000001</c:v>
                </c:pt>
                <c:pt idx="164">
                  <c:v>22.753</c:v>
                </c:pt>
                <c:pt idx="165">
                  <c:v>22.530999999999999</c:v>
                </c:pt>
                <c:pt idx="166">
                  <c:v>22.285</c:v>
                </c:pt>
                <c:pt idx="167">
                  <c:v>22.045000000000002</c:v>
                </c:pt>
                <c:pt idx="168">
                  <c:v>21.794</c:v>
                </c:pt>
                <c:pt idx="169">
                  <c:v>21.491</c:v>
                </c:pt>
                <c:pt idx="170">
                  <c:v>21.195</c:v>
                </c:pt>
                <c:pt idx="171">
                  <c:v>21.122</c:v>
                </c:pt>
                <c:pt idx="172">
                  <c:v>20.824000000000002</c:v>
                </c:pt>
                <c:pt idx="173">
                  <c:v>20.52</c:v>
                </c:pt>
                <c:pt idx="174">
                  <c:v>20.373999999999999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F1-4321-8113-EF6BDD10717E}"/>
            </c:ext>
          </c:extLst>
        </c:ser>
        <c:ser>
          <c:idx val="14"/>
          <c:order val="14"/>
          <c:tx>
            <c:strRef>
              <c:f>data_ghg_excLUC!$S$2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data_ghg_excLUC!$S$3:$S$177</c:f>
              <c:numCache>
                <c:formatCode>0.0</c:formatCode>
                <c:ptCount val="175"/>
                <c:pt idx="0">
                  <c:v>55.890999999999998</c:v>
                </c:pt>
                <c:pt idx="1">
                  <c:v>55.890999999999998</c:v>
                </c:pt>
                <c:pt idx="2">
                  <c:v>55.884</c:v>
                </c:pt>
                <c:pt idx="3">
                  <c:v>55.877000000000002</c:v>
                </c:pt>
                <c:pt idx="4">
                  <c:v>55.869</c:v>
                </c:pt>
                <c:pt idx="5">
                  <c:v>55.86</c:v>
                </c:pt>
                <c:pt idx="6">
                  <c:v>55.850999999999999</c:v>
                </c:pt>
                <c:pt idx="7">
                  <c:v>55.841999999999999</c:v>
                </c:pt>
                <c:pt idx="8">
                  <c:v>55.832000000000001</c:v>
                </c:pt>
                <c:pt idx="9">
                  <c:v>55.822000000000003</c:v>
                </c:pt>
                <c:pt idx="10">
                  <c:v>55.811999999999998</c:v>
                </c:pt>
                <c:pt idx="11">
                  <c:v>55.801000000000002</c:v>
                </c:pt>
                <c:pt idx="12">
                  <c:v>55.789000000000001</c:v>
                </c:pt>
                <c:pt idx="13">
                  <c:v>55.777000000000001</c:v>
                </c:pt>
                <c:pt idx="14">
                  <c:v>55.765000000000001</c:v>
                </c:pt>
                <c:pt idx="15">
                  <c:v>55.752000000000002</c:v>
                </c:pt>
                <c:pt idx="16">
                  <c:v>55.738</c:v>
                </c:pt>
                <c:pt idx="17">
                  <c:v>55.722999999999999</c:v>
                </c:pt>
                <c:pt idx="18">
                  <c:v>55.707999999999998</c:v>
                </c:pt>
                <c:pt idx="19">
                  <c:v>55.692999999999998</c:v>
                </c:pt>
                <c:pt idx="20">
                  <c:v>55.676000000000002</c:v>
                </c:pt>
                <c:pt idx="21">
                  <c:v>55.66</c:v>
                </c:pt>
                <c:pt idx="22">
                  <c:v>55.643000000000001</c:v>
                </c:pt>
                <c:pt idx="23">
                  <c:v>55.624000000000002</c:v>
                </c:pt>
                <c:pt idx="24">
                  <c:v>55.604999999999997</c:v>
                </c:pt>
                <c:pt idx="25">
                  <c:v>55.587000000000003</c:v>
                </c:pt>
                <c:pt idx="26">
                  <c:v>55.567999999999998</c:v>
                </c:pt>
                <c:pt idx="27">
                  <c:v>55.548999999999999</c:v>
                </c:pt>
                <c:pt idx="28">
                  <c:v>55.53</c:v>
                </c:pt>
                <c:pt idx="29">
                  <c:v>55.511000000000003</c:v>
                </c:pt>
                <c:pt idx="30">
                  <c:v>55.491</c:v>
                </c:pt>
                <c:pt idx="31">
                  <c:v>55.469000000000001</c:v>
                </c:pt>
                <c:pt idx="32">
                  <c:v>55.445999999999998</c:v>
                </c:pt>
                <c:pt idx="33">
                  <c:v>55.421999999999997</c:v>
                </c:pt>
                <c:pt idx="34">
                  <c:v>55.396999999999998</c:v>
                </c:pt>
                <c:pt idx="35">
                  <c:v>55.371000000000002</c:v>
                </c:pt>
                <c:pt idx="36">
                  <c:v>55.347000000000001</c:v>
                </c:pt>
                <c:pt idx="37">
                  <c:v>55.322000000000003</c:v>
                </c:pt>
                <c:pt idx="38">
                  <c:v>55.295999999999999</c:v>
                </c:pt>
                <c:pt idx="39">
                  <c:v>55.267000000000003</c:v>
                </c:pt>
                <c:pt idx="40">
                  <c:v>55.238999999999997</c:v>
                </c:pt>
                <c:pt idx="41">
                  <c:v>55.207999999999998</c:v>
                </c:pt>
                <c:pt idx="42">
                  <c:v>55.174999999999997</c:v>
                </c:pt>
                <c:pt idx="43">
                  <c:v>55.142000000000003</c:v>
                </c:pt>
                <c:pt idx="44">
                  <c:v>55.110999999999997</c:v>
                </c:pt>
                <c:pt idx="45">
                  <c:v>55.079000000000001</c:v>
                </c:pt>
                <c:pt idx="46">
                  <c:v>55.043999999999997</c:v>
                </c:pt>
                <c:pt idx="47">
                  <c:v>55.008000000000003</c:v>
                </c:pt>
                <c:pt idx="48">
                  <c:v>54.970999999999997</c:v>
                </c:pt>
                <c:pt idx="49">
                  <c:v>54.930999999999997</c:v>
                </c:pt>
                <c:pt idx="50">
                  <c:v>54.886000000000003</c:v>
                </c:pt>
                <c:pt idx="51">
                  <c:v>54.84</c:v>
                </c:pt>
                <c:pt idx="52">
                  <c:v>54.792000000000002</c:v>
                </c:pt>
                <c:pt idx="53">
                  <c:v>54.744</c:v>
                </c:pt>
                <c:pt idx="54">
                  <c:v>54.691000000000003</c:v>
                </c:pt>
                <c:pt idx="55">
                  <c:v>54.637</c:v>
                </c:pt>
                <c:pt idx="56">
                  <c:v>54.579000000000001</c:v>
                </c:pt>
                <c:pt idx="57">
                  <c:v>54.518999999999998</c:v>
                </c:pt>
                <c:pt idx="58">
                  <c:v>54.448999999999998</c:v>
                </c:pt>
                <c:pt idx="59">
                  <c:v>54.384999999999998</c:v>
                </c:pt>
                <c:pt idx="60">
                  <c:v>54.317</c:v>
                </c:pt>
                <c:pt idx="61">
                  <c:v>54.246000000000002</c:v>
                </c:pt>
                <c:pt idx="62">
                  <c:v>54.173999999999999</c:v>
                </c:pt>
                <c:pt idx="63">
                  <c:v>54.097999999999999</c:v>
                </c:pt>
                <c:pt idx="64">
                  <c:v>54.014000000000003</c:v>
                </c:pt>
                <c:pt idx="65">
                  <c:v>53.942</c:v>
                </c:pt>
                <c:pt idx="66">
                  <c:v>53.872</c:v>
                </c:pt>
                <c:pt idx="67">
                  <c:v>53.795999999999999</c:v>
                </c:pt>
                <c:pt idx="68">
                  <c:v>53.716000000000001</c:v>
                </c:pt>
                <c:pt idx="69">
                  <c:v>53.642000000000003</c:v>
                </c:pt>
                <c:pt idx="70">
                  <c:v>53.585000000000001</c:v>
                </c:pt>
                <c:pt idx="71">
                  <c:v>53.515000000000001</c:v>
                </c:pt>
                <c:pt idx="72">
                  <c:v>53.463000000000001</c:v>
                </c:pt>
                <c:pt idx="73">
                  <c:v>53.405000000000001</c:v>
                </c:pt>
                <c:pt idx="74">
                  <c:v>53.335000000000001</c:v>
                </c:pt>
                <c:pt idx="75">
                  <c:v>53.265999999999998</c:v>
                </c:pt>
                <c:pt idx="76">
                  <c:v>53.197000000000003</c:v>
                </c:pt>
                <c:pt idx="77">
                  <c:v>53.131999999999998</c:v>
                </c:pt>
                <c:pt idx="78">
                  <c:v>53.058</c:v>
                </c:pt>
                <c:pt idx="79">
                  <c:v>52.984999999999999</c:v>
                </c:pt>
                <c:pt idx="80">
                  <c:v>52.904000000000003</c:v>
                </c:pt>
                <c:pt idx="81">
                  <c:v>52.832999999999998</c:v>
                </c:pt>
                <c:pt idx="82">
                  <c:v>52.776000000000003</c:v>
                </c:pt>
                <c:pt idx="83">
                  <c:v>52.732999999999997</c:v>
                </c:pt>
                <c:pt idx="84">
                  <c:v>52.688000000000002</c:v>
                </c:pt>
                <c:pt idx="85">
                  <c:v>52.631999999999998</c:v>
                </c:pt>
                <c:pt idx="86">
                  <c:v>52.573</c:v>
                </c:pt>
                <c:pt idx="87">
                  <c:v>52.503999999999998</c:v>
                </c:pt>
                <c:pt idx="88">
                  <c:v>52.429000000000002</c:v>
                </c:pt>
                <c:pt idx="89">
                  <c:v>52.360999999999997</c:v>
                </c:pt>
                <c:pt idx="90">
                  <c:v>52.281999999999996</c:v>
                </c:pt>
                <c:pt idx="91">
                  <c:v>52.195999999999998</c:v>
                </c:pt>
                <c:pt idx="92">
                  <c:v>52.1</c:v>
                </c:pt>
                <c:pt idx="93">
                  <c:v>52.003999999999998</c:v>
                </c:pt>
                <c:pt idx="94">
                  <c:v>51.908000000000001</c:v>
                </c:pt>
                <c:pt idx="95">
                  <c:v>51.811999999999998</c:v>
                </c:pt>
                <c:pt idx="96">
                  <c:v>51.741999999999997</c:v>
                </c:pt>
                <c:pt idx="97">
                  <c:v>51.665999999999997</c:v>
                </c:pt>
                <c:pt idx="98">
                  <c:v>51.573999999999998</c:v>
                </c:pt>
                <c:pt idx="99">
                  <c:v>51.466000000000001</c:v>
                </c:pt>
                <c:pt idx="100">
                  <c:v>51.368000000000002</c:v>
                </c:pt>
                <c:pt idx="101">
                  <c:v>51.25</c:v>
                </c:pt>
                <c:pt idx="102">
                  <c:v>51.116999999999997</c:v>
                </c:pt>
                <c:pt idx="103">
                  <c:v>50.975999999999999</c:v>
                </c:pt>
                <c:pt idx="104">
                  <c:v>50.83</c:v>
                </c:pt>
                <c:pt idx="105">
                  <c:v>50.685000000000002</c:v>
                </c:pt>
                <c:pt idx="106">
                  <c:v>50.529000000000003</c:v>
                </c:pt>
                <c:pt idx="107">
                  <c:v>50.362000000000002</c:v>
                </c:pt>
                <c:pt idx="108">
                  <c:v>50.194000000000003</c:v>
                </c:pt>
                <c:pt idx="109">
                  <c:v>50.029000000000003</c:v>
                </c:pt>
                <c:pt idx="110">
                  <c:v>49.877000000000002</c:v>
                </c:pt>
                <c:pt idx="111">
                  <c:v>49.716999999999999</c:v>
                </c:pt>
                <c:pt idx="112">
                  <c:v>49.54</c:v>
                </c:pt>
                <c:pt idx="113">
                  <c:v>49.341999999999999</c:v>
                </c:pt>
                <c:pt idx="114">
                  <c:v>49.13</c:v>
                </c:pt>
                <c:pt idx="115">
                  <c:v>48.899000000000001</c:v>
                </c:pt>
                <c:pt idx="116">
                  <c:v>48.652000000000001</c:v>
                </c:pt>
                <c:pt idx="117">
                  <c:v>48.4</c:v>
                </c:pt>
                <c:pt idx="118">
                  <c:v>48.137</c:v>
                </c:pt>
                <c:pt idx="119">
                  <c:v>47.862000000000002</c:v>
                </c:pt>
                <c:pt idx="120">
                  <c:v>47.575000000000003</c:v>
                </c:pt>
                <c:pt idx="121">
                  <c:v>47.289000000000001</c:v>
                </c:pt>
                <c:pt idx="122">
                  <c:v>46.999000000000002</c:v>
                </c:pt>
                <c:pt idx="123">
                  <c:v>46.695999999999998</c:v>
                </c:pt>
                <c:pt idx="124">
                  <c:v>46.384</c:v>
                </c:pt>
                <c:pt idx="125">
                  <c:v>46.072000000000003</c:v>
                </c:pt>
                <c:pt idx="126">
                  <c:v>45.765999999999998</c:v>
                </c:pt>
                <c:pt idx="127">
                  <c:v>45.444000000000003</c:v>
                </c:pt>
                <c:pt idx="128">
                  <c:v>45.116</c:v>
                </c:pt>
                <c:pt idx="129">
                  <c:v>44.773000000000003</c:v>
                </c:pt>
                <c:pt idx="130">
                  <c:v>44.405999999999999</c:v>
                </c:pt>
                <c:pt idx="131">
                  <c:v>44.024999999999999</c:v>
                </c:pt>
                <c:pt idx="132">
                  <c:v>43.640999999999998</c:v>
                </c:pt>
                <c:pt idx="133">
                  <c:v>43.274000000000001</c:v>
                </c:pt>
                <c:pt idx="134">
                  <c:v>42.91</c:v>
                </c:pt>
                <c:pt idx="135">
                  <c:v>42.548999999999999</c:v>
                </c:pt>
                <c:pt idx="136">
                  <c:v>42.173000000000002</c:v>
                </c:pt>
                <c:pt idx="137">
                  <c:v>41.786000000000001</c:v>
                </c:pt>
                <c:pt idx="138">
                  <c:v>41.393999999999998</c:v>
                </c:pt>
                <c:pt idx="139">
                  <c:v>41.005000000000003</c:v>
                </c:pt>
                <c:pt idx="140">
                  <c:v>40.609000000000002</c:v>
                </c:pt>
                <c:pt idx="141">
                  <c:v>40.158999999999999</c:v>
                </c:pt>
                <c:pt idx="142">
                  <c:v>39.735999999999997</c:v>
                </c:pt>
                <c:pt idx="143">
                  <c:v>39.320999999999998</c:v>
                </c:pt>
                <c:pt idx="144">
                  <c:v>38.912999999999997</c:v>
                </c:pt>
                <c:pt idx="145">
                  <c:v>38.527999999999999</c:v>
                </c:pt>
                <c:pt idx="146">
                  <c:v>38.152000000000001</c:v>
                </c:pt>
                <c:pt idx="147">
                  <c:v>37.774000000000001</c:v>
                </c:pt>
                <c:pt idx="148">
                  <c:v>37.393000000000001</c:v>
                </c:pt>
                <c:pt idx="149">
                  <c:v>36.988</c:v>
                </c:pt>
                <c:pt idx="150">
                  <c:v>36.582000000000001</c:v>
                </c:pt>
                <c:pt idx="151">
                  <c:v>36.183999999999997</c:v>
                </c:pt>
                <c:pt idx="152">
                  <c:v>35.792999999999999</c:v>
                </c:pt>
                <c:pt idx="153">
                  <c:v>35.392000000000003</c:v>
                </c:pt>
                <c:pt idx="154">
                  <c:v>35.01</c:v>
                </c:pt>
                <c:pt idx="155">
                  <c:v>34.619999999999997</c:v>
                </c:pt>
                <c:pt idx="156">
                  <c:v>34.246000000000002</c:v>
                </c:pt>
                <c:pt idx="157">
                  <c:v>33.880000000000003</c:v>
                </c:pt>
                <c:pt idx="158">
                  <c:v>33.488</c:v>
                </c:pt>
                <c:pt idx="159">
                  <c:v>33.125999999999998</c:v>
                </c:pt>
                <c:pt idx="160">
                  <c:v>32.866999999999997</c:v>
                </c:pt>
                <c:pt idx="161">
                  <c:v>32.613</c:v>
                </c:pt>
                <c:pt idx="162">
                  <c:v>32.435000000000002</c:v>
                </c:pt>
                <c:pt idx="163">
                  <c:v>32.29</c:v>
                </c:pt>
                <c:pt idx="164">
                  <c:v>32.110999999999997</c:v>
                </c:pt>
                <c:pt idx="165">
                  <c:v>31.92</c:v>
                </c:pt>
                <c:pt idx="166">
                  <c:v>31.701000000000001</c:v>
                </c:pt>
                <c:pt idx="167">
                  <c:v>31.442</c:v>
                </c:pt>
                <c:pt idx="168">
                  <c:v>31.152999999999999</c:v>
                </c:pt>
                <c:pt idx="169">
                  <c:v>30.786999999999999</c:v>
                </c:pt>
                <c:pt idx="170">
                  <c:v>30.446999999999999</c:v>
                </c:pt>
                <c:pt idx="171">
                  <c:v>30.274000000000001</c:v>
                </c:pt>
                <c:pt idx="172">
                  <c:v>29.821000000000002</c:v>
                </c:pt>
                <c:pt idx="173">
                  <c:v>29.513999999999999</c:v>
                </c:pt>
                <c:pt idx="174">
                  <c:v>29.414999999999999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F1-4321-8113-EF6BDD107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CO</a:t>
            </a:r>
            <a:r>
              <a:rPr lang="en-US" baseline="-25000"/>
              <a:t>2</a:t>
            </a:r>
            <a:r>
              <a:rPr lang="en-US"/>
              <a:t> emissions including from LULUCF to 2024, different start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0.0</c:formatCode>
                <c:ptCount val="175"/>
                <c:pt idx="0">
                  <c:v>37.734536444647119</c:v>
                </c:pt>
                <c:pt idx="1">
                  <c:v>37.737335495599268</c:v>
                </c:pt>
                <c:pt idx="2">
                  <c:v>37.740149178931503</c:v>
                </c:pt>
                <c:pt idx="3">
                  <c:v>37.743555314247018</c:v>
                </c:pt>
                <c:pt idx="4">
                  <c:v>37.745850439476648</c:v>
                </c:pt>
                <c:pt idx="5">
                  <c:v>37.747003460436687</c:v>
                </c:pt>
                <c:pt idx="6">
                  <c:v>37.748436931346269</c:v>
                </c:pt>
                <c:pt idx="7">
                  <c:v>37.749442450935788</c:v>
                </c:pt>
                <c:pt idx="8">
                  <c:v>37.750257367208903</c:v>
                </c:pt>
                <c:pt idx="9">
                  <c:v>37.750436583947824</c:v>
                </c:pt>
                <c:pt idx="10">
                  <c:v>37.749863809408325</c:v>
                </c:pt>
                <c:pt idx="11">
                  <c:v>37.746177075645818</c:v>
                </c:pt>
                <c:pt idx="12">
                  <c:v>37.742316631602939</c:v>
                </c:pt>
                <c:pt idx="13">
                  <c:v>37.736884537774053</c:v>
                </c:pt>
                <c:pt idx="14">
                  <c:v>37.730243291572592</c:v>
                </c:pt>
                <c:pt idx="15">
                  <c:v>37.723900708801132</c:v>
                </c:pt>
                <c:pt idx="16">
                  <c:v>37.71667217080563</c:v>
                </c:pt>
                <c:pt idx="17">
                  <c:v>37.709700433245331</c:v>
                </c:pt>
                <c:pt idx="18">
                  <c:v>37.700870878159456</c:v>
                </c:pt>
                <c:pt idx="19">
                  <c:v>37.691994344965742</c:v>
                </c:pt>
                <c:pt idx="20">
                  <c:v>37.683108248181561</c:v>
                </c:pt>
                <c:pt idx="21">
                  <c:v>37.66866762920727</c:v>
                </c:pt>
                <c:pt idx="22">
                  <c:v>37.6503347992128</c:v>
                </c:pt>
                <c:pt idx="23">
                  <c:v>37.630457242401683</c:v>
                </c:pt>
                <c:pt idx="24">
                  <c:v>37.607588772069015</c:v>
                </c:pt>
                <c:pt idx="25">
                  <c:v>37.584866028008101</c:v>
                </c:pt>
                <c:pt idx="26">
                  <c:v>37.559593524944766</c:v>
                </c:pt>
                <c:pt idx="27">
                  <c:v>37.533452780173079</c:v>
                </c:pt>
                <c:pt idx="28">
                  <c:v>37.506252382082437</c:v>
                </c:pt>
                <c:pt idx="29">
                  <c:v>37.478108700699991</c:v>
                </c:pt>
                <c:pt idx="30">
                  <c:v>37.447758550397999</c:v>
                </c:pt>
                <c:pt idx="31">
                  <c:v>37.420812028513872</c:v>
                </c:pt>
                <c:pt idx="32">
                  <c:v>37.396272351587136</c:v>
                </c:pt>
                <c:pt idx="33">
                  <c:v>37.371539155861285</c:v>
                </c:pt>
                <c:pt idx="34">
                  <c:v>37.345818508800541</c:v>
                </c:pt>
                <c:pt idx="35">
                  <c:v>37.320854254059626</c:v>
                </c:pt>
                <c:pt idx="36">
                  <c:v>37.296751390227875</c:v>
                </c:pt>
                <c:pt idx="37">
                  <c:v>37.272375699923629</c:v>
                </c:pt>
                <c:pt idx="38">
                  <c:v>37.246527134762111</c:v>
                </c:pt>
                <c:pt idx="39">
                  <c:v>37.21851288130155</c:v>
                </c:pt>
                <c:pt idx="40">
                  <c:v>37.192086887304662</c:v>
                </c:pt>
                <c:pt idx="41">
                  <c:v>37.163960857838177</c:v>
                </c:pt>
                <c:pt idx="42">
                  <c:v>37.134775097510406</c:v>
                </c:pt>
                <c:pt idx="43">
                  <c:v>37.105139909073635</c:v>
                </c:pt>
                <c:pt idx="44">
                  <c:v>37.07515204854495</c:v>
                </c:pt>
                <c:pt idx="45">
                  <c:v>37.04482801063476</c:v>
                </c:pt>
                <c:pt idx="46">
                  <c:v>37.012613406109331</c:v>
                </c:pt>
                <c:pt idx="47">
                  <c:v>36.97887247350031</c:v>
                </c:pt>
                <c:pt idx="48">
                  <c:v>36.944055033391699</c:v>
                </c:pt>
                <c:pt idx="49">
                  <c:v>36.907003826111954</c:v>
                </c:pt>
                <c:pt idx="50">
                  <c:v>36.866124010665317</c:v>
                </c:pt>
                <c:pt idx="51">
                  <c:v>36.824781548652304</c:v>
                </c:pt>
                <c:pt idx="52">
                  <c:v>36.785465080596481</c:v>
                </c:pt>
                <c:pt idx="53">
                  <c:v>36.74526463946107</c:v>
                </c:pt>
                <c:pt idx="54">
                  <c:v>36.701686283483099</c:v>
                </c:pt>
                <c:pt idx="55">
                  <c:v>36.658015654676504</c:v>
                </c:pt>
                <c:pt idx="56">
                  <c:v>36.611269830803487</c:v>
                </c:pt>
                <c:pt idx="57">
                  <c:v>36.563800034997954</c:v>
                </c:pt>
                <c:pt idx="58">
                  <c:v>36.50881531632966</c:v>
                </c:pt>
                <c:pt idx="59">
                  <c:v>36.457143186589988</c:v>
                </c:pt>
                <c:pt idx="60">
                  <c:v>36.403097620195147</c:v>
                </c:pt>
                <c:pt idx="61">
                  <c:v>36.343637579767559</c:v>
                </c:pt>
                <c:pt idx="62">
                  <c:v>36.282925420246528</c:v>
                </c:pt>
                <c:pt idx="63">
                  <c:v>36.219564521998038</c:v>
                </c:pt>
                <c:pt idx="64">
                  <c:v>36.149594630599481</c:v>
                </c:pt>
                <c:pt idx="65">
                  <c:v>36.085093734914537</c:v>
                </c:pt>
                <c:pt idx="66">
                  <c:v>36.020995173519097</c:v>
                </c:pt>
                <c:pt idx="67">
                  <c:v>35.951292010544428</c:v>
                </c:pt>
                <c:pt idx="68">
                  <c:v>35.876756492633397</c:v>
                </c:pt>
                <c:pt idx="69">
                  <c:v>35.79815451243347</c:v>
                </c:pt>
                <c:pt idx="70">
                  <c:v>35.728165425615011</c:v>
                </c:pt>
                <c:pt idx="71">
                  <c:v>35.656746033293913</c:v>
                </c:pt>
                <c:pt idx="72">
                  <c:v>35.599767261224471</c:v>
                </c:pt>
                <c:pt idx="73">
                  <c:v>35.539976800719337</c:v>
                </c:pt>
                <c:pt idx="74">
                  <c:v>35.471950162395764</c:v>
                </c:pt>
                <c:pt idx="75">
                  <c:v>35.404568766903196</c:v>
                </c:pt>
                <c:pt idx="76">
                  <c:v>35.337541542377394</c:v>
                </c:pt>
                <c:pt idx="77">
                  <c:v>35.274383413877835</c:v>
                </c:pt>
                <c:pt idx="78">
                  <c:v>35.205182216690559</c:v>
                </c:pt>
                <c:pt idx="79">
                  <c:v>35.138457130574139</c:v>
                </c:pt>
                <c:pt idx="80">
                  <c:v>35.066740952829996</c:v>
                </c:pt>
                <c:pt idx="81">
                  <c:v>35.012352970059119</c:v>
                </c:pt>
                <c:pt idx="82">
                  <c:v>34.973682297051511</c:v>
                </c:pt>
                <c:pt idx="83">
                  <c:v>34.948489697695152</c:v>
                </c:pt>
                <c:pt idx="84">
                  <c:v>34.921524828715171</c:v>
                </c:pt>
                <c:pt idx="85">
                  <c:v>34.891844398546695</c:v>
                </c:pt>
                <c:pt idx="86">
                  <c:v>34.861531602912592</c:v>
                </c:pt>
                <c:pt idx="87">
                  <c:v>34.826549072767357</c:v>
                </c:pt>
                <c:pt idx="88">
                  <c:v>34.787434347803107</c:v>
                </c:pt>
                <c:pt idx="89">
                  <c:v>34.758423864908323</c:v>
                </c:pt>
                <c:pt idx="90">
                  <c:v>34.724683700176911</c:v>
                </c:pt>
                <c:pt idx="91">
                  <c:v>34.690686110595855</c:v>
                </c:pt>
                <c:pt idx="92">
                  <c:v>34.652604590971613</c:v>
                </c:pt>
                <c:pt idx="93">
                  <c:v>34.606521476790959</c:v>
                </c:pt>
                <c:pt idx="94">
                  <c:v>34.558546164425039</c:v>
                </c:pt>
                <c:pt idx="95">
                  <c:v>34.510450905202823</c:v>
                </c:pt>
                <c:pt idx="96">
                  <c:v>34.479363885344014</c:v>
                </c:pt>
                <c:pt idx="97">
                  <c:v>34.443193369534278</c:v>
                </c:pt>
                <c:pt idx="98">
                  <c:v>34.395019124767281</c:v>
                </c:pt>
                <c:pt idx="99">
                  <c:v>34.338764036197119</c:v>
                </c:pt>
                <c:pt idx="100">
                  <c:v>34.294253553987375</c:v>
                </c:pt>
                <c:pt idx="101">
                  <c:v>34.257703333250419</c:v>
                </c:pt>
                <c:pt idx="102">
                  <c:v>34.22736376409776</c:v>
                </c:pt>
                <c:pt idx="103">
                  <c:v>34.200295600480466</c:v>
                </c:pt>
                <c:pt idx="104">
                  <c:v>34.17493675308431</c:v>
                </c:pt>
                <c:pt idx="105">
                  <c:v>34.163021061792463</c:v>
                </c:pt>
                <c:pt idx="106">
                  <c:v>34.145682176339569</c:v>
                </c:pt>
                <c:pt idx="107">
                  <c:v>34.124470864009616</c:v>
                </c:pt>
                <c:pt idx="108">
                  <c:v>34.109864780083257</c:v>
                </c:pt>
                <c:pt idx="109">
                  <c:v>34.106458329900526</c:v>
                </c:pt>
                <c:pt idx="110">
                  <c:v>34.120083091103027</c:v>
                </c:pt>
                <c:pt idx="111">
                  <c:v>34.103294052130622</c:v>
                </c:pt>
                <c:pt idx="112">
                  <c:v>34.088398427337665</c:v>
                </c:pt>
                <c:pt idx="113">
                  <c:v>34.05277437573254</c:v>
                </c:pt>
                <c:pt idx="114">
                  <c:v>34.010209804268939</c:v>
                </c:pt>
                <c:pt idx="115">
                  <c:v>33.952169747836805</c:v>
                </c:pt>
                <c:pt idx="116">
                  <c:v>33.883677326155365</c:v>
                </c:pt>
                <c:pt idx="117">
                  <c:v>33.80362773057356</c:v>
                </c:pt>
                <c:pt idx="118">
                  <c:v>33.687345999279842</c:v>
                </c:pt>
                <c:pt idx="119">
                  <c:v>33.552673540394338</c:v>
                </c:pt>
                <c:pt idx="120">
                  <c:v>33.44621785355222</c:v>
                </c:pt>
                <c:pt idx="121">
                  <c:v>33.328789756605978</c:v>
                </c:pt>
                <c:pt idx="122">
                  <c:v>33.203316859159607</c:v>
                </c:pt>
                <c:pt idx="123">
                  <c:v>33.086904314514612</c:v>
                </c:pt>
                <c:pt idx="124">
                  <c:v>32.9528987934575</c:v>
                </c:pt>
                <c:pt idx="125">
                  <c:v>32.828668109101649</c:v>
                </c:pt>
                <c:pt idx="126">
                  <c:v>32.716013381223327</c:v>
                </c:pt>
                <c:pt idx="127">
                  <c:v>32.584731957039779</c:v>
                </c:pt>
                <c:pt idx="128">
                  <c:v>32.454913392966859</c:v>
                </c:pt>
                <c:pt idx="129">
                  <c:v>32.327220773303075</c:v>
                </c:pt>
                <c:pt idx="130">
                  <c:v>32.169300080968952</c:v>
                </c:pt>
                <c:pt idx="131">
                  <c:v>32.025353147682274</c:v>
                </c:pt>
                <c:pt idx="132">
                  <c:v>31.888211126547656</c:v>
                </c:pt>
                <c:pt idx="133">
                  <c:v>31.767187294359445</c:v>
                </c:pt>
                <c:pt idx="134">
                  <c:v>31.648633007822006</c:v>
                </c:pt>
                <c:pt idx="135">
                  <c:v>31.543811358439434</c:v>
                </c:pt>
                <c:pt idx="136">
                  <c:v>31.458240197468061</c:v>
                </c:pt>
                <c:pt idx="137">
                  <c:v>31.389259841058891</c:v>
                </c:pt>
                <c:pt idx="138">
                  <c:v>31.296543013190814</c:v>
                </c:pt>
                <c:pt idx="139">
                  <c:v>31.184945216985305</c:v>
                </c:pt>
                <c:pt idx="140">
                  <c:v>31.052867974667421</c:v>
                </c:pt>
                <c:pt idx="141">
                  <c:v>30.880852101726685</c:v>
                </c:pt>
                <c:pt idx="142">
                  <c:v>30.716103181067279</c:v>
                </c:pt>
                <c:pt idx="143">
                  <c:v>30.528076451789882</c:v>
                </c:pt>
                <c:pt idx="144">
                  <c:v>30.324423879822511</c:v>
                </c:pt>
                <c:pt idx="145">
                  <c:v>30.133912544564478</c:v>
                </c:pt>
                <c:pt idx="146">
                  <c:v>29.912513388444957</c:v>
                </c:pt>
                <c:pt idx="147">
                  <c:v>29.675334776059437</c:v>
                </c:pt>
                <c:pt idx="148">
                  <c:v>29.474288099490675</c:v>
                </c:pt>
                <c:pt idx="149">
                  <c:v>29.20810938012588</c:v>
                </c:pt>
                <c:pt idx="150">
                  <c:v>28.919861544689439</c:v>
                </c:pt>
                <c:pt idx="151">
                  <c:v>28.578601891407839</c:v>
                </c:pt>
                <c:pt idx="152">
                  <c:v>28.221661575956634</c:v>
                </c:pt>
                <c:pt idx="153">
                  <c:v>27.872692373232518</c:v>
                </c:pt>
                <c:pt idx="154">
                  <c:v>27.536860949508345</c:v>
                </c:pt>
                <c:pt idx="155">
                  <c:v>27.163263024261852</c:v>
                </c:pt>
                <c:pt idx="156">
                  <c:v>26.762976412415235</c:v>
                </c:pt>
                <c:pt idx="157">
                  <c:v>26.438686512322562</c:v>
                </c:pt>
                <c:pt idx="158">
                  <c:v>26.069762722257206</c:v>
                </c:pt>
                <c:pt idx="159">
                  <c:v>25.710279732739572</c:v>
                </c:pt>
                <c:pt idx="160">
                  <c:v>25.488630396642193</c:v>
                </c:pt>
                <c:pt idx="161">
                  <c:v>25.170366440815062</c:v>
                </c:pt>
                <c:pt idx="162">
                  <c:v>24.959043079523298</c:v>
                </c:pt>
                <c:pt idx="163">
                  <c:v>24.798386706762972</c:v>
                </c:pt>
                <c:pt idx="164">
                  <c:v>24.57659826189979</c:v>
                </c:pt>
                <c:pt idx="165">
                  <c:v>24.362925447182938</c:v>
                </c:pt>
                <c:pt idx="166">
                  <c:v>24.172586129022719</c:v>
                </c:pt>
                <c:pt idx="167">
                  <c:v>23.89648893190207</c:v>
                </c:pt>
                <c:pt idx="168">
                  <c:v>23.589357318824966</c:v>
                </c:pt>
                <c:pt idx="169">
                  <c:v>23.227155859235886</c:v>
                </c:pt>
                <c:pt idx="170">
                  <c:v>22.906560361826831</c:v>
                </c:pt>
                <c:pt idx="171">
                  <c:v>22.747009664836209</c:v>
                </c:pt>
                <c:pt idx="172">
                  <c:v>22.387911496811206</c:v>
                </c:pt>
                <c:pt idx="173">
                  <c:v>21.965089458153631</c:v>
                </c:pt>
                <c:pt idx="174">
                  <c:v>21.805425820005762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6-404B-AE12-880E3E7D6E9B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0.0</c:formatCode>
                <c:ptCount val="175"/>
                <c:pt idx="0">
                  <c:v>4.5659000153019704</c:v>
                </c:pt>
                <c:pt idx="1">
                  <c:v>4.5617148433539683</c:v>
                </c:pt>
                <c:pt idx="2">
                  <c:v>4.5566822379318239</c:v>
                </c:pt>
                <c:pt idx="3">
                  <c:v>4.5440919626883698</c:v>
                </c:pt>
                <c:pt idx="4">
                  <c:v>4.5309372520195268</c:v>
                </c:pt>
                <c:pt idx="5">
                  <c:v>4.5165200848274907</c:v>
                </c:pt>
                <c:pt idx="6">
                  <c:v>4.5003045423597072</c:v>
                </c:pt>
                <c:pt idx="7">
                  <c:v>4.4832949205248127</c:v>
                </c:pt>
                <c:pt idx="8">
                  <c:v>4.465677026358378</c:v>
                </c:pt>
                <c:pt idx="9">
                  <c:v>4.4479342049933877</c:v>
                </c:pt>
                <c:pt idx="10">
                  <c:v>4.4298208672203714</c:v>
                </c:pt>
                <c:pt idx="11">
                  <c:v>4.4134075800806869</c:v>
                </c:pt>
                <c:pt idx="12">
                  <c:v>4.3965867788968254</c:v>
                </c:pt>
                <c:pt idx="13">
                  <c:v>4.3855744691873539</c:v>
                </c:pt>
                <c:pt idx="14">
                  <c:v>4.3752334090839113</c:v>
                </c:pt>
                <c:pt idx="15">
                  <c:v>4.3639091222241788</c:v>
                </c:pt>
                <c:pt idx="16">
                  <c:v>4.3528984372261164</c:v>
                </c:pt>
                <c:pt idx="17">
                  <c:v>4.3413105559596659</c:v>
                </c:pt>
                <c:pt idx="18">
                  <c:v>4.3308943032061578</c:v>
                </c:pt>
                <c:pt idx="19">
                  <c:v>4.3203088202997222</c:v>
                </c:pt>
                <c:pt idx="20">
                  <c:v>4.3090645841985307</c:v>
                </c:pt>
                <c:pt idx="21">
                  <c:v>4.3032039058333567</c:v>
                </c:pt>
                <c:pt idx="22">
                  <c:v>4.3017098818062607</c:v>
                </c:pt>
                <c:pt idx="23">
                  <c:v>4.2925946877811256</c:v>
                </c:pt>
                <c:pt idx="24">
                  <c:v>4.2850138011576391</c:v>
                </c:pt>
                <c:pt idx="25">
                  <c:v>4.278074987275005</c:v>
                </c:pt>
                <c:pt idx="26">
                  <c:v>4.2717459801031623</c:v>
                </c:pt>
                <c:pt idx="27">
                  <c:v>4.2659579719968264</c:v>
                </c:pt>
                <c:pt idx="28">
                  <c:v>4.2602702273328177</c:v>
                </c:pt>
                <c:pt idx="29">
                  <c:v>4.2551033814771344</c:v>
                </c:pt>
                <c:pt idx="30">
                  <c:v>4.2503401113572039</c:v>
                </c:pt>
                <c:pt idx="31">
                  <c:v>4.2389385000288087</c:v>
                </c:pt>
                <c:pt idx="32">
                  <c:v>4.2262214656335217</c:v>
                </c:pt>
                <c:pt idx="33">
                  <c:v>4.2183511795261737</c:v>
                </c:pt>
                <c:pt idx="34">
                  <c:v>4.2106864268950019</c:v>
                </c:pt>
                <c:pt idx="35">
                  <c:v>4.202541949331092</c:v>
                </c:pt>
                <c:pt idx="36">
                  <c:v>4.193871820638293</c:v>
                </c:pt>
                <c:pt idx="37">
                  <c:v>4.1854168551468334</c:v>
                </c:pt>
                <c:pt idx="38">
                  <c:v>4.1775839182093435</c:v>
                </c:pt>
                <c:pt idx="39">
                  <c:v>4.1693046330885437</c:v>
                </c:pt>
                <c:pt idx="40">
                  <c:v>4.1601288886701653</c:v>
                </c:pt>
                <c:pt idx="41">
                  <c:v>4.1502827111370735</c:v>
                </c:pt>
                <c:pt idx="42">
                  <c:v>4.1403400811370332</c:v>
                </c:pt>
                <c:pt idx="43">
                  <c:v>4.1292389471705064</c:v>
                </c:pt>
                <c:pt idx="44">
                  <c:v>4.1192791069471539</c:v>
                </c:pt>
                <c:pt idx="45">
                  <c:v>4.1092183822877502</c:v>
                </c:pt>
                <c:pt idx="46">
                  <c:v>4.0990908671202391</c:v>
                </c:pt>
                <c:pt idx="47">
                  <c:v>4.0894430917404847</c:v>
                </c:pt>
                <c:pt idx="48">
                  <c:v>4.0792265904247529</c:v>
                </c:pt>
                <c:pt idx="49">
                  <c:v>4.0695337921823835</c:v>
                </c:pt>
                <c:pt idx="50">
                  <c:v>4.0596620510707808</c:v>
                </c:pt>
                <c:pt idx="51">
                  <c:v>4.0476714936862876</c:v>
                </c:pt>
                <c:pt idx="52">
                  <c:v>4.0370950805366022</c:v>
                </c:pt>
                <c:pt idx="53">
                  <c:v>4.0315912455468066</c:v>
                </c:pt>
                <c:pt idx="54">
                  <c:v>4.027088765827088</c:v>
                </c:pt>
                <c:pt idx="55">
                  <c:v>4.0254997927361629</c:v>
                </c:pt>
                <c:pt idx="56">
                  <c:v>4.0253601607371579</c:v>
                </c:pt>
                <c:pt idx="57">
                  <c:v>4.0269998021810522</c:v>
                </c:pt>
                <c:pt idx="58">
                  <c:v>4.0284511778821468</c:v>
                </c:pt>
                <c:pt idx="59">
                  <c:v>4.0315244567312334</c:v>
                </c:pt>
                <c:pt idx="60">
                  <c:v>4.0348013663307896</c:v>
                </c:pt>
                <c:pt idx="61">
                  <c:v>4.0396731142928104</c:v>
                </c:pt>
                <c:pt idx="62">
                  <c:v>4.0412663605953085</c:v>
                </c:pt>
                <c:pt idx="63">
                  <c:v>4.0426398760761231</c:v>
                </c:pt>
                <c:pt idx="64">
                  <c:v>4.0420539460445397</c:v>
                </c:pt>
                <c:pt idx="65">
                  <c:v>4.043136162513342</c:v>
                </c:pt>
                <c:pt idx="66">
                  <c:v>4.0439615342636017</c:v>
                </c:pt>
                <c:pt idx="67">
                  <c:v>4.0446500429421093</c:v>
                </c:pt>
                <c:pt idx="68">
                  <c:v>4.0469127303428607</c:v>
                </c:pt>
                <c:pt idx="69">
                  <c:v>4.0508095766157837</c:v>
                </c:pt>
                <c:pt idx="70">
                  <c:v>4.0564091121295291</c:v>
                </c:pt>
                <c:pt idx="71">
                  <c:v>4.0538486220878553</c:v>
                </c:pt>
                <c:pt idx="72">
                  <c:v>4.0557962748740124</c:v>
                </c:pt>
                <c:pt idx="73">
                  <c:v>4.0595141398227739</c:v>
                </c:pt>
                <c:pt idx="74">
                  <c:v>4.0590903640216567</c:v>
                </c:pt>
                <c:pt idx="75">
                  <c:v>4.0604273417328471</c:v>
                </c:pt>
                <c:pt idx="76">
                  <c:v>4.0610205549904848</c:v>
                </c:pt>
                <c:pt idx="77">
                  <c:v>4.0622466240124879</c:v>
                </c:pt>
                <c:pt idx="78">
                  <c:v>4.0562519216898565</c:v>
                </c:pt>
                <c:pt idx="79">
                  <c:v>4.0502601949492458</c:v>
                </c:pt>
                <c:pt idx="80">
                  <c:v>4.0387491747273288</c:v>
                </c:pt>
                <c:pt idx="81">
                  <c:v>4.0132585339078233</c:v>
                </c:pt>
                <c:pt idx="82">
                  <c:v>3.9879635381203187</c:v>
                </c:pt>
                <c:pt idx="83">
                  <c:v>3.9734986100625918</c:v>
                </c:pt>
                <c:pt idx="84">
                  <c:v>3.9584030150617053</c:v>
                </c:pt>
                <c:pt idx="85">
                  <c:v>3.9414559922477395</c:v>
                </c:pt>
                <c:pt idx="86">
                  <c:v>3.9231850260322076</c:v>
                </c:pt>
                <c:pt idx="87">
                  <c:v>3.9031760597953138</c:v>
                </c:pt>
                <c:pt idx="88">
                  <c:v>3.8835075528234526</c:v>
                </c:pt>
                <c:pt idx="89">
                  <c:v>3.8652573544278468</c:v>
                </c:pt>
                <c:pt idx="90">
                  <c:v>3.8452891506959688</c:v>
                </c:pt>
                <c:pt idx="91">
                  <c:v>3.8265511161478614</c:v>
                </c:pt>
                <c:pt idx="92">
                  <c:v>3.8042319203561092</c:v>
                </c:pt>
                <c:pt idx="93">
                  <c:v>3.7800272905300574</c:v>
                </c:pt>
                <c:pt idx="94">
                  <c:v>3.7605432681591893</c:v>
                </c:pt>
                <c:pt idx="95">
                  <c:v>3.7430706980591211</c:v>
                </c:pt>
                <c:pt idx="96">
                  <c:v>3.7310532966520285</c:v>
                </c:pt>
                <c:pt idx="97">
                  <c:v>3.7266752537019059</c:v>
                </c:pt>
                <c:pt idx="98">
                  <c:v>3.7199058250744841</c:v>
                </c:pt>
                <c:pt idx="99">
                  <c:v>3.7151721079893392</c:v>
                </c:pt>
                <c:pt idx="100">
                  <c:v>3.7150397723714832</c:v>
                </c:pt>
                <c:pt idx="101">
                  <c:v>3.6901777786153431</c:v>
                </c:pt>
                <c:pt idx="102">
                  <c:v>3.6593121242144449</c:v>
                </c:pt>
                <c:pt idx="103">
                  <c:v>3.6391784871974409</c:v>
                </c:pt>
                <c:pt idx="104">
                  <c:v>3.6189749287560105</c:v>
                </c:pt>
                <c:pt idx="105">
                  <c:v>3.5933805865192809</c:v>
                </c:pt>
                <c:pt idx="106">
                  <c:v>3.5685880263487135</c:v>
                </c:pt>
                <c:pt idx="107">
                  <c:v>3.543878039840699</c:v>
                </c:pt>
                <c:pt idx="108">
                  <c:v>3.5197875625298849</c:v>
                </c:pt>
                <c:pt idx="109">
                  <c:v>3.4959577516255607</c:v>
                </c:pt>
                <c:pt idx="110">
                  <c:v>3.4568321914344509</c:v>
                </c:pt>
                <c:pt idx="111">
                  <c:v>3.4418031785853884</c:v>
                </c:pt>
                <c:pt idx="112">
                  <c:v>3.4272845802093173</c:v>
                </c:pt>
                <c:pt idx="113">
                  <c:v>3.4223563098454974</c:v>
                </c:pt>
                <c:pt idx="114">
                  <c:v>3.4168909154922034</c:v>
                </c:pt>
                <c:pt idx="115">
                  <c:v>3.4208214678013604</c:v>
                </c:pt>
                <c:pt idx="116">
                  <c:v>3.4325048422068747</c:v>
                </c:pt>
                <c:pt idx="117">
                  <c:v>3.4456738062356465</c:v>
                </c:pt>
                <c:pt idx="118">
                  <c:v>3.483995710889161</c:v>
                </c:pt>
                <c:pt idx="119">
                  <c:v>3.5223681214975429</c:v>
                </c:pt>
                <c:pt idx="120">
                  <c:v>3.5158876071962126</c:v>
                </c:pt>
                <c:pt idx="121">
                  <c:v>3.5035133093681523</c:v>
                </c:pt>
                <c:pt idx="122">
                  <c:v>3.504159684642282</c:v>
                </c:pt>
                <c:pt idx="123">
                  <c:v>3.4794029071919255</c:v>
                </c:pt>
                <c:pt idx="124">
                  <c:v>3.4606499729404021</c:v>
                </c:pt>
                <c:pt idx="125">
                  <c:v>3.4479565161651777</c:v>
                </c:pt>
                <c:pt idx="126">
                  <c:v>3.4491304063417445</c:v>
                </c:pt>
                <c:pt idx="127">
                  <c:v>3.4533852208517715</c:v>
                </c:pt>
                <c:pt idx="128">
                  <c:v>3.4573769664527632</c:v>
                </c:pt>
                <c:pt idx="129">
                  <c:v>3.4527749581858274</c:v>
                </c:pt>
                <c:pt idx="130">
                  <c:v>3.4638077004328593</c:v>
                </c:pt>
                <c:pt idx="131">
                  <c:v>3.4764546602878212</c:v>
                </c:pt>
                <c:pt idx="132">
                  <c:v>3.4968314735200643</c:v>
                </c:pt>
                <c:pt idx="133">
                  <c:v>3.5510220286233434</c:v>
                </c:pt>
                <c:pt idx="134">
                  <c:v>3.6156941001113481</c:v>
                </c:pt>
                <c:pt idx="135">
                  <c:v>3.6681991432518615</c:v>
                </c:pt>
                <c:pt idx="136">
                  <c:v>3.718589443211112</c:v>
                </c:pt>
                <c:pt idx="137">
                  <c:v>3.7641143795631358</c:v>
                </c:pt>
                <c:pt idx="138">
                  <c:v>3.8269020675077243</c:v>
                </c:pt>
                <c:pt idx="139">
                  <c:v>3.9003659040425731</c:v>
                </c:pt>
                <c:pt idx="140">
                  <c:v>3.9837487214696594</c:v>
                </c:pt>
                <c:pt idx="141">
                  <c:v>4.0162081916675554</c:v>
                </c:pt>
                <c:pt idx="142">
                  <c:v>4.0535221847888643</c:v>
                </c:pt>
                <c:pt idx="143">
                  <c:v>4.0842687222584821</c:v>
                </c:pt>
                <c:pt idx="144">
                  <c:v>4.1216738123198837</c:v>
                </c:pt>
                <c:pt idx="145">
                  <c:v>4.0211932175243312</c:v>
                </c:pt>
                <c:pt idx="146">
                  <c:v>3.9625990794589683</c:v>
                </c:pt>
                <c:pt idx="147">
                  <c:v>3.8834659657021788</c:v>
                </c:pt>
                <c:pt idx="148">
                  <c:v>3.7232608472267295</c:v>
                </c:pt>
                <c:pt idx="149">
                  <c:v>3.6225430344899472</c:v>
                </c:pt>
                <c:pt idx="150">
                  <c:v>3.5000240825052913</c:v>
                </c:pt>
                <c:pt idx="151">
                  <c:v>3.3656102708660818</c:v>
                </c:pt>
                <c:pt idx="152">
                  <c:v>3.2436539845050625</c:v>
                </c:pt>
                <c:pt idx="153">
                  <c:v>3.1116007525583242</c:v>
                </c:pt>
                <c:pt idx="154">
                  <c:v>3.0256669374640452</c:v>
                </c:pt>
                <c:pt idx="155">
                  <c:v>2.983697931504576</c:v>
                </c:pt>
                <c:pt idx="156">
                  <c:v>2.935766894257263</c:v>
                </c:pt>
                <c:pt idx="157">
                  <c:v>2.806732648143214</c:v>
                </c:pt>
                <c:pt idx="158">
                  <c:v>2.6686779244283692</c:v>
                </c:pt>
                <c:pt idx="159">
                  <c:v>2.5655537260649339</c:v>
                </c:pt>
                <c:pt idx="160">
                  <c:v>2.3692133533008786</c:v>
                </c:pt>
                <c:pt idx="161">
                  <c:v>2.2120666048286921</c:v>
                </c:pt>
                <c:pt idx="162">
                  <c:v>2.0964270649374619</c:v>
                </c:pt>
                <c:pt idx="163">
                  <c:v>1.9918594881321887</c:v>
                </c:pt>
                <c:pt idx="164">
                  <c:v>1.8512158082886145</c:v>
                </c:pt>
                <c:pt idx="165">
                  <c:v>1.7293007754391674</c:v>
                </c:pt>
                <c:pt idx="166">
                  <c:v>1.6372433501624357</c:v>
                </c:pt>
                <c:pt idx="167">
                  <c:v>1.6100984070245907</c:v>
                </c:pt>
                <c:pt idx="168">
                  <c:v>1.5634895263785076</c:v>
                </c:pt>
                <c:pt idx="169">
                  <c:v>1.4601748382730939</c:v>
                </c:pt>
                <c:pt idx="170">
                  <c:v>1.3745974439421644</c:v>
                </c:pt>
                <c:pt idx="171">
                  <c:v>1.264133104234201</c:v>
                </c:pt>
                <c:pt idx="172">
                  <c:v>1.3582942422948499</c:v>
                </c:pt>
                <c:pt idx="173">
                  <c:v>1.5900775110789951</c:v>
                </c:pt>
                <c:pt idx="174">
                  <c:v>2.5195441318200373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6-404B-AE12-880E3E7D6E9B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6-404B-AE12-880E3E7D6E9B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0.0</c:formatCode>
                <c:ptCount val="175"/>
                <c:pt idx="0">
                  <c:v>8.9108249421008523</c:v>
                </c:pt>
                <c:pt idx="1">
                  <c:v>8.9039919452289098</c:v>
                </c:pt>
                <c:pt idx="2">
                  <c:v>8.8984861780871469</c:v>
                </c:pt>
                <c:pt idx="3">
                  <c:v>8.8997071206526925</c:v>
                </c:pt>
                <c:pt idx="4">
                  <c:v>8.9025685792038871</c:v>
                </c:pt>
                <c:pt idx="5">
                  <c:v>8.9061312335116298</c:v>
                </c:pt>
                <c:pt idx="6">
                  <c:v>8.9116244342266171</c:v>
                </c:pt>
                <c:pt idx="7">
                  <c:v>8.9178676903605165</c:v>
                </c:pt>
                <c:pt idx="8">
                  <c:v>8.9245458465813954</c:v>
                </c:pt>
                <c:pt idx="9">
                  <c:v>8.9313984159752948</c:v>
                </c:pt>
                <c:pt idx="10">
                  <c:v>8.9386826783330946</c:v>
                </c:pt>
                <c:pt idx="11">
                  <c:v>8.9439386151602065</c:v>
                </c:pt>
                <c:pt idx="12">
                  <c:v>8.9487871130030925</c:v>
                </c:pt>
                <c:pt idx="13">
                  <c:v>8.9476042262608431</c:v>
                </c:pt>
                <c:pt idx="14">
                  <c:v>8.9460697720985323</c:v>
                </c:pt>
                <c:pt idx="15">
                  <c:v>8.9443391154568346</c:v>
                </c:pt>
                <c:pt idx="16">
                  <c:v>8.9426139026065599</c:v>
                </c:pt>
                <c:pt idx="17">
                  <c:v>8.9401722775279993</c:v>
                </c:pt>
                <c:pt idx="18">
                  <c:v>8.9381271420561177</c:v>
                </c:pt>
                <c:pt idx="19">
                  <c:v>8.9356081287419116</c:v>
                </c:pt>
                <c:pt idx="20">
                  <c:v>8.9335605655029866</c:v>
                </c:pt>
                <c:pt idx="21">
                  <c:v>8.9251586911697558</c:v>
                </c:pt>
                <c:pt idx="22">
                  <c:v>8.9135067585451893</c:v>
                </c:pt>
                <c:pt idx="23">
                  <c:v>8.9087676055893752</c:v>
                </c:pt>
                <c:pt idx="24">
                  <c:v>8.903306368780143</c:v>
                </c:pt>
                <c:pt idx="25">
                  <c:v>8.8959693779032918</c:v>
                </c:pt>
                <c:pt idx="26">
                  <c:v>8.8887189358698393</c:v>
                </c:pt>
                <c:pt idx="27">
                  <c:v>8.8803658615194152</c:v>
                </c:pt>
                <c:pt idx="28">
                  <c:v>8.8719323789425317</c:v>
                </c:pt>
                <c:pt idx="29">
                  <c:v>8.8624744349394078</c:v>
                </c:pt>
                <c:pt idx="30">
                  <c:v>8.8524864501407237</c:v>
                </c:pt>
                <c:pt idx="31">
                  <c:v>8.8484786857653361</c:v>
                </c:pt>
                <c:pt idx="32">
                  <c:v>8.8453835276026496</c:v>
                </c:pt>
                <c:pt idx="33">
                  <c:v>8.8372420785400934</c:v>
                </c:pt>
                <c:pt idx="34">
                  <c:v>8.8286703068058898</c:v>
                </c:pt>
                <c:pt idx="35">
                  <c:v>8.8196003439645168</c:v>
                </c:pt>
                <c:pt idx="36">
                  <c:v>8.8103031700429497</c:v>
                </c:pt>
                <c:pt idx="37">
                  <c:v>8.8012031631103511</c:v>
                </c:pt>
                <c:pt idx="38">
                  <c:v>8.7922706039158101</c:v>
                </c:pt>
                <c:pt idx="39">
                  <c:v>8.7834339102458259</c:v>
                </c:pt>
                <c:pt idx="40">
                  <c:v>8.7748267418668533</c:v>
                </c:pt>
                <c:pt idx="41">
                  <c:v>8.7636551837093108</c:v>
                </c:pt>
                <c:pt idx="42">
                  <c:v>8.7520722999696261</c:v>
                </c:pt>
                <c:pt idx="43">
                  <c:v>8.7409028045790578</c:v>
                </c:pt>
                <c:pt idx="44">
                  <c:v>8.7284013013638031</c:v>
                </c:pt>
                <c:pt idx="45">
                  <c:v>8.7145284757881569</c:v>
                </c:pt>
                <c:pt idx="46">
                  <c:v>8.7014034951898438</c:v>
                </c:pt>
                <c:pt idx="47">
                  <c:v>8.6876948675168535</c:v>
                </c:pt>
                <c:pt idx="48">
                  <c:v>8.6739834052223372</c:v>
                </c:pt>
                <c:pt idx="49">
                  <c:v>8.6589742038833464</c:v>
                </c:pt>
                <c:pt idx="50">
                  <c:v>8.6445668166517038</c:v>
                </c:pt>
                <c:pt idx="51">
                  <c:v>8.6297746312994335</c:v>
                </c:pt>
                <c:pt idx="52">
                  <c:v>8.6109820572249944</c:v>
                </c:pt>
                <c:pt idx="53">
                  <c:v>8.5866335747305129</c:v>
                </c:pt>
                <c:pt idx="54">
                  <c:v>8.5599556053418127</c:v>
                </c:pt>
                <c:pt idx="55">
                  <c:v>8.5289538811080661</c:v>
                </c:pt>
                <c:pt idx="56">
                  <c:v>8.4949958892638833</c:v>
                </c:pt>
                <c:pt idx="57">
                  <c:v>8.4581382869574284</c:v>
                </c:pt>
                <c:pt idx="58">
                  <c:v>8.4206523478434221</c:v>
                </c:pt>
                <c:pt idx="59">
                  <c:v>8.3792969895942164</c:v>
                </c:pt>
                <c:pt idx="60">
                  <c:v>8.3364686818042202</c:v>
                </c:pt>
                <c:pt idx="61">
                  <c:v>8.3078075305158308</c:v>
                </c:pt>
                <c:pt idx="62">
                  <c:v>8.2871340947114476</c:v>
                </c:pt>
                <c:pt idx="63">
                  <c:v>8.2685662340622557</c:v>
                </c:pt>
                <c:pt idx="64">
                  <c:v>8.2565451519157236</c:v>
                </c:pt>
                <c:pt idx="65">
                  <c:v>8.2459806556360675</c:v>
                </c:pt>
                <c:pt idx="66">
                  <c:v>8.2386075298461847</c:v>
                </c:pt>
                <c:pt idx="67">
                  <c:v>8.2320269670403903</c:v>
                </c:pt>
                <c:pt idx="68">
                  <c:v>8.2281379602057214</c:v>
                </c:pt>
                <c:pt idx="69">
                  <c:v>8.2290581513329002</c:v>
                </c:pt>
                <c:pt idx="70">
                  <c:v>8.2318266268010092</c:v>
                </c:pt>
                <c:pt idx="71">
                  <c:v>8.2376843983654382</c:v>
                </c:pt>
                <c:pt idx="72">
                  <c:v>8.2353259430604737</c:v>
                </c:pt>
                <c:pt idx="73">
                  <c:v>8.2316492776882342</c:v>
                </c:pt>
                <c:pt idx="74">
                  <c:v>8.2328199520054852</c:v>
                </c:pt>
                <c:pt idx="75">
                  <c:v>8.2340463512236468</c:v>
                </c:pt>
                <c:pt idx="76">
                  <c:v>8.2333805459439944</c:v>
                </c:pt>
                <c:pt idx="77">
                  <c:v>8.2299247906007693</c:v>
                </c:pt>
                <c:pt idx="78">
                  <c:v>8.2334020814750559</c:v>
                </c:pt>
                <c:pt idx="79">
                  <c:v>8.236000140476456</c:v>
                </c:pt>
                <c:pt idx="80">
                  <c:v>8.2419383236380241</c:v>
                </c:pt>
                <c:pt idx="81">
                  <c:v>8.2501524922877323</c:v>
                </c:pt>
                <c:pt idx="82">
                  <c:v>8.2512743556873076</c:v>
                </c:pt>
                <c:pt idx="83">
                  <c:v>8.2366890980426462</c:v>
                </c:pt>
                <c:pt idx="84">
                  <c:v>8.2221159251042977</c:v>
                </c:pt>
                <c:pt idx="85">
                  <c:v>8.2071968572198912</c:v>
                </c:pt>
                <c:pt idx="86">
                  <c:v>8.1900934877450666</c:v>
                </c:pt>
                <c:pt idx="87">
                  <c:v>8.1714618679585271</c:v>
                </c:pt>
                <c:pt idx="88">
                  <c:v>8.152078594542381</c:v>
                </c:pt>
                <c:pt idx="89">
                  <c:v>8.1265985159076379</c:v>
                </c:pt>
                <c:pt idx="90">
                  <c:v>8.1031436871950362</c:v>
                </c:pt>
                <c:pt idx="91">
                  <c:v>8.0919164095607101</c:v>
                </c:pt>
                <c:pt idx="92">
                  <c:v>8.0966461006062218</c:v>
                </c:pt>
                <c:pt idx="93">
                  <c:v>8.1175796762441905</c:v>
                </c:pt>
                <c:pt idx="94">
                  <c:v>8.13863811094933</c:v>
                </c:pt>
                <c:pt idx="95">
                  <c:v>8.1616803781533278</c:v>
                </c:pt>
                <c:pt idx="96">
                  <c:v>8.1850429520436379</c:v>
                </c:pt>
                <c:pt idx="97">
                  <c:v>8.2029841473538951</c:v>
                </c:pt>
                <c:pt idx="98">
                  <c:v>8.22787653468054</c:v>
                </c:pt>
                <c:pt idx="99">
                  <c:v>8.2547095010740676</c:v>
                </c:pt>
                <c:pt idx="100">
                  <c:v>8.2762993884231548</c:v>
                </c:pt>
                <c:pt idx="101">
                  <c:v>8.317173935715779</c:v>
                </c:pt>
                <c:pt idx="102">
                  <c:v>8.3597654667823846</c:v>
                </c:pt>
                <c:pt idx="103">
                  <c:v>8.3857676549516285</c:v>
                </c:pt>
                <c:pt idx="104">
                  <c:v>8.4063022328128483</c:v>
                </c:pt>
                <c:pt idx="105">
                  <c:v>8.4278176990441906</c:v>
                </c:pt>
                <c:pt idx="106">
                  <c:v>8.4436715427960252</c:v>
                </c:pt>
                <c:pt idx="107">
                  <c:v>8.454618782908419</c:v>
                </c:pt>
                <c:pt idx="108">
                  <c:v>8.4592086958913129</c:v>
                </c:pt>
                <c:pt idx="109">
                  <c:v>8.4579220567942031</c:v>
                </c:pt>
                <c:pt idx="110">
                  <c:v>8.4483104624756393</c:v>
                </c:pt>
                <c:pt idx="111">
                  <c:v>8.4264848646330108</c:v>
                </c:pt>
                <c:pt idx="112">
                  <c:v>8.3992784287515079</c:v>
                </c:pt>
                <c:pt idx="113">
                  <c:v>8.3730866496013832</c:v>
                </c:pt>
                <c:pt idx="114">
                  <c:v>8.3446038484549092</c:v>
                </c:pt>
                <c:pt idx="115">
                  <c:v>8.3041452231167128</c:v>
                </c:pt>
                <c:pt idx="116">
                  <c:v>8.2537603925516265</c:v>
                </c:pt>
                <c:pt idx="117">
                  <c:v>8.1991525391395399</c:v>
                </c:pt>
                <c:pt idx="118">
                  <c:v>8.1162276473321242</c:v>
                </c:pt>
                <c:pt idx="119">
                  <c:v>8.0251402343420821</c:v>
                </c:pt>
                <c:pt idx="120">
                  <c:v>7.9859824476668493</c:v>
                </c:pt>
                <c:pt idx="121">
                  <c:v>7.9389379070531803</c:v>
                </c:pt>
                <c:pt idx="122">
                  <c:v>7.8782949238209667</c:v>
                </c:pt>
                <c:pt idx="123">
                  <c:v>7.8445455887261772</c:v>
                </c:pt>
                <c:pt idx="124">
                  <c:v>7.7963282039359356</c:v>
                </c:pt>
                <c:pt idx="125">
                  <c:v>7.7343599064016146</c:v>
                </c:pt>
                <c:pt idx="126">
                  <c:v>7.6450229322096774</c:v>
                </c:pt>
                <c:pt idx="127">
                  <c:v>7.5438608207383382</c:v>
                </c:pt>
                <c:pt idx="128">
                  <c:v>7.4432718910259794</c:v>
                </c:pt>
                <c:pt idx="129">
                  <c:v>7.3415266583549581</c:v>
                </c:pt>
                <c:pt idx="130">
                  <c:v>7.2199277944257148</c:v>
                </c:pt>
                <c:pt idx="131">
                  <c:v>7.074800747584959</c:v>
                </c:pt>
                <c:pt idx="132">
                  <c:v>6.9313730259872557</c:v>
                </c:pt>
                <c:pt idx="133">
                  <c:v>6.7396353775015783</c:v>
                </c:pt>
                <c:pt idx="134">
                  <c:v>6.5314477426262627</c:v>
                </c:pt>
                <c:pt idx="135">
                  <c:v>6.3356863115918216</c:v>
                </c:pt>
                <c:pt idx="136">
                  <c:v>6.1223472098299894</c:v>
                </c:pt>
                <c:pt idx="137">
                  <c:v>5.9073414213884519</c:v>
                </c:pt>
                <c:pt idx="138">
                  <c:v>5.6705997443114313</c:v>
                </c:pt>
                <c:pt idx="139">
                  <c:v>5.4152575313189359</c:v>
                </c:pt>
                <c:pt idx="140">
                  <c:v>5.1540874307599083</c:v>
                </c:pt>
                <c:pt idx="141">
                  <c:v>4.9321691815268167</c:v>
                </c:pt>
                <c:pt idx="142">
                  <c:v>4.7227600263201026</c:v>
                </c:pt>
                <c:pt idx="143">
                  <c:v>4.5671776929655508</c:v>
                </c:pt>
                <c:pt idx="144">
                  <c:v>4.4200183540848244</c:v>
                </c:pt>
                <c:pt idx="145">
                  <c:v>4.4507452257067968</c:v>
                </c:pt>
                <c:pt idx="146">
                  <c:v>4.4511135234176891</c:v>
                </c:pt>
                <c:pt idx="147">
                  <c:v>4.4392727453771244</c:v>
                </c:pt>
                <c:pt idx="148">
                  <c:v>4.5691233846106769</c:v>
                </c:pt>
                <c:pt idx="149">
                  <c:v>4.6320208092051232</c:v>
                </c:pt>
                <c:pt idx="150">
                  <c:v>4.7195091323697085</c:v>
                </c:pt>
                <c:pt idx="151">
                  <c:v>4.8346268473897211</c:v>
                </c:pt>
                <c:pt idx="152">
                  <c:v>4.9293206213467897</c:v>
                </c:pt>
                <c:pt idx="153">
                  <c:v>5.0537287112468618</c:v>
                </c:pt>
                <c:pt idx="154">
                  <c:v>5.0871766334298343</c:v>
                </c:pt>
                <c:pt idx="155">
                  <c:v>5.1518961654297151</c:v>
                </c:pt>
                <c:pt idx="156">
                  <c:v>5.2079699275980147</c:v>
                </c:pt>
                <c:pt idx="157">
                  <c:v>5.2561792086182528</c:v>
                </c:pt>
                <c:pt idx="158">
                  <c:v>5.3109022391623597</c:v>
                </c:pt>
                <c:pt idx="159">
                  <c:v>5.3582804914606044</c:v>
                </c:pt>
                <c:pt idx="160">
                  <c:v>5.4565243215275885</c:v>
                </c:pt>
                <c:pt idx="161">
                  <c:v>5.5478431911245103</c:v>
                </c:pt>
                <c:pt idx="162">
                  <c:v>5.5686893724461406</c:v>
                </c:pt>
                <c:pt idx="163">
                  <c:v>5.5067727232786794</c:v>
                </c:pt>
                <c:pt idx="164">
                  <c:v>5.5855534960631203</c:v>
                </c:pt>
                <c:pt idx="165">
                  <c:v>5.6417099341945658</c:v>
                </c:pt>
                <c:pt idx="166">
                  <c:v>5.714861725293666</c:v>
                </c:pt>
                <c:pt idx="167">
                  <c:v>5.7348868120792069</c:v>
                </c:pt>
                <c:pt idx="168">
                  <c:v>5.7853380043148448</c:v>
                </c:pt>
                <c:pt idx="169">
                  <c:v>5.7776144797926605</c:v>
                </c:pt>
                <c:pt idx="170">
                  <c:v>5.7476448415118</c:v>
                </c:pt>
                <c:pt idx="171">
                  <c:v>5.8373791232766408</c:v>
                </c:pt>
                <c:pt idx="172">
                  <c:v>5.6726463663175544</c:v>
                </c:pt>
                <c:pt idx="173">
                  <c:v>6.0309726986723788</c:v>
                </c:pt>
                <c:pt idx="174">
                  <c:v>5.1414362914729317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66-404B-AE12-880E3E7D6E9B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data_co2_incLUC!$Q$3:$Q$177</c:f>
              <c:numCache>
                <c:formatCode>0.0</c:formatCode>
                <c:ptCount val="175"/>
                <c:pt idx="0">
                  <c:v>2.4596245255517744</c:v>
                </c:pt>
                <c:pt idx="1">
                  <c:v>2.4625334100960217</c:v>
                </c:pt>
                <c:pt idx="2">
                  <c:v>2.4639552019346667</c:v>
                </c:pt>
                <c:pt idx="3">
                  <c:v>2.4596449806274165</c:v>
                </c:pt>
                <c:pt idx="4">
                  <c:v>2.4536479858265352</c:v>
                </c:pt>
                <c:pt idx="5">
                  <c:v>2.4470264946611877</c:v>
                </c:pt>
                <c:pt idx="6">
                  <c:v>2.4383480801883763</c:v>
                </c:pt>
                <c:pt idx="7">
                  <c:v>2.4290210728125459</c:v>
                </c:pt>
                <c:pt idx="8">
                  <c:v>2.4192950364969619</c:v>
                </c:pt>
                <c:pt idx="9">
                  <c:v>2.4094126011865455</c:v>
                </c:pt>
                <c:pt idx="10">
                  <c:v>2.3992355927710776</c:v>
                </c:pt>
                <c:pt idx="11">
                  <c:v>2.3912302850341689</c:v>
                </c:pt>
                <c:pt idx="12">
                  <c:v>2.383235381344754</c:v>
                </c:pt>
                <c:pt idx="13">
                  <c:v>2.3813035384656729</c:v>
                </c:pt>
                <c:pt idx="14">
                  <c:v>2.3796364105717984</c:v>
                </c:pt>
                <c:pt idx="15">
                  <c:v>2.3781696532500547</c:v>
                </c:pt>
                <c:pt idx="16">
                  <c:v>2.3766846075084231</c:v>
                </c:pt>
                <c:pt idx="17">
                  <c:v>2.3758449654526146</c:v>
                </c:pt>
                <c:pt idx="18">
                  <c:v>2.3746048857525821</c:v>
                </c:pt>
                <c:pt idx="19">
                  <c:v>2.3737498194937103</c:v>
                </c:pt>
                <c:pt idx="20">
                  <c:v>2.37241170001748</c:v>
                </c:pt>
                <c:pt idx="21">
                  <c:v>2.3773378863519952</c:v>
                </c:pt>
                <c:pt idx="22">
                  <c:v>2.3862663216682307</c:v>
                </c:pt>
                <c:pt idx="23">
                  <c:v>2.3901144923846118</c:v>
                </c:pt>
                <c:pt idx="24">
                  <c:v>2.3949980598230738</c:v>
                </c:pt>
                <c:pt idx="25">
                  <c:v>2.4014904803960491</c:v>
                </c:pt>
                <c:pt idx="26">
                  <c:v>2.4082675343058426</c:v>
                </c:pt>
                <c:pt idx="27">
                  <c:v>2.4158160027854976</c:v>
                </c:pt>
                <c:pt idx="28">
                  <c:v>2.4236670600005965</c:v>
                </c:pt>
                <c:pt idx="29">
                  <c:v>2.4324965865653283</c:v>
                </c:pt>
                <c:pt idx="30">
                  <c:v>2.4421019803196131</c:v>
                </c:pt>
                <c:pt idx="31">
                  <c:v>2.4462538927331678</c:v>
                </c:pt>
                <c:pt idx="32">
                  <c:v>2.4502300166362829</c:v>
                </c:pt>
                <c:pt idx="33">
                  <c:v>2.4585339251323717</c:v>
                </c:pt>
                <c:pt idx="34">
                  <c:v>2.4673728998076427</c:v>
                </c:pt>
                <c:pt idx="35">
                  <c:v>2.4767390985485633</c:v>
                </c:pt>
                <c:pt idx="36">
                  <c:v>2.4862561607161666</c:v>
                </c:pt>
                <c:pt idx="37">
                  <c:v>2.4955478589375701</c:v>
                </c:pt>
                <c:pt idx="38">
                  <c:v>2.5047537834551292</c:v>
                </c:pt>
                <c:pt idx="39">
                  <c:v>2.5140841236289475</c:v>
                </c:pt>
                <c:pt idx="40">
                  <c:v>2.5227845932405231</c:v>
                </c:pt>
                <c:pt idx="41">
                  <c:v>2.5342157287398521</c:v>
                </c:pt>
                <c:pt idx="42">
                  <c:v>2.545886566490438</c:v>
                </c:pt>
                <c:pt idx="43">
                  <c:v>2.5574135288890787</c:v>
                </c:pt>
                <c:pt idx="44">
                  <c:v>2.5697542137528444</c:v>
                </c:pt>
                <c:pt idx="45">
                  <c:v>2.5838999491901191</c:v>
                </c:pt>
                <c:pt idx="46">
                  <c:v>2.5973234976684623</c:v>
                </c:pt>
                <c:pt idx="47">
                  <c:v>2.6112991280314262</c:v>
                </c:pt>
                <c:pt idx="48">
                  <c:v>2.625175523420296</c:v>
                </c:pt>
                <c:pt idx="49">
                  <c:v>2.6402012224301785</c:v>
                </c:pt>
                <c:pt idx="50">
                  <c:v>2.6549530015463318</c:v>
                </c:pt>
                <c:pt idx="51">
                  <c:v>2.6701500829557858</c:v>
                </c:pt>
                <c:pt idx="52">
                  <c:v>2.6902835073350317</c:v>
                </c:pt>
                <c:pt idx="53">
                  <c:v>2.7164274111861033</c:v>
                </c:pt>
                <c:pt idx="54">
                  <c:v>2.7463095980235153</c:v>
                </c:pt>
                <c:pt idx="55">
                  <c:v>2.7806581226240183</c:v>
                </c:pt>
                <c:pt idx="56">
                  <c:v>2.8192863295870225</c:v>
                </c:pt>
                <c:pt idx="57">
                  <c:v>2.8612698041421396</c:v>
                </c:pt>
                <c:pt idx="58">
                  <c:v>2.9049200873718988</c:v>
                </c:pt>
                <c:pt idx="59">
                  <c:v>2.9516350403789744</c:v>
                </c:pt>
                <c:pt idx="60">
                  <c:v>3.0001438666876368</c:v>
                </c:pt>
                <c:pt idx="61">
                  <c:v>3.0356183593646691</c:v>
                </c:pt>
                <c:pt idx="62">
                  <c:v>3.0616855568036101</c:v>
                </c:pt>
                <c:pt idx="63">
                  <c:v>3.0844152071255593</c:v>
                </c:pt>
                <c:pt idx="64">
                  <c:v>3.099687700442729</c:v>
                </c:pt>
                <c:pt idx="65">
                  <c:v>3.1130392155948385</c:v>
                </c:pt>
                <c:pt idx="66">
                  <c:v>3.1230343025148599</c:v>
                </c:pt>
                <c:pt idx="67">
                  <c:v>3.1323485239133788</c:v>
                </c:pt>
                <c:pt idx="68">
                  <c:v>3.1395528457335331</c:v>
                </c:pt>
                <c:pt idx="69">
                  <c:v>3.1457735585992239</c:v>
                </c:pt>
                <c:pt idx="70">
                  <c:v>3.152970316261154</c:v>
                </c:pt>
                <c:pt idx="71">
                  <c:v>3.1561101996644112</c:v>
                </c:pt>
                <c:pt idx="72">
                  <c:v>3.1655174212506552</c:v>
                </c:pt>
                <c:pt idx="73">
                  <c:v>3.1767290258283083</c:v>
                </c:pt>
                <c:pt idx="74">
                  <c:v>3.1862462779631429</c:v>
                </c:pt>
                <c:pt idx="75">
                  <c:v>3.19496247663416</c:v>
                </c:pt>
                <c:pt idx="76">
                  <c:v>3.2058859287158228</c:v>
                </c:pt>
                <c:pt idx="77">
                  <c:v>3.2166510980630747</c:v>
                </c:pt>
                <c:pt idx="78">
                  <c:v>3.2210658118651239</c:v>
                </c:pt>
                <c:pt idx="79">
                  <c:v>3.225272416680582</c:v>
                </c:pt>
                <c:pt idx="80">
                  <c:v>3.2271133899101798</c:v>
                </c:pt>
                <c:pt idx="81">
                  <c:v>3.2255346858226943</c:v>
                </c:pt>
                <c:pt idx="82">
                  <c:v>3.2272196422125177</c:v>
                </c:pt>
                <c:pt idx="83">
                  <c:v>3.2399937345234378</c:v>
                </c:pt>
                <c:pt idx="84">
                  <c:v>3.2526320861557281</c:v>
                </c:pt>
                <c:pt idx="85">
                  <c:v>3.2647247589409716</c:v>
                </c:pt>
                <c:pt idx="86">
                  <c:v>3.2785378018759275</c:v>
                </c:pt>
                <c:pt idx="87">
                  <c:v>3.2940147918639937</c:v>
                </c:pt>
                <c:pt idx="88">
                  <c:v>3.3110240235088355</c:v>
                </c:pt>
                <c:pt idx="89">
                  <c:v>3.3312048973888935</c:v>
                </c:pt>
                <c:pt idx="90">
                  <c:v>3.3514126596128833</c:v>
                </c:pt>
                <c:pt idx="91">
                  <c:v>3.3510529650861187</c:v>
                </c:pt>
                <c:pt idx="92">
                  <c:v>3.3412520289089613</c:v>
                </c:pt>
                <c:pt idx="93">
                  <c:v>3.3223827545043534</c:v>
                </c:pt>
                <c:pt idx="94">
                  <c:v>3.3002152701227914</c:v>
                </c:pt>
                <c:pt idx="95">
                  <c:v>3.2797418415071533</c:v>
                </c:pt>
                <c:pt idx="96">
                  <c:v>3.2636776966899959</c:v>
                </c:pt>
                <c:pt idx="97">
                  <c:v>3.2528611667653564</c:v>
                </c:pt>
                <c:pt idx="98">
                  <c:v>3.235855799477477</c:v>
                </c:pt>
                <c:pt idx="99">
                  <c:v>3.2171784725142558</c:v>
                </c:pt>
                <c:pt idx="100">
                  <c:v>3.1977940715448838</c:v>
                </c:pt>
                <c:pt idx="101">
                  <c:v>3.1581667484781022</c:v>
                </c:pt>
                <c:pt idx="102">
                  <c:v>3.0995715836518158</c:v>
                </c:pt>
                <c:pt idx="103">
                  <c:v>3.0499343427589167</c:v>
                </c:pt>
                <c:pt idx="104">
                  <c:v>2.9982030548323948</c:v>
                </c:pt>
                <c:pt idx="105">
                  <c:v>2.9376455725805286</c:v>
                </c:pt>
                <c:pt idx="106">
                  <c:v>2.8754891637008555</c:v>
                </c:pt>
                <c:pt idx="107">
                  <c:v>2.8104173763943265</c:v>
                </c:pt>
                <c:pt idx="108">
                  <c:v>2.7404383567519019</c:v>
                </c:pt>
                <c:pt idx="109">
                  <c:v>2.6678712998564933</c:v>
                </c:pt>
                <c:pt idx="110">
                  <c:v>2.6117175228075737</c:v>
                </c:pt>
                <c:pt idx="111">
                  <c:v>2.5639297702740862</c:v>
                </c:pt>
                <c:pt idx="112">
                  <c:v>2.519063316860084</c:v>
                </c:pt>
                <c:pt idx="113">
                  <c:v>2.4678815856835783</c:v>
                </c:pt>
                <c:pt idx="114">
                  <c:v>2.4127950275584951</c:v>
                </c:pt>
                <c:pt idx="115">
                  <c:v>2.3629097756599293</c:v>
                </c:pt>
                <c:pt idx="116">
                  <c:v>2.317831085829269</c:v>
                </c:pt>
                <c:pt idx="117">
                  <c:v>2.2734852287076706</c:v>
                </c:pt>
                <c:pt idx="118">
                  <c:v>2.2527095837680946</c:v>
                </c:pt>
                <c:pt idx="119">
                  <c:v>2.2362891375560423</c:v>
                </c:pt>
                <c:pt idx="120">
                  <c:v>2.1641485706712373</c:v>
                </c:pt>
                <c:pt idx="121">
                  <c:v>2.1006949845651732</c:v>
                </c:pt>
                <c:pt idx="122">
                  <c:v>2.0422651351663035</c:v>
                </c:pt>
                <c:pt idx="123">
                  <c:v>1.949308625441347</c:v>
                </c:pt>
                <c:pt idx="124">
                  <c:v>1.8655168945625817</c:v>
                </c:pt>
                <c:pt idx="125">
                  <c:v>1.7857536322816472</c:v>
                </c:pt>
                <c:pt idx="126">
                  <c:v>1.7165979633875992</c:v>
                </c:pt>
                <c:pt idx="127">
                  <c:v>1.6502131402260076</c:v>
                </c:pt>
                <c:pt idx="128">
                  <c:v>1.5723614139746331</c:v>
                </c:pt>
                <c:pt idx="129">
                  <c:v>1.4842514013160226</c:v>
                </c:pt>
                <c:pt idx="130">
                  <c:v>1.4101762073356454</c:v>
                </c:pt>
                <c:pt idx="131">
                  <c:v>1.3397071469858517</c:v>
                </c:pt>
                <c:pt idx="132">
                  <c:v>1.2674790518810966</c:v>
                </c:pt>
                <c:pt idx="133">
                  <c:v>1.2324756666783969</c:v>
                </c:pt>
                <c:pt idx="134">
                  <c:v>1.2024032239444367</c:v>
                </c:pt>
                <c:pt idx="135">
                  <c:v>1.149944877854729</c:v>
                </c:pt>
                <c:pt idx="136">
                  <c:v>1.0845662530743638</c:v>
                </c:pt>
                <c:pt idx="137">
                  <c:v>1.0049115748355959</c:v>
                </c:pt>
                <c:pt idx="138">
                  <c:v>0.93364346638839635</c:v>
                </c:pt>
                <c:pt idx="139">
                  <c:v>0.86864525589124497</c:v>
                </c:pt>
                <c:pt idx="140">
                  <c:v>0.80731354462189131</c:v>
                </c:pt>
                <c:pt idx="141">
                  <c:v>0.793824236327481</c:v>
                </c:pt>
                <c:pt idx="142">
                  <c:v>0.81251260528178193</c:v>
                </c:pt>
                <c:pt idx="143">
                  <c:v>0.83280900712907169</c:v>
                </c:pt>
                <c:pt idx="144">
                  <c:v>0.87888884808169365</c:v>
                </c:pt>
                <c:pt idx="145">
                  <c:v>0.792225415145559</c:v>
                </c:pt>
                <c:pt idx="146">
                  <c:v>0.75683781577520648</c:v>
                </c:pt>
                <c:pt idx="147">
                  <c:v>0.70513480709718834</c:v>
                </c:pt>
                <c:pt idx="148">
                  <c:v>0.55449032475037541</c:v>
                </c:pt>
                <c:pt idx="149">
                  <c:v>0.4456564047532936</c:v>
                </c:pt>
                <c:pt idx="150">
                  <c:v>0.36788125412768125</c:v>
                </c:pt>
                <c:pt idx="151">
                  <c:v>0.24900329786020592</c:v>
                </c:pt>
                <c:pt idx="152">
                  <c:v>0.17727220799077514</c:v>
                </c:pt>
                <c:pt idx="153">
                  <c:v>0.14158149357455585</c:v>
                </c:pt>
                <c:pt idx="154">
                  <c:v>0.13634428883543137</c:v>
                </c:pt>
                <c:pt idx="155">
                  <c:v>7.7756626248344674E-2</c:v>
                </c:pt>
                <c:pt idx="156">
                  <c:v>3.5157652670847028E-2</c:v>
                </c:pt>
                <c:pt idx="157">
                  <c:v>8.4373272038760661E-2</c:v>
                </c:pt>
                <c:pt idx="158">
                  <c:v>0.14022910992692061</c:v>
                </c:pt>
                <c:pt idx="159">
                  <c:v>0.18839163566416062</c:v>
                </c:pt>
                <c:pt idx="160">
                  <c:v>0.27181565395549256</c:v>
                </c:pt>
                <c:pt idx="161">
                  <c:v>0.30210808768958231</c:v>
                </c:pt>
                <c:pt idx="162">
                  <c:v>0.40673872663253263</c:v>
                </c:pt>
                <c:pt idx="163">
                  <c:v>0.53681490697550771</c:v>
                </c:pt>
                <c:pt idx="164">
                  <c:v>0.63745378305619482</c:v>
                </c:pt>
                <c:pt idx="165">
                  <c:v>0.80230886495404619</c:v>
                </c:pt>
                <c:pt idx="166">
                  <c:v>0.8417061329736768</c:v>
                </c:pt>
                <c:pt idx="167">
                  <c:v>0.82263785817871593</c:v>
                </c:pt>
                <c:pt idx="168">
                  <c:v>0.77291410573864638</c:v>
                </c:pt>
                <c:pt idx="169">
                  <c:v>0.82604298602691273</c:v>
                </c:pt>
                <c:pt idx="170">
                  <c:v>0.96040441905919494</c:v>
                </c:pt>
                <c:pt idx="171">
                  <c:v>0.98989397810211344</c:v>
                </c:pt>
                <c:pt idx="172">
                  <c:v>1.0263857961350631</c:v>
                </c:pt>
                <c:pt idx="173">
                  <c:v>0.44423306723978229</c:v>
                </c:pt>
                <c:pt idx="174">
                  <c:v>2.762996425431222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66-404B-AE12-880E3E7D6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0.0</c:formatCode>
                <c:ptCount val="175"/>
                <c:pt idx="0">
                  <c:v>37.734536444647119</c:v>
                </c:pt>
                <c:pt idx="1">
                  <c:v>37.737335495599268</c:v>
                </c:pt>
                <c:pt idx="2">
                  <c:v>37.740149178931503</c:v>
                </c:pt>
                <c:pt idx="3">
                  <c:v>37.743555314247018</c:v>
                </c:pt>
                <c:pt idx="4">
                  <c:v>37.745850439476648</c:v>
                </c:pt>
                <c:pt idx="5">
                  <c:v>37.747003460436687</c:v>
                </c:pt>
                <c:pt idx="6">
                  <c:v>37.748436931346269</c:v>
                </c:pt>
                <c:pt idx="7">
                  <c:v>37.749442450935788</c:v>
                </c:pt>
                <c:pt idx="8">
                  <c:v>37.750257367208903</c:v>
                </c:pt>
                <c:pt idx="9">
                  <c:v>37.750436583947824</c:v>
                </c:pt>
                <c:pt idx="10">
                  <c:v>37.749863809408325</c:v>
                </c:pt>
                <c:pt idx="11">
                  <c:v>37.746177075645818</c:v>
                </c:pt>
                <c:pt idx="12">
                  <c:v>37.742316631602939</c:v>
                </c:pt>
                <c:pt idx="13">
                  <c:v>37.736884537774053</c:v>
                </c:pt>
                <c:pt idx="14">
                  <c:v>37.730243291572592</c:v>
                </c:pt>
                <c:pt idx="15">
                  <c:v>37.723900708801132</c:v>
                </c:pt>
                <c:pt idx="16">
                  <c:v>37.71667217080563</c:v>
                </c:pt>
                <c:pt idx="17">
                  <c:v>37.709700433245331</c:v>
                </c:pt>
                <c:pt idx="18">
                  <c:v>37.700870878159456</c:v>
                </c:pt>
                <c:pt idx="19">
                  <c:v>37.691994344965742</c:v>
                </c:pt>
                <c:pt idx="20">
                  <c:v>37.683108248181561</c:v>
                </c:pt>
                <c:pt idx="21">
                  <c:v>37.66866762920727</c:v>
                </c:pt>
                <c:pt idx="22">
                  <c:v>37.6503347992128</c:v>
                </c:pt>
                <c:pt idx="23">
                  <c:v>37.630457242401683</c:v>
                </c:pt>
                <c:pt idx="24">
                  <c:v>37.607588772069015</c:v>
                </c:pt>
                <c:pt idx="25">
                  <c:v>37.584866028008101</c:v>
                </c:pt>
                <c:pt idx="26">
                  <c:v>37.559593524944766</c:v>
                </c:pt>
                <c:pt idx="27">
                  <c:v>37.533452780173079</c:v>
                </c:pt>
                <c:pt idx="28">
                  <c:v>37.506252382082437</c:v>
                </c:pt>
                <c:pt idx="29">
                  <c:v>37.478108700699991</c:v>
                </c:pt>
                <c:pt idx="30">
                  <c:v>37.447758550397999</c:v>
                </c:pt>
                <c:pt idx="31">
                  <c:v>37.420812028513872</c:v>
                </c:pt>
                <c:pt idx="32">
                  <c:v>37.396272351587136</c:v>
                </c:pt>
                <c:pt idx="33">
                  <c:v>37.371539155861285</c:v>
                </c:pt>
                <c:pt idx="34">
                  <c:v>37.345818508800541</c:v>
                </c:pt>
                <c:pt idx="35">
                  <c:v>37.320854254059626</c:v>
                </c:pt>
                <c:pt idx="36">
                  <c:v>37.296751390227875</c:v>
                </c:pt>
                <c:pt idx="37">
                  <c:v>37.272375699923629</c:v>
                </c:pt>
                <c:pt idx="38">
                  <c:v>37.246527134762111</c:v>
                </c:pt>
                <c:pt idx="39">
                  <c:v>37.21851288130155</c:v>
                </c:pt>
                <c:pt idx="40">
                  <c:v>37.192086887304662</c:v>
                </c:pt>
                <c:pt idx="41">
                  <c:v>37.163960857838177</c:v>
                </c:pt>
                <c:pt idx="42">
                  <c:v>37.134775097510406</c:v>
                </c:pt>
                <c:pt idx="43">
                  <c:v>37.105139909073635</c:v>
                </c:pt>
                <c:pt idx="44">
                  <c:v>37.07515204854495</c:v>
                </c:pt>
                <c:pt idx="45">
                  <c:v>37.04482801063476</c:v>
                </c:pt>
                <c:pt idx="46">
                  <c:v>37.012613406109331</c:v>
                </c:pt>
                <c:pt idx="47">
                  <c:v>36.97887247350031</c:v>
                </c:pt>
                <c:pt idx="48">
                  <c:v>36.944055033391699</c:v>
                </c:pt>
                <c:pt idx="49">
                  <c:v>36.907003826111954</c:v>
                </c:pt>
                <c:pt idx="50">
                  <c:v>36.866124010665317</c:v>
                </c:pt>
                <c:pt idx="51">
                  <c:v>36.824781548652304</c:v>
                </c:pt>
                <c:pt idx="52">
                  <c:v>36.785465080596481</c:v>
                </c:pt>
                <c:pt idx="53">
                  <c:v>36.74526463946107</c:v>
                </c:pt>
                <c:pt idx="54">
                  <c:v>36.701686283483099</c:v>
                </c:pt>
                <c:pt idx="55">
                  <c:v>36.658015654676504</c:v>
                </c:pt>
                <c:pt idx="56">
                  <c:v>36.611269830803487</c:v>
                </c:pt>
                <c:pt idx="57">
                  <c:v>36.563800034997954</c:v>
                </c:pt>
                <c:pt idx="58">
                  <c:v>36.50881531632966</c:v>
                </c:pt>
                <c:pt idx="59">
                  <c:v>36.457143186589988</c:v>
                </c:pt>
                <c:pt idx="60">
                  <c:v>36.403097620195147</c:v>
                </c:pt>
                <c:pt idx="61">
                  <c:v>36.343637579767559</c:v>
                </c:pt>
                <c:pt idx="62">
                  <c:v>36.282925420246528</c:v>
                </c:pt>
                <c:pt idx="63">
                  <c:v>36.219564521998038</c:v>
                </c:pt>
                <c:pt idx="64">
                  <c:v>36.149594630599481</c:v>
                </c:pt>
                <c:pt idx="65">
                  <c:v>36.085093734914537</c:v>
                </c:pt>
                <c:pt idx="66">
                  <c:v>36.020995173519097</c:v>
                </c:pt>
                <c:pt idx="67">
                  <c:v>35.951292010544428</c:v>
                </c:pt>
                <c:pt idx="68">
                  <c:v>35.876756492633397</c:v>
                </c:pt>
                <c:pt idx="69">
                  <c:v>35.79815451243347</c:v>
                </c:pt>
                <c:pt idx="70">
                  <c:v>35.728165425615011</c:v>
                </c:pt>
                <c:pt idx="71">
                  <c:v>35.656746033293913</c:v>
                </c:pt>
                <c:pt idx="72">
                  <c:v>35.599767261224471</c:v>
                </c:pt>
                <c:pt idx="73">
                  <c:v>35.539976800719337</c:v>
                </c:pt>
                <c:pt idx="74">
                  <c:v>35.471950162395764</c:v>
                </c:pt>
                <c:pt idx="75">
                  <c:v>35.404568766903196</c:v>
                </c:pt>
                <c:pt idx="76">
                  <c:v>35.337541542377394</c:v>
                </c:pt>
                <c:pt idx="77">
                  <c:v>35.274383413877835</c:v>
                </c:pt>
                <c:pt idx="78">
                  <c:v>35.205182216690559</c:v>
                </c:pt>
                <c:pt idx="79">
                  <c:v>35.138457130574139</c:v>
                </c:pt>
                <c:pt idx="80">
                  <c:v>35.066740952829996</c:v>
                </c:pt>
                <c:pt idx="81">
                  <c:v>35.012352970059119</c:v>
                </c:pt>
                <c:pt idx="82">
                  <c:v>34.973682297051511</c:v>
                </c:pt>
                <c:pt idx="83">
                  <c:v>34.948489697695152</c:v>
                </c:pt>
                <c:pt idx="84">
                  <c:v>34.921524828715171</c:v>
                </c:pt>
                <c:pt idx="85">
                  <c:v>34.891844398546695</c:v>
                </c:pt>
                <c:pt idx="86">
                  <c:v>34.861531602912592</c:v>
                </c:pt>
                <c:pt idx="87">
                  <c:v>34.826549072767357</c:v>
                </c:pt>
                <c:pt idx="88">
                  <c:v>34.787434347803107</c:v>
                </c:pt>
                <c:pt idx="89">
                  <c:v>34.758423864908323</c:v>
                </c:pt>
                <c:pt idx="90">
                  <c:v>34.724683700176911</c:v>
                </c:pt>
                <c:pt idx="91">
                  <c:v>34.690686110595855</c:v>
                </c:pt>
                <c:pt idx="92">
                  <c:v>34.652604590971613</c:v>
                </c:pt>
                <c:pt idx="93">
                  <c:v>34.606521476790959</c:v>
                </c:pt>
                <c:pt idx="94">
                  <c:v>34.558546164425039</c:v>
                </c:pt>
                <c:pt idx="95">
                  <c:v>34.510450905202823</c:v>
                </c:pt>
                <c:pt idx="96">
                  <c:v>34.479363885344014</c:v>
                </c:pt>
                <c:pt idx="97">
                  <c:v>34.443193369534278</c:v>
                </c:pt>
                <c:pt idx="98">
                  <c:v>34.395019124767281</c:v>
                </c:pt>
                <c:pt idx="99">
                  <c:v>34.338764036197119</c:v>
                </c:pt>
                <c:pt idx="100">
                  <c:v>34.294253553987375</c:v>
                </c:pt>
                <c:pt idx="101">
                  <c:v>34.257703333250419</c:v>
                </c:pt>
                <c:pt idx="102">
                  <c:v>34.22736376409776</c:v>
                </c:pt>
                <c:pt idx="103">
                  <c:v>34.200295600480466</c:v>
                </c:pt>
                <c:pt idx="104">
                  <c:v>34.17493675308431</c:v>
                </c:pt>
                <c:pt idx="105">
                  <c:v>34.163021061792463</c:v>
                </c:pt>
                <c:pt idx="106">
                  <c:v>34.145682176339569</c:v>
                </c:pt>
                <c:pt idx="107">
                  <c:v>34.124470864009616</c:v>
                </c:pt>
                <c:pt idx="108">
                  <c:v>34.109864780083257</c:v>
                </c:pt>
                <c:pt idx="109">
                  <c:v>34.106458329900526</c:v>
                </c:pt>
                <c:pt idx="110">
                  <c:v>34.120083091103027</c:v>
                </c:pt>
                <c:pt idx="111">
                  <c:v>34.103294052130622</c:v>
                </c:pt>
                <c:pt idx="112">
                  <c:v>34.088398427337665</c:v>
                </c:pt>
                <c:pt idx="113">
                  <c:v>34.05277437573254</c:v>
                </c:pt>
                <c:pt idx="114">
                  <c:v>34.010209804268939</c:v>
                </c:pt>
                <c:pt idx="115">
                  <c:v>33.952169747836805</c:v>
                </c:pt>
                <c:pt idx="116">
                  <c:v>33.883677326155365</c:v>
                </c:pt>
                <c:pt idx="117">
                  <c:v>33.80362773057356</c:v>
                </c:pt>
                <c:pt idx="118">
                  <c:v>33.687345999279842</c:v>
                </c:pt>
                <c:pt idx="119">
                  <c:v>33.552673540394338</c:v>
                </c:pt>
                <c:pt idx="120">
                  <c:v>33.44621785355222</c:v>
                </c:pt>
                <c:pt idx="121">
                  <c:v>33.328789756605978</c:v>
                </c:pt>
                <c:pt idx="122">
                  <c:v>33.203316859159607</c:v>
                </c:pt>
                <c:pt idx="123">
                  <c:v>33.086904314514612</c:v>
                </c:pt>
                <c:pt idx="124">
                  <c:v>32.9528987934575</c:v>
                </c:pt>
                <c:pt idx="125">
                  <c:v>32.828668109101649</c:v>
                </c:pt>
                <c:pt idx="126">
                  <c:v>32.716013381223327</c:v>
                </c:pt>
                <c:pt idx="127">
                  <c:v>32.584731957039779</c:v>
                </c:pt>
                <c:pt idx="128">
                  <c:v>32.454913392966859</c:v>
                </c:pt>
                <c:pt idx="129">
                  <c:v>32.327220773303075</c:v>
                </c:pt>
                <c:pt idx="130">
                  <c:v>32.169300080968952</c:v>
                </c:pt>
                <c:pt idx="131">
                  <c:v>32.025353147682274</c:v>
                </c:pt>
                <c:pt idx="132">
                  <c:v>31.888211126547656</c:v>
                </c:pt>
                <c:pt idx="133">
                  <c:v>31.767187294359445</c:v>
                </c:pt>
                <c:pt idx="134">
                  <c:v>31.648633007822006</c:v>
                </c:pt>
                <c:pt idx="135">
                  <c:v>31.543811358439434</c:v>
                </c:pt>
                <c:pt idx="136">
                  <c:v>31.458240197468061</c:v>
                </c:pt>
                <c:pt idx="137">
                  <c:v>31.389259841058891</c:v>
                </c:pt>
                <c:pt idx="138">
                  <c:v>31.296543013190814</c:v>
                </c:pt>
                <c:pt idx="139">
                  <c:v>31.184945216985305</c:v>
                </c:pt>
                <c:pt idx="140">
                  <c:v>31.052867974667421</c:v>
                </c:pt>
                <c:pt idx="141">
                  <c:v>30.880852101726685</c:v>
                </c:pt>
                <c:pt idx="142">
                  <c:v>30.716103181067279</c:v>
                </c:pt>
                <c:pt idx="143">
                  <c:v>30.528076451789882</c:v>
                </c:pt>
                <c:pt idx="144">
                  <c:v>30.324423879822511</c:v>
                </c:pt>
                <c:pt idx="145">
                  <c:v>30.133912544564478</c:v>
                </c:pt>
                <c:pt idx="146">
                  <c:v>29.912513388444957</c:v>
                </c:pt>
                <c:pt idx="147">
                  <c:v>29.675334776059437</c:v>
                </c:pt>
                <c:pt idx="148">
                  <c:v>29.474288099490675</c:v>
                </c:pt>
                <c:pt idx="149">
                  <c:v>29.20810938012588</c:v>
                </c:pt>
                <c:pt idx="150">
                  <c:v>28.919861544689439</c:v>
                </c:pt>
                <c:pt idx="151">
                  <c:v>28.578601891407839</c:v>
                </c:pt>
                <c:pt idx="152">
                  <c:v>28.221661575956634</c:v>
                </c:pt>
                <c:pt idx="153">
                  <c:v>27.872692373232518</c:v>
                </c:pt>
                <c:pt idx="154">
                  <c:v>27.536860949508345</c:v>
                </c:pt>
                <c:pt idx="155">
                  <c:v>27.163263024261852</c:v>
                </c:pt>
                <c:pt idx="156">
                  <c:v>26.762976412415235</c:v>
                </c:pt>
                <c:pt idx="157">
                  <c:v>26.438686512322562</c:v>
                </c:pt>
                <c:pt idx="158">
                  <c:v>26.069762722257206</c:v>
                </c:pt>
                <c:pt idx="159">
                  <c:v>25.710279732739572</c:v>
                </c:pt>
                <c:pt idx="160">
                  <c:v>25.488630396642193</c:v>
                </c:pt>
                <c:pt idx="161">
                  <c:v>25.170366440815062</c:v>
                </c:pt>
                <c:pt idx="162">
                  <c:v>24.959043079523298</c:v>
                </c:pt>
                <c:pt idx="163">
                  <c:v>24.798386706762972</c:v>
                </c:pt>
                <c:pt idx="164">
                  <c:v>24.603965445510976</c:v>
                </c:pt>
                <c:pt idx="165">
                  <c:v>24.426951843022813</c:v>
                </c:pt>
                <c:pt idx="166">
                  <c:v>24.266808217998523</c:v>
                </c:pt>
                <c:pt idx="167">
                  <c:v>24.012088601028925</c:v>
                </c:pt>
                <c:pt idx="168">
                  <c:v>23.722462780522573</c:v>
                </c:pt>
                <c:pt idx="169">
                  <c:v>23.360947358219445</c:v>
                </c:pt>
                <c:pt idx="170">
                  <c:v>23.061424255855162</c:v>
                </c:pt>
                <c:pt idx="171">
                  <c:v>22.907117743249916</c:v>
                </c:pt>
                <c:pt idx="172">
                  <c:v>22.539002597379074</c:v>
                </c:pt>
                <c:pt idx="173">
                  <c:v>22.114438124317843</c:v>
                </c:pt>
                <c:pt idx="174">
                  <c:v>21.925255817135675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66-404B-AE12-880E3E7D6E9B}"/>
            </c:ext>
          </c:extLst>
        </c:ser>
        <c:ser>
          <c:idx val="6"/>
          <c:order val="6"/>
          <c:tx>
            <c:strRef>
              <c:f>data_co2_incLUC!$J$2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data_co2_incLUC!$J$3:$J$177</c:f>
              <c:numCache>
                <c:formatCode>0.0</c:formatCode>
                <c:ptCount val="175"/>
                <c:pt idx="0">
                  <c:v>42.30043645994909</c:v>
                </c:pt>
                <c:pt idx="1">
                  <c:v>42.299050338953236</c:v>
                </c:pt>
                <c:pt idx="2">
                  <c:v>42.296831416863327</c:v>
                </c:pt>
                <c:pt idx="3">
                  <c:v>42.287647276935388</c:v>
                </c:pt>
                <c:pt idx="4">
                  <c:v>42.276787691496175</c:v>
                </c:pt>
                <c:pt idx="5">
                  <c:v>42.263523545264178</c:v>
                </c:pt>
                <c:pt idx="6">
                  <c:v>42.248741473705977</c:v>
                </c:pt>
                <c:pt idx="7">
                  <c:v>42.232737371460601</c:v>
                </c:pt>
                <c:pt idx="8">
                  <c:v>42.215934393567281</c:v>
                </c:pt>
                <c:pt idx="9">
                  <c:v>42.198370788941212</c:v>
                </c:pt>
                <c:pt idx="10">
                  <c:v>42.179684676628696</c:v>
                </c:pt>
                <c:pt idx="11">
                  <c:v>42.159584655726505</c:v>
                </c:pt>
                <c:pt idx="12">
                  <c:v>42.138903410499765</c:v>
                </c:pt>
                <c:pt idx="13">
                  <c:v>42.122459006961407</c:v>
                </c:pt>
                <c:pt idx="14">
                  <c:v>42.105476700656503</c:v>
                </c:pt>
                <c:pt idx="15">
                  <c:v>42.087809831025311</c:v>
                </c:pt>
                <c:pt idx="16">
                  <c:v>42.069570608031746</c:v>
                </c:pt>
                <c:pt idx="17">
                  <c:v>42.051010989204997</c:v>
                </c:pt>
                <c:pt idx="18">
                  <c:v>42.031765181365614</c:v>
                </c:pt>
                <c:pt idx="19">
                  <c:v>42.012303165265465</c:v>
                </c:pt>
                <c:pt idx="20">
                  <c:v>41.992172832380092</c:v>
                </c:pt>
                <c:pt idx="21">
                  <c:v>41.971871535040627</c:v>
                </c:pt>
                <c:pt idx="22">
                  <c:v>41.952044681019061</c:v>
                </c:pt>
                <c:pt idx="23">
                  <c:v>41.923051930182808</c:v>
                </c:pt>
                <c:pt idx="24">
                  <c:v>41.892602573226654</c:v>
                </c:pt>
                <c:pt idx="25">
                  <c:v>41.862941015283106</c:v>
                </c:pt>
                <c:pt idx="26">
                  <c:v>41.831339505047929</c:v>
                </c:pt>
                <c:pt idx="27">
                  <c:v>41.799410752169905</c:v>
                </c:pt>
                <c:pt idx="28">
                  <c:v>41.766522609415254</c:v>
                </c:pt>
                <c:pt idx="29">
                  <c:v>41.733212082177126</c:v>
                </c:pt>
                <c:pt idx="30">
                  <c:v>41.698098661755203</c:v>
                </c:pt>
                <c:pt idx="31">
                  <c:v>41.659750528542681</c:v>
                </c:pt>
                <c:pt idx="32">
                  <c:v>41.622493817220658</c:v>
                </c:pt>
                <c:pt idx="33">
                  <c:v>41.589890335387459</c:v>
                </c:pt>
                <c:pt idx="34">
                  <c:v>41.556504935695543</c:v>
                </c:pt>
                <c:pt idx="35">
                  <c:v>41.523396203390718</c:v>
                </c:pt>
                <c:pt idx="36">
                  <c:v>41.490623210866168</c:v>
                </c:pt>
                <c:pt idx="37">
                  <c:v>41.457792555070462</c:v>
                </c:pt>
                <c:pt idx="38">
                  <c:v>41.424111052971455</c:v>
                </c:pt>
                <c:pt idx="39">
                  <c:v>41.387817514390093</c:v>
                </c:pt>
                <c:pt idx="40">
                  <c:v>41.352215775974827</c:v>
                </c:pt>
                <c:pt idx="41">
                  <c:v>41.31424356897525</c:v>
                </c:pt>
                <c:pt idx="42">
                  <c:v>41.27511517864744</c:v>
                </c:pt>
                <c:pt idx="43">
                  <c:v>41.234378856244142</c:v>
                </c:pt>
                <c:pt idx="44">
                  <c:v>41.194431155492104</c:v>
                </c:pt>
                <c:pt idx="45">
                  <c:v>41.15404639292251</c:v>
                </c:pt>
                <c:pt idx="46">
                  <c:v>41.11170427322957</c:v>
                </c:pt>
                <c:pt idx="47">
                  <c:v>41.068315565240795</c:v>
                </c:pt>
                <c:pt idx="48">
                  <c:v>41.023281623816452</c:v>
                </c:pt>
                <c:pt idx="49">
                  <c:v>40.976537618294337</c:v>
                </c:pt>
                <c:pt idx="50">
                  <c:v>40.925786061736098</c:v>
                </c:pt>
                <c:pt idx="51">
                  <c:v>40.872453042338591</c:v>
                </c:pt>
                <c:pt idx="52">
                  <c:v>40.822560161133083</c:v>
                </c:pt>
                <c:pt idx="53">
                  <c:v>40.776855885007876</c:v>
                </c:pt>
                <c:pt idx="54">
                  <c:v>40.728775049310187</c:v>
                </c:pt>
                <c:pt idx="55">
                  <c:v>40.683515447412667</c:v>
                </c:pt>
                <c:pt idx="56">
                  <c:v>40.636629991540644</c:v>
                </c:pt>
                <c:pt idx="57">
                  <c:v>40.590799837179006</c:v>
                </c:pt>
                <c:pt idx="58">
                  <c:v>40.537266494211806</c:v>
                </c:pt>
                <c:pt idx="59">
                  <c:v>40.488667643321222</c:v>
                </c:pt>
                <c:pt idx="60">
                  <c:v>40.437898986525937</c:v>
                </c:pt>
                <c:pt idx="61">
                  <c:v>40.38331069406037</c:v>
                </c:pt>
                <c:pt idx="62">
                  <c:v>40.324191780841836</c:v>
                </c:pt>
                <c:pt idx="63">
                  <c:v>40.262204398074161</c:v>
                </c:pt>
                <c:pt idx="64">
                  <c:v>40.19164857664402</c:v>
                </c:pt>
                <c:pt idx="65">
                  <c:v>40.128229897427879</c:v>
                </c:pt>
                <c:pt idx="66">
                  <c:v>40.064956707782699</c:v>
                </c:pt>
                <c:pt idx="67">
                  <c:v>39.995942053486537</c:v>
                </c:pt>
                <c:pt idx="68">
                  <c:v>39.923669222976258</c:v>
                </c:pt>
                <c:pt idx="69">
                  <c:v>39.848964089049254</c:v>
                </c:pt>
                <c:pt idx="70">
                  <c:v>39.78457453774454</c:v>
                </c:pt>
                <c:pt idx="71">
                  <c:v>39.710594655381769</c:v>
                </c:pt>
                <c:pt idx="72">
                  <c:v>39.655563536098484</c:v>
                </c:pt>
                <c:pt idx="73">
                  <c:v>39.599490940542111</c:v>
                </c:pt>
                <c:pt idx="74">
                  <c:v>39.531040526417421</c:v>
                </c:pt>
                <c:pt idx="75">
                  <c:v>39.464996108636043</c:v>
                </c:pt>
                <c:pt idx="76">
                  <c:v>39.398562097367879</c:v>
                </c:pt>
                <c:pt idx="77">
                  <c:v>39.336630037890323</c:v>
                </c:pt>
                <c:pt idx="78">
                  <c:v>39.261434138380416</c:v>
                </c:pt>
                <c:pt idx="79">
                  <c:v>39.188717325523385</c:v>
                </c:pt>
                <c:pt idx="80">
                  <c:v>39.105490127557324</c:v>
                </c:pt>
                <c:pt idx="81">
                  <c:v>39.025611503966942</c:v>
                </c:pt>
                <c:pt idx="82">
                  <c:v>38.961645835171829</c:v>
                </c:pt>
                <c:pt idx="83">
                  <c:v>38.921988307757744</c:v>
                </c:pt>
                <c:pt idx="84">
                  <c:v>38.879927843776876</c:v>
                </c:pt>
                <c:pt idx="85">
                  <c:v>38.833300390794435</c:v>
                </c:pt>
                <c:pt idx="86">
                  <c:v>38.7847166289448</c:v>
                </c:pt>
                <c:pt idx="87">
                  <c:v>38.72972513256267</c:v>
                </c:pt>
                <c:pt idx="88">
                  <c:v>38.670941900626559</c:v>
                </c:pt>
                <c:pt idx="89">
                  <c:v>38.62368121933617</c:v>
                </c:pt>
                <c:pt idx="90">
                  <c:v>38.56997285087288</c:v>
                </c:pt>
                <c:pt idx="91">
                  <c:v>38.517237226743717</c:v>
                </c:pt>
                <c:pt idx="92">
                  <c:v>38.456836511327722</c:v>
                </c:pt>
                <c:pt idx="93">
                  <c:v>38.386548767321017</c:v>
                </c:pt>
                <c:pt idx="94">
                  <c:v>38.319089432584228</c:v>
                </c:pt>
                <c:pt idx="95">
                  <c:v>38.253521603261945</c:v>
                </c:pt>
                <c:pt idx="96">
                  <c:v>38.210417181996043</c:v>
                </c:pt>
                <c:pt idx="97">
                  <c:v>38.169868623236184</c:v>
                </c:pt>
                <c:pt idx="98">
                  <c:v>38.114924949841765</c:v>
                </c:pt>
                <c:pt idx="99">
                  <c:v>38.053936144186459</c:v>
                </c:pt>
                <c:pt idx="100">
                  <c:v>38.009293326358858</c:v>
                </c:pt>
                <c:pt idx="101">
                  <c:v>37.947881111865762</c:v>
                </c:pt>
                <c:pt idx="102">
                  <c:v>37.886675888312205</c:v>
                </c:pt>
                <c:pt idx="103">
                  <c:v>37.839474087677907</c:v>
                </c:pt>
                <c:pt idx="104">
                  <c:v>37.793911681840321</c:v>
                </c:pt>
                <c:pt idx="105">
                  <c:v>37.756401648311744</c:v>
                </c:pt>
                <c:pt idx="106">
                  <c:v>37.714270202688283</c:v>
                </c:pt>
                <c:pt idx="107">
                  <c:v>37.668348903850315</c:v>
                </c:pt>
                <c:pt idx="108">
                  <c:v>37.629652342613142</c:v>
                </c:pt>
                <c:pt idx="109">
                  <c:v>37.602416081526087</c:v>
                </c:pt>
                <c:pt idx="110">
                  <c:v>37.576915282537477</c:v>
                </c:pt>
                <c:pt idx="111">
                  <c:v>37.54509723071601</c:v>
                </c:pt>
                <c:pt idx="112">
                  <c:v>37.515683007546983</c:v>
                </c:pt>
                <c:pt idx="113">
                  <c:v>37.475130685578037</c:v>
                </c:pt>
                <c:pt idx="114">
                  <c:v>37.427100719761142</c:v>
                </c:pt>
                <c:pt idx="115">
                  <c:v>37.372991215638166</c:v>
                </c:pt>
                <c:pt idx="116">
                  <c:v>37.316182168362239</c:v>
                </c:pt>
                <c:pt idx="117">
                  <c:v>37.249301536809206</c:v>
                </c:pt>
                <c:pt idx="118">
                  <c:v>37.171341710169003</c:v>
                </c:pt>
                <c:pt idx="119">
                  <c:v>37.075041661891881</c:v>
                </c:pt>
                <c:pt idx="120">
                  <c:v>36.962105460748433</c:v>
                </c:pt>
                <c:pt idx="121">
                  <c:v>36.832303065974131</c:v>
                </c:pt>
                <c:pt idx="122">
                  <c:v>36.707476543801889</c:v>
                </c:pt>
                <c:pt idx="123">
                  <c:v>36.566307221706538</c:v>
                </c:pt>
                <c:pt idx="124">
                  <c:v>36.413548766397902</c:v>
                </c:pt>
                <c:pt idx="125">
                  <c:v>36.276624625266827</c:v>
                </c:pt>
                <c:pt idx="126">
                  <c:v>36.165143787565071</c:v>
                </c:pt>
                <c:pt idx="127">
                  <c:v>36.03811717789155</c:v>
                </c:pt>
                <c:pt idx="128">
                  <c:v>35.912290359419622</c:v>
                </c:pt>
                <c:pt idx="129">
                  <c:v>35.779995731488903</c:v>
                </c:pt>
                <c:pt idx="130">
                  <c:v>35.633107781401812</c:v>
                </c:pt>
                <c:pt idx="131">
                  <c:v>35.501807807970096</c:v>
                </c:pt>
                <c:pt idx="132">
                  <c:v>35.38504260006772</c:v>
                </c:pt>
                <c:pt idx="133">
                  <c:v>35.318209322982788</c:v>
                </c:pt>
                <c:pt idx="134">
                  <c:v>35.264327107933354</c:v>
                </c:pt>
                <c:pt idx="135">
                  <c:v>35.212010501691296</c:v>
                </c:pt>
                <c:pt idx="136">
                  <c:v>35.176829640679173</c:v>
                </c:pt>
                <c:pt idx="137">
                  <c:v>35.153374220622027</c:v>
                </c:pt>
                <c:pt idx="138">
                  <c:v>35.123445080698538</c:v>
                </c:pt>
                <c:pt idx="139">
                  <c:v>35.085311121027878</c:v>
                </c:pt>
                <c:pt idx="140">
                  <c:v>35.036616696137081</c:v>
                </c:pt>
                <c:pt idx="141">
                  <c:v>34.89706029339424</c:v>
                </c:pt>
                <c:pt idx="142">
                  <c:v>34.769625365856143</c:v>
                </c:pt>
                <c:pt idx="143">
                  <c:v>34.612345174048365</c:v>
                </c:pt>
                <c:pt idx="144">
                  <c:v>34.446097692142395</c:v>
                </c:pt>
                <c:pt idx="145">
                  <c:v>34.155105762088809</c:v>
                </c:pt>
                <c:pt idx="146">
                  <c:v>33.875112467903925</c:v>
                </c:pt>
                <c:pt idx="147">
                  <c:v>33.558800741761615</c:v>
                </c:pt>
                <c:pt idx="148">
                  <c:v>33.197548946717404</c:v>
                </c:pt>
                <c:pt idx="149">
                  <c:v>32.830652414615827</c:v>
                </c:pt>
                <c:pt idx="150">
                  <c:v>32.419885627194731</c:v>
                </c:pt>
                <c:pt idx="151">
                  <c:v>31.944212162273921</c:v>
                </c:pt>
                <c:pt idx="152">
                  <c:v>31.465315560461697</c:v>
                </c:pt>
                <c:pt idx="153">
                  <c:v>30.984293125790842</c:v>
                </c:pt>
                <c:pt idx="154">
                  <c:v>30.56252788697239</c:v>
                </c:pt>
                <c:pt idx="155">
                  <c:v>30.146960955766428</c:v>
                </c:pt>
                <c:pt idx="156">
                  <c:v>29.698743306672498</c:v>
                </c:pt>
                <c:pt idx="157">
                  <c:v>29.245419160465776</c:v>
                </c:pt>
                <c:pt idx="158">
                  <c:v>28.738440646685575</c:v>
                </c:pt>
                <c:pt idx="159">
                  <c:v>28.275833458804506</c:v>
                </c:pt>
                <c:pt idx="160">
                  <c:v>27.857843749943072</c:v>
                </c:pt>
                <c:pt idx="161">
                  <c:v>27.382433045643754</c:v>
                </c:pt>
                <c:pt idx="162">
                  <c:v>27.055470144460759</c:v>
                </c:pt>
                <c:pt idx="163">
                  <c:v>26.790246194895161</c:v>
                </c:pt>
                <c:pt idx="164">
                  <c:v>26.427814070188404</c:v>
                </c:pt>
                <c:pt idx="165">
                  <c:v>26.092226222622106</c:v>
                </c:pt>
                <c:pt idx="166">
                  <c:v>25.809829479185154</c:v>
                </c:pt>
                <c:pt idx="167">
                  <c:v>25.506587338926661</c:v>
                </c:pt>
                <c:pt idx="168">
                  <c:v>25.152846845203474</c:v>
                </c:pt>
                <c:pt idx="169">
                  <c:v>24.68733069750898</c:v>
                </c:pt>
                <c:pt idx="170">
                  <c:v>24.281157805768995</c:v>
                </c:pt>
                <c:pt idx="171">
                  <c:v>24.01114276907041</c:v>
                </c:pt>
                <c:pt idx="172">
                  <c:v>23.746205739106056</c:v>
                </c:pt>
                <c:pt idx="173">
                  <c:v>23.555166969232626</c:v>
                </c:pt>
                <c:pt idx="174">
                  <c:v>24.3249699518258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66-404B-AE12-880E3E7D6E9B}"/>
            </c:ext>
          </c:extLst>
        </c:ser>
        <c:ser>
          <c:idx val="7"/>
          <c:order val="7"/>
          <c:tx>
            <c:strRef>
              <c:f>data_co2_incLUC!$K$2</c:f>
              <c:strCache>
                <c:ptCount val="1"/>
                <c:pt idx="0">
                  <c:v>pct_annex2_GCP_BLUE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data_co2_incLUC!$K$3:$K$177</c:f>
              <c:numCache>
                <c:formatCode>0.0</c:formatCode>
                <c:ptCount val="175"/>
                <c:pt idx="0">
                  <c:v>37.740928293666151</c:v>
                </c:pt>
                <c:pt idx="1">
                  <c:v>37.743735958907685</c:v>
                </c:pt>
                <c:pt idx="2">
                  <c:v>37.746558621118773</c:v>
                </c:pt>
                <c:pt idx="3">
                  <c:v>37.749974153221977</c:v>
                </c:pt>
                <c:pt idx="4">
                  <c:v>37.752278637744155</c:v>
                </c:pt>
                <c:pt idx="5">
                  <c:v>37.75344105016444</c:v>
                </c:pt>
                <c:pt idx="6">
                  <c:v>37.75488415486506</c:v>
                </c:pt>
                <c:pt idx="7">
                  <c:v>37.755899393936318</c:v>
                </c:pt>
                <c:pt idx="8">
                  <c:v>37.756724104164299</c:v>
                </c:pt>
                <c:pt idx="9">
                  <c:v>37.756913102345521</c:v>
                </c:pt>
                <c:pt idx="10">
                  <c:v>37.756350155410168</c:v>
                </c:pt>
                <c:pt idx="11">
                  <c:v>37.752671835861989</c:v>
                </c:pt>
                <c:pt idx="12">
                  <c:v>37.748819390075148</c:v>
                </c:pt>
                <c:pt idx="13">
                  <c:v>37.743394780317409</c:v>
                </c:pt>
                <c:pt idx="14">
                  <c:v>37.736760749584491</c:v>
                </c:pt>
                <c:pt idx="15">
                  <c:v>37.730425542677111</c:v>
                </c:pt>
                <c:pt idx="16">
                  <c:v>37.723204079228204</c:v>
                </c:pt>
                <c:pt idx="17">
                  <c:v>37.716239512648855</c:v>
                </c:pt>
                <c:pt idx="18">
                  <c:v>37.707416762341261</c:v>
                </c:pt>
                <c:pt idx="19">
                  <c:v>37.698547019102627</c:v>
                </c:pt>
                <c:pt idx="20">
                  <c:v>37.689667764635928</c:v>
                </c:pt>
                <c:pt idx="21">
                  <c:v>37.675234214405158</c:v>
                </c:pt>
                <c:pt idx="22">
                  <c:v>37.65690817127512</c:v>
                </c:pt>
                <c:pt idx="23">
                  <c:v>37.637037750166272</c:v>
                </c:pt>
                <c:pt idx="24">
                  <c:v>37.614176198885083</c:v>
                </c:pt>
                <c:pt idx="25">
                  <c:v>37.591460590873801</c:v>
                </c:pt>
                <c:pt idx="26">
                  <c:v>37.566194996143622</c:v>
                </c:pt>
                <c:pt idx="27">
                  <c:v>37.54006119709878</c:v>
                </c:pt>
                <c:pt idx="28">
                  <c:v>37.512867852488782</c:v>
                </c:pt>
                <c:pt idx="29">
                  <c:v>37.484731245348598</c:v>
                </c:pt>
                <c:pt idx="30">
                  <c:v>37.454388056947316</c:v>
                </c:pt>
                <c:pt idx="31">
                  <c:v>37.427449430851716</c:v>
                </c:pt>
                <c:pt idx="32">
                  <c:v>37.402918131932303</c:v>
                </c:pt>
                <c:pt idx="33">
                  <c:v>37.378193647753612</c:v>
                </c:pt>
                <c:pt idx="34">
                  <c:v>37.352481855591428</c:v>
                </c:pt>
                <c:pt idx="35">
                  <c:v>37.327526703025278</c:v>
                </c:pt>
                <c:pt idx="36">
                  <c:v>37.303433123327331</c:v>
                </c:pt>
                <c:pt idx="37">
                  <c:v>37.279066733061605</c:v>
                </c:pt>
                <c:pt idx="38">
                  <c:v>37.253227511359512</c:v>
                </c:pt>
                <c:pt idx="39">
                  <c:v>37.225222503525224</c:v>
                </c:pt>
                <c:pt idx="40">
                  <c:v>37.198806177032566</c:v>
                </c:pt>
                <c:pt idx="41">
                  <c:v>37.170690584040742</c:v>
                </c:pt>
                <c:pt idx="42">
                  <c:v>37.141515487954919</c:v>
                </c:pt>
                <c:pt idx="43">
                  <c:v>37.111890889033958</c:v>
                </c:pt>
                <c:pt idx="44">
                  <c:v>37.081913639880788</c:v>
                </c:pt>
                <c:pt idx="45">
                  <c:v>37.051600545268478</c:v>
                </c:pt>
                <c:pt idx="46">
                  <c:v>37.019396773508873</c:v>
                </c:pt>
                <c:pt idx="47">
                  <c:v>36.985666538632387</c:v>
                </c:pt>
                <c:pt idx="48">
                  <c:v>36.950860081913419</c:v>
                </c:pt>
                <c:pt idx="49">
                  <c:v>36.913819761077619</c:v>
                </c:pt>
                <c:pt idx="50">
                  <c:v>36.872950687281943</c:v>
                </c:pt>
                <c:pt idx="51">
                  <c:v>36.831619458630406</c:v>
                </c:pt>
                <c:pt idx="52">
                  <c:v>36.792315290467307</c:v>
                </c:pt>
                <c:pt idx="53">
                  <c:v>36.752127400877711</c:v>
                </c:pt>
                <c:pt idx="54">
                  <c:v>36.70856170428268</c:v>
                </c:pt>
                <c:pt idx="55">
                  <c:v>36.664904177215632</c:v>
                </c:pt>
                <c:pt idx="56">
                  <c:v>36.618171470837154</c:v>
                </c:pt>
                <c:pt idx="57">
                  <c:v>36.570715234316587</c:v>
                </c:pt>
                <c:pt idx="58">
                  <c:v>36.51574373429478</c:v>
                </c:pt>
                <c:pt idx="59">
                  <c:v>36.464085353471795</c:v>
                </c:pt>
                <c:pt idx="60">
                  <c:v>36.410053717215249</c:v>
                </c:pt>
                <c:pt idx="61">
                  <c:v>36.350606143883532</c:v>
                </c:pt>
                <c:pt idx="62">
                  <c:v>36.289906192818854</c:v>
                </c:pt>
                <c:pt idx="63">
                  <c:v>36.22655714321818</c:v>
                </c:pt>
                <c:pt idx="64">
                  <c:v>36.156598448831964</c:v>
                </c:pt>
                <c:pt idx="65">
                  <c:v>36.092108899028496</c:v>
                </c:pt>
                <c:pt idx="66">
                  <c:v>36.028021459146842</c:v>
                </c:pt>
                <c:pt idx="67">
                  <c:v>35.958329045483254</c:v>
                </c:pt>
                <c:pt idx="68">
                  <c:v>35.883803537785873</c:v>
                </c:pt>
                <c:pt idx="69">
                  <c:v>35.805210548797021</c:v>
                </c:pt>
                <c:pt idx="70">
                  <c:v>35.73523072094207</c:v>
                </c:pt>
                <c:pt idx="71">
                  <c:v>35.663823629709121</c:v>
                </c:pt>
                <c:pt idx="72">
                  <c:v>35.606859729046498</c:v>
                </c:pt>
                <c:pt idx="73">
                  <c:v>35.547084462759159</c:v>
                </c:pt>
                <c:pt idx="74">
                  <c:v>35.479073264562807</c:v>
                </c:pt>
                <c:pt idx="75">
                  <c:v>35.411707541637114</c:v>
                </c:pt>
                <c:pt idx="76">
                  <c:v>35.344696706741054</c:v>
                </c:pt>
                <c:pt idx="77">
                  <c:v>35.28155580970698</c:v>
                </c:pt>
                <c:pt idx="78">
                  <c:v>35.21237180590385</c:v>
                </c:pt>
                <c:pt idx="79">
                  <c:v>35.14566472638235</c:v>
                </c:pt>
                <c:pt idx="80">
                  <c:v>35.07396677147991</c:v>
                </c:pt>
                <c:pt idx="81">
                  <c:v>35.019599894502392</c:v>
                </c:pt>
                <c:pt idx="82">
                  <c:v>34.98095270852491</c:v>
                </c:pt>
                <c:pt idx="83">
                  <c:v>34.955785623859171</c:v>
                </c:pt>
                <c:pt idx="84">
                  <c:v>34.928846467280515</c:v>
                </c:pt>
                <c:pt idx="85">
                  <c:v>34.89919251080746</c:v>
                </c:pt>
                <c:pt idx="86">
                  <c:v>34.868906646807986</c:v>
                </c:pt>
                <c:pt idx="87">
                  <c:v>34.833951989525403</c:v>
                </c:pt>
                <c:pt idx="88">
                  <c:v>34.794865377191755</c:v>
                </c:pt>
                <c:pt idx="89">
                  <c:v>34.765884671856227</c:v>
                </c:pt>
                <c:pt idx="90">
                  <c:v>34.732174245109</c:v>
                </c:pt>
                <c:pt idx="91">
                  <c:v>34.698208658023837</c:v>
                </c:pt>
                <c:pt idx="92">
                  <c:v>34.660159457703784</c:v>
                </c:pt>
                <c:pt idx="93">
                  <c:v>34.614107254893682</c:v>
                </c:pt>
                <c:pt idx="94">
                  <c:v>34.566163138771614</c:v>
                </c:pt>
                <c:pt idx="95">
                  <c:v>34.518099423031821</c:v>
                </c:pt>
                <c:pt idx="96">
                  <c:v>34.48704506421516</c:v>
                </c:pt>
                <c:pt idx="97">
                  <c:v>34.450907360521988</c:v>
                </c:pt>
                <c:pt idx="98">
                  <c:v>34.402765300336362</c:v>
                </c:pt>
                <c:pt idx="99">
                  <c:v>34.34654174064363</c:v>
                </c:pt>
                <c:pt idx="100">
                  <c:v>34.302064537375543</c:v>
                </c:pt>
                <c:pt idx="101">
                  <c:v>34.265556884942256</c:v>
                </c:pt>
                <c:pt idx="102">
                  <c:v>34.235266075874328</c:v>
                </c:pt>
                <c:pt idx="103">
                  <c:v>34.208248814332102</c:v>
                </c:pt>
                <c:pt idx="104">
                  <c:v>34.182943435985635</c:v>
                </c:pt>
                <c:pt idx="105">
                  <c:v>34.171088098975552</c:v>
                </c:pt>
                <c:pt idx="106">
                  <c:v>34.153812423136714</c:v>
                </c:pt>
                <c:pt idx="107">
                  <c:v>34.132666661357675</c:v>
                </c:pt>
                <c:pt idx="108">
                  <c:v>34.11813098631113</c:v>
                </c:pt>
                <c:pt idx="109">
                  <c:v>34.114799587033197</c:v>
                </c:pt>
                <c:pt idx="110">
                  <c:v>34.128509596782472</c:v>
                </c:pt>
                <c:pt idx="111">
                  <c:v>34.11179471655376</c:v>
                </c:pt>
                <c:pt idx="112">
                  <c:v>34.09697493274129</c:v>
                </c:pt>
                <c:pt idx="113">
                  <c:v>34.061421584313422</c:v>
                </c:pt>
                <c:pt idx="114">
                  <c:v>34.018928409301289</c:v>
                </c:pt>
                <c:pt idx="115">
                  <c:v>33.960957466345491</c:v>
                </c:pt>
                <c:pt idx="116">
                  <c:v>33.892533361845082</c:v>
                </c:pt>
                <c:pt idx="117">
                  <c:v>33.812550088532291</c:v>
                </c:pt>
                <c:pt idx="118">
                  <c:v>33.696330387697401</c:v>
                </c:pt>
                <c:pt idx="119">
                  <c:v>33.561719687119094</c:v>
                </c:pt>
                <c:pt idx="120">
                  <c:v>33.455341874703663</c:v>
                </c:pt>
                <c:pt idx="121">
                  <c:v>33.337992536767779</c:v>
                </c:pt>
                <c:pt idx="122">
                  <c:v>33.21259739140249</c:v>
                </c:pt>
                <c:pt idx="123">
                  <c:v>33.096274248223914</c:v>
                </c:pt>
                <c:pt idx="124">
                  <c:v>32.96235847875144</c:v>
                </c:pt>
                <c:pt idx="125">
                  <c:v>32.838221129695114</c:v>
                </c:pt>
                <c:pt idx="126">
                  <c:v>32.725664232904265</c:v>
                </c:pt>
                <c:pt idx="127">
                  <c:v>32.594484133135396</c:v>
                </c:pt>
                <c:pt idx="128">
                  <c:v>32.464778647153281</c:v>
                </c:pt>
                <c:pt idx="129">
                  <c:v>32.337208556997403</c:v>
                </c:pt>
                <c:pt idx="130">
                  <c:v>32.179401185181106</c:v>
                </c:pt>
                <c:pt idx="131">
                  <c:v>32.035576094655944</c:v>
                </c:pt>
                <c:pt idx="132">
                  <c:v>31.898557853405901</c:v>
                </c:pt>
                <c:pt idx="133">
                  <c:v>31.777663782144781</c:v>
                </c:pt>
                <c:pt idx="134">
                  <c:v>31.659249758984515</c:v>
                </c:pt>
                <c:pt idx="135">
                  <c:v>31.554589587418402</c:v>
                </c:pt>
                <c:pt idx="136">
                  <c:v>31.469200552956174</c:v>
                </c:pt>
                <c:pt idx="137">
                  <c:v>31.400420120574523</c:v>
                </c:pt>
                <c:pt idx="138">
                  <c:v>31.30790196300336</c:v>
                </c:pt>
                <c:pt idx="139">
                  <c:v>31.196507043037585</c:v>
                </c:pt>
                <c:pt idx="140">
                  <c:v>31.064632742323152</c:v>
                </c:pt>
                <c:pt idx="141">
                  <c:v>30.892815873539618</c:v>
                </c:pt>
                <c:pt idx="142">
                  <c:v>30.71610614184333</c:v>
                </c:pt>
                <c:pt idx="143">
                  <c:v>30.528079079368496</c:v>
                </c:pt>
                <c:pt idx="144">
                  <c:v>30.324426100823555</c:v>
                </c:pt>
                <c:pt idx="145">
                  <c:v>30.133914435811459</c:v>
                </c:pt>
                <c:pt idx="146">
                  <c:v>29.912515210124784</c:v>
                </c:pt>
                <c:pt idx="147">
                  <c:v>29.675336526661074</c:v>
                </c:pt>
                <c:pt idx="148">
                  <c:v>29.474289683405573</c:v>
                </c:pt>
                <c:pt idx="149">
                  <c:v>29.208110942986863</c:v>
                </c:pt>
                <c:pt idx="150">
                  <c:v>28.919862951854054</c:v>
                </c:pt>
                <c:pt idx="151">
                  <c:v>28.578603239675065</c:v>
                </c:pt>
                <c:pt idx="152">
                  <c:v>28.221662861825425</c:v>
                </c:pt>
                <c:pt idx="153">
                  <c:v>27.872693564774963</c:v>
                </c:pt>
                <c:pt idx="154">
                  <c:v>27.536862080032538</c:v>
                </c:pt>
                <c:pt idx="155">
                  <c:v>27.163263953685668</c:v>
                </c:pt>
                <c:pt idx="156">
                  <c:v>26.762977129113313</c:v>
                </c:pt>
                <c:pt idx="157">
                  <c:v>26.43868696838857</c:v>
                </c:pt>
                <c:pt idx="158">
                  <c:v>26.069762822930372</c:v>
                </c:pt>
                <c:pt idx="159">
                  <c:v>25.710279994749431</c:v>
                </c:pt>
                <c:pt idx="160">
                  <c:v>25.488630759162266</c:v>
                </c:pt>
                <c:pt idx="161">
                  <c:v>25.170366829776512</c:v>
                </c:pt>
                <c:pt idx="162">
                  <c:v>24.959043498836913</c:v>
                </c:pt>
                <c:pt idx="163">
                  <c:v>24.798387060172512</c:v>
                </c:pt>
                <c:pt idx="164">
                  <c:v>24.603965831393303</c:v>
                </c:pt>
                <c:pt idx="165">
                  <c:v>24.426952268105538</c:v>
                </c:pt>
                <c:pt idx="166">
                  <c:v>24.266808487168927</c:v>
                </c:pt>
                <c:pt idx="167">
                  <c:v>24.012088903037373</c:v>
                </c:pt>
                <c:pt idx="168">
                  <c:v>23.722463125191329</c:v>
                </c:pt>
                <c:pt idx="169">
                  <c:v>23.360947759907397</c:v>
                </c:pt>
                <c:pt idx="170">
                  <c:v>23.061424255855162</c:v>
                </c:pt>
                <c:pt idx="171">
                  <c:v>22.907117743249916</c:v>
                </c:pt>
                <c:pt idx="172">
                  <c:v>22.539002597379074</c:v>
                </c:pt>
                <c:pt idx="173">
                  <c:v>22.114438124317843</c:v>
                </c:pt>
                <c:pt idx="174">
                  <c:v>21.925255817135675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C66-404B-AE12-880E3E7D6E9B}"/>
            </c:ext>
          </c:extLst>
        </c:ser>
        <c:ser>
          <c:idx val="8"/>
          <c:order val="8"/>
          <c:tx>
            <c:strRef>
              <c:f>data_co2_incLUC!$L$2</c:f>
              <c:strCache>
                <c:ptCount val="1"/>
                <c:pt idx="0">
                  <c:v>pct_annex2_GCP_OSCAR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data_co2_incLUC!$L$3:$L$177</c:f>
              <c:numCache>
                <c:formatCode>0.0</c:formatCode>
                <c:ptCount val="175"/>
                <c:pt idx="0">
                  <c:v>40.194727015845629</c:v>
                </c:pt>
                <c:pt idx="1">
                  <c:v>40.190415342288013</c:v>
                </c:pt>
                <c:pt idx="2">
                  <c:v>40.185732259972376</c:v>
                </c:pt>
                <c:pt idx="3">
                  <c:v>40.181518800812505</c:v>
                </c:pt>
                <c:pt idx="4">
                  <c:v>40.175826970816011</c:v>
                </c:pt>
                <c:pt idx="5">
                  <c:v>40.169207375247012</c:v>
                </c:pt>
                <c:pt idx="6">
                  <c:v>40.162529691681733</c:v>
                </c:pt>
                <c:pt idx="7">
                  <c:v>40.15557361093105</c:v>
                </c:pt>
                <c:pt idx="8">
                  <c:v>40.148578130267268</c:v>
                </c:pt>
                <c:pt idx="9">
                  <c:v>40.140763302930573</c:v>
                </c:pt>
                <c:pt idx="10">
                  <c:v>40.132079498979159</c:v>
                </c:pt>
                <c:pt idx="11">
                  <c:v>40.121753158742436</c:v>
                </c:pt>
                <c:pt idx="12">
                  <c:v>40.111810927910916</c:v>
                </c:pt>
                <c:pt idx="13">
                  <c:v>40.101003817733599</c:v>
                </c:pt>
                <c:pt idx="14">
                  <c:v>40.089065525264097</c:v>
                </c:pt>
                <c:pt idx="15">
                  <c:v>40.077311153247905</c:v>
                </c:pt>
                <c:pt idx="16">
                  <c:v>40.064652625692148</c:v>
                </c:pt>
                <c:pt idx="17">
                  <c:v>40.052230163171323</c:v>
                </c:pt>
                <c:pt idx="18">
                  <c:v>40.037656477695712</c:v>
                </c:pt>
                <c:pt idx="19">
                  <c:v>40.022855898234816</c:v>
                </c:pt>
                <c:pt idx="20">
                  <c:v>40.007903429092266</c:v>
                </c:pt>
                <c:pt idx="21">
                  <c:v>39.991351731357554</c:v>
                </c:pt>
                <c:pt idx="22">
                  <c:v>39.971457628167407</c:v>
                </c:pt>
                <c:pt idx="23">
                  <c:v>39.950448558387933</c:v>
                </c:pt>
                <c:pt idx="24">
                  <c:v>39.9267956143634</c:v>
                </c:pt>
                <c:pt idx="25">
                  <c:v>39.903919951655865</c:v>
                </c:pt>
                <c:pt idx="26">
                  <c:v>39.878857721557566</c:v>
                </c:pt>
                <c:pt idx="27">
                  <c:v>39.853490427730343</c:v>
                </c:pt>
                <c:pt idx="28">
                  <c:v>39.827248812512792</c:v>
                </c:pt>
                <c:pt idx="29">
                  <c:v>39.800461491327113</c:v>
                </c:pt>
                <c:pt idx="30">
                  <c:v>39.771820175277675</c:v>
                </c:pt>
                <c:pt idx="31">
                  <c:v>39.741926298840916</c:v>
                </c:pt>
                <c:pt idx="32">
                  <c:v>39.713829865180948</c:v>
                </c:pt>
                <c:pt idx="33">
                  <c:v>39.684676069166223</c:v>
                </c:pt>
                <c:pt idx="34">
                  <c:v>39.653985612527713</c:v>
                </c:pt>
                <c:pt idx="35">
                  <c:v>39.623568409038811</c:v>
                </c:pt>
                <c:pt idx="36">
                  <c:v>39.593577543404493</c:v>
                </c:pt>
                <c:pt idx="37">
                  <c:v>39.563036613085487</c:v>
                </c:pt>
                <c:pt idx="38">
                  <c:v>39.53058995914482</c:v>
                </c:pt>
                <c:pt idx="39">
                  <c:v>39.495973854063706</c:v>
                </c:pt>
                <c:pt idx="40">
                  <c:v>39.462772729512785</c:v>
                </c:pt>
                <c:pt idx="41">
                  <c:v>39.427978061744547</c:v>
                </c:pt>
                <c:pt idx="42">
                  <c:v>39.391312559033516</c:v>
                </c:pt>
                <c:pt idx="43">
                  <c:v>39.35403827423621</c:v>
                </c:pt>
                <c:pt idx="44">
                  <c:v>39.316759947408805</c:v>
                </c:pt>
                <c:pt idx="45">
                  <c:v>39.278996530935444</c:v>
                </c:pt>
                <c:pt idx="46">
                  <c:v>39.239226048566451</c:v>
                </c:pt>
                <c:pt idx="47">
                  <c:v>39.198071177600809</c:v>
                </c:pt>
                <c:pt idx="48">
                  <c:v>39.155765953962998</c:v>
                </c:pt>
                <c:pt idx="49">
                  <c:v>39.111512921624467</c:v>
                </c:pt>
                <c:pt idx="50">
                  <c:v>39.063431099241377</c:v>
                </c:pt>
                <c:pt idx="51">
                  <c:v>39.012638623261111</c:v>
                </c:pt>
                <c:pt idx="52">
                  <c:v>38.963298342426228</c:v>
                </c:pt>
                <c:pt idx="53">
                  <c:v>38.912694711843692</c:v>
                </c:pt>
                <c:pt idx="54">
                  <c:v>38.858668835264233</c:v>
                </c:pt>
                <c:pt idx="55">
                  <c:v>38.805231698793641</c:v>
                </c:pt>
                <c:pt idx="56">
                  <c:v>38.748019964855537</c:v>
                </c:pt>
                <c:pt idx="57">
                  <c:v>38.690027815982802</c:v>
                </c:pt>
                <c:pt idx="58">
                  <c:v>38.624560548956978</c:v>
                </c:pt>
                <c:pt idx="59">
                  <c:v>38.563215557307288</c:v>
                </c:pt>
                <c:pt idx="60">
                  <c:v>38.500174404030233</c:v>
                </c:pt>
                <c:pt idx="61">
                  <c:v>38.432562529833724</c:v>
                </c:pt>
                <c:pt idx="62">
                  <c:v>38.365151867667571</c:v>
                </c:pt>
                <c:pt idx="63">
                  <c:v>38.296229392151012</c:v>
                </c:pt>
                <c:pt idx="64">
                  <c:v>38.221940686032553</c:v>
                </c:pt>
                <c:pt idx="65">
                  <c:v>38.154222665193757</c:v>
                </c:pt>
                <c:pt idx="66">
                  <c:v>38.088502764430416</c:v>
                </c:pt>
                <c:pt idx="67">
                  <c:v>38.019137791174053</c:v>
                </c:pt>
                <c:pt idx="68">
                  <c:v>37.946808349603813</c:v>
                </c:pt>
                <c:pt idx="69">
                  <c:v>37.870670660095094</c:v>
                </c:pt>
                <c:pt idx="70">
                  <c:v>37.804457304163968</c:v>
                </c:pt>
                <c:pt idx="71">
                  <c:v>37.731820875804956</c:v>
                </c:pt>
                <c:pt idx="72">
                  <c:v>37.672462206475409</c:v>
                </c:pt>
                <c:pt idx="73">
                  <c:v>37.608640298971906</c:v>
                </c:pt>
                <c:pt idx="74">
                  <c:v>37.535098862170869</c:v>
                </c:pt>
                <c:pt idx="75">
                  <c:v>37.461424832480461</c:v>
                </c:pt>
                <c:pt idx="76">
                  <c:v>37.387532637108208</c:v>
                </c:pt>
                <c:pt idx="77">
                  <c:v>37.316588716982544</c:v>
                </c:pt>
                <c:pt idx="78">
                  <c:v>37.238837084476643</c:v>
                </c:pt>
                <c:pt idx="79">
                  <c:v>37.16300907883064</c:v>
                </c:pt>
                <c:pt idx="80">
                  <c:v>37.081759335541129</c:v>
                </c:pt>
                <c:pt idx="81">
                  <c:v>37.011532423083779</c:v>
                </c:pt>
                <c:pt idx="82">
                  <c:v>36.953647669055542</c:v>
                </c:pt>
                <c:pt idx="83">
                  <c:v>36.907879280243385</c:v>
                </c:pt>
                <c:pt idx="84">
                  <c:v>36.858307753216096</c:v>
                </c:pt>
                <c:pt idx="85">
                  <c:v>36.804115015728748</c:v>
                </c:pt>
                <c:pt idx="86">
                  <c:v>36.747423014120642</c:v>
                </c:pt>
                <c:pt idx="87">
                  <c:v>36.684481330957226</c:v>
                </c:pt>
                <c:pt idx="88">
                  <c:v>36.615691852432569</c:v>
                </c:pt>
                <c:pt idx="89">
                  <c:v>36.556283241307455</c:v>
                </c:pt>
                <c:pt idx="90">
                  <c:v>36.490635135326805</c:v>
                </c:pt>
                <c:pt idx="91">
                  <c:v>36.423417115681147</c:v>
                </c:pt>
                <c:pt idx="92">
                  <c:v>36.352352213138168</c:v>
                </c:pt>
                <c:pt idx="93">
                  <c:v>36.273386208550527</c:v>
                </c:pt>
                <c:pt idx="94">
                  <c:v>36.193545823225826</c:v>
                </c:pt>
                <c:pt idx="95">
                  <c:v>36.114897908637936</c:v>
                </c:pt>
                <c:pt idx="96">
                  <c:v>36.055183979408682</c:v>
                </c:pt>
                <c:pt idx="97">
                  <c:v>35.991309932033168</c:v>
                </c:pt>
                <c:pt idx="98">
                  <c:v>35.91623941832659</c:v>
                </c:pt>
                <c:pt idx="99">
                  <c:v>35.833809010088878</c:v>
                </c:pt>
                <c:pt idx="100">
                  <c:v>35.76332191939629</c:v>
                </c:pt>
                <c:pt idx="101">
                  <c:v>35.68974779322339</c:v>
                </c:pt>
                <c:pt idx="102">
                  <c:v>35.617965133571239</c:v>
                </c:pt>
                <c:pt idx="103">
                  <c:v>35.550149511803198</c:v>
                </c:pt>
                <c:pt idx="104">
                  <c:v>35.482024365443408</c:v>
                </c:pt>
                <c:pt idx="105">
                  <c:v>35.421663244467076</c:v>
                </c:pt>
                <c:pt idx="106">
                  <c:v>35.356019070929882</c:v>
                </c:pt>
                <c:pt idx="107">
                  <c:v>35.286477411333891</c:v>
                </c:pt>
                <c:pt idx="108">
                  <c:v>35.222237874103861</c:v>
                </c:pt>
                <c:pt idx="109">
                  <c:v>35.172090180410599</c:v>
                </c:pt>
                <c:pt idx="110">
                  <c:v>35.129637394686114</c:v>
                </c:pt>
                <c:pt idx="111">
                  <c:v>35.079308247397037</c:v>
                </c:pt>
                <c:pt idx="112">
                  <c:v>35.023550838163999</c:v>
                </c:pt>
                <c:pt idx="113">
                  <c:v>34.95327715560623</c:v>
                </c:pt>
                <c:pt idx="114">
                  <c:v>34.877516757544946</c:v>
                </c:pt>
                <c:pt idx="115">
                  <c:v>34.793433203167716</c:v>
                </c:pt>
                <c:pt idx="116">
                  <c:v>34.700564832656511</c:v>
                </c:pt>
                <c:pt idx="117">
                  <c:v>34.598100443576314</c:v>
                </c:pt>
                <c:pt idx="118">
                  <c:v>34.47937249432762</c:v>
                </c:pt>
                <c:pt idx="119">
                  <c:v>34.347148444881491</c:v>
                </c:pt>
                <c:pt idx="120">
                  <c:v>34.211279054190697</c:v>
                </c:pt>
                <c:pt idx="121">
                  <c:v>34.071133149310548</c:v>
                </c:pt>
                <c:pt idx="122">
                  <c:v>33.921118247616754</c:v>
                </c:pt>
                <c:pt idx="123">
                  <c:v>33.761864110171189</c:v>
                </c:pt>
                <c:pt idx="124">
                  <c:v>33.591097753563169</c:v>
                </c:pt>
                <c:pt idx="125">
                  <c:v>33.431647125038452</c:v>
                </c:pt>
                <c:pt idx="126">
                  <c:v>33.290800155578118</c:v>
                </c:pt>
                <c:pt idx="127">
                  <c:v>33.136531449452008</c:v>
                </c:pt>
                <c:pt idx="128">
                  <c:v>32.982985756457246</c:v>
                </c:pt>
                <c:pt idx="129">
                  <c:v>32.827573106998457</c:v>
                </c:pt>
                <c:pt idx="130">
                  <c:v>32.655432775131409</c:v>
                </c:pt>
                <c:pt idx="131">
                  <c:v>32.493822999649375</c:v>
                </c:pt>
                <c:pt idx="132">
                  <c:v>32.341103847599825</c:v>
                </c:pt>
                <c:pt idx="133">
                  <c:v>32.209672390093914</c:v>
                </c:pt>
                <c:pt idx="134">
                  <c:v>32.08670251235889</c:v>
                </c:pt>
                <c:pt idx="135">
                  <c:v>31.960246249974496</c:v>
                </c:pt>
                <c:pt idx="136">
                  <c:v>31.851150497218661</c:v>
                </c:pt>
                <c:pt idx="137">
                  <c:v>31.750527207867862</c:v>
                </c:pt>
                <c:pt idx="138">
                  <c:v>31.636943057770505</c:v>
                </c:pt>
                <c:pt idx="139">
                  <c:v>31.511367247852064</c:v>
                </c:pt>
                <c:pt idx="140">
                  <c:v>31.369357683235659</c:v>
                </c:pt>
                <c:pt idx="141">
                  <c:v>31.192717880355008</c:v>
                </c:pt>
                <c:pt idx="142">
                  <c:v>31.007328801224897</c:v>
                </c:pt>
                <c:pt idx="143">
                  <c:v>30.804347418662186</c:v>
                </c:pt>
                <c:pt idx="144">
                  <c:v>30.594112929132027</c:v>
                </c:pt>
                <c:pt idx="145">
                  <c:v>30.375423367975507</c:v>
                </c:pt>
                <c:pt idx="146">
                  <c:v>30.145950907666087</c:v>
                </c:pt>
                <c:pt idx="147">
                  <c:v>29.901851899423004</c:v>
                </c:pt>
                <c:pt idx="148">
                  <c:v>29.695161191747548</c:v>
                </c:pt>
                <c:pt idx="149">
                  <c:v>29.413395630800103</c:v>
                </c:pt>
                <c:pt idx="150">
                  <c:v>29.120856674392449</c:v>
                </c:pt>
                <c:pt idx="151">
                  <c:v>28.779013886981115</c:v>
                </c:pt>
                <c:pt idx="152">
                  <c:v>28.418915042831038</c:v>
                </c:pt>
                <c:pt idx="153">
                  <c:v>28.056036749234693</c:v>
                </c:pt>
                <c:pt idx="154">
                  <c:v>27.693553061801467</c:v>
                </c:pt>
                <c:pt idx="155">
                  <c:v>27.309642178921262</c:v>
                </c:pt>
                <c:pt idx="156">
                  <c:v>26.90533875240358</c:v>
                </c:pt>
                <c:pt idx="157">
                  <c:v>26.534569794871469</c:v>
                </c:pt>
                <c:pt idx="158">
                  <c:v>26.133228947167193</c:v>
                </c:pt>
                <c:pt idx="159">
                  <c:v>25.767046916033031</c:v>
                </c:pt>
                <c:pt idx="160">
                  <c:v>25.505885619635528</c:v>
                </c:pt>
                <c:pt idx="161">
                  <c:v>25.226322806955316</c:v>
                </c:pt>
                <c:pt idx="162">
                  <c:v>25.000402239718195</c:v>
                </c:pt>
                <c:pt idx="163">
                  <c:v>24.807456617146112</c:v>
                </c:pt>
                <c:pt idx="164">
                  <c:v>24.57659826189979</c:v>
                </c:pt>
                <c:pt idx="165">
                  <c:v>24.362925447182938</c:v>
                </c:pt>
                <c:pt idx="166">
                  <c:v>24.172586129022719</c:v>
                </c:pt>
                <c:pt idx="167">
                  <c:v>23.89648893190207</c:v>
                </c:pt>
                <c:pt idx="168">
                  <c:v>23.589357318824966</c:v>
                </c:pt>
                <c:pt idx="169">
                  <c:v>23.227155859235886</c:v>
                </c:pt>
                <c:pt idx="170">
                  <c:v>22.906560361826831</c:v>
                </c:pt>
                <c:pt idx="171">
                  <c:v>22.747009664836209</c:v>
                </c:pt>
                <c:pt idx="172">
                  <c:v>22.387911496811206</c:v>
                </c:pt>
                <c:pt idx="173">
                  <c:v>21.965089458153631</c:v>
                </c:pt>
                <c:pt idx="174">
                  <c:v>21.805425820005762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66-404B-AE12-880E3E7D6E9B}"/>
            </c:ext>
          </c:extLst>
        </c:ser>
        <c:ser>
          <c:idx val="9"/>
          <c:order val="9"/>
          <c:tx>
            <c:strRef>
              <c:f>data_co2_incLUC!$M$2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data_co2_incLUC!$M$3:$M$177</c:f>
              <c:numCache>
                <c:formatCode>0.0</c:formatCode>
                <c:ptCount val="175"/>
                <c:pt idx="0">
                  <c:v>51.211261402049942</c:v>
                </c:pt>
                <c:pt idx="1">
                  <c:v>51.203042284182146</c:v>
                </c:pt>
                <c:pt idx="2">
                  <c:v>51.195317594950474</c:v>
                </c:pt>
                <c:pt idx="3">
                  <c:v>51.187354397588081</c:v>
                </c:pt>
                <c:pt idx="4">
                  <c:v>51.179356270700062</c:v>
                </c:pt>
                <c:pt idx="5">
                  <c:v>51.169654778775808</c:v>
                </c:pt>
                <c:pt idx="6">
                  <c:v>51.160365907932594</c:v>
                </c:pt>
                <c:pt idx="7">
                  <c:v>51.150605061821118</c:v>
                </c:pt>
                <c:pt idx="8">
                  <c:v>51.140480240148676</c:v>
                </c:pt>
                <c:pt idx="9">
                  <c:v>51.129769204916506</c:v>
                </c:pt>
                <c:pt idx="10">
                  <c:v>51.118367354961791</c:v>
                </c:pt>
                <c:pt idx="11">
                  <c:v>51.103523270886711</c:v>
                </c:pt>
                <c:pt idx="12">
                  <c:v>51.087690523502857</c:v>
                </c:pt>
                <c:pt idx="13">
                  <c:v>51.07006323322225</c:v>
                </c:pt>
                <c:pt idx="14">
                  <c:v>51.051546472755035</c:v>
                </c:pt>
                <c:pt idx="15">
                  <c:v>51.032148946482145</c:v>
                </c:pt>
                <c:pt idx="16">
                  <c:v>51.012184510638306</c:v>
                </c:pt>
                <c:pt idx="17">
                  <c:v>50.991183266732996</c:v>
                </c:pt>
                <c:pt idx="18">
                  <c:v>50.969892323421732</c:v>
                </c:pt>
                <c:pt idx="19">
                  <c:v>50.947911294007376</c:v>
                </c:pt>
                <c:pt idx="20">
                  <c:v>50.925733397883079</c:v>
                </c:pt>
                <c:pt idx="21">
                  <c:v>50.897030226210383</c:v>
                </c:pt>
                <c:pt idx="22">
                  <c:v>50.86555143956425</c:v>
                </c:pt>
                <c:pt idx="23">
                  <c:v>50.831819535772183</c:v>
                </c:pt>
                <c:pt idx="24">
                  <c:v>50.795908942006797</c:v>
                </c:pt>
                <c:pt idx="25">
                  <c:v>50.758910393186397</c:v>
                </c:pt>
                <c:pt idx="26">
                  <c:v>50.720058440917768</c:v>
                </c:pt>
                <c:pt idx="27">
                  <c:v>50.67977661368932</c:v>
                </c:pt>
                <c:pt idx="28">
                  <c:v>50.638454988357786</c:v>
                </c:pt>
                <c:pt idx="29">
                  <c:v>50.595686517116533</c:v>
                </c:pt>
                <c:pt idx="30">
                  <c:v>50.550585111895927</c:v>
                </c:pt>
                <c:pt idx="31">
                  <c:v>50.508229214308017</c:v>
                </c:pt>
                <c:pt idx="32">
                  <c:v>50.467877344823307</c:v>
                </c:pt>
                <c:pt idx="33">
                  <c:v>50.427132413927552</c:v>
                </c:pt>
                <c:pt idx="34">
                  <c:v>50.385175242501433</c:v>
                </c:pt>
                <c:pt idx="35">
                  <c:v>50.342996547355234</c:v>
                </c:pt>
                <c:pt idx="36">
                  <c:v>50.300926380909118</c:v>
                </c:pt>
                <c:pt idx="37">
                  <c:v>50.258995718180813</c:v>
                </c:pt>
                <c:pt idx="38">
                  <c:v>50.216381656887265</c:v>
                </c:pt>
                <c:pt idx="39">
                  <c:v>50.171251424635919</c:v>
                </c:pt>
                <c:pt idx="40">
                  <c:v>50.12704251784168</c:v>
                </c:pt>
                <c:pt idx="41">
                  <c:v>50.077898752684561</c:v>
                </c:pt>
                <c:pt idx="42">
                  <c:v>50.027187478617066</c:v>
                </c:pt>
                <c:pt idx="43">
                  <c:v>49.9752816608232</c:v>
                </c:pt>
                <c:pt idx="44">
                  <c:v>49.922832456855907</c:v>
                </c:pt>
                <c:pt idx="45">
                  <c:v>49.868574868710667</c:v>
                </c:pt>
                <c:pt idx="46">
                  <c:v>49.813107768419414</c:v>
                </c:pt>
                <c:pt idx="47">
                  <c:v>49.756010432757648</c:v>
                </c:pt>
                <c:pt idx="48">
                  <c:v>49.697265029038789</c:v>
                </c:pt>
                <c:pt idx="49">
                  <c:v>49.635511822177683</c:v>
                </c:pt>
                <c:pt idx="50">
                  <c:v>49.570352878387801</c:v>
                </c:pt>
                <c:pt idx="51">
                  <c:v>49.502227673638025</c:v>
                </c:pt>
                <c:pt idx="52">
                  <c:v>49.433542218358077</c:v>
                </c:pt>
                <c:pt idx="53">
                  <c:v>49.363489459738389</c:v>
                </c:pt>
                <c:pt idx="54">
                  <c:v>49.288730654651999</c:v>
                </c:pt>
                <c:pt idx="55">
                  <c:v>49.212469328520733</c:v>
                </c:pt>
                <c:pt idx="56">
                  <c:v>49.131625880804528</c:v>
                </c:pt>
                <c:pt idx="57">
                  <c:v>49.048938124136434</c:v>
                </c:pt>
                <c:pt idx="58">
                  <c:v>48.957918842055228</c:v>
                </c:pt>
                <c:pt idx="59">
                  <c:v>48.867964632915438</c:v>
                </c:pt>
                <c:pt idx="60">
                  <c:v>48.774367668330157</c:v>
                </c:pt>
                <c:pt idx="61">
                  <c:v>48.691118224576201</c:v>
                </c:pt>
                <c:pt idx="62">
                  <c:v>48.611325875553284</c:v>
                </c:pt>
                <c:pt idx="63">
                  <c:v>48.530770632136417</c:v>
                </c:pt>
                <c:pt idx="64">
                  <c:v>48.448193728559744</c:v>
                </c:pt>
                <c:pt idx="65">
                  <c:v>48.374210553063946</c:v>
                </c:pt>
                <c:pt idx="66">
                  <c:v>48.303564237628883</c:v>
                </c:pt>
                <c:pt idx="67">
                  <c:v>48.227969020526928</c:v>
                </c:pt>
                <c:pt idx="68">
                  <c:v>48.15180718318198</c:v>
                </c:pt>
                <c:pt idx="69">
                  <c:v>48.078022240382154</c:v>
                </c:pt>
                <c:pt idx="70">
                  <c:v>48.016401164545549</c:v>
                </c:pt>
                <c:pt idx="71">
                  <c:v>47.948279053747207</c:v>
                </c:pt>
                <c:pt idx="72">
                  <c:v>47.890889479158957</c:v>
                </c:pt>
                <c:pt idx="73">
                  <c:v>47.831140218230345</c:v>
                </c:pt>
                <c:pt idx="74">
                  <c:v>47.763860478422906</c:v>
                </c:pt>
                <c:pt idx="75">
                  <c:v>47.69904245985969</c:v>
                </c:pt>
                <c:pt idx="76">
                  <c:v>47.631942643311874</c:v>
                </c:pt>
                <c:pt idx="77">
                  <c:v>47.566554828491093</c:v>
                </c:pt>
                <c:pt idx="78">
                  <c:v>47.494836219855472</c:v>
                </c:pt>
                <c:pt idx="79">
                  <c:v>47.424717465999841</c:v>
                </c:pt>
                <c:pt idx="80">
                  <c:v>47.347428451195348</c:v>
                </c:pt>
                <c:pt idx="81">
                  <c:v>47.275763996254675</c:v>
                </c:pt>
                <c:pt idx="82">
                  <c:v>47.212920190859137</c:v>
                </c:pt>
                <c:pt idx="83">
                  <c:v>47.15867740580039</c:v>
                </c:pt>
                <c:pt idx="84">
                  <c:v>47.102043768881174</c:v>
                </c:pt>
                <c:pt idx="85">
                  <c:v>47.040497248014326</c:v>
                </c:pt>
                <c:pt idx="86">
                  <c:v>46.974810116689866</c:v>
                </c:pt>
                <c:pt idx="87">
                  <c:v>46.901187000521197</c:v>
                </c:pt>
                <c:pt idx="88">
                  <c:v>46.82302049516894</c:v>
                </c:pt>
                <c:pt idx="89">
                  <c:v>46.750279735243808</c:v>
                </c:pt>
                <c:pt idx="90">
                  <c:v>46.673116538067916</c:v>
                </c:pt>
                <c:pt idx="91">
                  <c:v>46.609153636304427</c:v>
                </c:pt>
                <c:pt idx="92">
                  <c:v>46.553482611933944</c:v>
                </c:pt>
                <c:pt idx="93">
                  <c:v>46.504128443565207</c:v>
                </c:pt>
                <c:pt idx="94">
                  <c:v>46.457727543533558</c:v>
                </c:pt>
                <c:pt idx="95">
                  <c:v>46.415201981415272</c:v>
                </c:pt>
                <c:pt idx="96">
                  <c:v>46.395460134039681</c:v>
                </c:pt>
                <c:pt idx="97">
                  <c:v>46.372852770590079</c:v>
                </c:pt>
                <c:pt idx="98">
                  <c:v>46.342801484522305</c:v>
                </c:pt>
                <c:pt idx="99">
                  <c:v>46.308645645260526</c:v>
                </c:pt>
                <c:pt idx="100">
                  <c:v>46.285592714782013</c:v>
                </c:pt>
                <c:pt idx="101">
                  <c:v>46.265055047581541</c:v>
                </c:pt>
                <c:pt idx="102">
                  <c:v>46.246441355094589</c:v>
                </c:pt>
                <c:pt idx="103">
                  <c:v>46.225241742629535</c:v>
                </c:pt>
                <c:pt idx="104">
                  <c:v>46.200213914653169</c:v>
                </c:pt>
                <c:pt idx="105">
                  <c:v>46.184219347355935</c:v>
                </c:pt>
                <c:pt idx="106">
                  <c:v>46.157941745484308</c:v>
                </c:pt>
                <c:pt idx="107">
                  <c:v>46.122967686758734</c:v>
                </c:pt>
                <c:pt idx="108">
                  <c:v>46.088861038504454</c:v>
                </c:pt>
                <c:pt idx="109">
                  <c:v>46.06033813832029</c:v>
                </c:pt>
                <c:pt idx="110">
                  <c:v>46.025225745013117</c:v>
                </c:pt>
                <c:pt idx="111">
                  <c:v>45.971582095349021</c:v>
                </c:pt>
                <c:pt idx="112">
                  <c:v>45.914961436298491</c:v>
                </c:pt>
                <c:pt idx="113">
                  <c:v>45.84821733517942</c:v>
                </c:pt>
                <c:pt idx="114">
                  <c:v>45.771704568216052</c:v>
                </c:pt>
                <c:pt idx="115">
                  <c:v>45.677136438754879</c:v>
                </c:pt>
                <c:pt idx="116">
                  <c:v>45.569942560913866</c:v>
                </c:pt>
                <c:pt idx="117">
                  <c:v>45.448454075948746</c:v>
                </c:pt>
                <c:pt idx="118">
                  <c:v>45.287569357501127</c:v>
                </c:pt>
                <c:pt idx="119">
                  <c:v>45.100181896233963</c:v>
                </c:pt>
                <c:pt idx="120">
                  <c:v>44.948087908415282</c:v>
                </c:pt>
                <c:pt idx="121">
                  <c:v>44.771240973027311</c:v>
                </c:pt>
                <c:pt idx="122">
                  <c:v>44.585771467622855</c:v>
                </c:pt>
                <c:pt idx="123">
                  <c:v>44.410852810432715</c:v>
                </c:pt>
                <c:pt idx="124">
                  <c:v>44.209876970333838</c:v>
                </c:pt>
                <c:pt idx="125">
                  <c:v>44.010984531668441</c:v>
                </c:pt>
                <c:pt idx="126">
                  <c:v>43.810166719774749</c:v>
                </c:pt>
                <c:pt idx="127">
                  <c:v>43.581977998629888</c:v>
                </c:pt>
                <c:pt idx="128">
                  <c:v>43.355562250445601</c:v>
                </c:pt>
                <c:pt idx="129">
                  <c:v>43.121522389843861</c:v>
                </c:pt>
                <c:pt idx="130">
                  <c:v>42.853035575827526</c:v>
                </c:pt>
                <c:pt idx="131">
                  <c:v>42.576608555555055</c:v>
                </c:pt>
                <c:pt idx="132">
                  <c:v>42.316415626054976</c:v>
                </c:pt>
                <c:pt idx="133">
                  <c:v>42.057844700484367</c:v>
                </c:pt>
                <c:pt idx="134">
                  <c:v>41.795774850559617</c:v>
                </c:pt>
                <c:pt idx="135">
                  <c:v>41.547696813283117</c:v>
                </c:pt>
                <c:pt idx="136">
                  <c:v>41.299176850509163</c:v>
                </c:pt>
                <c:pt idx="137">
                  <c:v>41.060715642010479</c:v>
                </c:pt>
                <c:pt idx="138">
                  <c:v>40.794044825009969</c:v>
                </c:pt>
                <c:pt idx="139">
                  <c:v>40.500568652346814</c:v>
                </c:pt>
                <c:pt idx="140">
                  <c:v>40.190704126896989</c:v>
                </c:pt>
                <c:pt idx="141">
                  <c:v>39.829229474921057</c:v>
                </c:pt>
                <c:pt idx="142">
                  <c:v>39.492385392176246</c:v>
                </c:pt>
                <c:pt idx="143">
                  <c:v>39.179522867013915</c:v>
                </c:pt>
                <c:pt idx="144">
                  <c:v>38.866116046227219</c:v>
                </c:pt>
                <c:pt idx="145">
                  <c:v>38.605850987795606</c:v>
                </c:pt>
                <c:pt idx="146">
                  <c:v>38.326225991321614</c:v>
                </c:pt>
                <c:pt idx="147">
                  <c:v>37.99807348713874</c:v>
                </c:pt>
                <c:pt idx="148">
                  <c:v>37.766672331328081</c:v>
                </c:pt>
                <c:pt idx="149">
                  <c:v>37.46267322382095</c:v>
                </c:pt>
                <c:pt idx="150">
                  <c:v>37.139394759564439</c:v>
                </c:pt>
                <c:pt idx="151">
                  <c:v>36.778839009663642</c:v>
                </c:pt>
                <c:pt idx="152">
                  <c:v>36.394636181808487</c:v>
                </c:pt>
                <c:pt idx="153">
                  <c:v>36.038021837037704</c:v>
                </c:pt>
                <c:pt idx="154">
                  <c:v>35.700301559100104</c:v>
                </c:pt>
                <c:pt idx="155">
                  <c:v>35.325865535319437</c:v>
                </c:pt>
                <c:pt idx="156">
                  <c:v>34.920848624855715</c:v>
                </c:pt>
                <c:pt idx="157">
                  <c:v>34.58597112913003</c:v>
                </c:pt>
                <c:pt idx="158">
                  <c:v>34.189571953783165</c:v>
                </c:pt>
                <c:pt idx="159">
                  <c:v>33.822505538726652</c:v>
                </c:pt>
                <c:pt idx="160">
                  <c:v>33.586183725426153</c:v>
                </c:pt>
                <c:pt idx="161">
                  <c:v>33.232384323933118</c:v>
                </c:pt>
                <c:pt idx="162">
                  <c:v>33.030898241849478</c:v>
                </c:pt>
                <c:pt idx="163">
                  <c:v>32.833833825149348</c:v>
                </c:pt>
                <c:pt idx="164">
                  <c:v>32.650821349307719</c:v>
                </c:pt>
                <c:pt idx="165">
                  <c:v>32.536244858433129</c:v>
                </c:pt>
                <c:pt idx="166">
                  <c:v>32.366397337452497</c:v>
                </c:pt>
                <c:pt idx="167">
                  <c:v>32.064112009184583</c:v>
                </c:pt>
                <c:pt idx="168">
                  <c:v>31.711098955256965</c:v>
                </c:pt>
                <c:pt idx="169">
                  <c:v>31.290988163328553</c:v>
                </c:pt>
                <c:pt idx="170">
                  <c:v>30.98920706633999</c:v>
                </c:pt>
                <c:pt idx="171">
                  <c:v>30.838415870449165</c:v>
                </c:pt>
                <c:pt idx="172">
                  <c:v>30.445237901558674</c:v>
                </c:pt>
                <c:pt idx="173">
                  <c:v>30.030372735144788</c:v>
                </c:pt>
                <c:pt idx="174">
                  <c:v>29.876931803382977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C66-404B-AE12-880E3E7D6E9B}"/>
            </c:ext>
          </c:extLst>
        </c:ser>
        <c:ser>
          <c:idx val="10"/>
          <c:order val="10"/>
          <c:tx>
            <c:strRef>
              <c:f>data_co2_incLUC!$N$2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data_co2_incLUC!$N$3:$N$177</c:f>
              <c:numCache>
                <c:formatCode>0.0</c:formatCode>
                <c:ptCount val="175"/>
                <c:pt idx="0">
                  <c:v>53.670885927601717</c:v>
                </c:pt>
                <c:pt idx="1">
                  <c:v>53.665575694278168</c:v>
                </c:pt>
                <c:pt idx="2">
                  <c:v>53.659272796885141</c:v>
                </c:pt>
                <c:pt idx="3">
                  <c:v>53.646999378215497</c:v>
                </c:pt>
                <c:pt idx="4">
                  <c:v>53.633004256526597</c:v>
                </c:pt>
                <c:pt idx="5">
                  <c:v>53.616681273436996</c:v>
                </c:pt>
                <c:pt idx="6">
                  <c:v>53.59871398812097</c:v>
                </c:pt>
                <c:pt idx="7">
                  <c:v>53.579626134633664</c:v>
                </c:pt>
                <c:pt idx="8">
                  <c:v>53.559775276645638</c:v>
                </c:pt>
                <c:pt idx="9">
                  <c:v>53.539181806103052</c:v>
                </c:pt>
                <c:pt idx="10">
                  <c:v>53.517602947732868</c:v>
                </c:pt>
                <c:pt idx="11">
                  <c:v>53.49475355592088</c:v>
                </c:pt>
                <c:pt idx="12">
                  <c:v>53.470925904847611</c:v>
                </c:pt>
                <c:pt idx="13">
                  <c:v>53.451366771687923</c:v>
                </c:pt>
                <c:pt idx="14">
                  <c:v>53.431182883326834</c:v>
                </c:pt>
                <c:pt idx="15">
                  <c:v>53.4103185997322</c:v>
                </c:pt>
                <c:pt idx="16">
                  <c:v>53.388869118146729</c:v>
                </c:pt>
                <c:pt idx="17">
                  <c:v>53.367028232185611</c:v>
                </c:pt>
                <c:pt idx="18">
                  <c:v>53.344497209174314</c:v>
                </c:pt>
                <c:pt idx="19">
                  <c:v>53.321661113501087</c:v>
                </c:pt>
                <c:pt idx="20">
                  <c:v>53.298145097900559</c:v>
                </c:pt>
                <c:pt idx="21">
                  <c:v>53.274368112562378</c:v>
                </c:pt>
                <c:pt idx="22">
                  <c:v>53.251817761232481</c:v>
                </c:pt>
                <c:pt idx="23">
                  <c:v>53.221934028156795</c:v>
                </c:pt>
                <c:pt idx="24">
                  <c:v>53.190907001829871</c:v>
                </c:pt>
                <c:pt idx="25">
                  <c:v>53.160400873582446</c:v>
                </c:pt>
                <c:pt idx="26">
                  <c:v>53.128325975223611</c:v>
                </c:pt>
                <c:pt idx="27">
                  <c:v>53.095592616474818</c:v>
                </c:pt>
                <c:pt idx="28">
                  <c:v>53.062122048358383</c:v>
                </c:pt>
                <c:pt idx="29">
                  <c:v>53.028183103681862</c:v>
                </c:pt>
                <c:pt idx="30">
                  <c:v>52.99268709221554</c:v>
                </c:pt>
                <c:pt idx="31">
                  <c:v>52.954483107041185</c:v>
                </c:pt>
                <c:pt idx="32">
                  <c:v>52.91810736145959</c:v>
                </c:pt>
                <c:pt idx="33">
                  <c:v>52.885666339059924</c:v>
                </c:pt>
                <c:pt idx="34">
                  <c:v>52.852548142309075</c:v>
                </c:pt>
                <c:pt idx="35">
                  <c:v>52.819735645903798</c:v>
                </c:pt>
                <c:pt idx="36">
                  <c:v>52.787182541625285</c:v>
                </c:pt>
                <c:pt idx="37">
                  <c:v>52.754543577118383</c:v>
                </c:pt>
                <c:pt idx="38">
                  <c:v>52.721135440342394</c:v>
                </c:pt>
                <c:pt idx="39">
                  <c:v>52.685335548264867</c:v>
                </c:pt>
                <c:pt idx="40">
                  <c:v>52.649827111082203</c:v>
                </c:pt>
                <c:pt idx="41">
                  <c:v>52.612114481424413</c:v>
                </c:pt>
                <c:pt idx="42">
                  <c:v>52.573074045107504</c:v>
                </c:pt>
                <c:pt idx="43">
                  <c:v>52.532695189712278</c:v>
                </c:pt>
                <c:pt idx="44">
                  <c:v>52.492586670608752</c:v>
                </c:pt>
                <c:pt idx="45">
                  <c:v>52.452474817900786</c:v>
                </c:pt>
                <c:pt idx="46">
                  <c:v>52.410431266087876</c:v>
                </c:pt>
                <c:pt idx="47">
                  <c:v>52.367309560789074</c:v>
                </c:pt>
                <c:pt idx="48">
                  <c:v>52.322440552459085</c:v>
                </c:pt>
                <c:pt idx="49">
                  <c:v>52.275713044607862</c:v>
                </c:pt>
                <c:pt idx="50">
                  <c:v>52.225305879934133</c:v>
                </c:pt>
                <c:pt idx="51">
                  <c:v>52.172377756593811</c:v>
                </c:pt>
                <c:pt idx="52">
                  <c:v>52.123825725693109</c:v>
                </c:pt>
                <c:pt idx="53">
                  <c:v>52.079916870924492</c:v>
                </c:pt>
                <c:pt idx="54">
                  <c:v>52.035040252675515</c:v>
                </c:pt>
                <c:pt idx="55">
                  <c:v>51.993127451144751</c:v>
                </c:pt>
                <c:pt idx="56">
                  <c:v>51.95091221039155</c:v>
                </c:pt>
                <c:pt idx="57">
                  <c:v>51.910207928278574</c:v>
                </c:pt>
                <c:pt idx="58">
                  <c:v>51.862838929427127</c:v>
                </c:pt>
                <c:pt idx="59">
                  <c:v>51.819599673294412</c:v>
                </c:pt>
                <c:pt idx="60">
                  <c:v>51.774511535017794</c:v>
                </c:pt>
                <c:pt idx="61">
                  <c:v>51.72673658394087</c:v>
                </c:pt>
                <c:pt idx="62">
                  <c:v>51.673011432356894</c:v>
                </c:pt>
                <c:pt idx="63">
                  <c:v>51.615185839261976</c:v>
                </c:pt>
                <c:pt idx="64">
                  <c:v>51.547881429002473</c:v>
                </c:pt>
                <c:pt idx="65">
                  <c:v>51.487249768658785</c:v>
                </c:pt>
                <c:pt idx="66">
                  <c:v>51.426598540143743</c:v>
                </c:pt>
                <c:pt idx="67">
                  <c:v>51.360317544440306</c:v>
                </c:pt>
                <c:pt idx="68">
                  <c:v>51.291360028915513</c:v>
                </c:pt>
                <c:pt idx="69">
                  <c:v>51.223795798981378</c:v>
                </c:pt>
                <c:pt idx="70">
                  <c:v>51.169371480806703</c:v>
                </c:pt>
                <c:pt idx="71">
                  <c:v>51.104389253411618</c:v>
                </c:pt>
                <c:pt idx="72">
                  <c:v>51.056406900409613</c:v>
                </c:pt>
                <c:pt idx="73">
                  <c:v>51.007869244058654</c:v>
                </c:pt>
                <c:pt idx="74">
                  <c:v>50.950106756386049</c:v>
                </c:pt>
                <c:pt idx="75">
                  <c:v>50.89400493649385</c:v>
                </c:pt>
                <c:pt idx="76">
                  <c:v>50.837828572027696</c:v>
                </c:pt>
                <c:pt idx="77">
                  <c:v>50.783205926554167</c:v>
                </c:pt>
                <c:pt idx="78">
                  <c:v>50.715902031720596</c:v>
                </c:pt>
                <c:pt idx="79">
                  <c:v>50.649989882680423</c:v>
                </c:pt>
                <c:pt idx="80">
                  <c:v>50.574541841105528</c:v>
                </c:pt>
                <c:pt idx="81">
                  <c:v>50.501298682077369</c:v>
                </c:pt>
                <c:pt idx="82">
                  <c:v>50.440139833071655</c:v>
                </c:pt>
                <c:pt idx="83">
                  <c:v>50.398671140323827</c:v>
                </c:pt>
                <c:pt idx="84">
                  <c:v>50.354675855036902</c:v>
                </c:pt>
                <c:pt idx="85">
                  <c:v>50.305222006955297</c:v>
                </c:pt>
                <c:pt idx="86">
                  <c:v>50.253347918565794</c:v>
                </c:pt>
                <c:pt idx="87">
                  <c:v>50.195201792385191</c:v>
                </c:pt>
                <c:pt idx="88">
                  <c:v>50.134044518677776</c:v>
                </c:pt>
                <c:pt idx="89">
                  <c:v>50.081484632632701</c:v>
                </c:pt>
                <c:pt idx="90">
                  <c:v>50.024529197680799</c:v>
                </c:pt>
                <c:pt idx="91">
                  <c:v>49.960206601390546</c:v>
                </c:pt>
                <c:pt idx="92">
                  <c:v>49.894734640842906</c:v>
                </c:pt>
                <c:pt idx="93">
                  <c:v>49.826511198069561</c:v>
                </c:pt>
                <c:pt idx="94">
                  <c:v>49.757942813656349</c:v>
                </c:pt>
                <c:pt idx="95">
                  <c:v>49.694943822922426</c:v>
                </c:pt>
                <c:pt idx="96">
                  <c:v>49.659137830729676</c:v>
                </c:pt>
                <c:pt idx="97">
                  <c:v>49.625713937355435</c:v>
                </c:pt>
                <c:pt idx="98">
                  <c:v>49.578657283999782</c:v>
                </c:pt>
                <c:pt idx="99">
                  <c:v>49.525824117774782</c:v>
                </c:pt>
                <c:pt idx="100">
                  <c:v>49.483386786326896</c:v>
                </c:pt>
                <c:pt idx="101">
                  <c:v>49.423221796059643</c:v>
                </c:pt>
                <c:pt idx="102">
                  <c:v>49.346012938746405</c:v>
                </c:pt>
                <c:pt idx="103">
                  <c:v>49.275176085388452</c:v>
                </c:pt>
                <c:pt idx="104">
                  <c:v>49.198416969485564</c:v>
                </c:pt>
                <c:pt idx="105">
                  <c:v>49.121864919936463</c:v>
                </c:pt>
                <c:pt idx="106">
                  <c:v>49.033430909185164</c:v>
                </c:pt>
                <c:pt idx="107">
                  <c:v>48.933385063153061</c:v>
                </c:pt>
                <c:pt idx="108">
                  <c:v>48.829299395256356</c:v>
                </c:pt>
                <c:pt idx="109">
                  <c:v>48.728209438176783</c:v>
                </c:pt>
                <c:pt idx="110">
                  <c:v>48.636943267820691</c:v>
                </c:pt>
                <c:pt idx="111">
                  <c:v>48.535511865623107</c:v>
                </c:pt>
                <c:pt idx="112">
                  <c:v>48.434024753158575</c:v>
                </c:pt>
                <c:pt idx="113">
                  <c:v>48.316098920862999</c:v>
                </c:pt>
                <c:pt idx="114">
                  <c:v>48.184499595774547</c:v>
                </c:pt>
                <c:pt idx="115">
                  <c:v>48.040046214414808</c:v>
                </c:pt>
                <c:pt idx="116">
                  <c:v>47.887773646743135</c:v>
                </c:pt>
                <c:pt idx="117">
                  <c:v>47.721939304656416</c:v>
                </c:pt>
                <c:pt idx="118">
                  <c:v>47.540278941269221</c:v>
                </c:pt>
                <c:pt idx="119">
                  <c:v>47.336471033790005</c:v>
                </c:pt>
                <c:pt idx="120">
                  <c:v>47.112236479086519</c:v>
                </c:pt>
                <c:pt idx="121">
                  <c:v>46.871935957592484</c:v>
                </c:pt>
                <c:pt idx="122">
                  <c:v>46.628036602789159</c:v>
                </c:pt>
                <c:pt idx="123">
                  <c:v>46.360161435874062</c:v>
                </c:pt>
                <c:pt idx="124">
                  <c:v>46.075393864896419</c:v>
                </c:pt>
                <c:pt idx="125">
                  <c:v>45.796738163950089</c:v>
                </c:pt>
                <c:pt idx="126">
                  <c:v>45.526764683162348</c:v>
                </c:pt>
                <c:pt idx="127">
                  <c:v>45.232191138855896</c:v>
                </c:pt>
                <c:pt idx="128">
                  <c:v>44.927923664420234</c:v>
                </c:pt>
                <c:pt idx="129">
                  <c:v>44.605773791159884</c:v>
                </c:pt>
                <c:pt idx="130">
                  <c:v>44.263211783163172</c:v>
                </c:pt>
                <c:pt idx="131">
                  <c:v>43.916315702540906</c:v>
                </c:pt>
                <c:pt idx="132">
                  <c:v>43.583894677936073</c:v>
                </c:pt>
                <c:pt idx="133">
                  <c:v>43.290320367162764</c:v>
                </c:pt>
                <c:pt idx="134">
                  <c:v>42.998178074504054</c:v>
                </c:pt>
                <c:pt idx="135">
                  <c:v>42.697641691137846</c:v>
                </c:pt>
                <c:pt idx="136">
                  <c:v>42.383743103583527</c:v>
                </c:pt>
                <c:pt idx="137">
                  <c:v>42.065627216846075</c:v>
                </c:pt>
                <c:pt idx="138">
                  <c:v>41.727688291398366</c:v>
                </c:pt>
                <c:pt idx="139">
                  <c:v>41.369213908238059</c:v>
                </c:pt>
                <c:pt idx="140">
                  <c:v>40.99801767151888</c:v>
                </c:pt>
                <c:pt idx="141">
                  <c:v>40.623053711248538</c:v>
                </c:pt>
                <c:pt idx="142">
                  <c:v>40.304897997458028</c:v>
                </c:pt>
                <c:pt idx="143">
                  <c:v>40.012331874142987</c:v>
                </c:pt>
                <c:pt idx="144">
                  <c:v>39.745004894308913</c:v>
                </c:pt>
                <c:pt idx="145">
                  <c:v>39.398076402941165</c:v>
                </c:pt>
                <c:pt idx="146">
                  <c:v>39.083063807096821</c:v>
                </c:pt>
                <c:pt idx="147">
                  <c:v>38.703208294235928</c:v>
                </c:pt>
                <c:pt idx="148">
                  <c:v>38.321162656078457</c:v>
                </c:pt>
                <c:pt idx="149">
                  <c:v>37.908329628574243</c:v>
                </c:pt>
                <c:pt idx="150">
                  <c:v>37.50727601369212</c:v>
                </c:pt>
                <c:pt idx="151">
                  <c:v>37.027842307523848</c:v>
                </c:pt>
                <c:pt idx="152">
                  <c:v>36.552040838417369</c:v>
                </c:pt>
                <c:pt idx="153">
                  <c:v>36.077522185057717</c:v>
                </c:pt>
                <c:pt idx="154">
                  <c:v>35.649704520402224</c:v>
                </c:pt>
                <c:pt idx="155">
                  <c:v>35.298857121196143</c:v>
                </c:pt>
                <c:pt idx="156">
                  <c:v>34.906713234270512</c:v>
                </c:pt>
                <c:pt idx="157">
                  <c:v>34.501598369084029</c:v>
                </c:pt>
                <c:pt idx="158">
                  <c:v>34.049342885847935</c:v>
                </c:pt>
                <c:pt idx="159">
                  <c:v>33.63411395026511</c:v>
                </c:pt>
                <c:pt idx="160">
                  <c:v>33.31436807147066</c:v>
                </c:pt>
                <c:pt idx="161">
                  <c:v>32.930276236768265</c:v>
                </c:pt>
                <c:pt idx="162">
                  <c:v>32.6241595169069</c:v>
                </c:pt>
                <c:pt idx="163">
                  <c:v>32.297018918173841</c:v>
                </c:pt>
                <c:pt idx="164">
                  <c:v>32.013367566251524</c:v>
                </c:pt>
                <c:pt idx="165">
                  <c:v>31.733936156816672</c:v>
                </c:pt>
                <c:pt idx="166">
                  <c:v>31.52469120447882</c:v>
                </c:pt>
                <c:pt idx="167">
                  <c:v>31.241474151005868</c:v>
                </c:pt>
                <c:pt idx="168">
                  <c:v>30.938184849518318</c:v>
                </c:pt>
                <c:pt idx="169">
                  <c:v>30.46494517730164</c:v>
                </c:pt>
                <c:pt idx="170">
                  <c:v>30.028802647280795</c:v>
                </c:pt>
                <c:pt idx="171">
                  <c:v>29.848521892347051</c:v>
                </c:pt>
                <c:pt idx="172">
                  <c:v>29.418852105423611</c:v>
                </c:pt>
                <c:pt idx="173">
                  <c:v>29.77482006647233</c:v>
                </c:pt>
                <c:pt idx="174">
                  <c:v>32.229402668729954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66-404B-AE12-880E3E7D6E9B}"/>
            </c:ext>
          </c:extLst>
        </c:ser>
        <c:ser>
          <c:idx val="11"/>
          <c:order val="11"/>
          <c:tx>
            <c:strRef>
              <c:f>data_co2_incLUC!$O$2</c:f>
              <c:strCache>
                <c:ptCount val="1"/>
                <c:pt idx="0">
                  <c:v>pct_annex1_GCP_BLUE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data_co2_incLUC!$O$3:$O$177</c:f>
              <c:numCache>
                <c:formatCode>0.0</c:formatCode>
                <c:ptCount val="175"/>
                <c:pt idx="0">
                  <c:v>51.219936102049566</c:v>
                </c:pt>
                <c:pt idx="1">
                  <c:v>51.211726636839686</c:v>
                </c:pt>
                <c:pt idx="2">
                  <c:v>51.204012170248348</c:v>
                </c:pt>
                <c:pt idx="3">
                  <c:v>51.196059579901402</c:v>
                </c:pt>
                <c:pt idx="4">
                  <c:v>51.188072253893644</c:v>
                </c:pt>
                <c:pt idx="5">
                  <c:v>51.178381574722131</c:v>
                </c:pt>
                <c:pt idx="6">
                  <c:v>51.169103845130451</c:v>
                </c:pt>
                <c:pt idx="7">
                  <c:v>51.15935422134811</c:v>
                </c:pt>
                <c:pt idx="8">
                  <c:v>51.149240746992419</c:v>
                </c:pt>
                <c:pt idx="9">
                  <c:v>51.138541083526832</c:v>
                </c:pt>
                <c:pt idx="10">
                  <c:v>51.127150718454914</c:v>
                </c:pt>
                <c:pt idx="11">
                  <c:v>51.112316297698655</c:v>
                </c:pt>
                <c:pt idx="12">
                  <c:v>51.096492551556693</c:v>
                </c:pt>
                <c:pt idx="13">
                  <c:v>51.078873619138797</c:v>
                </c:pt>
                <c:pt idx="14">
                  <c:v>51.060364977473007</c:v>
                </c:pt>
                <c:pt idx="15">
                  <c:v>51.04097556054684</c:v>
                </c:pt>
                <c:pt idx="16">
                  <c:v>51.02101893099529</c:v>
                </c:pt>
                <c:pt idx="17">
                  <c:v>51.000025379290847</c:v>
                </c:pt>
                <c:pt idx="18">
                  <c:v>50.978742013731726</c:v>
                </c:pt>
                <c:pt idx="19">
                  <c:v>50.956768428969411</c:v>
                </c:pt>
                <c:pt idx="20">
                  <c:v>50.934598011829038</c:v>
                </c:pt>
                <c:pt idx="21">
                  <c:v>50.905902791322163</c:v>
                </c:pt>
                <c:pt idx="22">
                  <c:v>50.874432003764106</c:v>
                </c:pt>
                <c:pt idx="23">
                  <c:v>50.840708537602353</c:v>
                </c:pt>
                <c:pt idx="24">
                  <c:v>50.8048064109216</c:v>
                </c:pt>
                <c:pt idx="25">
                  <c:v>50.767816393919176</c:v>
                </c:pt>
                <c:pt idx="26">
                  <c:v>50.728972941622075</c:v>
                </c:pt>
                <c:pt idx="27">
                  <c:v>50.688699616660536</c:v>
                </c:pt>
                <c:pt idx="28">
                  <c:v>50.647386704946129</c:v>
                </c:pt>
                <c:pt idx="29">
                  <c:v>50.604626941803652</c:v>
                </c:pt>
                <c:pt idx="30">
                  <c:v>50.559534204239029</c:v>
                </c:pt>
                <c:pt idx="31">
                  <c:v>50.51718790424291</c:v>
                </c:pt>
                <c:pt idx="32">
                  <c:v>50.476846057986137</c:v>
                </c:pt>
                <c:pt idx="33">
                  <c:v>50.436111571956175</c:v>
                </c:pt>
                <c:pt idx="34">
                  <c:v>50.394165055027827</c:v>
                </c:pt>
                <c:pt idx="35">
                  <c:v>50.351997070856036</c:v>
                </c:pt>
                <c:pt idx="36">
                  <c:v>50.309937715682871</c:v>
                </c:pt>
                <c:pt idx="37">
                  <c:v>50.268017969777659</c:v>
                </c:pt>
                <c:pt idx="38">
                  <c:v>50.225415111456407</c:v>
                </c:pt>
                <c:pt idx="39">
                  <c:v>50.180296017141892</c:v>
                </c:pt>
                <c:pt idx="40">
                  <c:v>50.13609859095326</c:v>
                </c:pt>
                <c:pt idx="41">
                  <c:v>50.08696685719044</c:v>
                </c:pt>
                <c:pt idx="42">
                  <c:v>50.036267886573128</c:v>
                </c:pt>
                <c:pt idx="43">
                  <c:v>49.984374154589624</c:v>
                </c:pt>
                <c:pt idx="44">
                  <c:v>49.931937043044286</c:v>
                </c:pt>
                <c:pt idx="45">
                  <c:v>49.877691735820875</c:v>
                </c:pt>
                <c:pt idx="46">
                  <c:v>49.82223700035788</c:v>
                </c:pt>
                <c:pt idx="47">
                  <c:v>49.765151965770613</c:v>
                </c:pt>
                <c:pt idx="48">
                  <c:v>49.706419148895684</c:v>
                </c:pt>
                <c:pt idx="49">
                  <c:v>49.644678386605761</c:v>
                </c:pt>
                <c:pt idx="50">
                  <c:v>49.579531965543559</c:v>
                </c:pt>
                <c:pt idx="51">
                  <c:v>49.511419537285164</c:v>
                </c:pt>
                <c:pt idx="52">
                  <c:v>49.442747706077846</c:v>
                </c:pt>
                <c:pt idx="53">
                  <c:v>49.372708859338829</c:v>
                </c:pt>
                <c:pt idx="54">
                  <c:v>49.29796402316618</c:v>
                </c:pt>
                <c:pt idx="55">
                  <c:v>49.221716982340631</c:v>
                </c:pt>
                <c:pt idx="56">
                  <c:v>49.140887734759424</c:v>
                </c:pt>
                <c:pt idx="57">
                  <c:v>49.058214584062377</c:v>
                </c:pt>
                <c:pt idx="58">
                  <c:v>48.967209758987011</c:v>
                </c:pt>
                <c:pt idx="59">
                  <c:v>48.877270052554451</c:v>
                </c:pt>
                <c:pt idx="60">
                  <c:v>48.78368771829993</c:v>
                </c:pt>
                <c:pt idx="61">
                  <c:v>48.700454291550201</c:v>
                </c:pt>
                <c:pt idx="62">
                  <c:v>48.620678596161035</c:v>
                </c:pt>
                <c:pt idx="63">
                  <c:v>48.540140064176931</c:v>
                </c:pt>
                <c:pt idx="64">
                  <c:v>48.457580328708303</c:v>
                </c:pt>
                <c:pt idx="65">
                  <c:v>48.383614835492708</c:v>
                </c:pt>
                <c:pt idx="66">
                  <c:v>48.31298640997808</c:v>
                </c:pt>
                <c:pt idx="67">
                  <c:v>48.237409106470153</c:v>
                </c:pt>
                <c:pt idx="68">
                  <c:v>48.161265377624702</c:v>
                </c:pt>
                <c:pt idx="69">
                  <c:v>48.0874987525469</c:v>
                </c:pt>
                <c:pt idx="70">
                  <c:v>48.025896514169254</c:v>
                </c:pt>
                <c:pt idx="71">
                  <c:v>47.957796479559839</c:v>
                </c:pt>
                <c:pt idx="72">
                  <c:v>47.900430693047504</c:v>
                </c:pt>
                <c:pt idx="73">
                  <c:v>47.840706008871237</c:v>
                </c:pt>
                <c:pt idx="74">
                  <c:v>47.773451923216797</c:v>
                </c:pt>
                <c:pt idx="75">
                  <c:v>47.708660232935465</c:v>
                </c:pt>
                <c:pt idx="76">
                  <c:v>47.641587195503035</c:v>
                </c:pt>
                <c:pt idx="77">
                  <c:v>47.576226621683723</c:v>
                </c:pt>
                <c:pt idx="78">
                  <c:v>47.504535608381474</c:v>
                </c:pt>
                <c:pt idx="79">
                  <c:v>47.434445228620376</c:v>
                </c:pt>
                <c:pt idx="80">
                  <c:v>47.35718482700991</c:v>
                </c:pt>
                <c:pt idx="81">
                  <c:v>47.285549235837955</c:v>
                </c:pt>
                <c:pt idx="82">
                  <c:v>47.222734934692248</c:v>
                </c:pt>
                <c:pt idx="83">
                  <c:v>47.168522369431273</c:v>
                </c:pt>
                <c:pt idx="84">
                  <c:v>47.11191918323582</c:v>
                </c:pt>
                <c:pt idx="85">
                  <c:v>47.050403839483948</c:v>
                </c:pt>
                <c:pt idx="86">
                  <c:v>46.984747766329029</c:v>
                </c:pt>
                <c:pt idx="87">
                  <c:v>46.911156519168465</c:v>
                </c:pt>
                <c:pt idx="88">
                  <c:v>46.833022428210178</c:v>
                </c:pt>
                <c:pt idx="89">
                  <c:v>46.760314515969952</c:v>
                </c:pt>
                <c:pt idx="90">
                  <c:v>46.6831844606874</c:v>
                </c:pt>
                <c:pt idx="91">
                  <c:v>46.619260551705061</c:v>
                </c:pt>
                <c:pt idx="92">
                  <c:v>46.563631967443072</c:v>
                </c:pt>
                <c:pt idx="93">
                  <c:v>46.514322077917889</c:v>
                </c:pt>
                <c:pt idx="94">
                  <c:v>46.467967080893047</c:v>
                </c:pt>
                <c:pt idx="95">
                  <c:v>46.425488827092806</c:v>
                </c:pt>
                <c:pt idx="96">
                  <c:v>46.405795823198673</c:v>
                </c:pt>
                <c:pt idx="97">
                  <c:v>46.383238448221007</c:v>
                </c:pt>
                <c:pt idx="98">
                  <c:v>46.353238332440903</c:v>
                </c:pt>
                <c:pt idx="99">
                  <c:v>46.319134404739046</c:v>
                </c:pt>
                <c:pt idx="100">
                  <c:v>46.296134837319229</c:v>
                </c:pt>
                <c:pt idx="101">
                  <c:v>46.275661222999794</c:v>
                </c:pt>
                <c:pt idx="102">
                  <c:v>46.257118542878686</c:v>
                </c:pt>
                <c:pt idx="103">
                  <c:v>46.235991281559187</c:v>
                </c:pt>
                <c:pt idx="104">
                  <c:v>46.211037888565748</c:v>
                </c:pt>
                <c:pt idx="105">
                  <c:v>46.195124939143881</c:v>
                </c:pt>
                <c:pt idx="106">
                  <c:v>46.168932112862976</c:v>
                </c:pt>
                <c:pt idx="107">
                  <c:v>46.134045151315405</c:v>
                </c:pt>
                <c:pt idx="108">
                  <c:v>46.100030186813221</c:v>
                </c:pt>
                <c:pt idx="109">
                  <c:v>46.071602844221673</c:v>
                </c:pt>
                <c:pt idx="110">
                  <c:v>46.036592362157556</c:v>
                </c:pt>
                <c:pt idx="111">
                  <c:v>45.983041020104267</c:v>
                </c:pt>
                <c:pt idx="112">
                  <c:v>45.926513401636591</c:v>
                </c:pt>
                <c:pt idx="113">
                  <c:v>45.859859768952326</c:v>
                </c:pt>
                <c:pt idx="114">
                  <c:v>45.78343820579569</c:v>
                </c:pt>
                <c:pt idx="115">
                  <c:v>45.688958831021409</c:v>
                </c:pt>
                <c:pt idx="116">
                  <c:v>45.581852929290712</c:v>
                </c:pt>
                <c:pt idx="117">
                  <c:v>45.46044993521835</c:v>
                </c:pt>
                <c:pt idx="118">
                  <c:v>45.299647402269642</c:v>
                </c:pt>
                <c:pt idx="119">
                  <c:v>45.112341255066582</c:v>
                </c:pt>
                <c:pt idx="120">
                  <c:v>44.960349486388687</c:v>
                </c:pt>
                <c:pt idx="121">
                  <c:v>44.783603136964686</c:v>
                </c:pt>
                <c:pt idx="122">
                  <c:v>44.598233424917701</c:v>
                </c:pt>
                <c:pt idx="123">
                  <c:v>44.423429490896474</c:v>
                </c:pt>
                <c:pt idx="124">
                  <c:v>44.222568059353897</c:v>
                </c:pt>
                <c:pt idx="125">
                  <c:v>44.023791461990243</c:v>
                </c:pt>
                <c:pt idx="126">
                  <c:v>43.823090116583472</c:v>
                </c:pt>
                <c:pt idx="127">
                  <c:v>43.595021398996266</c:v>
                </c:pt>
                <c:pt idx="128">
                  <c:v>43.368740846628548</c:v>
                </c:pt>
                <c:pt idx="129">
                  <c:v>43.134845147900272</c:v>
                </c:pt>
                <c:pt idx="130">
                  <c:v>42.866491332923395</c:v>
                </c:pt>
                <c:pt idx="131">
                  <c:v>42.590199591789968</c:v>
                </c:pt>
                <c:pt idx="132">
                  <c:v>42.330145868503308</c:v>
                </c:pt>
                <c:pt idx="133">
                  <c:v>42.071714828672306</c:v>
                </c:pt>
                <c:pt idx="134">
                  <c:v>41.809795325600739</c:v>
                </c:pt>
                <c:pt idx="135">
                  <c:v>41.561893070638881</c:v>
                </c:pt>
                <c:pt idx="136">
                  <c:v>41.313565697218699</c:v>
                </c:pt>
                <c:pt idx="137">
                  <c:v>41.07531436616695</c:v>
                </c:pt>
                <c:pt idx="138">
                  <c:v>40.808850662750821</c:v>
                </c:pt>
                <c:pt idx="139">
                  <c:v>40.515584054960883</c:v>
                </c:pt>
                <c:pt idx="140">
                  <c:v>40.205930682478431</c:v>
                </c:pt>
                <c:pt idx="141">
                  <c:v>39.844659803263426</c:v>
                </c:pt>
                <c:pt idx="142">
                  <c:v>39.492388914689222</c:v>
                </c:pt>
                <c:pt idx="143">
                  <c:v>39.179526034028264</c:v>
                </c:pt>
                <c:pt idx="144">
                  <c:v>38.866118707821059</c:v>
                </c:pt>
                <c:pt idx="145">
                  <c:v>38.605853221009021</c:v>
                </c:pt>
                <c:pt idx="146">
                  <c:v>38.326228130408246</c:v>
                </c:pt>
                <c:pt idx="147">
                  <c:v>37.998075528373327</c:v>
                </c:pt>
                <c:pt idx="148">
                  <c:v>37.766674278665349</c:v>
                </c:pt>
                <c:pt idx="149">
                  <c:v>37.462675042760772</c:v>
                </c:pt>
                <c:pt idx="150">
                  <c:v>37.139396507716185</c:v>
                </c:pt>
                <c:pt idx="151">
                  <c:v>36.778840683263631</c:v>
                </c:pt>
                <c:pt idx="152">
                  <c:v>36.394637775833758</c:v>
                </c:pt>
                <c:pt idx="153">
                  <c:v>36.038023310268542</c:v>
                </c:pt>
                <c:pt idx="154">
                  <c:v>35.700302953729604</c:v>
                </c:pt>
                <c:pt idx="155">
                  <c:v>35.325866668883485</c:v>
                </c:pt>
                <c:pt idx="156">
                  <c:v>34.920849480274207</c:v>
                </c:pt>
                <c:pt idx="157">
                  <c:v>34.585971641122789</c:v>
                </c:pt>
                <c:pt idx="158">
                  <c:v>34.189571995774855</c:v>
                </c:pt>
                <c:pt idx="159">
                  <c:v>33.822505585929271</c:v>
                </c:pt>
                <c:pt idx="160">
                  <c:v>33.586183724195948</c:v>
                </c:pt>
                <c:pt idx="161">
                  <c:v>33.232384324457847</c:v>
                </c:pt>
                <c:pt idx="162">
                  <c:v>33.030898243539433</c:v>
                </c:pt>
                <c:pt idx="163">
                  <c:v>32.833833758918281</c:v>
                </c:pt>
                <c:pt idx="164">
                  <c:v>32.650821277473845</c:v>
                </c:pt>
                <c:pt idx="165">
                  <c:v>32.536245021770718</c:v>
                </c:pt>
                <c:pt idx="166">
                  <c:v>32.366397337452497</c:v>
                </c:pt>
                <c:pt idx="167">
                  <c:v>32.064112009184583</c:v>
                </c:pt>
                <c:pt idx="168">
                  <c:v>31.711098955256965</c:v>
                </c:pt>
                <c:pt idx="169">
                  <c:v>31.290988163328553</c:v>
                </c:pt>
                <c:pt idx="170">
                  <c:v>30.98920706633999</c:v>
                </c:pt>
                <c:pt idx="171">
                  <c:v>30.838415870449165</c:v>
                </c:pt>
                <c:pt idx="172">
                  <c:v>30.445237901558674</c:v>
                </c:pt>
                <c:pt idx="173">
                  <c:v>30.030372735144788</c:v>
                </c:pt>
                <c:pt idx="174">
                  <c:v>29.876931803382977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C66-404B-AE12-880E3E7D6E9B}"/>
            </c:ext>
          </c:extLst>
        </c:ser>
        <c:ser>
          <c:idx val="12"/>
          <c:order val="12"/>
          <c:tx>
            <c:strRef>
              <c:f>data_co2_incLUC!$P$2</c:f>
              <c:strCache>
                <c:ptCount val="1"/>
                <c:pt idx="0">
                  <c:v>pct_annex1_GCP_OSCAR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data_co2_incLUC!$P$3:$P$177</c:f>
              <c:numCache>
                <c:formatCode>0.0</c:formatCode>
                <c:ptCount val="175"/>
                <c:pt idx="0">
                  <c:v>52.00917706374404</c:v>
                </c:pt>
                <c:pt idx="1">
                  <c:v>52.002190170736327</c:v>
                </c:pt>
                <c:pt idx="2">
                  <c:v>51.995445754561466</c:v>
                </c:pt>
                <c:pt idx="3">
                  <c:v>51.98827305070882</c:v>
                </c:pt>
                <c:pt idx="4">
                  <c:v>51.980852488649234</c:v>
                </c:pt>
                <c:pt idx="5">
                  <c:v>51.972042981292773</c:v>
                </c:pt>
                <c:pt idx="6">
                  <c:v>51.963276412546968</c:v>
                </c:pt>
                <c:pt idx="7">
                  <c:v>51.954315626807521</c:v>
                </c:pt>
                <c:pt idx="8">
                  <c:v>51.945237359037769</c:v>
                </c:pt>
                <c:pt idx="9">
                  <c:v>51.93543884137403</c:v>
                </c:pt>
                <c:pt idx="10">
                  <c:v>51.924870652241836</c:v>
                </c:pt>
                <c:pt idx="11">
                  <c:v>51.913460270515998</c:v>
                </c:pt>
                <c:pt idx="12">
                  <c:v>51.90192254049024</c:v>
                </c:pt>
                <c:pt idx="13">
                  <c:v>51.889736602393555</c:v>
                </c:pt>
                <c:pt idx="14">
                  <c:v>51.876983708505065</c:v>
                </c:pt>
                <c:pt idx="15">
                  <c:v>51.863157257731359</c:v>
                </c:pt>
                <c:pt idx="16">
                  <c:v>51.84897650719742</c:v>
                </c:pt>
                <c:pt idx="17">
                  <c:v>51.83368426353254</c:v>
                </c:pt>
                <c:pt idx="18">
                  <c:v>51.818083357994546</c:v>
                </c:pt>
                <c:pt idx="19">
                  <c:v>51.801620307197346</c:v>
                </c:pt>
                <c:pt idx="20">
                  <c:v>51.784847209717533</c:v>
                </c:pt>
                <c:pt idx="21">
                  <c:v>51.765576788627563</c:v>
                </c:pt>
                <c:pt idx="22">
                  <c:v>51.744633243420616</c:v>
                </c:pt>
                <c:pt idx="23">
                  <c:v>51.721863766907582</c:v>
                </c:pt>
                <c:pt idx="24">
                  <c:v>51.697534978705406</c:v>
                </c:pt>
                <c:pt idx="25">
                  <c:v>51.672831934680566</c:v>
                </c:pt>
                <c:pt idx="26">
                  <c:v>51.646919192457609</c:v>
                </c:pt>
                <c:pt idx="27">
                  <c:v>51.620314028698601</c:v>
                </c:pt>
                <c:pt idx="28">
                  <c:v>51.592944430363566</c:v>
                </c:pt>
                <c:pt idx="29">
                  <c:v>51.564653384251066</c:v>
                </c:pt>
                <c:pt idx="30">
                  <c:v>51.53453875145405</c:v>
                </c:pt>
                <c:pt idx="31">
                  <c:v>51.503407139297423</c:v>
                </c:pt>
                <c:pt idx="32">
                  <c:v>51.474236804311182</c:v>
                </c:pt>
                <c:pt idx="33">
                  <c:v>51.444123067516031</c:v>
                </c:pt>
                <c:pt idx="34">
                  <c:v>51.412620629157601</c:v>
                </c:pt>
                <c:pt idx="35">
                  <c:v>51.38070656308399</c:v>
                </c:pt>
                <c:pt idx="36">
                  <c:v>51.348737246694554</c:v>
                </c:pt>
                <c:pt idx="37">
                  <c:v>51.317042840700736</c:v>
                </c:pt>
                <c:pt idx="38">
                  <c:v>51.28453700014839</c:v>
                </c:pt>
                <c:pt idx="39">
                  <c:v>51.249801828723605</c:v>
                </c:pt>
                <c:pt idx="40">
                  <c:v>51.215918189956277</c:v>
                </c:pt>
                <c:pt idx="41">
                  <c:v>51.178354327552213</c:v>
                </c:pt>
                <c:pt idx="42">
                  <c:v>51.138835463171247</c:v>
                </c:pt>
                <c:pt idx="43">
                  <c:v>51.09823907841983</c:v>
                </c:pt>
                <c:pt idx="44">
                  <c:v>51.057830048704247</c:v>
                </c:pt>
                <c:pt idx="45">
                  <c:v>51.015488587265935</c:v>
                </c:pt>
                <c:pt idx="46">
                  <c:v>50.972135852095654</c:v>
                </c:pt>
                <c:pt idx="47">
                  <c:v>50.927600831538889</c:v>
                </c:pt>
                <c:pt idx="48">
                  <c:v>50.881444629940056</c:v>
                </c:pt>
                <c:pt idx="49">
                  <c:v>50.832802647699914</c:v>
                </c:pt>
                <c:pt idx="50">
                  <c:v>50.780976042616253</c:v>
                </c:pt>
                <c:pt idx="51">
                  <c:v>50.727485018132477</c:v>
                </c:pt>
                <c:pt idx="52">
                  <c:v>50.674444489787838</c:v>
                </c:pt>
                <c:pt idx="53">
                  <c:v>50.620739970179848</c:v>
                </c:pt>
                <c:pt idx="54">
                  <c:v>50.564008420474991</c:v>
                </c:pt>
                <c:pt idx="55">
                  <c:v>50.507844101112084</c:v>
                </c:pt>
                <c:pt idx="56">
                  <c:v>50.447368521949301</c:v>
                </c:pt>
                <c:pt idx="57">
                  <c:v>50.386119681565454</c:v>
                </c:pt>
                <c:pt idx="58">
                  <c:v>50.317312443333883</c:v>
                </c:pt>
                <c:pt idx="59">
                  <c:v>50.25138831263699</c:v>
                </c:pt>
                <c:pt idx="60">
                  <c:v>50.183467055090183</c:v>
                </c:pt>
                <c:pt idx="61">
                  <c:v>50.11760344004076</c:v>
                </c:pt>
                <c:pt idx="62">
                  <c:v>50.053160665270866</c:v>
                </c:pt>
                <c:pt idx="63">
                  <c:v>49.985763847427307</c:v>
                </c:pt>
                <c:pt idx="64">
                  <c:v>49.915603985165966</c:v>
                </c:pt>
                <c:pt idx="65">
                  <c:v>49.852904074761163</c:v>
                </c:pt>
                <c:pt idx="66">
                  <c:v>49.792869003296389</c:v>
                </c:pt>
                <c:pt idx="67">
                  <c:v>49.727912260654641</c:v>
                </c:pt>
                <c:pt idx="68">
                  <c:v>49.662979905137462</c:v>
                </c:pt>
                <c:pt idx="69">
                  <c:v>49.599264322803464</c:v>
                </c:pt>
                <c:pt idx="70">
                  <c:v>49.547582116607167</c:v>
                </c:pt>
                <c:pt idx="71">
                  <c:v>49.486731355693927</c:v>
                </c:pt>
                <c:pt idx="72">
                  <c:v>49.436334526125655</c:v>
                </c:pt>
                <c:pt idx="73">
                  <c:v>49.382328894120349</c:v>
                </c:pt>
                <c:pt idx="74">
                  <c:v>49.320338434231452</c:v>
                </c:pt>
                <c:pt idx="75">
                  <c:v>49.260966729133521</c:v>
                </c:pt>
                <c:pt idx="76">
                  <c:v>49.199612171219279</c:v>
                </c:pt>
                <c:pt idx="77">
                  <c:v>49.139539937371538</c:v>
                </c:pt>
                <c:pt idx="78">
                  <c:v>49.072955810399804</c:v>
                </c:pt>
                <c:pt idx="79">
                  <c:v>49.007990601775951</c:v>
                </c:pt>
                <c:pt idx="80">
                  <c:v>48.935693561669659</c:v>
                </c:pt>
                <c:pt idx="81">
                  <c:v>48.869872299364218</c:v>
                </c:pt>
                <c:pt idx="82">
                  <c:v>48.81205381501298</c:v>
                </c:pt>
                <c:pt idx="83">
                  <c:v>48.764376625147229</c:v>
                </c:pt>
                <c:pt idx="84">
                  <c:v>48.713732283791728</c:v>
                </c:pt>
                <c:pt idx="85">
                  <c:v>48.659205965497691</c:v>
                </c:pt>
                <c:pt idx="86">
                  <c:v>48.599988705678143</c:v>
                </c:pt>
                <c:pt idx="87">
                  <c:v>48.53297642853596</c:v>
                </c:pt>
                <c:pt idx="88">
                  <c:v>48.461325297541819</c:v>
                </c:pt>
                <c:pt idx="89">
                  <c:v>48.396181070938773</c:v>
                </c:pt>
                <c:pt idx="90">
                  <c:v>48.326799626085254</c:v>
                </c:pt>
                <c:pt idx="91">
                  <c:v>48.254373974128001</c:v>
                </c:pt>
                <c:pt idx="92">
                  <c:v>48.183979851734392</c:v>
                </c:pt>
                <c:pt idx="93">
                  <c:v>48.115452082329668</c:v>
                </c:pt>
                <c:pt idx="94">
                  <c:v>48.046563204206898</c:v>
                </c:pt>
                <c:pt idx="95">
                  <c:v>47.97824312171047</c:v>
                </c:pt>
                <c:pt idx="96">
                  <c:v>47.930160673562661</c:v>
                </c:pt>
                <c:pt idx="97">
                  <c:v>47.876024370960003</c:v>
                </c:pt>
                <c:pt idx="98">
                  <c:v>47.811950388763194</c:v>
                </c:pt>
                <c:pt idx="99">
                  <c:v>47.741651220484982</c:v>
                </c:pt>
                <c:pt idx="100">
                  <c:v>47.679288106749873</c:v>
                </c:pt>
                <c:pt idx="101">
                  <c:v>47.611625411057318</c:v>
                </c:pt>
                <c:pt idx="102">
                  <c:v>47.543931208667594</c:v>
                </c:pt>
                <c:pt idx="103">
                  <c:v>47.476666175152424</c:v>
                </c:pt>
                <c:pt idx="104">
                  <c:v>47.407047218755196</c:v>
                </c:pt>
                <c:pt idx="105">
                  <c:v>47.340546858574037</c:v>
                </c:pt>
                <c:pt idx="106">
                  <c:v>47.266133193083618</c:v>
                </c:pt>
                <c:pt idx="107">
                  <c:v>47.184994300395559</c:v>
                </c:pt>
                <c:pt idx="108">
                  <c:v>47.104961650820769</c:v>
                </c:pt>
                <c:pt idx="109">
                  <c:v>47.034133599222876</c:v>
                </c:pt>
                <c:pt idx="110">
                  <c:v>46.967586319156752</c:v>
                </c:pt>
                <c:pt idx="111">
                  <c:v>46.88944410930506</c:v>
                </c:pt>
                <c:pt idx="112">
                  <c:v>46.803023055867321</c:v>
                </c:pt>
                <c:pt idx="113">
                  <c:v>46.707825842853609</c:v>
                </c:pt>
                <c:pt idx="114">
                  <c:v>46.600881131194477</c:v>
                </c:pt>
                <c:pt idx="115">
                  <c:v>46.482602967741798</c:v>
                </c:pt>
                <c:pt idx="116">
                  <c:v>46.351262025303782</c:v>
                </c:pt>
                <c:pt idx="117">
                  <c:v>46.20788977747786</c:v>
                </c:pt>
                <c:pt idx="118">
                  <c:v>46.044312552550714</c:v>
                </c:pt>
                <c:pt idx="119">
                  <c:v>45.863113742532761</c:v>
                </c:pt>
                <c:pt idx="120">
                  <c:v>45.676544572954562</c:v>
                </c:pt>
                <c:pt idx="121">
                  <c:v>45.480531085827053</c:v>
                </c:pt>
                <c:pt idx="122">
                  <c:v>45.274564028872042</c:v>
                </c:pt>
                <c:pt idx="123">
                  <c:v>45.05380148018147</c:v>
                </c:pt>
                <c:pt idx="124">
                  <c:v>44.817000741207345</c:v>
                </c:pt>
                <c:pt idx="125">
                  <c:v>44.581556513161338</c:v>
                </c:pt>
                <c:pt idx="126">
                  <c:v>44.355173686353652</c:v>
                </c:pt>
                <c:pt idx="127">
                  <c:v>44.106374456165405</c:v>
                </c:pt>
                <c:pt idx="128">
                  <c:v>43.851621747473558</c:v>
                </c:pt>
                <c:pt idx="129">
                  <c:v>43.588775253193504</c:v>
                </c:pt>
                <c:pt idx="130">
                  <c:v>43.307264800416398</c:v>
                </c:pt>
                <c:pt idx="131">
                  <c:v>43.016143567564647</c:v>
                </c:pt>
                <c:pt idx="132">
                  <c:v>42.740165683683706</c:v>
                </c:pt>
                <c:pt idx="133">
                  <c:v>42.473071410387156</c:v>
                </c:pt>
                <c:pt idx="134">
                  <c:v>42.211212292108414</c:v>
                </c:pt>
                <c:pt idx="135">
                  <c:v>41.942637058179507</c:v>
                </c:pt>
                <c:pt idx="136">
                  <c:v>41.670728008014521</c:v>
                </c:pt>
                <c:pt idx="137">
                  <c:v>41.405058328553395</c:v>
                </c:pt>
                <c:pt idx="138">
                  <c:v>41.12079914324412</c:v>
                </c:pt>
                <c:pt idx="139">
                  <c:v>40.820488022556084</c:v>
                </c:pt>
                <c:pt idx="140">
                  <c:v>40.50834215155438</c:v>
                </c:pt>
                <c:pt idx="141">
                  <c:v>40.153196171392068</c:v>
                </c:pt>
                <c:pt idx="142">
                  <c:v>39.804773150474162</c:v>
                </c:pt>
                <c:pt idx="143">
                  <c:v>39.478084270208505</c:v>
                </c:pt>
                <c:pt idx="144">
                  <c:v>39.162930212746772</c:v>
                </c:pt>
                <c:pt idx="145">
                  <c:v>38.873405141824449</c:v>
                </c:pt>
                <c:pt idx="146">
                  <c:v>38.581000463733936</c:v>
                </c:pt>
                <c:pt idx="147">
                  <c:v>38.251428835547827</c:v>
                </c:pt>
                <c:pt idx="148">
                  <c:v>38.01154242404391</c:v>
                </c:pt>
                <c:pt idx="149">
                  <c:v>37.682271012898212</c:v>
                </c:pt>
                <c:pt idx="150">
                  <c:v>37.347881222126396</c:v>
                </c:pt>
                <c:pt idx="151">
                  <c:v>36.973088399396133</c:v>
                </c:pt>
                <c:pt idx="152">
                  <c:v>36.571908389799262</c:v>
                </c:pt>
                <c:pt idx="153">
                  <c:v>36.17960333061226</c:v>
                </c:pt>
                <c:pt idx="154">
                  <c:v>35.786048809237656</c:v>
                </c:pt>
                <c:pt idx="155">
                  <c:v>35.376613747444488</c:v>
                </c:pt>
                <c:pt idx="156">
                  <c:v>34.941870886941359</c:v>
                </c:pt>
                <c:pt idx="157">
                  <c:v>34.537247433973882</c:v>
                </c:pt>
                <c:pt idx="158">
                  <c:v>34.089974155485443</c:v>
                </c:pt>
                <c:pt idx="159">
                  <c:v>33.692989189298757</c:v>
                </c:pt>
                <c:pt idx="160">
                  <c:v>33.406012858160764</c:v>
                </c:pt>
                <c:pt idx="161">
                  <c:v>33.076038199347771</c:v>
                </c:pt>
                <c:pt idx="162">
                  <c:v>32.835723741784498</c:v>
                </c:pt>
                <c:pt idx="163">
                  <c:v>32.594590776437805</c:v>
                </c:pt>
                <c:pt idx="164">
                  <c:v>32.353766212912824</c:v>
                </c:pt>
                <c:pt idx="165">
                  <c:v>32.170840298916161</c:v>
                </c:pt>
                <c:pt idx="166">
                  <c:v>31.977504520747413</c:v>
                </c:pt>
                <c:pt idx="167">
                  <c:v>31.662286013329886</c:v>
                </c:pt>
                <c:pt idx="168">
                  <c:v>31.306019379637682</c:v>
                </c:pt>
                <c:pt idx="169">
                  <c:v>30.889519521140958</c:v>
                </c:pt>
                <c:pt idx="170">
                  <c:v>30.549240545326541</c:v>
                </c:pt>
                <c:pt idx="171">
                  <c:v>30.390968784989848</c:v>
                </c:pt>
                <c:pt idx="172">
                  <c:v>29.992352323293492</c:v>
                </c:pt>
                <c:pt idx="173">
                  <c:v>29.586139667905005</c:v>
                </c:pt>
                <c:pt idx="174">
                  <c:v>29.466406243298731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66-404B-AE12-880E3E7D6E9B}"/>
            </c:ext>
          </c:extLst>
        </c:ser>
        <c:ser>
          <c:idx val="13"/>
          <c:order val="13"/>
          <c:tx>
            <c:strRef>
              <c:f>data_co2_incLUC!$R$2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data_co2_incLUC!$R$3:$R$177</c:f>
              <c:numCache>
                <c:formatCode>0.0</c:formatCode>
                <c:ptCount val="175"/>
                <c:pt idx="0">
                  <c:v>39.109000000000002</c:v>
                </c:pt>
                <c:pt idx="1">
                  <c:v>39.109000000000002</c:v>
                </c:pt>
                <c:pt idx="2">
                  <c:v>39.109000000000002</c:v>
                </c:pt>
                <c:pt idx="3">
                  <c:v>39.109000000000002</c:v>
                </c:pt>
                <c:pt idx="4">
                  <c:v>39.107999999999997</c:v>
                </c:pt>
                <c:pt idx="5">
                  <c:v>39.106000000000002</c:v>
                </c:pt>
                <c:pt idx="6">
                  <c:v>39.103999999999999</c:v>
                </c:pt>
                <c:pt idx="7">
                  <c:v>39.101999999999997</c:v>
                </c:pt>
                <c:pt idx="8">
                  <c:v>39.098999999999997</c:v>
                </c:pt>
                <c:pt idx="9">
                  <c:v>39.095999999999997</c:v>
                </c:pt>
                <c:pt idx="10">
                  <c:v>39.091999999999999</c:v>
                </c:pt>
                <c:pt idx="11">
                  <c:v>39.085999999999999</c:v>
                </c:pt>
                <c:pt idx="12">
                  <c:v>39.08</c:v>
                </c:pt>
                <c:pt idx="13">
                  <c:v>39.073</c:v>
                </c:pt>
                <c:pt idx="14">
                  <c:v>39.064999999999998</c:v>
                </c:pt>
                <c:pt idx="15">
                  <c:v>39.057000000000002</c:v>
                </c:pt>
                <c:pt idx="16">
                  <c:v>39.048000000000002</c:v>
                </c:pt>
                <c:pt idx="17">
                  <c:v>39.04</c:v>
                </c:pt>
                <c:pt idx="18">
                  <c:v>39.03</c:v>
                </c:pt>
                <c:pt idx="19">
                  <c:v>39.020000000000003</c:v>
                </c:pt>
                <c:pt idx="20">
                  <c:v>39.01</c:v>
                </c:pt>
                <c:pt idx="21">
                  <c:v>38.996000000000002</c:v>
                </c:pt>
                <c:pt idx="22">
                  <c:v>38.978000000000002</c:v>
                </c:pt>
                <c:pt idx="23">
                  <c:v>38.959000000000003</c:v>
                </c:pt>
                <c:pt idx="24">
                  <c:v>38.936999999999998</c:v>
                </c:pt>
                <c:pt idx="25">
                  <c:v>38.914999999999999</c:v>
                </c:pt>
                <c:pt idx="26">
                  <c:v>38.890999999999998</c:v>
                </c:pt>
                <c:pt idx="27">
                  <c:v>38.866999999999997</c:v>
                </c:pt>
                <c:pt idx="28">
                  <c:v>38.841000000000001</c:v>
                </c:pt>
                <c:pt idx="29">
                  <c:v>38.814999999999998</c:v>
                </c:pt>
                <c:pt idx="30">
                  <c:v>38.786000000000001</c:v>
                </c:pt>
                <c:pt idx="31">
                  <c:v>38.759</c:v>
                </c:pt>
                <c:pt idx="32">
                  <c:v>38.734000000000002</c:v>
                </c:pt>
                <c:pt idx="33">
                  <c:v>38.707999999999998</c:v>
                </c:pt>
                <c:pt idx="34">
                  <c:v>38.680999999999997</c:v>
                </c:pt>
                <c:pt idx="35">
                  <c:v>38.655000000000001</c:v>
                </c:pt>
                <c:pt idx="36">
                  <c:v>38.628999999999998</c:v>
                </c:pt>
                <c:pt idx="37">
                  <c:v>38.603000000000002</c:v>
                </c:pt>
                <c:pt idx="38">
                  <c:v>38.575000000000003</c:v>
                </c:pt>
                <c:pt idx="39">
                  <c:v>38.545000000000002</c:v>
                </c:pt>
                <c:pt idx="40">
                  <c:v>38.517000000000003</c:v>
                </c:pt>
                <c:pt idx="41">
                  <c:v>38.487000000000002</c:v>
                </c:pt>
                <c:pt idx="42">
                  <c:v>38.456000000000003</c:v>
                </c:pt>
                <c:pt idx="43">
                  <c:v>38.423999999999999</c:v>
                </c:pt>
                <c:pt idx="44">
                  <c:v>38.393000000000001</c:v>
                </c:pt>
                <c:pt idx="45">
                  <c:v>38.360999999999997</c:v>
                </c:pt>
                <c:pt idx="46">
                  <c:v>38.326999999999998</c:v>
                </c:pt>
                <c:pt idx="47">
                  <c:v>38.292000000000002</c:v>
                </c:pt>
                <c:pt idx="48">
                  <c:v>38.256</c:v>
                </c:pt>
                <c:pt idx="49">
                  <c:v>38.218000000000004</c:v>
                </c:pt>
                <c:pt idx="50">
                  <c:v>38.176000000000002</c:v>
                </c:pt>
                <c:pt idx="51">
                  <c:v>38.133000000000003</c:v>
                </c:pt>
                <c:pt idx="52">
                  <c:v>38.091999999999999</c:v>
                </c:pt>
                <c:pt idx="53">
                  <c:v>38.048999999999999</c:v>
                </c:pt>
                <c:pt idx="54">
                  <c:v>38.003</c:v>
                </c:pt>
                <c:pt idx="55">
                  <c:v>37.957000000000001</c:v>
                </c:pt>
                <c:pt idx="56">
                  <c:v>37.908000000000001</c:v>
                </c:pt>
                <c:pt idx="57">
                  <c:v>37.857999999999997</c:v>
                </c:pt>
                <c:pt idx="58">
                  <c:v>37.799999999999997</c:v>
                </c:pt>
                <c:pt idx="59">
                  <c:v>37.746000000000002</c:v>
                </c:pt>
                <c:pt idx="60">
                  <c:v>37.689</c:v>
                </c:pt>
                <c:pt idx="61">
                  <c:v>37.628</c:v>
                </c:pt>
                <c:pt idx="62">
                  <c:v>37.566000000000003</c:v>
                </c:pt>
                <c:pt idx="63">
                  <c:v>37.500999999999998</c:v>
                </c:pt>
                <c:pt idx="64">
                  <c:v>37.43</c:v>
                </c:pt>
                <c:pt idx="65">
                  <c:v>37.365000000000002</c:v>
                </c:pt>
                <c:pt idx="66">
                  <c:v>37.301000000000002</c:v>
                </c:pt>
                <c:pt idx="67">
                  <c:v>37.231999999999999</c:v>
                </c:pt>
                <c:pt idx="68">
                  <c:v>37.158000000000001</c:v>
                </c:pt>
                <c:pt idx="69">
                  <c:v>37.081000000000003</c:v>
                </c:pt>
                <c:pt idx="70">
                  <c:v>37.012</c:v>
                </c:pt>
                <c:pt idx="71">
                  <c:v>36.94</c:v>
                </c:pt>
                <c:pt idx="72">
                  <c:v>36.881</c:v>
                </c:pt>
                <c:pt idx="73">
                  <c:v>36.819000000000003</c:v>
                </c:pt>
                <c:pt idx="74">
                  <c:v>36.747999999999998</c:v>
                </c:pt>
                <c:pt idx="75">
                  <c:v>36.677</c:v>
                </c:pt>
                <c:pt idx="76">
                  <c:v>36.604999999999997</c:v>
                </c:pt>
                <c:pt idx="77">
                  <c:v>36.537999999999997</c:v>
                </c:pt>
                <c:pt idx="78">
                  <c:v>36.463000000000001</c:v>
                </c:pt>
                <c:pt idx="79">
                  <c:v>36.390999999999998</c:v>
                </c:pt>
                <c:pt idx="80">
                  <c:v>36.314</c:v>
                </c:pt>
                <c:pt idx="81">
                  <c:v>36.250999999999998</c:v>
                </c:pt>
                <c:pt idx="82">
                  <c:v>36.201999999999998</c:v>
                </c:pt>
                <c:pt idx="83">
                  <c:v>36.167000000000002</c:v>
                </c:pt>
                <c:pt idx="84">
                  <c:v>36.128</c:v>
                </c:pt>
                <c:pt idx="85">
                  <c:v>36.085999999999999</c:v>
                </c:pt>
                <c:pt idx="86">
                  <c:v>36.042999999999999</c:v>
                </c:pt>
                <c:pt idx="87">
                  <c:v>35.994</c:v>
                </c:pt>
                <c:pt idx="88">
                  <c:v>35.941000000000003</c:v>
                </c:pt>
                <c:pt idx="89">
                  <c:v>35.898000000000003</c:v>
                </c:pt>
                <c:pt idx="90">
                  <c:v>35.848999999999997</c:v>
                </c:pt>
                <c:pt idx="91">
                  <c:v>35.799999999999997</c:v>
                </c:pt>
                <c:pt idx="92">
                  <c:v>35.746000000000002</c:v>
                </c:pt>
                <c:pt idx="93">
                  <c:v>35.685000000000002</c:v>
                </c:pt>
                <c:pt idx="94">
                  <c:v>35.622</c:v>
                </c:pt>
                <c:pt idx="95">
                  <c:v>35.558</c:v>
                </c:pt>
                <c:pt idx="96">
                  <c:v>35.512999999999998</c:v>
                </c:pt>
                <c:pt idx="97">
                  <c:v>35.462000000000003</c:v>
                </c:pt>
                <c:pt idx="98">
                  <c:v>35.4</c:v>
                </c:pt>
                <c:pt idx="99">
                  <c:v>35.33</c:v>
                </c:pt>
                <c:pt idx="100">
                  <c:v>35.271999999999998</c:v>
                </c:pt>
                <c:pt idx="101">
                  <c:v>35.216999999999999</c:v>
                </c:pt>
                <c:pt idx="102">
                  <c:v>35.167000000000002</c:v>
                </c:pt>
                <c:pt idx="103">
                  <c:v>35.119999999999997</c:v>
                </c:pt>
                <c:pt idx="104">
                  <c:v>35.073999999999998</c:v>
                </c:pt>
                <c:pt idx="105">
                  <c:v>35.04</c:v>
                </c:pt>
                <c:pt idx="106">
                  <c:v>35</c:v>
                </c:pt>
                <c:pt idx="107">
                  <c:v>34.956000000000003</c:v>
                </c:pt>
                <c:pt idx="108">
                  <c:v>34.918999999999997</c:v>
                </c:pt>
                <c:pt idx="109">
                  <c:v>34.893999999999998</c:v>
                </c:pt>
                <c:pt idx="110">
                  <c:v>34.883000000000003</c:v>
                </c:pt>
                <c:pt idx="111">
                  <c:v>34.85</c:v>
                </c:pt>
                <c:pt idx="112">
                  <c:v>34.816000000000003</c:v>
                </c:pt>
                <c:pt idx="113">
                  <c:v>34.762</c:v>
                </c:pt>
                <c:pt idx="114">
                  <c:v>34.703000000000003</c:v>
                </c:pt>
                <c:pt idx="115">
                  <c:v>34.631</c:v>
                </c:pt>
                <c:pt idx="116">
                  <c:v>34.549999999999997</c:v>
                </c:pt>
                <c:pt idx="117">
                  <c:v>34.457000000000001</c:v>
                </c:pt>
                <c:pt idx="118">
                  <c:v>34.334000000000003</c:v>
                </c:pt>
                <c:pt idx="119">
                  <c:v>34.195999999999998</c:v>
                </c:pt>
                <c:pt idx="120">
                  <c:v>34.075000000000003</c:v>
                </c:pt>
                <c:pt idx="121">
                  <c:v>33.944000000000003</c:v>
                </c:pt>
                <c:pt idx="122">
                  <c:v>33.802999999999997</c:v>
                </c:pt>
                <c:pt idx="123">
                  <c:v>33.661999999999999</c:v>
                </c:pt>
                <c:pt idx="124">
                  <c:v>33.506</c:v>
                </c:pt>
                <c:pt idx="125">
                  <c:v>33.360999999999997</c:v>
                </c:pt>
                <c:pt idx="126">
                  <c:v>33.229999999999997</c:v>
                </c:pt>
                <c:pt idx="127">
                  <c:v>33.082999999999998</c:v>
                </c:pt>
                <c:pt idx="128">
                  <c:v>32.936999999999998</c:v>
                </c:pt>
                <c:pt idx="129">
                  <c:v>32.792000000000002</c:v>
                </c:pt>
                <c:pt idx="130">
                  <c:v>32.622</c:v>
                </c:pt>
                <c:pt idx="131">
                  <c:v>32.466000000000001</c:v>
                </c:pt>
                <c:pt idx="132">
                  <c:v>32.317</c:v>
                </c:pt>
                <c:pt idx="133">
                  <c:v>32.186999999999998</c:v>
                </c:pt>
                <c:pt idx="134">
                  <c:v>32.063000000000002</c:v>
                </c:pt>
                <c:pt idx="135">
                  <c:v>31.945</c:v>
                </c:pt>
                <c:pt idx="136">
                  <c:v>31.847000000000001</c:v>
                </c:pt>
                <c:pt idx="137">
                  <c:v>31.760999999999999</c:v>
                </c:pt>
                <c:pt idx="138">
                  <c:v>31.655999999999999</c:v>
                </c:pt>
                <c:pt idx="139">
                  <c:v>31.532</c:v>
                </c:pt>
                <c:pt idx="140">
                  <c:v>31.388000000000002</c:v>
                </c:pt>
                <c:pt idx="141">
                  <c:v>31.204999999999998</c:v>
                </c:pt>
                <c:pt idx="142">
                  <c:v>31.027999999999999</c:v>
                </c:pt>
                <c:pt idx="143">
                  <c:v>30.827999999999999</c:v>
                </c:pt>
                <c:pt idx="144">
                  <c:v>30.616</c:v>
                </c:pt>
                <c:pt idx="145">
                  <c:v>30.413</c:v>
                </c:pt>
                <c:pt idx="146">
                  <c:v>30.184999999999999</c:v>
                </c:pt>
                <c:pt idx="147">
                  <c:v>29.942</c:v>
                </c:pt>
                <c:pt idx="148">
                  <c:v>29.736999999999998</c:v>
                </c:pt>
                <c:pt idx="149">
                  <c:v>29.463000000000001</c:v>
                </c:pt>
                <c:pt idx="150">
                  <c:v>29.17</c:v>
                </c:pt>
                <c:pt idx="151">
                  <c:v>28.826000000000001</c:v>
                </c:pt>
                <c:pt idx="152">
                  <c:v>28.466999999999999</c:v>
                </c:pt>
                <c:pt idx="153">
                  <c:v>28.113</c:v>
                </c:pt>
                <c:pt idx="154">
                  <c:v>27.771999999999998</c:v>
                </c:pt>
                <c:pt idx="155">
                  <c:v>27.396000000000001</c:v>
                </c:pt>
                <c:pt idx="156">
                  <c:v>26.998000000000001</c:v>
                </c:pt>
                <c:pt idx="157">
                  <c:v>26.664000000000001</c:v>
                </c:pt>
                <c:pt idx="158">
                  <c:v>26.289000000000001</c:v>
                </c:pt>
                <c:pt idx="159">
                  <c:v>25.931999999999999</c:v>
                </c:pt>
                <c:pt idx="160">
                  <c:v>25.699000000000002</c:v>
                </c:pt>
                <c:pt idx="161">
                  <c:v>25.405000000000001</c:v>
                </c:pt>
                <c:pt idx="162">
                  <c:v>25.204999999999998</c:v>
                </c:pt>
                <c:pt idx="163">
                  <c:v>25.047999999999998</c:v>
                </c:pt>
                <c:pt idx="164">
                  <c:v>24.853000000000002</c:v>
                </c:pt>
                <c:pt idx="165">
                  <c:v>24.672000000000001</c:v>
                </c:pt>
                <c:pt idx="166">
                  <c:v>24.509</c:v>
                </c:pt>
                <c:pt idx="167">
                  <c:v>24.244</c:v>
                </c:pt>
                <c:pt idx="168">
                  <c:v>23.946000000000002</c:v>
                </c:pt>
                <c:pt idx="169">
                  <c:v>23.582999999999998</c:v>
                </c:pt>
                <c:pt idx="170">
                  <c:v>23.265999999999998</c:v>
                </c:pt>
                <c:pt idx="171">
                  <c:v>23.103000000000002</c:v>
                </c:pt>
                <c:pt idx="172">
                  <c:v>22.744</c:v>
                </c:pt>
                <c:pt idx="173">
                  <c:v>22.321000000000002</c:v>
                </c:pt>
                <c:pt idx="174">
                  <c:v>22.143999999999998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C66-404B-AE12-880E3E7D6E9B}"/>
            </c:ext>
          </c:extLst>
        </c:ser>
        <c:ser>
          <c:idx val="14"/>
          <c:order val="14"/>
          <c:tx>
            <c:strRef>
              <c:f>data_co2_incLUC!$S$2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data_co2_incLUC!$S$3:$S$177</c:f>
              <c:numCache>
                <c:formatCode>0.0</c:formatCode>
                <c:ptCount val="175"/>
                <c:pt idx="0">
                  <c:v>52.337000000000003</c:v>
                </c:pt>
                <c:pt idx="1">
                  <c:v>52.337000000000003</c:v>
                </c:pt>
                <c:pt idx="2">
                  <c:v>52.33</c:v>
                </c:pt>
                <c:pt idx="3">
                  <c:v>52.323</c:v>
                </c:pt>
                <c:pt idx="4">
                  <c:v>52.314999999999998</c:v>
                </c:pt>
                <c:pt idx="5">
                  <c:v>52.305999999999997</c:v>
                </c:pt>
                <c:pt idx="6">
                  <c:v>52.296999999999997</c:v>
                </c:pt>
                <c:pt idx="7">
                  <c:v>52.287999999999997</c:v>
                </c:pt>
                <c:pt idx="8">
                  <c:v>52.277999999999999</c:v>
                </c:pt>
                <c:pt idx="9">
                  <c:v>52.268000000000001</c:v>
                </c:pt>
                <c:pt idx="10">
                  <c:v>52.256999999999998</c:v>
                </c:pt>
                <c:pt idx="11">
                  <c:v>52.244</c:v>
                </c:pt>
                <c:pt idx="12">
                  <c:v>52.231000000000002</c:v>
                </c:pt>
                <c:pt idx="13">
                  <c:v>52.216000000000001</c:v>
                </c:pt>
                <c:pt idx="14">
                  <c:v>52.201000000000001</c:v>
                </c:pt>
                <c:pt idx="15">
                  <c:v>52.185000000000002</c:v>
                </c:pt>
                <c:pt idx="16">
                  <c:v>52.167999999999999</c:v>
                </c:pt>
                <c:pt idx="17">
                  <c:v>52.151000000000003</c:v>
                </c:pt>
                <c:pt idx="18">
                  <c:v>52.133000000000003</c:v>
                </c:pt>
                <c:pt idx="19">
                  <c:v>52.113999999999997</c:v>
                </c:pt>
                <c:pt idx="20">
                  <c:v>52.095999999999997</c:v>
                </c:pt>
                <c:pt idx="21">
                  <c:v>52.072000000000003</c:v>
                </c:pt>
                <c:pt idx="22">
                  <c:v>52.045999999999999</c:v>
                </c:pt>
                <c:pt idx="23">
                  <c:v>52.018000000000001</c:v>
                </c:pt>
                <c:pt idx="24">
                  <c:v>51.988999999999997</c:v>
                </c:pt>
                <c:pt idx="25">
                  <c:v>51.957999999999998</c:v>
                </c:pt>
                <c:pt idx="26">
                  <c:v>51.926000000000002</c:v>
                </c:pt>
                <c:pt idx="27">
                  <c:v>51.892000000000003</c:v>
                </c:pt>
                <c:pt idx="28">
                  <c:v>51.857999999999997</c:v>
                </c:pt>
                <c:pt idx="29">
                  <c:v>51.822000000000003</c:v>
                </c:pt>
                <c:pt idx="30">
                  <c:v>51.783999999999999</c:v>
                </c:pt>
                <c:pt idx="31">
                  <c:v>51.747999999999998</c:v>
                </c:pt>
                <c:pt idx="32">
                  <c:v>51.713000000000001</c:v>
                </c:pt>
                <c:pt idx="33">
                  <c:v>51.677999999999997</c:v>
                </c:pt>
                <c:pt idx="34">
                  <c:v>51.640999999999998</c:v>
                </c:pt>
                <c:pt idx="35">
                  <c:v>51.603999999999999</c:v>
                </c:pt>
                <c:pt idx="36">
                  <c:v>51.566000000000003</c:v>
                </c:pt>
                <c:pt idx="37">
                  <c:v>51.529000000000003</c:v>
                </c:pt>
                <c:pt idx="38">
                  <c:v>51.491999999999997</c:v>
                </c:pt>
                <c:pt idx="39">
                  <c:v>51.451999999999998</c:v>
                </c:pt>
                <c:pt idx="40">
                  <c:v>51.412999999999997</c:v>
                </c:pt>
                <c:pt idx="41">
                  <c:v>51.369</c:v>
                </c:pt>
                <c:pt idx="42">
                  <c:v>51.325000000000003</c:v>
                </c:pt>
                <c:pt idx="43">
                  <c:v>51.279000000000003</c:v>
                </c:pt>
                <c:pt idx="44">
                  <c:v>51.232999999999997</c:v>
                </c:pt>
                <c:pt idx="45">
                  <c:v>51.185000000000002</c:v>
                </c:pt>
                <c:pt idx="46">
                  <c:v>51.137</c:v>
                </c:pt>
                <c:pt idx="47">
                  <c:v>51.087000000000003</c:v>
                </c:pt>
                <c:pt idx="48">
                  <c:v>51.034999999999997</c:v>
                </c:pt>
                <c:pt idx="49">
                  <c:v>50.98</c:v>
                </c:pt>
                <c:pt idx="50">
                  <c:v>50.923000000000002</c:v>
                </c:pt>
                <c:pt idx="51">
                  <c:v>50.863</c:v>
                </c:pt>
                <c:pt idx="52">
                  <c:v>50.802</c:v>
                </c:pt>
                <c:pt idx="53">
                  <c:v>50.741</c:v>
                </c:pt>
                <c:pt idx="54">
                  <c:v>50.674999999999997</c:v>
                </c:pt>
                <c:pt idx="55">
                  <c:v>50.607999999999997</c:v>
                </c:pt>
                <c:pt idx="56">
                  <c:v>50.536999999999999</c:v>
                </c:pt>
                <c:pt idx="57">
                  <c:v>50.465000000000003</c:v>
                </c:pt>
                <c:pt idx="58">
                  <c:v>50.384</c:v>
                </c:pt>
                <c:pt idx="59">
                  <c:v>50.305</c:v>
                </c:pt>
                <c:pt idx="60">
                  <c:v>50.222999999999999</c:v>
                </c:pt>
                <c:pt idx="61">
                  <c:v>50.148000000000003</c:v>
                </c:pt>
                <c:pt idx="62">
                  <c:v>50.075000000000003</c:v>
                </c:pt>
                <c:pt idx="63">
                  <c:v>50.000999999999998</c:v>
                </c:pt>
                <c:pt idx="64">
                  <c:v>49.923999999999999</c:v>
                </c:pt>
                <c:pt idx="65">
                  <c:v>49.854999999999997</c:v>
                </c:pt>
                <c:pt idx="66">
                  <c:v>49.79</c:v>
                </c:pt>
                <c:pt idx="67">
                  <c:v>49.719000000000001</c:v>
                </c:pt>
                <c:pt idx="68">
                  <c:v>49.648000000000003</c:v>
                </c:pt>
                <c:pt idx="69">
                  <c:v>49.578000000000003</c:v>
                </c:pt>
                <c:pt idx="70">
                  <c:v>49.521000000000001</c:v>
                </c:pt>
                <c:pt idx="71">
                  <c:v>49.456000000000003</c:v>
                </c:pt>
                <c:pt idx="72">
                  <c:v>49.401000000000003</c:v>
                </c:pt>
                <c:pt idx="73">
                  <c:v>49.343000000000004</c:v>
                </c:pt>
                <c:pt idx="74">
                  <c:v>49.277999999999999</c:v>
                </c:pt>
                <c:pt idx="75">
                  <c:v>49.213999999999999</c:v>
                </c:pt>
                <c:pt idx="76">
                  <c:v>49.148000000000003</c:v>
                </c:pt>
                <c:pt idx="77">
                  <c:v>49.082999999999998</c:v>
                </c:pt>
                <c:pt idx="78">
                  <c:v>49.011000000000003</c:v>
                </c:pt>
                <c:pt idx="79">
                  <c:v>48.941000000000003</c:v>
                </c:pt>
                <c:pt idx="80">
                  <c:v>48.863999999999997</c:v>
                </c:pt>
                <c:pt idx="81">
                  <c:v>48.792000000000002</c:v>
                </c:pt>
                <c:pt idx="82">
                  <c:v>48.728000000000002</c:v>
                </c:pt>
                <c:pt idx="83">
                  <c:v>48.673000000000002</c:v>
                </c:pt>
                <c:pt idx="84">
                  <c:v>48.615000000000002</c:v>
                </c:pt>
                <c:pt idx="85">
                  <c:v>48.552</c:v>
                </c:pt>
                <c:pt idx="86">
                  <c:v>48.484999999999999</c:v>
                </c:pt>
                <c:pt idx="87">
                  <c:v>48.411000000000001</c:v>
                </c:pt>
                <c:pt idx="88">
                  <c:v>48.331000000000003</c:v>
                </c:pt>
                <c:pt idx="89">
                  <c:v>48.258000000000003</c:v>
                </c:pt>
                <c:pt idx="90">
                  <c:v>48.18</c:v>
                </c:pt>
                <c:pt idx="91">
                  <c:v>48.109000000000002</c:v>
                </c:pt>
                <c:pt idx="92">
                  <c:v>48.043999999999997</c:v>
                </c:pt>
                <c:pt idx="93">
                  <c:v>47.982999999999997</c:v>
                </c:pt>
                <c:pt idx="94">
                  <c:v>47.923999999999999</c:v>
                </c:pt>
                <c:pt idx="95">
                  <c:v>47.866999999999997</c:v>
                </c:pt>
                <c:pt idx="96">
                  <c:v>47.832000000000001</c:v>
                </c:pt>
                <c:pt idx="97">
                  <c:v>47.792000000000002</c:v>
                </c:pt>
                <c:pt idx="98">
                  <c:v>47.744999999999997</c:v>
                </c:pt>
                <c:pt idx="99">
                  <c:v>47.692</c:v>
                </c:pt>
                <c:pt idx="100">
                  <c:v>47.649000000000001</c:v>
                </c:pt>
                <c:pt idx="101">
                  <c:v>47.606000000000002</c:v>
                </c:pt>
                <c:pt idx="102">
                  <c:v>47.564</c:v>
                </c:pt>
                <c:pt idx="103">
                  <c:v>47.518999999999998</c:v>
                </c:pt>
                <c:pt idx="104">
                  <c:v>47.472000000000001</c:v>
                </c:pt>
                <c:pt idx="105">
                  <c:v>47.430999999999997</c:v>
                </c:pt>
                <c:pt idx="106">
                  <c:v>47.381</c:v>
                </c:pt>
                <c:pt idx="107">
                  <c:v>47.323</c:v>
                </c:pt>
                <c:pt idx="108">
                  <c:v>47.265999999999998</c:v>
                </c:pt>
                <c:pt idx="109">
                  <c:v>47.216000000000001</c:v>
                </c:pt>
                <c:pt idx="110">
                  <c:v>47.164999999999999</c:v>
                </c:pt>
                <c:pt idx="111">
                  <c:v>47.097000000000001</c:v>
                </c:pt>
                <c:pt idx="112">
                  <c:v>47.024000000000001</c:v>
                </c:pt>
                <c:pt idx="113">
                  <c:v>46.94</c:v>
                </c:pt>
                <c:pt idx="114">
                  <c:v>46.844999999999999</c:v>
                </c:pt>
                <c:pt idx="115">
                  <c:v>46.734999999999999</c:v>
                </c:pt>
                <c:pt idx="116">
                  <c:v>46.613</c:v>
                </c:pt>
                <c:pt idx="117">
                  <c:v>46.476999999999997</c:v>
                </c:pt>
                <c:pt idx="118">
                  <c:v>46.308999999999997</c:v>
                </c:pt>
                <c:pt idx="119">
                  <c:v>46.118000000000002</c:v>
                </c:pt>
                <c:pt idx="120">
                  <c:v>45.948999999999998</c:v>
                </c:pt>
                <c:pt idx="121">
                  <c:v>45.76</c:v>
                </c:pt>
                <c:pt idx="122">
                  <c:v>45.56</c:v>
                </c:pt>
                <c:pt idx="123">
                  <c:v>45.359000000000002</c:v>
                </c:pt>
                <c:pt idx="124">
                  <c:v>45.136000000000003</c:v>
                </c:pt>
                <c:pt idx="125">
                  <c:v>44.914000000000001</c:v>
                </c:pt>
                <c:pt idx="126">
                  <c:v>44.695</c:v>
                </c:pt>
                <c:pt idx="127">
                  <c:v>44.451000000000001</c:v>
                </c:pt>
                <c:pt idx="128">
                  <c:v>44.206000000000003</c:v>
                </c:pt>
                <c:pt idx="129">
                  <c:v>43.953000000000003</c:v>
                </c:pt>
                <c:pt idx="130">
                  <c:v>43.671999999999997</c:v>
                </c:pt>
                <c:pt idx="131">
                  <c:v>43.383000000000003</c:v>
                </c:pt>
                <c:pt idx="132">
                  <c:v>43.109000000000002</c:v>
                </c:pt>
                <c:pt idx="133">
                  <c:v>42.84</c:v>
                </c:pt>
                <c:pt idx="134">
                  <c:v>42.572000000000003</c:v>
                </c:pt>
                <c:pt idx="135">
                  <c:v>42.308999999999997</c:v>
                </c:pt>
                <c:pt idx="136">
                  <c:v>42.046999999999997</c:v>
                </c:pt>
                <c:pt idx="137">
                  <c:v>41.790999999999997</c:v>
                </c:pt>
                <c:pt idx="138">
                  <c:v>41.51</c:v>
                </c:pt>
                <c:pt idx="139">
                  <c:v>41.204999999999998</c:v>
                </c:pt>
                <c:pt idx="140">
                  <c:v>40.884</c:v>
                </c:pt>
                <c:pt idx="141">
                  <c:v>40.512999999999998</c:v>
                </c:pt>
                <c:pt idx="142">
                  <c:v>40.167999999999999</c:v>
                </c:pt>
                <c:pt idx="143">
                  <c:v>39.841999999999999</c:v>
                </c:pt>
                <c:pt idx="144">
                  <c:v>39.521999999999998</c:v>
                </c:pt>
                <c:pt idx="145">
                  <c:v>39.249000000000002</c:v>
                </c:pt>
                <c:pt idx="146">
                  <c:v>38.962000000000003</c:v>
                </c:pt>
                <c:pt idx="147">
                  <c:v>38.628999999999998</c:v>
                </c:pt>
                <c:pt idx="148">
                  <c:v>38.393999999999998</c:v>
                </c:pt>
                <c:pt idx="149">
                  <c:v>38.081000000000003</c:v>
                </c:pt>
                <c:pt idx="150">
                  <c:v>37.750999999999998</c:v>
                </c:pt>
                <c:pt idx="151">
                  <c:v>37.384999999999998</c:v>
                </c:pt>
                <c:pt idx="152">
                  <c:v>36.993000000000002</c:v>
                </c:pt>
                <c:pt idx="153">
                  <c:v>36.625</c:v>
                </c:pt>
                <c:pt idx="154">
                  <c:v>36.276000000000003</c:v>
                </c:pt>
                <c:pt idx="155">
                  <c:v>35.892000000000003</c:v>
                </c:pt>
                <c:pt idx="156">
                  <c:v>35.479999999999997</c:v>
                </c:pt>
                <c:pt idx="157">
                  <c:v>35.128999999999998</c:v>
                </c:pt>
                <c:pt idx="158">
                  <c:v>34.720999999999997</c:v>
                </c:pt>
                <c:pt idx="159">
                  <c:v>34.347999999999999</c:v>
                </c:pt>
                <c:pt idx="160">
                  <c:v>34.100999999999999</c:v>
                </c:pt>
                <c:pt idx="161">
                  <c:v>33.771999999999998</c:v>
                </c:pt>
                <c:pt idx="162">
                  <c:v>33.575000000000003</c:v>
                </c:pt>
                <c:pt idx="163">
                  <c:v>33.384</c:v>
                </c:pt>
                <c:pt idx="164">
                  <c:v>33.192999999999998</c:v>
                </c:pt>
                <c:pt idx="165">
                  <c:v>33.061</c:v>
                </c:pt>
                <c:pt idx="166">
                  <c:v>32.884999999999998</c:v>
                </c:pt>
                <c:pt idx="167">
                  <c:v>32.567</c:v>
                </c:pt>
                <c:pt idx="168">
                  <c:v>32.201999999999998</c:v>
                </c:pt>
                <c:pt idx="169">
                  <c:v>31.783999999999999</c:v>
                </c:pt>
                <c:pt idx="170">
                  <c:v>31.456</c:v>
                </c:pt>
                <c:pt idx="171">
                  <c:v>31.286999999999999</c:v>
                </c:pt>
                <c:pt idx="172">
                  <c:v>30.89</c:v>
                </c:pt>
                <c:pt idx="173">
                  <c:v>30.475999999999999</c:v>
                </c:pt>
                <c:pt idx="174">
                  <c:v>30.327999999999999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66-404B-AE12-880E3E7D6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Cumulative CO</a:t>
            </a:r>
            <a:r>
              <a:rPr lang="en-US" baseline="-25000"/>
              <a:t>2</a:t>
            </a:r>
            <a:r>
              <a:rPr lang="en-US"/>
              <a:t> emissions excluding LULUCF to 2024, different start points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0.0</c:formatCode>
                <c:ptCount val="175"/>
                <c:pt idx="0">
                  <c:v>48.501612141772895</c:v>
                </c:pt>
                <c:pt idx="1">
                  <c:v>48.496162864785717</c:v>
                </c:pt>
                <c:pt idx="2">
                  <c:v>48.490661635183308</c:v>
                </c:pt>
                <c:pt idx="3">
                  <c:v>48.484939261005685</c:v>
                </c:pt>
                <c:pt idx="4">
                  <c:v>48.478939614799579</c:v>
                </c:pt>
                <c:pt idx="5">
                  <c:v>48.471878208879225</c:v>
                </c:pt>
                <c:pt idx="6">
                  <c:v>48.464714471940731</c:v>
                </c:pt>
                <c:pt idx="7">
                  <c:v>48.457079057286954</c:v>
                </c:pt>
                <c:pt idx="8">
                  <c:v>48.44938150997816</c:v>
                </c:pt>
                <c:pt idx="9">
                  <c:v>48.441629209052763</c:v>
                </c:pt>
                <c:pt idx="10">
                  <c:v>48.433392881258982</c:v>
                </c:pt>
                <c:pt idx="11">
                  <c:v>48.424364983907545</c:v>
                </c:pt>
                <c:pt idx="12">
                  <c:v>48.414869993224393</c:v>
                </c:pt>
                <c:pt idx="13">
                  <c:v>48.405281911605428</c:v>
                </c:pt>
                <c:pt idx="14">
                  <c:v>48.395127364908781</c:v>
                </c:pt>
                <c:pt idx="15">
                  <c:v>48.384222996400339</c:v>
                </c:pt>
                <c:pt idx="16">
                  <c:v>48.372690963053095</c:v>
                </c:pt>
                <c:pt idx="17">
                  <c:v>48.360908490006452</c:v>
                </c:pt>
                <c:pt idx="18">
                  <c:v>48.348298915667954</c:v>
                </c:pt>
                <c:pt idx="19">
                  <c:v>48.335397234575858</c:v>
                </c:pt>
                <c:pt idx="20">
                  <c:v>48.321749880091843</c:v>
                </c:pt>
                <c:pt idx="21">
                  <c:v>48.30786034641509</c:v>
                </c:pt>
                <c:pt idx="22">
                  <c:v>48.293247009330464</c:v>
                </c:pt>
                <c:pt idx="23">
                  <c:v>48.27700014284526</c:v>
                </c:pt>
                <c:pt idx="24">
                  <c:v>48.259720478424882</c:v>
                </c:pt>
                <c:pt idx="25">
                  <c:v>48.24388966645337</c:v>
                </c:pt>
                <c:pt idx="26">
                  <c:v>48.226527585633441</c:v>
                </c:pt>
                <c:pt idx="27">
                  <c:v>48.209386816578267</c:v>
                </c:pt>
                <c:pt idx="28">
                  <c:v>48.191827895504687</c:v>
                </c:pt>
                <c:pt idx="29">
                  <c:v>48.174431181906677</c:v>
                </c:pt>
                <c:pt idx="30">
                  <c:v>48.155720621742759</c:v>
                </c:pt>
                <c:pt idx="31">
                  <c:v>48.134211574835298</c:v>
                </c:pt>
                <c:pt idx="32">
                  <c:v>48.112032569583839</c:v>
                </c:pt>
                <c:pt idx="33">
                  <c:v>48.088490225912665</c:v>
                </c:pt>
                <c:pt idx="34">
                  <c:v>48.063572844200415</c:v>
                </c:pt>
                <c:pt idx="35">
                  <c:v>48.038447055964156</c:v>
                </c:pt>
                <c:pt idx="36">
                  <c:v>48.013262351726546</c:v>
                </c:pt>
                <c:pt idx="37">
                  <c:v>47.987748424494619</c:v>
                </c:pt>
                <c:pt idx="38">
                  <c:v>47.960931987773684</c:v>
                </c:pt>
                <c:pt idx="39">
                  <c:v>47.931056959052086</c:v>
                </c:pt>
                <c:pt idx="40">
                  <c:v>47.901577951085152</c:v>
                </c:pt>
                <c:pt idx="41">
                  <c:v>47.869334554917984</c:v>
                </c:pt>
                <c:pt idx="42">
                  <c:v>47.83569097985032</c:v>
                </c:pt>
                <c:pt idx="43">
                  <c:v>47.801778138157786</c:v>
                </c:pt>
                <c:pt idx="44">
                  <c:v>47.768897169632382</c:v>
                </c:pt>
                <c:pt idx="45">
                  <c:v>47.734727511783639</c:v>
                </c:pt>
                <c:pt idx="46">
                  <c:v>47.69875111395622</c:v>
                </c:pt>
                <c:pt idx="47">
                  <c:v>47.661697880120826</c:v>
                </c:pt>
                <c:pt idx="48">
                  <c:v>47.623098180542186</c:v>
                </c:pt>
                <c:pt idx="49">
                  <c:v>47.582714938970227</c:v>
                </c:pt>
                <c:pt idx="50">
                  <c:v>47.538203995252609</c:v>
                </c:pt>
                <c:pt idx="51">
                  <c:v>47.491030618934602</c:v>
                </c:pt>
                <c:pt idx="52">
                  <c:v>47.442789048330638</c:v>
                </c:pt>
                <c:pt idx="53">
                  <c:v>47.392865517444996</c:v>
                </c:pt>
                <c:pt idx="54">
                  <c:v>47.337593755153087</c:v>
                </c:pt>
                <c:pt idx="55">
                  <c:v>47.28229004810288</c:v>
                </c:pt>
                <c:pt idx="56">
                  <c:v>47.222434369726123</c:v>
                </c:pt>
                <c:pt idx="57">
                  <c:v>47.160964532708874</c:v>
                </c:pt>
                <c:pt idx="58">
                  <c:v>47.090483565010715</c:v>
                </c:pt>
                <c:pt idx="59">
                  <c:v>47.024122890992935</c:v>
                </c:pt>
                <c:pt idx="60">
                  <c:v>46.95474264159666</c:v>
                </c:pt>
                <c:pt idx="61">
                  <c:v>46.880730359673976</c:v>
                </c:pt>
                <c:pt idx="62">
                  <c:v>46.806398301919131</c:v>
                </c:pt>
                <c:pt idx="63">
                  <c:v>46.727945644771459</c:v>
                </c:pt>
                <c:pt idx="64">
                  <c:v>46.642810312579826</c:v>
                </c:pt>
                <c:pt idx="65">
                  <c:v>46.565140051004107</c:v>
                </c:pt>
                <c:pt idx="66">
                  <c:v>46.488152729834454</c:v>
                </c:pt>
                <c:pt idx="67">
                  <c:v>46.405107966593675</c:v>
                </c:pt>
                <c:pt idx="68">
                  <c:v>46.318283804951434</c:v>
                </c:pt>
                <c:pt idx="69">
                  <c:v>46.227868368340694</c:v>
                </c:pt>
                <c:pt idx="70">
                  <c:v>46.14680777975483</c:v>
                </c:pt>
                <c:pt idx="71">
                  <c:v>46.055860748105054</c:v>
                </c:pt>
                <c:pt idx="72">
                  <c:v>45.979599499130579</c:v>
                </c:pt>
                <c:pt idx="73">
                  <c:v>45.898087832772497</c:v>
                </c:pt>
                <c:pt idx="74">
                  <c:v>45.802146125794032</c:v>
                </c:pt>
                <c:pt idx="75">
                  <c:v>45.706852941275493</c:v>
                </c:pt>
                <c:pt idx="76">
                  <c:v>45.609095037121435</c:v>
                </c:pt>
                <c:pt idx="77">
                  <c:v>45.514533187103787</c:v>
                </c:pt>
                <c:pt idx="78">
                  <c:v>45.410487980853624</c:v>
                </c:pt>
                <c:pt idx="79">
                  <c:v>45.308601442835453</c:v>
                </c:pt>
                <c:pt idx="80">
                  <c:v>45.198883434622203</c:v>
                </c:pt>
                <c:pt idx="81">
                  <c:v>45.100928679115491</c:v>
                </c:pt>
                <c:pt idx="82">
                  <c:v>45.017075876325805</c:v>
                </c:pt>
                <c:pt idx="83">
                  <c:v>44.944644961231255</c:v>
                </c:pt>
                <c:pt idx="84">
                  <c:v>44.868531045303413</c:v>
                </c:pt>
                <c:pt idx="85">
                  <c:v>44.787648010794484</c:v>
                </c:pt>
                <c:pt idx="86">
                  <c:v>44.704619972644991</c:v>
                </c:pt>
                <c:pt idx="87">
                  <c:v>44.613128241540373</c:v>
                </c:pt>
                <c:pt idx="88">
                  <c:v>44.514417539732229</c:v>
                </c:pt>
                <c:pt idx="89">
                  <c:v>44.426797638094925</c:v>
                </c:pt>
                <c:pt idx="90">
                  <c:v>44.332026392311782</c:v>
                </c:pt>
                <c:pt idx="91">
                  <c:v>44.237459074976556</c:v>
                </c:pt>
                <c:pt idx="92">
                  <c:v>44.135696196157674</c:v>
                </c:pt>
                <c:pt idx="93">
                  <c:v>44.024151660406233</c:v>
                </c:pt>
                <c:pt idx="94">
                  <c:v>43.913424824505626</c:v>
                </c:pt>
                <c:pt idx="95">
                  <c:v>43.802991317301519</c:v>
                </c:pt>
                <c:pt idx="96">
                  <c:v>43.711548716140427</c:v>
                </c:pt>
                <c:pt idx="97">
                  <c:v>43.616011653453093</c:v>
                </c:pt>
                <c:pt idx="98">
                  <c:v>43.506341146570684</c:v>
                </c:pt>
                <c:pt idx="99">
                  <c:v>43.387839962155915</c:v>
                </c:pt>
                <c:pt idx="100">
                  <c:v>43.283913025230383</c:v>
                </c:pt>
                <c:pt idx="101">
                  <c:v>43.161920956794035</c:v>
                </c:pt>
                <c:pt idx="102">
                  <c:v>43.032180455430478</c:v>
                </c:pt>
                <c:pt idx="103">
                  <c:v>42.906683242526015</c:v>
                </c:pt>
                <c:pt idx="104">
                  <c:v>42.779315646409181</c:v>
                </c:pt>
                <c:pt idx="105">
                  <c:v>42.656594750757897</c:v>
                </c:pt>
                <c:pt idx="106">
                  <c:v>42.524681419906784</c:v>
                </c:pt>
                <c:pt idx="107">
                  <c:v>42.386466910670165</c:v>
                </c:pt>
                <c:pt idx="108">
                  <c:v>42.252774140738858</c:v>
                </c:pt>
                <c:pt idx="109">
                  <c:v>42.13474690588329</c:v>
                </c:pt>
                <c:pt idx="110">
                  <c:v>42.020783184609392</c:v>
                </c:pt>
                <c:pt idx="111">
                  <c:v>41.901140064071051</c:v>
                </c:pt>
                <c:pt idx="112">
                  <c:v>41.772508541568079</c:v>
                </c:pt>
                <c:pt idx="113">
                  <c:v>41.63320984636615</c:v>
                </c:pt>
                <c:pt idx="114">
                  <c:v>41.483941870923871</c:v>
                </c:pt>
                <c:pt idx="115">
                  <c:v>41.326851547275893</c:v>
                </c:pt>
                <c:pt idx="116">
                  <c:v>41.16440409700818</c:v>
                </c:pt>
                <c:pt idx="117">
                  <c:v>40.996610975379696</c:v>
                </c:pt>
                <c:pt idx="118">
                  <c:v>40.817576438980481</c:v>
                </c:pt>
                <c:pt idx="119">
                  <c:v>40.627135141785907</c:v>
                </c:pt>
                <c:pt idx="120">
                  <c:v>40.423280684251814</c:v>
                </c:pt>
                <c:pt idx="121">
                  <c:v>40.207674217595141</c:v>
                </c:pt>
                <c:pt idx="122">
                  <c:v>39.993605263597253</c:v>
                </c:pt>
                <c:pt idx="123">
                  <c:v>39.765552164114979</c:v>
                </c:pt>
                <c:pt idx="124">
                  <c:v>39.522640506022533</c:v>
                </c:pt>
                <c:pt idx="125">
                  <c:v>39.292266576974924</c:v>
                </c:pt>
                <c:pt idx="126">
                  <c:v>39.088129254238531</c:v>
                </c:pt>
                <c:pt idx="127">
                  <c:v>38.866063418810022</c:v>
                </c:pt>
                <c:pt idx="128">
                  <c:v>38.644444595121428</c:v>
                </c:pt>
                <c:pt idx="129">
                  <c:v>38.41718917573084</c:v>
                </c:pt>
                <c:pt idx="130">
                  <c:v>38.177802439841876</c:v>
                </c:pt>
                <c:pt idx="131">
                  <c:v>37.954516632708781</c:v>
                </c:pt>
                <c:pt idx="132">
                  <c:v>37.741136796733329</c:v>
                </c:pt>
                <c:pt idx="133">
                  <c:v>37.553607946269999</c:v>
                </c:pt>
                <c:pt idx="134">
                  <c:v>37.369060396742519</c:v>
                </c:pt>
                <c:pt idx="135">
                  <c:v>37.176024562881345</c:v>
                </c:pt>
                <c:pt idx="136">
                  <c:v>36.99334470524564</c:v>
                </c:pt>
                <c:pt idx="137">
                  <c:v>36.815881376262354</c:v>
                </c:pt>
                <c:pt idx="138">
                  <c:v>36.626738175566871</c:v>
                </c:pt>
                <c:pt idx="139">
                  <c:v>36.425106565476476</c:v>
                </c:pt>
                <c:pt idx="140">
                  <c:v>36.206994077139726</c:v>
                </c:pt>
                <c:pt idx="141">
                  <c:v>35.96991985921094</c:v>
                </c:pt>
                <c:pt idx="142">
                  <c:v>35.734388492227673</c:v>
                </c:pt>
                <c:pt idx="143">
                  <c:v>35.461601883426255</c:v>
                </c:pt>
                <c:pt idx="144">
                  <c:v>35.178740068687929</c:v>
                </c:pt>
                <c:pt idx="145">
                  <c:v>34.870391629159897</c:v>
                </c:pt>
                <c:pt idx="146">
                  <c:v>34.552539262818605</c:v>
                </c:pt>
                <c:pt idx="147">
                  <c:v>34.212941320571872</c:v>
                </c:pt>
                <c:pt idx="148">
                  <c:v>33.858059622805328</c:v>
                </c:pt>
                <c:pt idx="149">
                  <c:v>33.468855573633668</c:v>
                </c:pt>
                <c:pt idx="150">
                  <c:v>33.065705954571726</c:v>
                </c:pt>
                <c:pt idx="151">
                  <c:v>32.628727351992744</c:v>
                </c:pt>
                <c:pt idx="152">
                  <c:v>32.184145526827898</c:v>
                </c:pt>
                <c:pt idx="153">
                  <c:v>31.725902179597227</c:v>
                </c:pt>
                <c:pt idx="154">
                  <c:v>31.272767859479039</c:v>
                </c:pt>
                <c:pt idx="155">
                  <c:v>30.812448091713495</c:v>
                </c:pt>
                <c:pt idx="156">
                  <c:v>30.360318171642199</c:v>
                </c:pt>
                <c:pt idx="157">
                  <c:v>29.921763343616846</c:v>
                </c:pt>
                <c:pt idx="158">
                  <c:v>29.465852878774392</c:v>
                </c:pt>
                <c:pt idx="159">
                  <c:v>29.042652956553898</c:v>
                </c:pt>
                <c:pt idx="160">
                  <c:v>28.693716835078824</c:v>
                </c:pt>
                <c:pt idx="161">
                  <c:v>28.318980786999791</c:v>
                </c:pt>
                <c:pt idx="162">
                  <c:v>28.012018233340179</c:v>
                </c:pt>
                <c:pt idx="163">
                  <c:v>27.732196787909917</c:v>
                </c:pt>
                <c:pt idx="164">
                  <c:v>27.406304026497285</c:v>
                </c:pt>
                <c:pt idx="165">
                  <c:v>27.090867353471531</c:v>
                </c:pt>
                <c:pt idx="166">
                  <c:v>26.77192807241855</c:v>
                </c:pt>
                <c:pt idx="167">
                  <c:v>26.447744355314782</c:v>
                </c:pt>
                <c:pt idx="168">
                  <c:v>26.13269873012592</c:v>
                </c:pt>
                <c:pt idx="169">
                  <c:v>25.760273818815193</c:v>
                </c:pt>
                <c:pt idx="170">
                  <c:v>25.400105344438444</c:v>
                </c:pt>
                <c:pt idx="171">
                  <c:v>25.250557904175118</c:v>
                </c:pt>
                <c:pt idx="172">
                  <c:v>24.928989779387692</c:v>
                </c:pt>
                <c:pt idx="173">
                  <c:v>24.418972953974951</c:v>
                </c:pt>
                <c:pt idx="174">
                  <c:v>24.181466698198054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0-4014-A4AD-5DEE22E8B1E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0.0</c:formatCode>
                <c:ptCount val="175"/>
                <c:pt idx="0">
                  <c:v>0.13291763889239405</c:v>
                </c:pt>
                <c:pt idx="1">
                  <c:v>0.13293297025524708</c:v>
                </c:pt>
                <c:pt idx="2">
                  <c:v>0.13296805049681382</c:v>
                </c:pt>
                <c:pt idx="3">
                  <c:v>0.13301615906421915</c:v>
                </c:pt>
                <c:pt idx="4">
                  <c:v>0.13307134668248466</c:v>
                </c:pt>
                <c:pt idx="5">
                  <c:v>0.13313041699073125</c:v>
                </c:pt>
                <c:pt idx="6">
                  <c:v>0.13321563348898025</c:v>
                </c:pt>
                <c:pt idx="7">
                  <c:v>0.13332106969423307</c:v>
                </c:pt>
                <c:pt idx="8">
                  <c:v>0.13344507604695366</c:v>
                </c:pt>
                <c:pt idx="9">
                  <c:v>0.1335952268082039</c:v>
                </c:pt>
                <c:pt idx="10">
                  <c:v>0.133730060320147</c:v>
                </c:pt>
                <c:pt idx="11">
                  <c:v>0.13386886270564702</c:v>
                </c:pt>
                <c:pt idx="12">
                  <c:v>0.13404080121336648</c:v>
                </c:pt>
                <c:pt idx="13">
                  <c:v>0.13421966326528434</c:v>
                </c:pt>
                <c:pt idx="14">
                  <c:v>0.13438988401976815</c:v>
                </c:pt>
                <c:pt idx="15">
                  <c:v>0.13457293256448821</c:v>
                </c:pt>
                <c:pt idx="16">
                  <c:v>0.1347719640252123</c:v>
                </c:pt>
                <c:pt idx="17">
                  <c:v>0.13497821985028935</c:v>
                </c:pt>
                <c:pt idx="18">
                  <c:v>0.13520167229141578</c:v>
                </c:pt>
                <c:pt idx="19">
                  <c:v>0.13544369962742309</c:v>
                </c:pt>
                <c:pt idx="20">
                  <c:v>0.13567351836675812</c:v>
                </c:pt>
                <c:pt idx="21">
                  <c:v>0.13592353540495594</c:v>
                </c:pt>
                <c:pt idx="22">
                  <c:v>0.13619532669386558</c:v>
                </c:pt>
                <c:pt idx="23">
                  <c:v>0.13651791198415708</c:v>
                </c:pt>
                <c:pt idx="24">
                  <c:v>0.13685942653867755</c:v>
                </c:pt>
                <c:pt idx="25">
                  <c:v>0.13716642144790114</c:v>
                </c:pt>
                <c:pt idx="26">
                  <c:v>0.13752438850990245</c:v>
                </c:pt>
                <c:pt idx="27">
                  <c:v>0.13787971220600781</c:v>
                </c:pt>
                <c:pt idx="28">
                  <c:v>0.13823329474035972</c:v>
                </c:pt>
                <c:pt idx="29">
                  <c:v>0.13860964130937248</c:v>
                </c:pt>
                <c:pt idx="30">
                  <c:v>0.13903792213260147</c:v>
                </c:pt>
                <c:pt idx="31">
                  <c:v>0.13962403030026849</c:v>
                </c:pt>
                <c:pt idx="32">
                  <c:v>0.14012042160261728</c:v>
                </c:pt>
                <c:pt idx="33">
                  <c:v>0.14067119095010128</c:v>
                </c:pt>
                <c:pt idx="34">
                  <c:v>0.141258491683665</c:v>
                </c:pt>
                <c:pt idx="35">
                  <c:v>0.14187784090618294</c:v>
                </c:pt>
                <c:pt idx="36">
                  <c:v>0.14254200357049029</c:v>
                </c:pt>
                <c:pt idx="37">
                  <c:v>0.14318640138253613</c:v>
                </c:pt>
                <c:pt idx="38">
                  <c:v>0.14383644970737208</c:v>
                </c:pt>
                <c:pt idx="39">
                  <c:v>0.14459233298994434</c:v>
                </c:pt>
                <c:pt idx="40">
                  <c:v>0.14539960329608448</c:v>
                </c:pt>
                <c:pt idx="41">
                  <c:v>0.1462464189167676</c:v>
                </c:pt>
                <c:pt idx="42">
                  <c:v>0.14715563021786693</c:v>
                </c:pt>
                <c:pt idx="43">
                  <c:v>0.1480790935261922</c:v>
                </c:pt>
                <c:pt idx="44">
                  <c:v>0.14904614216515455</c:v>
                </c:pt>
                <c:pt idx="45">
                  <c:v>0.1501045828587948</c:v>
                </c:pt>
                <c:pt idx="46">
                  <c:v>0.15118101657726157</c:v>
                </c:pt>
                <c:pt idx="47">
                  <c:v>0.15229825609157643</c:v>
                </c:pt>
                <c:pt idx="48">
                  <c:v>0.15348749018168917</c:v>
                </c:pt>
                <c:pt idx="49">
                  <c:v>0.1547500822889063</c:v>
                </c:pt>
                <c:pt idx="50">
                  <c:v>0.15616311351443812</c:v>
                </c:pt>
                <c:pt idx="51">
                  <c:v>0.15775711326121922</c:v>
                </c:pt>
                <c:pt idx="52">
                  <c:v>0.15920896272627516</c:v>
                </c:pt>
                <c:pt idx="53">
                  <c:v>0.16066164747797984</c:v>
                </c:pt>
                <c:pt idx="54">
                  <c:v>0.16219468215209787</c:v>
                </c:pt>
                <c:pt idx="55">
                  <c:v>0.16368665719588193</c:v>
                </c:pt>
                <c:pt idx="56">
                  <c:v>0.16530201770404318</c:v>
                </c:pt>
                <c:pt idx="57">
                  <c:v>0.16657780297759928</c:v>
                </c:pt>
                <c:pt idx="58">
                  <c:v>0.16876930571165616</c:v>
                </c:pt>
                <c:pt idx="59">
                  <c:v>0.17099047305927684</c:v>
                </c:pt>
                <c:pt idx="60">
                  <c:v>0.17320416628773216</c:v>
                </c:pt>
                <c:pt idx="61">
                  <c:v>0.17556233333425553</c:v>
                </c:pt>
                <c:pt idx="62">
                  <c:v>0.17768683000024765</c:v>
                </c:pt>
                <c:pt idx="63">
                  <c:v>0.18036539077930058</c:v>
                </c:pt>
                <c:pt idx="64">
                  <c:v>0.18334002638399483</c:v>
                </c:pt>
                <c:pt idx="65">
                  <c:v>0.18596588319993401</c:v>
                </c:pt>
                <c:pt idx="66">
                  <c:v>0.18835242420445297</c:v>
                </c:pt>
                <c:pt idx="67">
                  <c:v>0.19069628179887843</c:v>
                </c:pt>
                <c:pt idx="68">
                  <c:v>0.19241673544482296</c:v>
                </c:pt>
                <c:pt idx="69">
                  <c:v>0.19448376338918649</c:v>
                </c:pt>
                <c:pt idx="70">
                  <c:v>0.19631052547969574</c:v>
                </c:pt>
                <c:pt idx="71">
                  <c:v>0.19833526771191856</c:v>
                </c:pt>
                <c:pt idx="72">
                  <c:v>0.20009454938267623</c:v>
                </c:pt>
                <c:pt idx="73">
                  <c:v>0.20215421860458349</c:v>
                </c:pt>
                <c:pt idx="74">
                  <c:v>0.20420674292710572</c:v>
                </c:pt>
                <c:pt idx="75">
                  <c:v>0.20635137217323773</c:v>
                </c:pt>
                <c:pt idx="76">
                  <c:v>0.20913265597378228</c:v>
                </c:pt>
                <c:pt idx="77">
                  <c:v>0.21149767046856027</c:v>
                </c:pt>
                <c:pt idx="78">
                  <c:v>0.21427478228631003</c:v>
                </c:pt>
                <c:pt idx="79">
                  <c:v>0.21627616011369355</c:v>
                </c:pt>
                <c:pt idx="80">
                  <c:v>0.21831754085713584</c:v>
                </c:pt>
                <c:pt idx="81">
                  <c:v>0.21962102680308249</c:v>
                </c:pt>
                <c:pt idx="82">
                  <c:v>0.22080355612666835</c:v>
                </c:pt>
                <c:pt idx="83">
                  <c:v>0.22179436921845053</c:v>
                </c:pt>
                <c:pt idx="84">
                  <c:v>0.22277009345003762</c:v>
                </c:pt>
                <c:pt idx="85">
                  <c:v>0.22371953664443112</c:v>
                </c:pt>
                <c:pt idx="86">
                  <c:v>0.22454881447497854</c:v>
                </c:pt>
                <c:pt idx="87">
                  <c:v>0.22529151533917968</c:v>
                </c:pt>
                <c:pt idx="88">
                  <c:v>0.22619672741941343</c:v>
                </c:pt>
                <c:pt idx="89">
                  <c:v>0.22644098740737206</c:v>
                </c:pt>
                <c:pt idx="90">
                  <c:v>0.22705697156467153</c:v>
                </c:pt>
                <c:pt idx="91">
                  <c:v>0.22712126994206017</c:v>
                </c:pt>
                <c:pt idx="92">
                  <c:v>0.22652041738582085</c:v>
                </c:pt>
                <c:pt idx="93">
                  <c:v>0.22514905563489407</c:v>
                </c:pt>
                <c:pt idx="94">
                  <c:v>0.2205726987975325</c:v>
                </c:pt>
                <c:pt idx="95">
                  <c:v>0.21784886857119545</c:v>
                </c:pt>
                <c:pt idx="96">
                  <c:v>0.21376684109236521</c:v>
                </c:pt>
                <c:pt idx="97">
                  <c:v>0.20957280153321278</c:v>
                </c:pt>
                <c:pt idx="98">
                  <c:v>0.2076210361683053</c:v>
                </c:pt>
                <c:pt idx="99">
                  <c:v>0.20624932393838691</c:v>
                </c:pt>
                <c:pt idx="100">
                  <c:v>0.2036736573701674</c:v>
                </c:pt>
                <c:pt idx="101">
                  <c:v>0.20607182859159678</c:v>
                </c:pt>
                <c:pt idx="102">
                  <c:v>0.20875519929858655</c:v>
                </c:pt>
                <c:pt idx="103">
                  <c:v>0.21135637879476832</c:v>
                </c:pt>
                <c:pt idx="104">
                  <c:v>0.2138146913399126</c:v>
                </c:pt>
                <c:pt idx="105">
                  <c:v>0.2164174567999666</c:v>
                </c:pt>
                <c:pt idx="106">
                  <c:v>0.21947458173064405</c:v>
                </c:pt>
                <c:pt idx="107">
                  <c:v>0.22274183304854489</c:v>
                </c:pt>
                <c:pt idx="108">
                  <c:v>0.22541203816559374</c:v>
                </c:pt>
                <c:pt idx="109">
                  <c:v>0.22730656709679664</c:v>
                </c:pt>
                <c:pt idx="110">
                  <c:v>0.22926511049209353</c:v>
                </c:pt>
                <c:pt idx="111">
                  <c:v>0.23041633267925477</c:v>
                </c:pt>
                <c:pt idx="112">
                  <c:v>0.23136401345698943</c:v>
                </c:pt>
                <c:pt idx="113">
                  <c:v>0.23280920080514278</c:v>
                </c:pt>
                <c:pt idx="114">
                  <c:v>0.23590171584064734</c:v>
                </c:pt>
                <c:pt idx="115">
                  <c:v>0.23915908928400142</c:v>
                </c:pt>
                <c:pt idx="116">
                  <c:v>0.24359634742597081</c:v>
                </c:pt>
                <c:pt idx="117">
                  <c:v>0.2465131020371345</c:v>
                </c:pt>
                <c:pt idx="118">
                  <c:v>0.25062412964901171</c:v>
                </c:pt>
                <c:pt idx="119">
                  <c:v>0.25446897713869276</c:v>
                </c:pt>
                <c:pt idx="120">
                  <c:v>0.25908679189975459</c:v>
                </c:pt>
                <c:pt idx="121">
                  <c:v>0.26215511458615737</c:v>
                </c:pt>
                <c:pt idx="122">
                  <c:v>0.26594469559228173</c:v>
                </c:pt>
                <c:pt idx="123">
                  <c:v>0.27046890220451303</c:v>
                </c:pt>
                <c:pt idx="124">
                  <c:v>0.27651185450890381</c:v>
                </c:pt>
                <c:pt idx="125">
                  <c:v>0.28240266694230343</c:v>
                </c:pt>
                <c:pt idx="126">
                  <c:v>0.2856931199500039</c:v>
                </c:pt>
                <c:pt idx="127">
                  <c:v>0.29221923838500885</c:v>
                </c:pt>
                <c:pt idx="128">
                  <c:v>0.29897177662441976</c:v>
                </c:pt>
                <c:pt idx="129">
                  <c:v>0.30839018486299352</c:v>
                </c:pt>
                <c:pt idx="130">
                  <c:v>0.3195065996058446</c:v>
                </c:pt>
                <c:pt idx="131">
                  <c:v>0.3297032064436749</c:v>
                </c:pt>
                <c:pt idx="132">
                  <c:v>0.3402677295630383</c:v>
                </c:pt>
                <c:pt idx="133">
                  <c:v>0.34866011814096964</c:v>
                </c:pt>
                <c:pt idx="134">
                  <c:v>0.35890099020956967</c:v>
                </c:pt>
                <c:pt idx="135">
                  <c:v>0.37027333889557212</c:v>
                </c:pt>
                <c:pt idx="136">
                  <c:v>0.38210592715794434</c:v>
                </c:pt>
                <c:pt idx="137">
                  <c:v>0.39425334989867622</c:v>
                </c:pt>
                <c:pt idx="138">
                  <c:v>0.4081379062117918</c:v>
                </c:pt>
                <c:pt idx="139">
                  <c:v>0.4259133464590974</c:v>
                </c:pt>
                <c:pt idx="140">
                  <c:v>0.44225442906250123</c:v>
                </c:pt>
                <c:pt idx="141">
                  <c:v>0.44122015990200225</c:v>
                </c:pt>
                <c:pt idx="142">
                  <c:v>0.42991336275764525</c:v>
                </c:pt>
                <c:pt idx="143">
                  <c:v>0.43025397751696914</c:v>
                </c:pt>
                <c:pt idx="144">
                  <c:v>0.43225477597307105</c:v>
                </c:pt>
                <c:pt idx="145">
                  <c:v>0.43706788359008897</c:v>
                </c:pt>
                <c:pt idx="146">
                  <c:v>0.44097083023268624</c:v>
                </c:pt>
                <c:pt idx="147">
                  <c:v>0.44283810941944068</c:v>
                </c:pt>
                <c:pt idx="148">
                  <c:v>0.44271115606039046</c:v>
                </c:pt>
                <c:pt idx="149">
                  <c:v>0.44018789386743862</c:v>
                </c:pt>
                <c:pt idx="150">
                  <c:v>0.43642305216754096</c:v>
                </c:pt>
                <c:pt idx="151">
                  <c:v>0.4312231488509326</c:v>
                </c:pt>
                <c:pt idx="152">
                  <c:v>0.42283416768067639</c:v>
                </c:pt>
                <c:pt idx="153">
                  <c:v>0.41076288151717932</c:v>
                </c:pt>
                <c:pt idx="154">
                  <c:v>0.39855554465671617</c:v>
                </c:pt>
                <c:pt idx="155">
                  <c:v>0.38072853487388159</c:v>
                </c:pt>
                <c:pt idx="156">
                  <c:v>0.35708232898391046</c:v>
                </c:pt>
                <c:pt idx="157">
                  <c:v>0.33919076522371938</c:v>
                </c:pt>
                <c:pt idx="158">
                  <c:v>0.32364412404541554</c:v>
                </c:pt>
                <c:pt idx="159">
                  <c:v>0.31581501017986113</c:v>
                </c:pt>
                <c:pt idx="160">
                  <c:v>0.31108003772292747</c:v>
                </c:pt>
                <c:pt idx="161">
                  <c:v>0.32202127051397866</c:v>
                </c:pt>
                <c:pt idx="162">
                  <c:v>0.33261950473522717</c:v>
                </c:pt>
                <c:pt idx="163">
                  <c:v>0.34555024808817336</c:v>
                </c:pt>
                <c:pt idx="164">
                  <c:v>0.35682394751759361</c:v>
                </c:pt>
                <c:pt idx="165">
                  <c:v>0.35797406931196818</c:v>
                </c:pt>
                <c:pt idx="166">
                  <c:v>0.33782910528041654</c:v>
                </c:pt>
                <c:pt idx="167">
                  <c:v>0.3024851473422423</c:v>
                </c:pt>
                <c:pt idx="168">
                  <c:v>0.2425854565639689</c:v>
                </c:pt>
                <c:pt idx="169">
                  <c:v>0.17938649779293314</c:v>
                </c:pt>
                <c:pt idx="170">
                  <c:v>0.13785866134695723</c:v>
                </c:pt>
                <c:pt idx="171">
                  <c:v>8.220747510279125E-2</c:v>
                </c:pt>
                <c:pt idx="172">
                  <c:v>2.3049685697031919E-3</c:v>
                </c:pt>
                <c:pt idx="173">
                  <c:v>2.3114503745048864E-2</c:v>
                </c:pt>
                <c:pt idx="174">
                  <c:v>0.14350325362774541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0-4014-A4AD-5DEE22E8B1E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0-4014-A4AD-5DEE22E8B1E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0.0</c:formatCode>
                <c:ptCount val="175"/>
                <c:pt idx="0">
                  <c:v>13.457213427147224</c:v>
                </c:pt>
                <c:pt idx="1">
                  <c:v>13.458504328467953</c:v>
                </c:pt>
                <c:pt idx="2">
                  <c:v>13.45978583257569</c:v>
                </c:pt>
                <c:pt idx="3">
                  <c:v>13.461092528367004</c:v>
                </c:pt>
                <c:pt idx="4">
                  <c:v>13.462461452696743</c:v>
                </c:pt>
                <c:pt idx="5">
                  <c:v>13.464083299585852</c:v>
                </c:pt>
                <c:pt idx="6">
                  <c:v>13.46568037762701</c:v>
                </c:pt>
                <c:pt idx="7">
                  <c:v>13.46738933779104</c:v>
                </c:pt>
                <c:pt idx="8">
                  <c:v>13.469094745689041</c:v>
                </c:pt>
                <c:pt idx="9">
                  <c:v>13.470764146383772</c:v>
                </c:pt>
                <c:pt idx="10">
                  <c:v>13.472571971370954</c:v>
                </c:pt>
                <c:pt idx="11">
                  <c:v>13.474552479641169</c:v>
                </c:pt>
                <c:pt idx="12">
                  <c:v>13.476604268734938</c:v>
                </c:pt>
                <c:pt idx="13">
                  <c:v>13.478603265347779</c:v>
                </c:pt>
                <c:pt idx="14">
                  <c:v>13.48067145670386</c:v>
                </c:pt>
                <c:pt idx="15">
                  <c:v>13.482861905306976</c:v>
                </c:pt>
                <c:pt idx="16">
                  <c:v>13.485133475321071</c:v>
                </c:pt>
                <c:pt idx="17">
                  <c:v>13.487390278911093</c:v>
                </c:pt>
                <c:pt idx="18">
                  <c:v>13.489754318871739</c:v>
                </c:pt>
                <c:pt idx="19">
                  <c:v>13.492108185550904</c:v>
                </c:pt>
                <c:pt idx="20">
                  <c:v>13.494570334859965</c:v>
                </c:pt>
                <c:pt idx="21">
                  <c:v>13.497008851274174</c:v>
                </c:pt>
                <c:pt idx="22">
                  <c:v>13.499443431764526</c:v>
                </c:pt>
                <c:pt idx="23">
                  <c:v>13.502195979910802</c:v>
                </c:pt>
                <c:pt idx="24">
                  <c:v>13.505127727688375</c:v>
                </c:pt>
                <c:pt idx="25">
                  <c:v>13.507558477075392</c:v>
                </c:pt>
                <c:pt idx="26">
                  <c:v>13.510322962148145</c:v>
                </c:pt>
                <c:pt idx="27">
                  <c:v>13.512660383640352</c:v>
                </c:pt>
                <c:pt idx="28">
                  <c:v>13.515110976255094</c:v>
                </c:pt>
                <c:pt idx="29">
                  <c:v>13.517367899340393</c:v>
                </c:pt>
                <c:pt idx="30">
                  <c:v>13.519807453395913</c:v>
                </c:pt>
                <c:pt idx="31">
                  <c:v>13.52281332729887</c:v>
                </c:pt>
                <c:pt idx="32">
                  <c:v>13.525938924233309</c:v>
                </c:pt>
                <c:pt idx="33">
                  <c:v>13.529314953652772</c:v>
                </c:pt>
                <c:pt idx="34">
                  <c:v>13.532770373663183</c:v>
                </c:pt>
                <c:pt idx="35">
                  <c:v>13.536172752308012</c:v>
                </c:pt>
                <c:pt idx="36">
                  <c:v>13.539410213452221</c:v>
                </c:pt>
                <c:pt idx="37">
                  <c:v>13.542642019181152</c:v>
                </c:pt>
                <c:pt idx="38">
                  <c:v>13.546113507882232</c:v>
                </c:pt>
                <c:pt idx="39">
                  <c:v>13.550081539770886</c:v>
                </c:pt>
                <c:pt idx="40">
                  <c:v>13.553676974583844</c:v>
                </c:pt>
                <c:pt idx="41">
                  <c:v>13.557688341083761</c:v>
                </c:pt>
                <c:pt idx="42">
                  <c:v>13.561746830899942</c:v>
                </c:pt>
                <c:pt idx="43">
                  <c:v>13.565896398974722</c:v>
                </c:pt>
                <c:pt idx="44">
                  <c:v>13.569460807151003</c:v>
                </c:pt>
                <c:pt idx="45">
                  <c:v>13.573256966346818</c:v>
                </c:pt>
                <c:pt idx="46">
                  <c:v>13.577158165831271</c:v>
                </c:pt>
                <c:pt idx="47">
                  <c:v>13.581105113672749</c:v>
                </c:pt>
                <c:pt idx="48">
                  <c:v>13.585010385411337</c:v>
                </c:pt>
                <c:pt idx="49">
                  <c:v>13.588878264877401</c:v>
                </c:pt>
                <c:pt idx="50">
                  <c:v>13.593350947280733</c:v>
                </c:pt>
                <c:pt idx="51">
                  <c:v>13.598021520752432</c:v>
                </c:pt>
                <c:pt idx="52">
                  <c:v>13.602750751270129</c:v>
                </c:pt>
                <c:pt idx="53">
                  <c:v>13.608104949754591</c:v>
                </c:pt>
                <c:pt idx="54">
                  <c:v>13.614746509324434</c:v>
                </c:pt>
                <c:pt idx="55">
                  <c:v>13.621083740035544</c:v>
                </c:pt>
                <c:pt idx="56">
                  <c:v>13.6285939187362</c:v>
                </c:pt>
                <c:pt idx="57">
                  <c:v>13.636025824091128</c:v>
                </c:pt>
                <c:pt idx="58">
                  <c:v>13.645055799086599</c:v>
                </c:pt>
                <c:pt idx="59">
                  <c:v>13.652770397189229</c:v>
                </c:pt>
                <c:pt idx="60">
                  <c:v>13.660943070249942</c:v>
                </c:pt>
                <c:pt idx="61">
                  <c:v>13.670473706647329</c:v>
                </c:pt>
                <c:pt idx="62">
                  <c:v>13.67978949453029</c:v>
                </c:pt>
                <c:pt idx="63">
                  <c:v>13.688839028505143</c:v>
                </c:pt>
                <c:pt idx="64">
                  <c:v>13.698985958155724</c:v>
                </c:pt>
                <c:pt idx="65">
                  <c:v>13.708823594212383</c:v>
                </c:pt>
                <c:pt idx="66">
                  <c:v>13.718984953909725</c:v>
                </c:pt>
                <c:pt idx="67">
                  <c:v>13.72998126021669</c:v>
                </c:pt>
                <c:pt idx="68">
                  <c:v>13.742244751249189</c:v>
                </c:pt>
                <c:pt idx="69">
                  <c:v>13.758809779539554</c:v>
                </c:pt>
                <c:pt idx="70">
                  <c:v>13.778144135397149</c:v>
                </c:pt>
                <c:pt idx="71">
                  <c:v>13.797338755488767</c:v>
                </c:pt>
                <c:pt idx="72">
                  <c:v>13.812921839893484</c:v>
                </c:pt>
                <c:pt idx="73">
                  <c:v>13.829644031160129</c:v>
                </c:pt>
                <c:pt idx="74">
                  <c:v>13.850643644800925</c:v>
                </c:pt>
                <c:pt idx="75">
                  <c:v>13.87099876644362</c:v>
                </c:pt>
                <c:pt idx="76">
                  <c:v>13.891805050899272</c:v>
                </c:pt>
                <c:pt idx="77">
                  <c:v>13.910611670445654</c:v>
                </c:pt>
                <c:pt idx="78">
                  <c:v>13.930160134695093</c:v>
                </c:pt>
                <c:pt idx="79">
                  <c:v>13.948622927584694</c:v>
                </c:pt>
                <c:pt idx="80">
                  <c:v>13.967948666308473</c:v>
                </c:pt>
                <c:pt idx="81">
                  <c:v>13.983834592508053</c:v>
                </c:pt>
                <c:pt idx="82">
                  <c:v>13.994883085903709</c:v>
                </c:pt>
                <c:pt idx="83">
                  <c:v>14.002924332379749</c:v>
                </c:pt>
                <c:pt idx="84">
                  <c:v>14.011297955869722</c:v>
                </c:pt>
                <c:pt idx="85">
                  <c:v>14.019119541713849</c:v>
                </c:pt>
                <c:pt idx="86">
                  <c:v>14.026366191138536</c:v>
                </c:pt>
                <c:pt idx="87">
                  <c:v>14.033753955939311</c:v>
                </c:pt>
                <c:pt idx="88">
                  <c:v>14.042500660320158</c:v>
                </c:pt>
                <c:pt idx="89">
                  <c:v>14.047178456151933</c:v>
                </c:pt>
                <c:pt idx="90">
                  <c:v>14.053891113439171</c:v>
                </c:pt>
                <c:pt idx="91">
                  <c:v>14.052206704325684</c:v>
                </c:pt>
                <c:pt idx="92">
                  <c:v>14.054891601844716</c:v>
                </c:pt>
                <c:pt idx="93">
                  <c:v>14.066291374294352</c:v>
                </c:pt>
                <c:pt idx="94">
                  <c:v>14.076455750225712</c:v>
                </c:pt>
                <c:pt idx="95">
                  <c:v>14.083086858519906</c:v>
                </c:pt>
                <c:pt idx="96">
                  <c:v>14.091703790497718</c:v>
                </c:pt>
                <c:pt idx="97">
                  <c:v>14.097016667712374</c:v>
                </c:pt>
                <c:pt idx="98">
                  <c:v>14.102732618164026</c:v>
                </c:pt>
                <c:pt idx="99">
                  <c:v>14.108414193782586</c:v>
                </c:pt>
                <c:pt idx="100">
                  <c:v>14.106299347414257</c:v>
                </c:pt>
                <c:pt idx="101">
                  <c:v>14.105392788488139</c:v>
                </c:pt>
                <c:pt idx="102">
                  <c:v>14.103726156658979</c:v>
                </c:pt>
                <c:pt idx="103">
                  <c:v>14.098490230741412</c:v>
                </c:pt>
                <c:pt idx="104">
                  <c:v>14.090584426563559</c:v>
                </c:pt>
                <c:pt idx="105">
                  <c:v>14.078168972110248</c:v>
                </c:pt>
                <c:pt idx="106">
                  <c:v>14.063483909418125</c:v>
                </c:pt>
                <c:pt idx="107">
                  <c:v>14.045812464092904</c:v>
                </c:pt>
                <c:pt idx="108">
                  <c:v>14.022061383999187</c:v>
                </c:pt>
                <c:pt idx="109">
                  <c:v>13.994658479962851</c:v>
                </c:pt>
                <c:pt idx="110">
                  <c:v>13.965195655466268</c:v>
                </c:pt>
                <c:pt idx="111">
                  <c:v>13.928923388988856</c:v>
                </c:pt>
                <c:pt idx="112">
                  <c:v>13.887579092503664</c:v>
                </c:pt>
                <c:pt idx="113">
                  <c:v>13.841225281416854</c:v>
                </c:pt>
                <c:pt idx="114">
                  <c:v>13.787977480875433</c:v>
                </c:pt>
                <c:pt idx="115">
                  <c:v>13.728913549753592</c:v>
                </c:pt>
                <c:pt idx="116">
                  <c:v>13.664534937842795</c:v>
                </c:pt>
                <c:pt idx="117">
                  <c:v>13.597317984450569</c:v>
                </c:pt>
                <c:pt idx="118">
                  <c:v>13.52342663127682</c:v>
                </c:pt>
                <c:pt idx="119">
                  <c:v>13.44814339136785</c:v>
                </c:pt>
                <c:pt idx="120">
                  <c:v>13.369395199886618</c:v>
                </c:pt>
                <c:pt idx="121">
                  <c:v>13.290323168357659</c:v>
                </c:pt>
                <c:pt idx="122">
                  <c:v>13.204955924634497</c:v>
                </c:pt>
                <c:pt idx="123">
                  <c:v>13.111678186627898</c:v>
                </c:pt>
                <c:pt idx="124">
                  <c:v>13.012333787844014</c:v>
                </c:pt>
                <c:pt idx="125">
                  <c:v>12.903028559874372</c:v>
                </c:pt>
                <c:pt idx="126">
                  <c:v>12.779962181634566</c:v>
                </c:pt>
                <c:pt idx="127">
                  <c:v>12.646762040183667</c:v>
                </c:pt>
                <c:pt idx="128">
                  <c:v>12.504472170875196</c:v>
                </c:pt>
                <c:pt idx="129">
                  <c:v>12.351261678877989</c:v>
                </c:pt>
                <c:pt idx="130">
                  <c:v>12.194093777930576</c:v>
                </c:pt>
                <c:pt idx="131">
                  <c:v>12.020853584623744</c:v>
                </c:pt>
                <c:pt idx="132">
                  <c:v>11.846575606480499</c:v>
                </c:pt>
                <c:pt idx="133">
                  <c:v>11.660521780362444</c:v>
                </c:pt>
                <c:pt idx="134">
                  <c:v>11.464131547105659</c:v>
                </c:pt>
                <c:pt idx="135">
                  <c:v>11.262197561084562</c:v>
                </c:pt>
                <c:pt idx="136">
                  <c:v>11.037407874843481</c:v>
                </c:pt>
                <c:pt idx="137">
                  <c:v>10.802291388653671</c:v>
                </c:pt>
                <c:pt idx="138">
                  <c:v>10.560888055983483</c:v>
                </c:pt>
                <c:pt idx="139">
                  <c:v>10.311374479146473</c:v>
                </c:pt>
                <c:pt idx="140">
                  <c:v>10.067521494645788</c:v>
                </c:pt>
                <c:pt idx="141">
                  <c:v>9.8513712993383322</c:v>
                </c:pt>
                <c:pt idx="142">
                  <c:v>9.6675811316923088</c:v>
                </c:pt>
                <c:pt idx="143">
                  <c:v>9.5148734698142903</c:v>
                </c:pt>
                <c:pt idx="144">
                  <c:v>9.3770594403502727</c:v>
                </c:pt>
                <c:pt idx="145">
                  <c:v>9.2685898791762895</c:v>
                </c:pt>
                <c:pt idx="146">
                  <c:v>9.1667155323044867</c:v>
                </c:pt>
                <c:pt idx="147">
                  <c:v>9.0722941172722429</c:v>
                </c:pt>
                <c:pt idx="148">
                  <c:v>8.9919786063311449</c:v>
                </c:pt>
                <c:pt idx="149">
                  <c:v>8.9182407064419849</c:v>
                </c:pt>
                <c:pt idx="150">
                  <c:v>8.85418436104748</c:v>
                </c:pt>
                <c:pt idx="151">
                  <c:v>8.7973623812344144</c:v>
                </c:pt>
                <c:pt idx="152">
                  <c:v>8.73607283851522</c:v>
                </c:pt>
                <c:pt idx="153">
                  <c:v>8.6849515153203924</c:v>
                </c:pt>
                <c:pt idx="154">
                  <c:v>8.6339435995601121</c:v>
                </c:pt>
                <c:pt idx="155">
                  <c:v>8.5931718304382976</c:v>
                </c:pt>
                <c:pt idx="156">
                  <c:v>8.5618580592204516</c:v>
                </c:pt>
                <c:pt idx="157">
                  <c:v>8.5122025445452678</c:v>
                </c:pt>
                <c:pt idx="158">
                  <c:v>8.4569791896871465</c:v>
                </c:pt>
                <c:pt idx="159">
                  <c:v>8.39278525983568</c:v>
                </c:pt>
                <c:pt idx="160">
                  <c:v>8.3499033771407376</c:v>
                </c:pt>
                <c:pt idx="161">
                  <c:v>8.2845123850045361</c:v>
                </c:pt>
                <c:pt idx="162">
                  <c:v>8.212887674351137</c:v>
                </c:pt>
                <c:pt idx="163">
                  <c:v>8.1394003097503251</c:v>
                </c:pt>
                <c:pt idx="164">
                  <c:v>8.0918999530518505</c:v>
                </c:pt>
                <c:pt idx="165">
                  <c:v>8.0671119275627881</c:v>
                </c:pt>
                <c:pt idx="166">
                  <c:v>8.0670664134826993</c:v>
                </c:pt>
                <c:pt idx="167">
                  <c:v>8.0685813862589804</c:v>
                </c:pt>
                <c:pt idx="168">
                  <c:v>8.0805879884232468</c:v>
                </c:pt>
                <c:pt idx="169">
                  <c:v>8.0825396597453292</c:v>
                </c:pt>
                <c:pt idx="170">
                  <c:v>8.0785804680521913</c:v>
                </c:pt>
                <c:pt idx="171">
                  <c:v>8.064258075075486</c:v>
                </c:pt>
                <c:pt idx="172">
                  <c:v>8.0235306231839303</c:v>
                </c:pt>
                <c:pt idx="173">
                  <c:v>7.9604417115039965</c:v>
                </c:pt>
                <c:pt idx="174">
                  <c:v>7.9044327169041537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90-4014-A4AD-5DEE22E8B1E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data_co2_excLUC!$Q$3:$Q$177</c:f>
              <c:numCache>
                <c:formatCode>0.0</c:formatCode>
                <c:ptCount val="175"/>
                <c:pt idx="0">
                  <c:v>8.0786340485850872E-2</c:v>
                </c:pt>
                <c:pt idx="1">
                  <c:v>8.0793850199952999E-2</c:v>
                </c:pt>
                <c:pt idx="2">
                  <c:v>8.078416526588228E-2</c:v>
                </c:pt>
                <c:pt idx="3">
                  <c:v>8.0764041686137489E-2</c:v>
                </c:pt>
                <c:pt idx="4">
                  <c:v>8.0738905995893617E-2</c:v>
                </c:pt>
                <c:pt idx="5">
                  <c:v>8.0715076314440637E-2</c:v>
                </c:pt>
                <c:pt idx="6">
                  <c:v>8.0679598014974374E-2</c:v>
                </c:pt>
                <c:pt idx="7">
                  <c:v>8.0607791143876284E-2</c:v>
                </c:pt>
                <c:pt idx="8">
                  <c:v>8.0517212693152374E-2</c:v>
                </c:pt>
                <c:pt idx="9">
                  <c:v>8.0420039345973748E-2</c:v>
                </c:pt>
                <c:pt idx="10">
                  <c:v>8.0340869277364391E-2</c:v>
                </c:pt>
                <c:pt idx="11">
                  <c:v>8.025799514896903E-2</c:v>
                </c:pt>
                <c:pt idx="12">
                  <c:v>8.0149982387190732E-2</c:v>
                </c:pt>
                <c:pt idx="13">
                  <c:v>8.0036508123392025E-2</c:v>
                </c:pt>
                <c:pt idx="14">
                  <c:v>7.9933379001417393E-2</c:v>
                </c:pt>
                <c:pt idx="15">
                  <c:v>7.9816198611453615E-2</c:v>
                </c:pt>
                <c:pt idx="16">
                  <c:v>7.9686628354970424E-2</c:v>
                </c:pt>
                <c:pt idx="17">
                  <c:v>7.9543049080506023E-2</c:v>
                </c:pt>
                <c:pt idx="18">
                  <c:v>7.9398498969219133E-2</c:v>
                </c:pt>
                <c:pt idx="19">
                  <c:v>7.9239324802905742E-2</c:v>
                </c:pt>
                <c:pt idx="20">
                  <c:v>7.9095113212183321E-2</c:v>
                </c:pt>
                <c:pt idx="21">
                  <c:v>7.8938417262207849E-2</c:v>
                </c:pt>
                <c:pt idx="22">
                  <c:v>7.8770385260469311E-2</c:v>
                </c:pt>
                <c:pt idx="23">
                  <c:v>7.8561426277580892E-2</c:v>
                </c:pt>
                <c:pt idx="24">
                  <c:v>7.8339623990657969E-2</c:v>
                </c:pt>
                <c:pt idx="25">
                  <c:v>7.8130295392220717E-2</c:v>
                </c:pt>
                <c:pt idx="26">
                  <c:v>7.7895369609748855E-2</c:v>
                </c:pt>
                <c:pt idx="27">
                  <c:v>7.7648704255345535E-2</c:v>
                </c:pt>
                <c:pt idx="28">
                  <c:v>7.7406569703683203E-2</c:v>
                </c:pt>
                <c:pt idx="29">
                  <c:v>7.7118738529925679E-2</c:v>
                </c:pt>
                <c:pt idx="30">
                  <c:v>7.6792676312948061E-2</c:v>
                </c:pt>
                <c:pt idx="31">
                  <c:v>7.6352275327018049E-2</c:v>
                </c:pt>
                <c:pt idx="32">
                  <c:v>7.5973570340678975E-2</c:v>
                </c:pt>
                <c:pt idx="33">
                  <c:v>7.5556555345407617E-2</c:v>
                </c:pt>
                <c:pt idx="34">
                  <c:v>7.5113013476759249E-2</c:v>
                </c:pt>
                <c:pt idx="35">
                  <c:v>7.4638376648003657E-2</c:v>
                </c:pt>
                <c:pt idx="36">
                  <c:v>7.4123932849531116E-2</c:v>
                </c:pt>
                <c:pt idx="37">
                  <c:v>7.3626023565978471E-2</c:v>
                </c:pt>
                <c:pt idx="38">
                  <c:v>7.312827219274709E-2</c:v>
                </c:pt>
                <c:pt idx="39">
                  <c:v>7.2539705649035113E-2</c:v>
                </c:pt>
                <c:pt idx="40">
                  <c:v>7.190522993165871E-2</c:v>
                </c:pt>
                <c:pt idx="41">
                  <c:v>7.125458380328098E-2</c:v>
                </c:pt>
                <c:pt idx="42">
                  <c:v>7.0547758421604101E-2</c:v>
                </c:pt>
                <c:pt idx="43">
                  <c:v>6.9825268616781955E-2</c:v>
                </c:pt>
                <c:pt idx="44">
                  <c:v>6.9068324441190043E-2</c:v>
                </c:pt>
                <c:pt idx="45">
                  <c:v>6.8229979660429763E-2</c:v>
                </c:pt>
                <c:pt idx="46">
                  <c:v>6.7387575305097869E-2</c:v>
                </c:pt>
                <c:pt idx="47">
                  <c:v>6.6512098508844986E-2</c:v>
                </c:pt>
                <c:pt idx="48">
                  <c:v>6.557824258880629E-2</c:v>
                </c:pt>
                <c:pt idx="49">
                  <c:v>6.4592061938824941E-2</c:v>
                </c:pt>
                <c:pt idx="50">
                  <c:v>6.3490383025936126E-2</c:v>
                </c:pt>
                <c:pt idx="51">
                  <c:v>6.2264717650037937E-2</c:v>
                </c:pt>
                <c:pt idx="52">
                  <c:v>6.119384830329011E-2</c:v>
                </c:pt>
                <c:pt idx="53">
                  <c:v>6.0129689222058857E-2</c:v>
                </c:pt>
                <c:pt idx="54">
                  <c:v>5.9043590654596301E-2</c:v>
                </c:pt>
                <c:pt idx="55">
                  <c:v>5.798697345052517E-2</c:v>
                </c:pt>
                <c:pt idx="56">
                  <c:v>5.6847793909476252E-2</c:v>
                </c:pt>
                <c:pt idx="57">
                  <c:v>5.6192711919848648E-2</c:v>
                </c:pt>
                <c:pt idx="58">
                  <c:v>5.4546790543909651E-2</c:v>
                </c:pt>
                <c:pt idx="59">
                  <c:v>5.2950690276077239E-2</c:v>
                </c:pt>
                <c:pt idx="60">
                  <c:v>5.1297459846566085E-2</c:v>
                </c:pt>
                <c:pt idx="61">
                  <c:v>4.9546882975960216E-2</c:v>
                </c:pt>
                <c:pt idx="62">
                  <c:v>4.8109748627808813E-2</c:v>
                </c:pt>
                <c:pt idx="63">
                  <c:v>4.6126417511239026E-2</c:v>
                </c:pt>
                <c:pt idx="64">
                  <c:v>4.3875090838916719E-2</c:v>
                </c:pt>
                <c:pt idx="65">
                  <c:v>4.1892784581577303E-2</c:v>
                </c:pt>
                <c:pt idx="66">
                  <c:v>4.0172396530053334E-2</c:v>
                </c:pt>
                <c:pt idx="67">
                  <c:v>3.8424619472230859E-2</c:v>
                </c:pt>
                <c:pt idx="68">
                  <c:v>3.7136461717935276E-2</c:v>
                </c:pt>
                <c:pt idx="69">
                  <c:v>3.5665946661865178E-2</c:v>
                </c:pt>
                <c:pt idx="70">
                  <c:v>3.4277362454822935E-2</c:v>
                </c:pt>
                <c:pt idx="71">
                  <c:v>3.277288392063582E-2</c:v>
                </c:pt>
                <c:pt idx="72">
                  <c:v>3.1459403549177978E-2</c:v>
                </c:pt>
                <c:pt idx="73">
                  <c:v>3.0004832072762611E-2</c:v>
                </c:pt>
                <c:pt idx="74">
                  <c:v>2.8604540617941154E-2</c:v>
                </c:pt>
                <c:pt idx="75">
                  <c:v>2.7136561956545791E-2</c:v>
                </c:pt>
                <c:pt idx="76">
                  <c:v>2.5262165807319548E-2</c:v>
                </c:pt>
                <c:pt idx="77">
                  <c:v>2.3845313690173953E-2</c:v>
                </c:pt>
                <c:pt idx="78">
                  <c:v>2.2082918219723524E-2</c:v>
                </c:pt>
                <c:pt idx="79">
                  <c:v>2.1218165876987882E-2</c:v>
                </c:pt>
                <c:pt idx="80">
                  <c:v>2.0528172297332503E-2</c:v>
                </c:pt>
                <c:pt idx="81">
                  <c:v>2.0422316723987421E-2</c:v>
                </c:pt>
                <c:pt idx="82">
                  <c:v>2.0227437227816836E-2</c:v>
                </c:pt>
                <c:pt idx="83">
                  <c:v>2.0102266388924761E-2</c:v>
                </c:pt>
                <c:pt idx="84">
                  <c:v>2.003565776524141E-2</c:v>
                </c:pt>
                <c:pt idx="85">
                  <c:v>2.0082277216154409E-2</c:v>
                </c:pt>
                <c:pt idx="86">
                  <c:v>2.0344539450981358E-2</c:v>
                </c:pt>
                <c:pt idx="87">
                  <c:v>2.0778144163813295E-2</c:v>
                </c:pt>
                <c:pt idx="88">
                  <c:v>2.1229310928660539E-2</c:v>
                </c:pt>
                <c:pt idx="89">
                  <c:v>2.2250341444618016E-2</c:v>
                </c:pt>
                <c:pt idx="90">
                  <c:v>2.3162747905594472E-2</c:v>
                </c:pt>
                <c:pt idx="91">
                  <c:v>2.4250771052201969E-2</c:v>
                </c:pt>
                <c:pt idx="92">
                  <c:v>2.5958151956906761E-2</c:v>
                </c:pt>
                <c:pt idx="93">
                  <c:v>2.5511451082181225E-2</c:v>
                </c:pt>
                <c:pt idx="94">
                  <c:v>2.5086641747762428E-2</c:v>
                </c:pt>
                <c:pt idx="95">
                  <c:v>2.8669371269053556E-2</c:v>
                </c:pt>
                <c:pt idx="96">
                  <c:v>3.3733764896943796E-2</c:v>
                </c:pt>
                <c:pt idx="97">
                  <c:v>3.975724885958698E-2</c:v>
                </c:pt>
                <c:pt idx="98">
                  <c:v>4.3276497944120251E-2</c:v>
                </c:pt>
                <c:pt idx="99">
                  <c:v>4.6073641052004177E-2</c:v>
                </c:pt>
                <c:pt idx="100">
                  <c:v>5.0171025268063829E-2</c:v>
                </c:pt>
                <c:pt idx="101">
                  <c:v>4.712851186798872E-2</c:v>
                </c:pt>
                <c:pt idx="102">
                  <c:v>4.3658183444328813E-2</c:v>
                </c:pt>
                <c:pt idx="103">
                  <c:v>3.9834190908869971E-2</c:v>
                </c:pt>
                <c:pt idx="104">
                  <c:v>3.5822071247331166E-2</c:v>
                </c:pt>
                <c:pt idx="105">
                  <c:v>3.1260062106227338E-2</c:v>
                </c:pt>
                <c:pt idx="106">
                  <c:v>2.5534383534754568E-2</c:v>
                </c:pt>
                <c:pt idx="107">
                  <c:v>1.903838253044654E-2</c:v>
                </c:pt>
                <c:pt idx="108">
                  <c:v>1.7954934133079803E-2</c:v>
                </c:pt>
                <c:pt idx="109">
                  <c:v>1.8005855765217404E-2</c:v>
                </c:pt>
                <c:pt idx="110">
                  <c:v>1.8416951230157963E-2</c:v>
                </c:pt>
                <c:pt idx="111">
                  <c:v>2.4932452958758233E-2</c:v>
                </c:pt>
                <c:pt idx="112">
                  <c:v>3.1588655651070496E-2</c:v>
                </c:pt>
                <c:pt idx="113">
                  <c:v>3.8997760423775674E-2</c:v>
                </c:pt>
                <c:pt idx="114">
                  <c:v>4.8216827628898784E-2</c:v>
                </c:pt>
                <c:pt idx="115">
                  <c:v>5.8558980132737304E-2</c:v>
                </c:pt>
                <c:pt idx="116">
                  <c:v>7.0846131876841412E-2</c:v>
                </c:pt>
                <c:pt idx="117">
                  <c:v>8.2637091189830869E-2</c:v>
                </c:pt>
                <c:pt idx="118">
                  <c:v>9.6629800448411629E-2</c:v>
                </c:pt>
                <c:pt idx="119">
                  <c:v>0.11058055007212175</c:v>
                </c:pt>
                <c:pt idx="120">
                  <c:v>0.12588525286211905</c:v>
                </c:pt>
                <c:pt idx="121">
                  <c:v>0.13981078167415717</c:v>
                </c:pt>
                <c:pt idx="122">
                  <c:v>0.15279345307624936</c:v>
                </c:pt>
                <c:pt idx="123">
                  <c:v>0.16815217229735424</c:v>
                </c:pt>
                <c:pt idx="124">
                  <c:v>0.18601228900402589</c:v>
                </c:pt>
                <c:pt idx="125">
                  <c:v>0.2027661229362181</c:v>
                </c:pt>
                <c:pt idx="126">
                  <c:v>0.2171291643329738</c:v>
                </c:pt>
                <c:pt idx="127">
                  <c:v>0.23540016993786139</c:v>
                </c:pt>
                <c:pt idx="128">
                  <c:v>0.25386107257124024</c:v>
                </c:pt>
                <c:pt idx="129">
                  <c:v>0.27556332587031562</c:v>
                </c:pt>
                <c:pt idx="130">
                  <c:v>0.29999260178360032</c:v>
                </c:pt>
                <c:pt idx="131">
                  <c:v>0.3240324939629815</c:v>
                </c:pt>
                <c:pt idx="132">
                  <c:v>0.34796368941876921</c:v>
                </c:pt>
                <c:pt idx="133">
                  <c:v>0.37122851642765653</c:v>
                </c:pt>
                <c:pt idx="134">
                  <c:v>0.39674199171835767</c:v>
                </c:pt>
                <c:pt idx="135">
                  <c:v>0.4242907804729299</c:v>
                </c:pt>
                <c:pt idx="136">
                  <c:v>0.45215932933545133</c:v>
                </c:pt>
                <c:pt idx="137">
                  <c:v>0.48294103768361651</c:v>
                </c:pt>
                <c:pt idx="138">
                  <c:v>0.51602548949508531</c:v>
                </c:pt>
                <c:pt idx="139">
                  <c:v>0.55348735862301623</c:v>
                </c:pt>
                <c:pt idx="140">
                  <c:v>0.5890993924914909</c:v>
                </c:pt>
                <c:pt idx="141">
                  <c:v>0.5866754555096918</c:v>
                </c:pt>
                <c:pt idx="142">
                  <c:v>0.57126532078610381</c:v>
                </c:pt>
                <c:pt idx="143">
                  <c:v>0.57146880675422551</c:v>
                </c:pt>
                <c:pt idx="144">
                  <c:v>0.5740154028944886</c:v>
                </c:pt>
                <c:pt idx="145">
                  <c:v>0.58064968963058305</c:v>
                </c:pt>
                <c:pt idx="146">
                  <c:v>0.58625730976838497</c:v>
                </c:pt>
                <c:pt idx="147">
                  <c:v>0.58944806039472297</c:v>
                </c:pt>
                <c:pt idx="148">
                  <c:v>0.59027616048510367</c:v>
                </c:pt>
                <c:pt idx="149">
                  <c:v>0.58822905144025128</c:v>
                </c:pt>
                <c:pt idx="150">
                  <c:v>0.58479504802073023</c:v>
                </c:pt>
                <c:pt idx="151">
                  <c:v>0.57978105486095188</c:v>
                </c:pt>
                <c:pt idx="152">
                  <c:v>0.57064932334274232</c:v>
                </c:pt>
                <c:pt idx="153">
                  <c:v>0.55694711667392482</c:v>
                </c:pt>
                <c:pt idx="154">
                  <c:v>0.54315917229624944</c:v>
                </c:pt>
                <c:pt idx="155">
                  <c:v>0.52224391938744219</c:v>
                </c:pt>
                <c:pt idx="156">
                  <c:v>0.49387482125303706</c:v>
                </c:pt>
                <c:pt idx="157">
                  <c:v>0.47292291821806032</c:v>
                </c:pt>
                <c:pt idx="158">
                  <c:v>0.45516663514806766</c:v>
                </c:pt>
                <c:pt idx="159">
                  <c:v>0.44745574357769158</c:v>
                </c:pt>
                <c:pt idx="160">
                  <c:v>0.4439041556945682</c:v>
                </c:pt>
                <c:pt idx="161">
                  <c:v>0.46108432066599647</c:v>
                </c:pt>
                <c:pt idx="162">
                  <c:v>0.47798984484449392</c:v>
                </c:pt>
                <c:pt idx="163">
                  <c:v>0.4984159115458624</c:v>
                </c:pt>
                <c:pt idx="164">
                  <c:v>0.51758615822579657</c:v>
                </c:pt>
                <c:pt idx="165">
                  <c:v>0.52448390645641041</c:v>
                </c:pt>
                <c:pt idx="166">
                  <c:v>0.50460535829255093</c:v>
                </c:pt>
                <c:pt idx="167">
                  <c:v>0.46597247254497631</c:v>
                </c:pt>
                <c:pt idx="168">
                  <c:v>0.39658943458284313</c:v>
                </c:pt>
                <c:pt idx="169">
                  <c:v>0.32560117897460117</c:v>
                </c:pt>
                <c:pt idx="170">
                  <c:v>0.28751496171705782</c:v>
                </c:pt>
                <c:pt idx="171">
                  <c:v>0.23789898930578346</c:v>
                </c:pt>
                <c:pt idx="172">
                  <c:v>0.17322171171377221</c:v>
                </c:pt>
                <c:pt idx="173">
                  <c:v>0.21322292016627387</c:v>
                </c:pt>
                <c:pt idx="174">
                  <c:v>0.17886887746701063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0.0</c:formatCode>
                <c:ptCount val="175"/>
                <c:pt idx="0">
                  <c:v>48.621447498541478</c:v>
                </c:pt>
                <c:pt idx="1">
                  <c:v>48.616013582884591</c:v>
                </c:pt>
                <c:pt idx="2">
                  <c:v>48.610547458121758</c:v>
                </c:pt>
                <c:pt idx="3">
                  <c:v>48.604873208966012</c:v>
                </c:pt>
                <c:pt idx="4">
                  <c:v>48.598928769389182</c:v>
                </c:pt>
                <c:pt idx="5">
                  <c:v>48.591926462425292</c:v>
                </c:pt>
                <c:pt idx="6">
                  <c:v>48.584847953140901</c:v>
                </c:pt>
                <c:pt idx="7">
                  <c:v>48.577317976473658</c:v>
                </c:pt>
                <c:pt idx="8">
                  <c:v>48.56974442765312</c:v>
                </c:pt>
                <c:pt idx="9">
                  <c:v>48.562142245519055</c:v>
                </c:pt>
                <c:pt idx="10">
                  <c:v>48.554040729779388</c:v>
                </c:pt>
                <c:pt idx="11">
                  <c:v>48.545151608996129</c:v>
                </c:pt>
                <c:pt idx="12">
                  <c:v>48.535828524847197</c:v>
                </c:pt>
                <c:pt idx="13">
                  <c:v>48.526419246962682</c:v>
                </c:pt>
                <c:pt idx="14">
                  <c:v>48.516434846100189</c:v>
                </c:pt>
                <c:pt idx="15">
                  <c:v>48.505713431254115</c:v>
                </c:pt>
                <c:pt idx="16">
                  <c:v>48.494380314713425</c:v>
                </c:pt>
                <c:pt idx="17">
                  <c:v>48.482803944702106</c:v>
                </c:pt>
                <c:pt idx="18">
                  <c:v>48.470417656839963</c:v>
                </c:pt>
                <c:pt idx="19">
                  <c:v>48.457757811021615</c:v>
                </c:pt>
                <c:pt idx="20">
                  <c:v>48.444340066966902</c:v>
                </c:pt>
                <c:pt idx="21">
                  <c:v>48.430700318641669</c:v>
                </c:pt>
                <c:pt idx="22">
                  <c:v>48.416358484821821</c:v>
                </c:pt>
                <c:pt idx="23">
                  <c:v>48.400433896001992</c:v>
                </c:pt>
                <c:pt idx="24">
                  <c:v>48.383495367678037</c:v>
                </c:pt>
                <c:pt idx="25">
                  <c:v>48.367971151032293</c:v>
                </c:pt>
                <c:pt idx="26">
                  <c:v>48.350966654592284</c:v>
                </c:pt>
                <c:pt idx="27">
                  <c:v>48.334180697281262</c:v>
                </c:pt>
                <c:pt idx="28">
                  <c:v>48.31697486157924</c:v>
                </c:pt>
                <c:pt idx="29">
                  <c:v>48.299953905743344</c:v>
                </c:pt>
                <c:pt idx="30">
                  <c:v>48.281671011512913</c:v>
                </c:pt>
                <c:pt idx="31">
                  <c:v>48.260747451380617</c:v>
                </c:pt>
                <c:pt idx="32">
                  <c:v>48.239064201775165</c:v>
                </c:pt>
                <c:pt idx="33">
                  <c:v>48.216071979398173</c:v>
                </c:pt>
                <c:pt idx="34">
                  <c:v>48.191741174513915</c:v>
                </c:pt>
                <c:pt idx="35">
                  <c:v>48.167233971225485</c:v>
                </c:pt>
                <c:pt idx="36">
                  <c:v>48.142712611503057</c:v>
                </c:pt>
                <c:pt idx="37">
                  <c:v>48.117842243850355</c:v>
                </c:pt>
                <c:pt idx="38">
                  <c:v>48.091674991394065</c:v>
                </c:pt>
                <c:pt idx="39">
                  <c:v>48.062554922206161</c:v>
                </c:pt>
                <c:pt idx="40">
                  <c:v>48.033882132018277</c:v>
                </c:pt>
                <c:pt idx="41">
                  <c:v>48.002484464358972</c:v>
                </c:pt>
                <c:pt idx="42">
                  <c:v>47.96974891636394</c:v>
                </c:pt>
                <c:pt idx="43">
                  <c:v>47.936758340696187</c:v>
                </c:pt>
                <c:pt idx="44">
                  <c:v>47.904843056111304</c:v>
                </c:pt>
                <c:pt idx="45">
                  <c:v>47.871730436354824</c:v>
                </c:pt>
                <c:pt idx="46">
                  <c:v>47.836828936231321</c:v>
                </c:pt>
                <c:pt idx="47">
                  <c:v>47.800891319878858</c:v>
                </c:pt>
                <c:pt idx="48">
                  <c:v>47.763479091865761</c:v>
                </c:pt>
                <c:pt idx="49">
                  <c:v>47.724356487392171</c:v>
                </c:pt>
                <c:pt idx="50">
                  <c:v>47.681256536544716</c:v>
                </c:pt>
                <c:pt idx="51">
                  <c:v>47.635675065845199</c:v>
                </c:pt>
                <c:pt idx="52">
                  <c:v>47.588883110786355</c:v>
                </c:pt>
                <c:pt idx="53">
                  <c:v>47.540410105449027</c:v>
                </c:pt>
                <c:pt idx="54">
                  <c:v>47.486669263247066</c:v>
                </c:pt>
                <c:pt idx="55">
                  <c:v>47.432855238897048</c:v>
                </c:pt>
                <c:pt idx="56">
                  <c:v>47.374612719970855</c:v>
                </c:pt>
                <c:pt idx="57">
                  <c:v>47.314416187202497</c:v>
                </c:pt>
                <c:pt idx="58">
                  <c:v>47.246123799525222</c:v>
                </c:pt>
                <c:pt idx="59">
                  <c:v>47.181981070773674</c:v>
                </c:pt>
                <c:pt idx="60">
                  <c:v>47.114811273139004</c:v>
                </c:pt>
                <c:pt idx="61">
                  <c:v>47.043154042949553</c:v>
                </c:pt>
                <c:pt idx="62">
                  <c:v>46.970943153784525</c:v>
                </c:pt>
                <c:pt idx="63">
                  <c:v>46.895165523623625</c:v>
                </c:pt>
                <c:pt idx="64">
                  <c:v>46.813001063843608</c:v>
                </c:pt>
                <c:pt idx="65">
                  <c:v>46.737953321925232</c:v>
                </c:pt>
                <c:pt idx="66">
                  <c:v>46.66334944817963</c:v>
                </c:pt>
                <c:pt idx="67">
                  <c:v>46.582645223230948</c:v>
                </c:pt>
                <c:pt idx="68">
                  <c:v>46.497538225658289</c:v>
                </c:pt>
                <c:pt idx="69">
                  <c:v>46.409187822849255</c:v>
                </c:pt>
                <c:pt idx="70">
                  <c:v>46.329952999233385</c:v>
                </c:pt>
                <c:pt idx="71">
                  <c:v>46.241028550081218</c:v>
                </c:pt>
                <c:pt idx="72">
                  <c:v>46.166523653096739</c:v>
                </c:pt>
                <c:pt idx="73">
                  <c:v>46.08706896511093</c:v>
                </c:pt>
                <c:pt idx="74">
                  <c:v>45.99317779770827</c:v>
                </c:pt>
                <c:pt idx="75">
                  <c:v>45.900026933636674</c:v>
                </c:pt>
                <c:pt idx="76">
                  <c:v>45.805048328228729</c:v>
                </c:pt>
                <c:pt idx="77">
                  <c:v>45.712849194019157</c:v>
                </c:pt>
                <c:pt idx="78">
                  <c:v>45.611578770027023</c:v>
                </c:pt>
                <c:pt idx="79">
                  <c:v>45.511690999831956</c:v>
                </c:pt>
                <c:pt idx="80">
                  <c:v>45.404011701729637</c:v>
                </c:pt>
                <c:pt idx="81">
                  <c:v>45.307357158395554</c:v>
                </c:pt>
                <c:pt idx="82">
                  <c:v>45.224682848872888</c:v>
                </c:pt>
                <c:pt idx="83">
                  <c:v>45.153238176151838</c:v>
                </c:pt>
                <c:pt idx="84">
                  <c:v>45.078095119478924</c:v>
                </c:pt>
                <c:pt idx="85">
                  <c:v>44.998155698595767</c:v>
                </c:pt>
                <c:pt idx="86">
                  <c:v>44.915950306050568</c:v>
                </c:pt>
                <c:pt idx="87">
                  <c:v>44.825194133796614</c:v>
                </c:pt>
                <c:pt idx="88">
                  <c:v>44.727381216335075</c:v>
                </c:pt>
                <c:pt idx="89">
                  <c:v>44.639997180638332</c:v>
                </c:pt>
                <c:pt idx="90">
                  <c:v>44.545833538739068</c:v>
                </c:pt>
                <c:pt idx="91">
                  <c:v>44.451318809148574</c:v>
                </c:pt>
                <c:pt idx="92">
                  <c:v>44.348944647128299</c:v>
                </c:pt>
                <c:pt idx="93">
                  <c:v>44.236021619514702</c:v>
                </c:pt>
                <c:pt idx="94">
                  <c:v>44.12071117693209</c:v>
                </c:pt>
                <c:pt idx="95">
                  <c:v>44.007545199558173</c:v>
                </c:pt>
                <c:pt idx="96">
                  <c:v>43.912013806066788</c:v>
                </c:pt>
                <c:pt idx="97">
                  <c:v>43.812274485741199</c:v>
                </c:pt>
                <c:pt idx="98">
                  <c:v>43.700642929789865</c:v>
                </c:pt>
                <c:pt idx="99">
                  <c:v>43.580760830540576</c:v>
                </c:pt>
                <c:pt idx="100">
                  <c:v>43.474246921527751</c:v>
                </c:pt>
                <c:pt idx="101">
                  <c:v>43.354640613899846</c:v>
                </c:pt>
                <c:pt idx="102">
                  <c:v>43.227569646289673</c:v>
                </c:pt>
                <c:pt idx="103">
                  <c:v>43.104657658298422</c:v>
                </c:pt>
                <c:pt idx="104">
                  <c:v>42.979731383570723</c:v>
                </c:pt>
                <c:pt idx="105">
                  <c:v>42.859593419823824</c:v>
                </c:pt>
                <c:pt idx="106">
                  <c:v>42.730714758844393</c:v>
                </c:pt>
                <c:pt idx="107">
                  <c:v>42.595742636856727</c:v>
                </c:pt>
                <c:pt idx="108">
                  <c:v>42.464691649696121</c:v>
                </c:pt>
                <c:pt idx="109">
                  <c:v>42.348523320887551</c:v>
                </c:pt>
                <c:pt idx="110">
                  <c:v>42.236476882113358</c:v>
                </c:pt>
                <c:pt idx="111">
                  <c:v>42.11794071216341</c:v>
                </c:pt>
                <c:pt idx="112">
                  <c:v>41.990216056270903</c:v>
                </c:pt>
                <c:pt idx="113">
                  <c:v>41.852321557014918</c:v>
                </c:pt>
                <c:pt idx="114">
                  <c:v>41.706102709895312</c:v>
                </c:pt>
                <c:pt idx="115">
                  <c:v>41.55222337806638</c:v>
                </c:pt>
                <c:pt idx="116">
                  <c:v>41.394163166927441</c:v>
                </c:pt>
                <c:pt idx="117">
                  <c:v>41.229233227830385</c:v>
                </c:pt>
                <c:pt idx="118">
                  <c:v>41.05425547487112</c:v>
                </c:pt>
                <c:pt idx="119">
                  <c:v>40.867601520880896</c:v>
                </c:pt>
                <c:pt idx="120">
                  <c:v>40.668303861932593</c:v>
                </c:pt>
                <c:pt idx="121">
                  <c:v>40.455698877359779</c:v>
                </c:pt>
                <c:pt idx="122">
                  <c:v>40.245345662827468</c:v>
                </c:pt>
                <c:pt idx="123">
                  <c:v>40.021738885537545</c:v>
                </c:pt>
                <c:pt idx="124">
                  <c:v>39.784786060829838</c:v>
                </c:pt>
                <c:pt idx="125">
                  <c:v>39.560214691084312</c:v>
                </c:pt>
                <c:pt idx="126">
                  <c:v>39.359268521519539</c:v>
                </c:pt>
                <c:pt idx="127">
                  <c:v>39.143619477310729</c:v>
                </c:pt>
                <c:pt idx="128">
                  <c:v>38.928635936873178</c:v>
                </c:pt>
                <c:pt idx="129">
                  <c:v>38.710669286114516</c:v>
                </c:pt>
                <c:pt idx="130">
                  <c:v>38.482264175596839</c:v>
                </c:pt>
                <c:pt idx="131">
                  <c:v>38.269032018031865</c:v>
                </c:pt>
                <c:pt idx="132">
                  <c:v>38.066071359574579</c:v>
                </c:pt>
                <c:pt idx="133">
                  <c:v>37.886775826301296</c:v>
                </c:pt>
                <c:pt idx="134">
                  <c:v>37.712300645881662</c:v>
                </c:pt>
                <c:pt idx="135">
                  <c:v>37.530455825989065</c:v>
                </c:pt>
                <c:pt idx="136">
                  <c:v>37.359406666492681</c:v>
                </c:pt>
                <c:pt idx="137">
                  <c:v>37.193875165148519</c:v>
                </c:pt>
                <c:pt idx="138">
                  <c:v>37.018389225664727</c:v>
                </c:pt>
                <c:pt idx="139">
                  <c:v>36.834289055324845</c:v>
                </c:pt>
                <c:pt idx="140">
                  <c:v>36.632269006093203</c:v>
                </c:pt>
                <c:pt idx="141">
                  <c:v>36.393909387286953</c:v>
                </c:pt>
                <c:pt idx="142">
                  <c:v>36.164297901902884</c:v>
                </c:pt>
                <c:pt idx="143">
                  <c:v>35.891852405725253</c:v>
                </c:pt>
                <c:pt idx="144">
                  <c:v>35.610991864080624</c:v>
                </c:pt>
                <c:pt idx="145">
                  <c:v>35.307457022197674</c:v>
                </c:pt>
                <c:pt idx="146">
                  <c:v>34.99350760622557</c:v>
                </c:pt>
                <c:pt idx="147">
                  <c:v>34.655777097767498</c:v>
                </c:pt>
                <c:pt idx="148">
                  <c:v>34.300768566293307</c:v>
                </c:pt>
                <c:pt idx="149">
                  <c:v>33.909041380445665</c:v>
                </c:pt>
                <c:pt idx="150">
                  <c:v>33.50212704823187</c:v>
                </c:pt>
                <c:pt idx="151">
                  <c:v>33.059948632460063</c:v>
                </c:pt>
                <c:pt idx="152">
                  <c:v>32.606977918742821</c:v>
                </c:pt>
                <c:pt idx="153">
                  <c:v>32.136663424233184</c:v>
                </c:pt>
                <c:pt idx="154">
                  <c:v>31.671321720130209</c:v>
                </c:pt>
                <c:pt idx="155">
                  <c:v>31.193175219280484</c:v>
                </c:pt>
                <c:pt idx="156">
                  <c:v>30.717399476856151</c:v>
                </c:pt>
                <c:pt idx="157">
                  <c:v>30.260953390951244</c:v>
                </c:pt>
                <c:pt idx="158">
                  <c:v>29.789496933767133</c:v>
                </c:pt>
                <c:pt idx="159">
                  <c:v>29.358467892265772</c:v>
                </c:pt>
                <c:pt idx="160">
                  <c:v>29.004796792648175</c:v>
                </c:pt>
                <c:pt idx="161">
                  <c:v>28.641001912365642</c:v>
                </c:pt>
                <c:pt idx="162">
                  <c:v>28.344637581709659</c:v>
                </c:pt>
                <c:pt idx="163">
                  <c:v>28.077746866527704</c:v>
                </c:pt>
                <c:pt idx="164">
                  <c:v>27.76312771775482</c:v>
                </c:pt>
                <c:pt idx="165">
                  <c:v>27.448841141788911</c:v>
                </c:pt>
                <c:pt idx="166">
                  <c:v>27.109756782491385</c:v>
                </c:pt>
                <c:pt idx="167">
                  <c:v>26.750229061639523</c:v>
                </c:pt>
                <c:pt idx="168">
                  <c:v>26.375283686452423</c:v>
                </c:pt>
                <c:pt idx="169">
                  <c:v>25.939659736596422</c:v>
                </c:pt>
                <c:pt idx="170">
                  <c:v>25.537963454170725</c:v>
                </c:pt>
                <c:pt idx="171">
                  <c:v>25.332764698854376</c:v>
                </c:pt>
                <c:pt idx="172">
                  <c:v>24.931294071537856</c:v>
                </c:pt>
                <c:pt idx="173">
                  <c:v>24.418973282110194</c:v>
                </c:pt>
                <c:pt idx="174">
                  <c:v>24.181466698198054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0-4014-A4AD-5DEE22E8B1E4}"/>
            </c:ext>
          </c:extLst>
        </c:ser>
        <c:ser>
          <c:idx val="6"/>
          <c:order val="6"/>
          <c:tx>
            <c:strRef>
              <c:f>data_co2_excLUC!$J$2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data_co2_excLUC!$J$3:$J$177</c:f>
              <c:numCache>
                <c:formatCode>0.0</c:formatCode>
                <c:ptCount val="175"/>
                <c:pt idx="0">
                  <c:v>48.501612141772895</c:v>
                </c:pt>
                <c:pt idx="1">
                  <c:v>48.496162864785717</c:v>
                </c:pt>
                <c:pt idx="2">
                  <c:v>48.490661635183308</c:v>
                </c:pt>
                <c:pt idx="3">
                  <c:v>48.484939261005685</c:v>
                </c:pt>
                <c:pt idx="4">
                  <c:v>48.478939614799579</c:v>
                </c:pt>
                <c:pt idx="5">
                  <c:v>48.471878208879225</c:v>
                </c:pt>
                <c:pt idx="6">
                  <c:v>48.464714471940731</c:v>
                </c:pt>
                <c:pt idx="7">
                  <c:v>48.457079057286954</c:v>
                </c:pt>
                <c:pt idx="8">
                  <c:v>48.44938150997816</c:v>
                </c:pt>
                <c:pt idx="9">
                  <c:v>48.441629209052763</c:v>
                </c:pt>
                <c:pt idx="10">
                  <c:v>48.433392881258982</c:v>
                </c:pt>
                <c:pt idx="11">
                  <c:v>48.424364983907545</c:v>
                </c:pt>
                <c:pt idx="12">
                  <c:v>48.414869993224393</c:v>
                </c:pt>
                <c:pt idx="13">
                  <c:v>48.405281911605428</c:v>
                </c:pt>
                <c:pt idx="14">
                  <c:v>48.395127364908781</c:v>
                </c:pt>
                <c:pt idx="15">
                  <c:v>48.384222996400339</c:v>
                </c:pt>
                <c:pt idx="16">
                  <c:v>48.372690963053095</c:v>
                </c:pt>
                <c:pt idx="17">
                  <c:v>48.360908490006452</c:v>
                </c:pt>
                <c:pt idx="18">
                  <c:v>48.348298915667954</c:v>
                </c:pt>
                <c:pt idx="19">
                  <c:v>48.335397234575858</c:v>
                </c:pt>
                <c:pt idx="20">
                  <c:v>48.321749880091843</c:v>
                </c:pt>
                <c:pt idx="21">
                  <c:v>48.30786034641509</c:v>
                </c:pt>
                <c:pt idx="22">
                  <c:v>48.293247009330464</c:v>
                </c:pt>
                <c:pt idx="23">
                  <c:v>48.27700014284526</c:v>
                </c:pt>
                <c:pt idx="24">
                  <c:v>48.259720478424882</c:v>
                </c:pt>
                <c:pt idx="25">
                  <c:v>48.24388966645337</c:v>
                </c:pt>
                <c:pt idx="26">
                  <c:v>48.226527585633441</c:v>
                </c:pt>
                <c:pt idx="27">
                  <c:v>48.209386816578267</c:v>
                </c:pt>
                <c:pt idx="28">
                  <c:v>48.191827895504687</c:v>
                </c:pt>
                <c:pt idx="29">
                  <c:v>48.174431181906677</c:v>
                </c:pt>
                <c:pt idx="30">
                  <c:v>48.155720621742759</c:v>
                </c:pt>
                <c:pt idx="31">
                  <c:v>48.134211574835298</c:v>
                </c:pt>
                <c:pt idx="32">
                  <c:v>48.112032569583839</c:v>
                </c:pt>
                <c:pt idx="33">
                  <c:v>48.088490225912665</c:v>
                </c:pt>
                <c:pt idx="34">
                  <c:v>48.063572844200415</c:v>
                </c:pt>
                <c:pt idx="35">
                  <c:v>48.038447055964156</c:v>
                </c:pt>
                <c:pt idx="36">
                  <c:v>48.013262351726546</c:v>
                </c:pt>
                <c:pt idx="37">
                  <c:v>47.987748424494619</c:v>
                </c:pt>
                <c:pt idx="38">
                  <c:v>47.960931987773684</c:v>
                </c:pt>
                <c:pt idx="39">
                  <c:v>47.931056959052086</c:v>
                </c:pt>
                <c:pt idx="40">
                  <c:v>47.901577951085152</c:v>
                </c:pt>
                <c:pt idx="41">
                  <c:v>47.869334554917984</c:v>
                </c:pt>
                <c:pt idx="42">
                  <c:v>47.83569097985032</c:v>
                </c:pt>
                <c:pt idx="43">
                  <c:v>47.801778138157786</c:v>
                </c:pt>
                <c:pt idx="44">
                  <c:v>47.768897169632382</c:v>
                </c:pt>
                <c:pt idx="45">
                  <c:v>47.734727511783639</c:v>
                </c:pt>
                <c:pt idx="46">
                  <c:v>47.69875111395622</c:v>
                </c:pt>
                <c:pt idx="47">
                  <c:v>47.661697880120826</c:v>
                </c:pt>
                <c:pt idx="48">
                  <c:v>47.623098180542186</c:v>
                </c:pt>
                <c:pt idx="49">
                  <c:v>47.582714938970227</c:v>
                </c:pt>
                <c:pt idx="50">
                  <c:v>47.538203995252609</c:v>
                </c:pt>
                <c:pt idx="51">
                  <c:v>47.491030618934602</c:v>
                </c:pt>
                <c:pt idx="52">
                  <c:v>47.442789048330638</c:v>
                </c:pt>
                <c:pt idx="53">
                  <c:v>47.392865517444996</c:v>
                </c:pt>
                <c:pt idx="54">
                  <c:v>47.337593755153087</c:v>
                </c:pt>
                <c:pt idx="55">
                  <c:v>47.28229004810288</c:v>
                </c:pt>
                <c:pt idx="56">
                  <c:v>47.222434369726123</c:v>
                </c:pt>
                <c:pt idx="57">
                  <c:v>47.160964532708874</c:v>
                </c:pt>
                <c:pt idx="58">
                  <c:v>47.090483565010715</c:v>
                </c:pt>
                <c:pt idx="59">
                  <c:v>47.024122890992935</c:v>
                </c:pt>
                <c:pt idx="60">
                  <c:v>46.95474264159666</c:v>
                </c:pt>
                <c:pt idx="61">
                  <c:v>46.880730359673976</c:v>
                </c:pt>
                <c:pt idx="62">
                  <c:v>46.806398301919131</c:v>
                </c:pt>
                <c:pt idx="63">
                  <c:v>46.727945644771459</c:v>
                </c:pt>
                <c:pt idx="64">
                  <c:v>46.642810312579826</c:v>
                </c:pt>
                <c:pt idx="65">
                  <c:v>46.565140051004107</c:v>
                </c:pt>
                <c:pt idx="66">
                  <c:v>46.488152729834454</c:v>
                </c:pt>
                <c:pt idx="67">
                  <c:v>46.405107966593675</c:v>
                </c:pt>
                <c:pt idx="68">
                  <c:v>46.318283804951434</c:v>
                </c:pt>
                <c:pt idx="69">
                  <c:v>46.227868368340694</c:v>
                </c:pt>
                <c:pt idx="70">
                  <c:v>46.14680777975483</c:v>
                </c:pt>
                <c:pt idx="71">
                  <c:v>46.055860748105054</c:v>
                </c:pt>
                <c:pt idx="72">
                  <c:v>45.979599499130579</c:v>
                </c:pt>
                <c:pt idx="73">
                  <c:v>45.898087832772497</c:v>
                </c:pt>
                <c:pt idx="74">
                  <c:v>45.802146125794032</c:v>
                </c:pt>
                <c:pt idx="75">
                  <c:v>45.706852941275493</c:v>
                </c:pt>
                <c:pt idx="76">
                  <c:v>45.609095037121435</c:v>
                </c:pt>
                <c:pt idx="77">
                  <c:v>45.514533187103787</c:v>
                </c:pt>
                <c:pt idx="78">
                  <c:v>45.410487980853624</c:v>
                </c:pt>
                <c:pt idx="79">
                  <c:v>45.308601442835453</c:v>
                </c:pt>
                <c:pt idx="80">
                  <c:v>45.198883434622203</c:v>
                </c:pt>
                <c:pt idx="81">
                  <c:v>45.100928679115491</c:v>
                </c:pt>
                <c:pt idx="82">
                  <c:v>45.017075876325805</c:v>
                </c:pt>
                <c:pt idx="83">
                  <c:v>44.944644961231255</c:v>
                </c:pt>
                <c:pt idx="84">
                  <c:v>44.868531045303413</c:v>
                </c:pt>
                <c:pt idx="85">
                  <c:v>44.787648010794484</c:v>
                </c:pt>
                <c:pt idx="86">
                  <c:v>44.704619972644991</c:v>
                </c:pt>
                <c:pt idx="87">
                  <c:v>44.613128241540373</c:v>
                </c:pt>
                <c:pt idx="88">
                  <c:v>44.514417539732229</c:v>
                </c:pt>
                <c:pt idx="89">
                  <c:v>44.426797638094925</c:v>
                </c:pt>
                <c:pt idx="90">
                  <c:v>44.332026392311782</c:v>
                </c:pt>
                <c:pt idx="91">
                  <c:v>44.237459074976556</c:v>
                </c:pt>
                <c:pt idx="92">
                  <c:v>44.135696196157674</c:v>
                </c:pt>
                <c:pt idx="93">
                  <c:v>44.024151660406233</c:v>
                </c:pt>
                <c:pt idx="94">
                  <c:v>43.913424824505626</c:v>
                </c:pt>
                <c:pt idx="95">
                  <c:v>43.802991317301519</c:v>
                </c:pt>
                <c:pt idx="96">
                  <c:v>43.711548716140427</c:v>
                </c:pt>
                <c:pt idx="97">
                  <c:v>43.616011653453093</c:v>
                </c:pt>
                <c:pt idx="98">
                  <c:v>43.506341146570684</c:v>
                </c:pt>
                <c:pt idx="99">
                  <c:v>43.387839962155915</c:v>
                </c:pt>
                <c:pt idx="100">
                  <c:v>43.283913025230383</c:v>
                </c:pt>
                <c:pt idx="101">
                  <c:v>43.161920956794035</c:v>
                </c:pt>
                <c:pt idx="102">
                  <c:v>43.032180455430478</c:v>
                </c:pt>
                <c:pt idx="103">
                  <c:v>42.906683242526015</c:v>
                </c:pt>
                <c:pt idx="104">
                  <c:v>42.779315646409181</c:v>
                </c:pt>
                <c:pt idx="105">
                  <c:v>42.656594750757897</c:v>
                </c:pt>
                <c:pt idx="106">
                  <c:v>42.524681419906784</c:v>
                </c:pt>
                <c:pt idx="107">
                  <c:v>42.386466910670165</c:v>
                </c:pt>
                <c:pt idx="108">
                  <c:v>42.252774140738858</c:v>
                </c:pt>
                <c:pt idx="109">
                  <c:v>42.13474690588329</c:v>
                </c:pt>
                <c:pt idx="110">
                  <c:v>42.020783184609392</c:v>
                </c:pt>
                <c:pt idx="111">
                  <c:v>41.901140064071051</c:v>
                </c:pt>
                <c:pt idx="112">
                  <c:v>41.772508541568079</c:v>
                </c:pt>
                <c:pt idx="113">
                  <c:v>41.63320984636615</c:v>
                </c:pt>
                <c:pt idx="114">
                  <c:v>41.483941870923871</c:v>
                </c:pt>
                <c:pt idx="115">
                  <c:v>41.326851547275893</c:v>
                </c:pt>
                <c:pt idx="116">
                  <c:v>41.16440409700818</c:v>
                </c:pt>
                <c:pt idx="117">
                  <c:v>40.996610975379696</c:v>
                </c:pt>
                <c:pt idx="118">
                  <c:v>40.817576438980481</c:v>
                </c:pt>
                <c:pt idx="119">
                  <c:v>40.627135141785907</c:v>
                </c:pt>
                <c:pt idx="120">
                  <c:v>40.423280684251814</c:v>
                </c:pt>
                <c:pt idx="121">
                  <c:v>40.207674217595141</c:v>
                </c:pt>
                <c:pt idx="122">
                  <c:v>39.993605263597253</c:v>
                </c:pt>
                <c:pt idx="123">
                  <c:v>39.765552164114979</c:v>
                </c:pt>
                <c:pt idx="124">
                  <c:v>39.522640506022533</c:v>
                </c:pt>
                <c:pt idx="125">
                  <c:v>39.292266576974924</c:v>
                </c:pt>
                <c:pt idx="126">
                  <c:v>39.088129254238531</c:v>
                </c:pt>
                <c:pt idx="127">
                  <c:v>38.866063418810022</c:v>
                </c:pt>
                <c:pt idx="128">
                  <c:v>38.644444595121428</c:v>
                </c:pt>
                <c:pt idx="129">
                  <c:v>38.41718917573084</c:v>
                </c:pt>
                <c:pt idx="130">
                  <c:v>38.177802439841876</c:v>
                </c:pt>
                <c:pt idx="131">
                  <c:v>37.954516632708781</c:v>
                </c:pt>
                <c:pt idx="132">
                  <c:v>37.741136796733329</c:v>
                </c:pt>
                <c:pt idx="133">
                  <c:v>37.553607946269999</c:v>
                </c:pt>
                <c:pt idx="134">
                  <c:v>37.369060396742519</c:v>
                </c:pt>
                <c:pt idx="135">
                  <c:v>37.176024562881345</c:v>
                </c:pt>
                <c:pt idx="136">
                  <c:v>36.99334470524564</c:v>
                </c:pt>
                <c:pt idx="137">
                  <c:v>36.815881376262354</c:v>
                </c:pt>
                <c:pt idx="138">
                  <c:v>36.626738175566871</c:v>
                </c:pt>
                <c:pt idx="139">
                  <c:v>36.425106565476476</c:v>
                </c:pt>
                <c:pt idx="140">
                  <c:v>36.206994077139726</c:v>
                </c:pt>
                <c:pt idx="141">
                  <c:v>35.96991985921094</c:v>
                </c:pt>
                <c:pt idx="142">
                  <c:v>35.734388492227673</c:v>
                </c:pt>
                <c:pt idx="143">
                  <c:v>35.461601883426255</c:v>
                </c:pt>
                <c:pt idx="144">
                  <c:v>35.178740068687929</c:v>
                </c:pt>
                <c:pt idx="145">
                  <c:v>34.870391629159897</c:v>
                </c:pt>
                <c:pt idx="146">
                  <c:v>34.552539262818605</c:v>
                </c:pt>
                <c:pt idx="147">
                  <c:v>34.212941320571872</c:v>
                </c:pt>
                <c:pt idx="148">
                  <c:v>33.858059622805328</c:v>
                </c:pt>
                <c:pt idx="149">
                  <c:v>33.468855573633668</c:v>
                </c:pt>
                <c:pt idx="150">
                  <c:v>33.065705954571726</c:v>
                </c:pt>
                <c:pt idx="151">
                  <c:v>32.628727351992744</c:v>
                </c:pt>
                <c:pt idx="152">
                  <c:v>32.184145526827898</c:v>
                </c:pt>
                <c:pt idx="153">
                  <c:v>31.725902179597227</c:v>
                </c:pt>
                <c:pt idx="154">
                  <c:v>31.272767859479039</c:v>
                </c:pt>
                <c:pt idx="155">
                  <c:v>30.812448091713495</c:v>
                </c:pt>
                <c:pt idx="156">
                  <c:v>30.360318171642199</c:v>
                </c:pt>
                <c:pt idx="157">
                  <c:v>29.921763343616846</c:v>
                </c:pt>
                <c:pt idx="158">
                  <c:v>29.465852878774392</c:v>
                </c:pt>
                <c:pt idx="159">
                  <c:v>29.042652956553898</c:v>
                </c:pt>
                <c:pt idx="160">
                  <c:v>28.693716835078824</c:v>
                </c:pt>
                <c:pt idx="161">
                  <c:v>28.318980786999791</c:v>
                </c:pt>
                <c:pt idx="162">
                  <c:v>28.012018233340179</c:v>
                </c:pt>
                <c:pt idx="163">
                  <c:v>27.732196787909917</c:v>
                </c:pt>
                <c:pt idx="164">
                  <c:v>27.406304026497285</c:v>
                </c:pt>
                <c:pt idx="165">
                  <c:v>27.090867353471531</c:v>
                </c:pt>
                <c:pt idx="166">
                  <c:v>26.77192807241855</c:v>
                </c:pt>
                <c:pt idx="167">
                  <c:v>26.447744355314782</c:v>
                </c:pt>
                <c:pt idx="168">
                  <c:v>26.13269873012592</c:v>
                </c:pt>
                <c:pt idx="169">
                  <c:v>25.760273818815193</c:v>
                </c:pt>
                <c:pt idx="170">
                  <c:v>25.400105344438444</c:v>
                </c:pt>
                <c:pt idx="171">
                  <c:v>25.250557904175118</c:v>
                </c:pt>
                <c:pt idx="172">
                  <c:v>24.928989779387692</c:v>
                </c:pt>
                <c:pt idx="173">
                  <c:v>24.44208745772</c:v>
                </c:pt>
                <c:pt idx="174">
                  <c:v>24.3249699518258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90-4014-A4AD-5DEE22E8B1E4}"/>
            </c:ext>
          </c:extLst>
        </c:ser>
        <c:ser>
          <c:idx val="7"/>
          <c:order val="7"/>
          <c:tx>
            <c:strRef>
              <c:f>data_co2_excLUC!$K$2</c:f>
              <c:strCache>
                <c:ptCount val="1"/>
                <c:pt idx="0">
                  <c:v>pct_annex2_GCP_fossil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data_co2_excLUC!$K$3:$K$177</c:f>
              <c:numCache>
                <c:formatCode>0.0</c:formatCode>
                <c:ptCount val="175"/>
                <c:pt idx="0">
                  <c:v>48.634529780665289</c:v>
                </c:pt>
                <c:pt idx="1">
                  <c:v>48.629095835040964</c:v>
                </c:pt>
                <c:pt idx="2">
                  <c:v>48.623629685680122</c:v>
                </c:pt>
                <c:pt idx="3">
                  <c:v>48.617955420069904</c:v>
                </c:pt>
                <c:pt idx="4">
                  <c:v>48.612010961482063</c:v>
                </c:pt>
                <c:pt idx="5">
                  <c:v>48.605008625869957</c:v>
                </c:pt>
                <c:pt idx="6">
                  <c:v>48.597930105429711</c:v>
                </c:pt>
                <c:pt idx="7">
                  <c:v>48.590400126981187</c:v>
                </c:pt>
                <c:pt idx="8">
                  <c:v>48.582826586025114</c:v>
                </c:pt>
                <c:pt idx="9">
                  <c:v>48.575224435860967</c:v>
                </c:pt>
                <c:pt idx="10">
                  <c:v>48.567122941579129</c:v>
                </c:pt>
                <c:pt idx="11">
                  <c:v>48.558233846613192</c:v>
                </c:pt>
                <c:pt idx="12">
                  <c:v>48.548910794437759</c:v>
                </c:pt>
                <c:pt idx="13">
                  <c:v>48.539501574870712</c:v>
                </c:pt>
                <c:pt idx="14">
                  <c:v>48.529517248928549</c:v>
                </c:pt>
                <c:pt idx="15">
                  <c:v>48.518795928964828</c:v>
                </c:pt>
                <c:pt idx="16">
                  <c:v>48.507462927078308</c:v>
                </c:pt>
                <c:pt idx="17">
                  <c:v>48.495886709856741</c:v>
                </c:pt>
                <c:pt idx="18">
                  <c:v>48.483500587959369</c:v>
                </c:pt>
                <c:pt idx="19">
                  <c:v>48.470840934203281</c:v>
                </c:pt>
                <c:pt idx="20">
                  <c:v>48.457423398458602</c:v>
                </c:pt>
                <c:pt idx="21">
                  <c:v>48.443783881820046</c:v>
                </c:pt>
                <c:pt idx="22">
                  <c:v>48.42944233602433</c:v>
                </c:pt>
                <c:pt idx="23">
                  <c:v>48.413518054829417</c:v>
                </c:pt>
                <c:pt idx="24">
                  <c:v>48.396579904963559</c:v>
                </c:pt>
                <c:pt idx="25">
                  <c:v>48.381056087901271</c:v>
                </c:pt>
                <c:pt idx="26">
                  <c:v>48.364051974143344</c:v>
                </c:pt>
                <c:pt idx="27">
                  <c:v>48.347266528784274</c:v>
                </c:pt>
                <c:pt idx="28">
                  <c:v>48.330061190245047</c:v>
                </c:pt>
                <c:pt idx="29">
                  <c:v>48.313040823216049</c:v>
                </c:pt>
                <c:pt idx="30">
                  <c:v>48.294758543875361</c:v>
                </c:pt>
                <c:pt idx="31">
                  <c:v>48.273835605135567</c:v>
                </c:pt>
                <c:pt idx="32">
                  <c:v>48.252152991186456</c:v>
                </c:pt>
                <c:pt idx="33">
                  <c:v>48.229161416862766</c:v>
                </c:pt>
                <c:pt idx="34">
                  <c:v>48.20483133588408</c:v>
                </c:pt>
                <c:pt idx="35">
                  <c:v>48.180324896870339</c:v>
                </c:pt>
                <c:pt idx="36">
                  <c:v>48.155804355297036</c:v>
                </c:pt>
                <c:pt idx="37">
                  <c:v>48.130934825877155</c:v>
                </c:pt>
                <c:pt idx="38">
                  <c:v>48.104768437481056</c:v>
                </c:pt>
                <c:pt idx="39">
                  <c:v>48.07564929204203</c:v>
                </c:pt>
                <c:pt idx="40">
                  <c:v>48.046977554381236</c:v>
                </c:pt>
                <c:pt idx="41">
                  <c:v>48.015580973834751</c:v>
                </c:pt>
                <c:pt idx="42">
                  <c:v>47.982846610068187</c:v>
                </c:pt>
                <c:pt idx="43">
                  <c:v>47.949857231683978</c:v>
                </c:pt>
                <c:pt idx="44">
                  <c:v>47.917943311797536</c:v>
                </c:pt>
                <c:pt idx="45">
                  <c:v>47.884832094642434</c:v>
                </c:pt>
                <c:pt idx="46">
                  <c:v>47.849932130533482</c:v>
                </c:pt>
                <c:pt idx="47">
                  <c:v>47.813996136212403</c:v>
                </c:pt>
                <c:pt idx="48">
                  <c:v>47.776585670723875</c:v>
                </c:pt>
                <c:pt idx="49">
                  <c:v>47.737465021259133</c:v>
                </c:pt>
                <c:pt idx="50">
                  <c:v>47.694367108767047</c:v>
                </c:pt>
                <c:pt idx="51">
                  <c:v>47.648787732195821</c:v>
                </c:pt>
                <c:pt idx="52">
                  <c:v>47.601998011056914</c:v>
                </c:pt>
                <c:pt idx="53">
                  <c:v>47.553527164922976</c:v>
                </c:pt>
                <c:pt idx="54">
                  <c:v>47.499788437305185</c:v>
                </c:pt>
                <c:pt idx="55">
                  <c:v>47.445976705298762</c:v>
                </c:pt>
                <c:pt idx="56">
                  <c:v>47.387736387430166</c:v>
                </c:pt>
                <c:pt idx="57">
                  <c:v>47.327542335686474</c:v>
                </c:pt>
                <c:pt idx="58">
                  <c:v>47.259252870722371</c:v>
                </c:pt>
                <c:pt idx="59">
                  <c:v>47.195113364052212</c:v>
                </c:pt>
                <c:pt idx="60">
                  <c:v>47.127946807884392</c:v>
                </c:pt>
                <c:pt idx="61">
                  <c:v>47.056292693008231</c:v>
                </c:pt>
                <c:pt idx="62">
                  <c:v>46.984085131919379</c:v>
                </c:pt>
                <c:pt idx="63">
                  <c:v>46.90831103555076</c:v>
                </c:pt>
                <c:pt idx="64">
                  <c:v>46.826150338963821</c:v>
                </c:pt>
                <c:pt idx="65">
                  <c:v>46.751105934204041</c:v>
                </c:pt>
                <c:pt idx="66">
                  <c:v>46.676505154038907</c:v>
                </c:pt>
                <c:pt idx="67">
                  <c:v>46.595804248392554</c:v>
                </c:pt>
                <c:pt idx="68">
                  <c:v>46.510700540396257</c:v>
                </c:pt>
                <c:pt idx="69">
                  <c:v>46.42235213172988</c:v>
                </c:pt>
                <c:pt idx="70">
                  <c:v>46.343118305234526</c:v>
                </c:pt>
                <c:pt idx="71">
                  <c:v>46.254196015816973</c:v>
                </c:pt>
                <c:pt idx="72">
                  <c:v>46.179694048513255</c:v>
                </c:pt>
                <c:pt idx="73">
                  <c:v>46.10024205137708</c:v>
                </c:pt>
                <c:pt idx="74">
                  <c:v>46.006352868721137</c:v>
                </c:pt>
                <c:pt idx="75">
                  <c:v>45.91320431344873</c:v>
                </c:pt>
                <c:pt idx="76">
                  <c:v>45.818227693095217</c:v>
                </c:pt>
                <c:pt idx="77">
                  <c:v>45.726030857572347</c:v>
                </c:pt>
                <c:pt idx="78">
                  <c:v>45.624762763139934</c:v>
                </c:pt>
                <c:pt idx="79">
                  <c:v>45.524877602949147</c:v>
                </c:pt>
                <c:pt idx="80">
                  <c:v>45.417200975479339</c:v>
                </c:pt>
                <c:pt idx="81">
                  <c:v>45.320549705918573</c:v>
                </c:pt>
                <c:pt idx="82">
                  <c:v>45.237879432452473</c:v>
                </c:pt>
                <c:pt idx="83">
                  <c:v>45.166439330449705</c:v>
                </c:pt>
                <c:pt idx="84">
                  <c:v>45.091301138753451</c:v>
                </c:pt>
                <c:pt idx="85">
                  <c:v>45.011367547438915</c:v>
                </c:pt>
                <c:pt idx="86">
                  <c:v>44.92916878711997</c:v>
                </c:pt>
                <c:pt idx="87">
                  <c:v>44.838419756879553</c:v>
                </c:pt>
                <c:pt idx="88">
                  <c:v>44.740614267151642</c:v>
                </c:pt>
                <c:pt idx="89">
                  <c:v>44.653238625502297</c:v>
                </c:pt>
                <c:pt idx="90">
                  <c:v>44.559083363876454</c:v>
                </c:pt>
                <c:pt idx="91">
                  <c:v>44.464580344918616</c:v>
                </c:pt>
                <c:pt idx="92">
                  <c:v>44.362216613543495</c:v>
                </c:pt>
                <c:pt idx="93">
                  <c:v>44.249300716041127</c:v>
                </c:pt>
                <c:pt idx="94">
                  <c:v>44.133997523303158</c:v>
                </c:pt>
                <c:pt idx="95">
                  <c:v>44.020840185872714</c:v>
                </c:pt>
                <c:pt idx="96">
                  <c:v>43.925315557232793</c:v>
                </c:pt>
                <c:pt idx="97">
                  <c:v>43.825584454986306</c:v>
                </c:pt>
                <c:pt idx="98">
                  <c:v>43.713962182738989</c:v>
                </c:pt>
                <c:pt idx="99">
                  <c:v>43.594089286094302</c:v>
                </c:pt>
                <c:pt idx="100">
                  <c:v>43.487586682600551</c:v>
                </c:pt>
                <c:pt idx="101">
                  <c:v>43.367992785385631</c:v>
                </c:pt>
                <c:pt idx="102">
                  <c:v>43.240935654729064</c:v>
                </c:pt>
                <c:pt idx="103">
                  <c:v>43.118039621320783</c:v>
                </c:pt>
                <c:pt idx="104">
                  <c:v>42.993130337749093</c:v>
                </c:pt>
                <c:pt idx="105">
                  <c:v>42.873012207557863</c:v>
                </c:pt>
                <c:pt idx="106">
                  <c:v>42.744156001637428</c:v>
                </c:pt>
                <c:pt idx="107">
                  <c:v>42.60920874371871</c:v>
                </c:pt>
                <c:pt idx="108">
                  <c:v>42.478186178904451</c:v>
                </c:pt>
                <c:pt idx="109">
                  <c:v>42.362053472980087</c:v>
                </c:pt>
                <c:pt idx="110">
                  <c:v>42.250048295101486</c:v>
                </c:pt>
                <c:pt idx="111">
                  <c:v>42.131556396750305</c:v>
                </c:pt>
                <c:pt idx="112">
                  <c:v>42.003872555025069</c:v>
                </c:pt>
                <c:pt idx="113">
                  <c:v>41.866019047171292</c:v>
                </c:pt>
                <c:pt idx="114">
                  <c:v>41.719843586764519</c:v>
                </c:pt>
                <c:pt idx="115">
                  <c:v>41.566010636559895</c:v>
                </c:pt>
                <c:pt idx="116">
                  <c:v>41.408000444434151</c:v>
                </c:pt>
                <c:pt idx="117">
                  <c:v>41.24312407741683</c:v>
                </c:pt>
                <c:pt idx="118">
                  <c:v>41.068200568629493</c:v>
                </c:pt>
                <c:pt idx="119">
                  <c:v>40.881604118924599</c:v>
                </c:pt>
                <c:pt idx="120">
                  <c:v>40.682367476151569</c:v>
                </c:pt>
                <c:pt idx="121">
                  <c:v>40.469829332181298</c:v>
                </c:pt>
                <c:pt idx="122">
                  <c:v>40.259549959189535</c:v>
                </c:pt>
                <c:pt idx="123">
                  <c:v>40.036021066319492</c:v>
                </c:pt>
                <c:pt idx="124">
                  <c:v>39.799152360531437</c:v>
                </c:pt>
                <c:pt idx="125">
                  <c:v>39.574669243917228</c:v>
                </c:pt>
                <c:pt idx="126">
                  <c:v>39.373822374188535</c:v>
                </c:pt>
                <c:pt idx="127">
                  <c:v>39.158282657195031</c:v>
                </c:pt>
                <c:pt idx="128">
                  <c:v>38.943416371745847</c:v>
                </c:pt>
                <c:pt idx="129">
                  <c:v>38.725579360593834</c:v>
                </c:pt>
                <c:pt idx="130">
                  <c:v>38.497309039447721</c:v>
                </c:pt>
                <c:pt idx="131">
                  <c:v>38.284219839152456</c:v>
                </c:pt>
                <c:pt idx="132">
                  <c:v>38.081404526296367</c:v>
                </c:pt>
                <c:pt idx="133">
                  <c:v>37.902268064410968</c:v>
                </c:pt>
                <c:pt idx="134">
                  <c:v>37.727961386952089</c:v>
                </c:pt>
                <c:pt idx="135">
                  <c:v>37.546297901776917</c:v>
                </c:pt>
                <c:pt idx="136">
                  <c:v>37.375450632403584</c:v>
                </c:pt>
                <c:pt idx="137">
                  <c:v>37.21013472616103</c:v>
                </c:pt>
                <c:pt idx="138">
                  <c:v>37.034876081778663</c:v>
                </c:pt>
                <c:pt idx="139">
                  <c:v>36.851019911935573</c:v>
                </c:pt>
                <c:pt idx="140">
                  <c:v>36.649248506202227</c:v>
                </c:pt>
                <c:pt idx="141">
                  <c:v>36.411140019112942</c:v>
                </c:pt>
                <c:pt idx="142">
                  <c:v>36.164301854985318</c:v>
                </c:pt>
                <c:pt idx="143">
                  <c:v>35.891855860943224</c:v>
                </c:pt>
                <c:pt idx="144">
                  <c:v>35.610994844661001</c:v>
                </c:pt>
                <c:pt idx="145">
                  <c:v>35.307459512749986</c:v>
                </c:pt>
                <c:pt idx="146">
                  <c:v>34.993510093051292</c:v>
                </c:pt>
                <c:pt idx="147">
                  <c:v>34.655779429991313</c:v>
                </c:pt>
                <c:pt idx="148">
                  <c:v>34.300770778865719</c:v>
                </c:pt>
                <c:pt idx="149">
                  <c:v>33.909043467501107</c:v>
                </c:pt>
                <c:pt idx="150">
                  <c:v>33.502129006739267</c:v>
                </c:pt>
                <c:pt idx="151">
                  <c:v>33.059950500843676</c:v>
                </c:pt>
                <c:pt idx="152">
                  <c:v>32.606979694508574</c:v>
                </c:pt>
                <c:pt idx="153">
                  <c:v>32.136665061114407</c:v>
                </c:pt>
                <c:pt idx="154">
                  <c:v>31.671323404135755</c:v>
                </c:pt>
                <c:pt idx="155">
                  <c:v>31.193176626587377</c:v>
                </c:pt>
                <c:pt idx="156">
                  <c:v>30.717400500626109</c:v>
                </c:pt>
                <c:pt idx="157">
                  <c:v>30.260954108840565</c:v>
                </c:pt>
                <c:pt idx="158">
                  <c:v>29.789497002819807</c:v>
                </c:pt>
                <c:pt idx="159">
                  <c:v>29.358467966733759</c:v>
                </c:pt>
                <c:pt idx="160">
                  <c:v>29.004796872801752</c:v>
                </c:pt>
                <c:pt idx="161">
                  <c:v>28.64100205751377</c:v>
                </c:pt>
                <c:pt idx="162">
                  <c:v>28.344637738075406</c:v>
                </c:pt>
                <c:pt idx="163">
                  <c:v>28.07774703599809</c:v>
                </c:pt>
                <c:pt idx="164">
                  <c:v>27.763127974014878</c:v>
                </c:pt>
                <c:pt idx="165">
                  <c:v>27.448841422783499</c:v>
                </c:pt>
                <c:pt idx="166">
                  <c:v>27.109757177698967</c:v>
                </c:pt>
                <c:pt idx="167">
                  <c:v>26.750229502657024</c:v>
                </c:pt>
                <c:pt idx="168">
                  <c:v>26.375284186689889</c:v>
                </c:pt>
                <c:pt idx="169">
                  <c:v>25.939660316608126</c:v>
                </c:pt>
                <c:pt idx="170">
                  <c:v>25.537964005785401</c:v>
                </c:pt>
                <c:pt idx="171">
                  <c:v>25.332765379277909</c:v>
                </c:pt>
                <c:pt idx="172">
                  <c:v>24.931294747957395</c:v>
                </c:pt>
                <c:pt idx="173">
                  <c:v>24.418972953974951</c:v>
                </c:pt>
                <c:pt idx="174">
                  <c:v>24.181466698198054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90-4014-A4AD-5DEE22E8B1E4}"/>
            </c:ext>
          </c:extLst>
        </c:ser>
        <c:ser>
          <c:idx val="8"/>
          <c:order val="8"/>
          <c:tx>
            <c:strRef>
              <c:f>data_co2_excLUC!$L$2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90-4014-A4AD-5DEE22E8B1E4}"/>
            </c:ext>
          </c:extLst>
        </c:ser>
        <c:ser>
          <c:idx val="9"/>
          <c:order val="9"/>
          <c:tx>
            <c:strRef>
              <c:f>data_co2_excLUC!$M$2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data_co2_excLUC!$M$3:$M$177</c:f>
              <c:numCache>
                <c:formatCode>0.0</c:formatCode>
                <c:ptCount val="175"/>
                <c:pt idx="0">
                  <c:v>62.091743207812513</c:v>
                </c:pt>
                <c:pt idx="1">
                  <c:v>62.087600163508917</c:v>
                </c:pt>
                <c:pt idx="2">
                  <c:v>62.083415518255812</c:v>
                </c:pt>
                <c:pt idx="3">
                  <c:v>62.079047948436909</c:v>
                </c:pt>
                <c:pt idx="4">
                  <c:v>62.074472414178807</c:v>
                </c:pt>
                <c:pt idx="5">
                  <c:v>62.069091925455808</c:v>
                </c:pt>
                <c:pt idx="6">
                  <c:v>62.063610483056721</c:v>
                </c:pt>
                <c:pt idx="7">
                  <c:v>62.057789464772227</c:v>
                </c:pt>
                <c:pt idx="8">
                  <c:v>62.051921331714155</c:v>
                </c:pt>
                <c:pt idx="9">
                  <c:v>62.045988582244739</c:v>
                </c:pt>
                <c:pt idx="10">
                  <c:v>62.039694912950083</c:v>
                </c:pt>
                <c:pt idx="11">
                  <c:v>62.03278632625436</c:v>
                </c:pt>
                <c:pt idx="12">
                  <c:v>62.025515063172698</c:v>
                </c:pt>
                <c:pt idx="13">
                  <c:v>62.018104840218491</c:v>
                </c:pt>
                <c:pt idx="14">
                  <c:v>62.010188705632409</c:v>
                </c:pt>
                <c:pt idx="15">
                  <c:v>62.001657834271803</c:v>
                </c:pt>
                <c:pt idx="16">
                  <c:v>61.992596402399379</c:v>
                </c:pt>
                <c:pt idx="17">
                  <c:v>61.983276988767834</c:v>
                </c:pt>
                <c:pt idx="18">
                  <c:v>61.973254906831109</c:v>
                </c:pt>
                <c:pt idx="19">
                  <c:v>61.962949119754185</c:v>
                </c:pt>
                <c:pt idx="20">
                  <c:v>61.951993733318567</c:v>
                </c:pt>
                <c:pt idx="21">
                  <c:v>61.94079273309422</c:v>
                </c:pt>
                <c:pt idx="22">
                  <c:v>61.928885767788856</c:v>
                </c:pt>
                <c:pt idx="23">
                  <c:v>61.915714034740219</c:v>
                </c:pt>
                <c:pt idx="24">
                  <c:v>61.901707632651934</c:v>
                </c:pt>
                <c:pt idx="25">
                  <c:v>61.888614564976663</c:v>
                </c:pt>
                <c:pt idx="26">
                  <c:v>61.874374936291488</c:v>
                </c:pt>
                <c:pt idx="27">
                  <c:v>61.859926912424626</c:v>
                </c:pt>
                <c:pt idx="28">
                  <c:v>61.845172166500141</c:v>
                </c:pt>
                <c:pt idx="29">
                  <c:v>61.830408722556442</c:v>
                </c:pt>
                <c:pt idx="30">
                  <c:v>61.814565997271274</c:v>
                </c:pt>
                <c:pt idx="31">
                  <c:v>61.796648932434437</c:v>
                </c:pt>
                <c:pt idx="32">
                  <c:v>61.778091915419765</c:v>
                </c:pt>
                <c:pt idx="33">
                  <c:v>61.758476370515538</c:v>
                </c:pt>
                <c:pt idx="34">
                  <c:v>61.737601709547263</c:v>
                </c:pt>
                <c:pt idx="35">
                  <c:v>61.716497649178351</c:v>
                </c:pt>
                <c:pt idx="36">
                  <c:v>61.695214568749257</c:v>
                </c:pt>
                <c:pt idx="37">
                  <c:v>61.673576845058307</c:v>
                </c:pt>
                <c:pt idx="38">
                  <c:v>61.650881945363288</c:v>
                </c:pt>
                <c:pt idx="39">
                  <c:v>61.625730831812916</c:v>
                </c:pt>
                <c:pt idx="40">
                  <c:v>61.60065452896508</c:v>
                </c:pt>
                <c:pt idx="41">
                  <c:v>61.573269314918512</c:v>
                </c:pt>
                <c:pt idx="42">
                  <c:v>61.544593440968129</c:v>
                </c:pt>
                <c:pt idx="43">
                  <c:v>61.515753630658701</c:v>
                </c:pt>
                <c:pt idx="44">
                  <c:v>61.48740411894854</c:v>
                </c:pt>
                <c:pt idx="45">
                  <c:v>61.458089060989252</c:v>
                </c:pt>
                <c:pt idx="46">
                  <c:v>61.427090296364753</c:v>
                </c:pt>
                <c:pt idx="47">
                  <c:v>61.395101249885151</c:v>
                </c:pt>
                <c:pt idx="48">
                  <c:v>61.361596056135213</c:v>
                </c:pt>
                <c:pt idx="49">
                  <c:v>61.326343286136535</c:v>
                </c:pt>
                <c:pt idx="50">
                  <c:v>61.28771805604778</c:v>
                </c:pt>
                <c:pt idx="51">
                  <c:v>61.246809252948253</c:v>
                </c:pt>
                <c:pt idx="52">
                  <c:v>61.204748762327043</c:v>
                </c:pt>
                <c:pt idx="53">
                  <c:v>61.161632114677566</c:v>
                </c:pt>
                <c:pt idx="54">
                  <c:v>61.114534946629618</c:v>
                </c:pt>
                <c:pt idx="55">
                  <c:v>61.067060445334306</c:v>
                </c:pt>
                <c:pt idx="56">
                  <c:v>61.016330306166367</c:v>
                </c:pt>
                <c:pt idx="57">
                  <c:v>60.963568159777601</c:v>
                </c:pt>
                <c:pt idx="58">
                  <c:v>60.90430866980897</c:v>
                </c:pt>
                <c:pt idx="59">
                  <c:v>60.847883761241441</c:v>
                </c:pt>
                <c:pt idx="60">
                  <c:v>60.788889878134334</c:v>
                </c:pt>
                <c:pt idx="61">
                  <c:v>60.72676639965556</c:v>
                </c:pt>
                <c:pt idx="62">
                  <c:v>60.663874626449669</c:v>
                </c:pt>
                <c:pt idx="63">
                  <c:v>60.597150064055903</c:v>
                </c:pt>
                <c:pt idx="64">
                  <c:v>60.525136297119545</c:v>
                </c:pt>
                <c:pt idx="65">
                  <c:v>60.459929528416424</c:v>
                </c:pt>
                <c:pt idx="66">
                  <c:v>60.395490107948632</c:v>
                </c:pt>
                <c:pt idx="67">
                  <c:v>60.325785508609243</c:v>
                </c:pt>
                <c:pt idx="68">
                  <c:v>60.252945291645446</c:v>
                </c:pt>
                <c:pt idx="69">
                  <c:v>60.181161911269434</c:v>
                </c:pt>
                <c:pt idx="70">
                  <c:v>60.121262440631675</c:v>
                </c:pt>
                <c:pt idx="71">
                  <c:v>60.051534771305739</c:v>
                </c:pt>
                <c:pt idx="72">
                  <c:v>59.992615888406739</c:v>
                </c:pt>
                <c:pt idx="73">
                  <c:v>59.929886082537209</c:v>
                </c:pt>
                <c:pt idx="74">
                  <c:v>59.856996513522063</c:v>
                </c:pt>
                <c:pt idx="75">
                  <c:v>59.78420307989235</c:v>
                </c:pt>
                <c:pt idx="76">
                  <c:v>59.710032743994489</c:v>
                </c:pt>
                <c:pt idx="77">
                  <c:v>59.636642528018001</c:v>
                </c:pt>
                <c:pt idx="78">
                  <c:v>59.554922897835027</c:v>
                </c:pt>
                <c:pt idx="79">
                  <c:v>59.47350053053384</c:v>
                </c:pt>
                <c:pt idx="80">
                  <c:v>59.385149641787812</c:v>
                </c:pt>
                <c:pt idx="81">
                  <c:v>59.304384298426626</c:v>
                </c:pt>
                <c:pt idx="82">
                  <c:v>59.232762518356182</c:v>
                </c:pt>
                <c:pt idx="83">
                  <c:v>59.169363662829454</c:v>
                </c:pt>
                <c:pt idx="84">
                  <c:v>59.102599094623173</c:v>
                </c:pt>
                <c:pt idx="85">
                  <c:v>59.030487089152764</c:v>
                </c:pt>
                <c:pt idx="86">
                  <c:v>58.955534978258505</c:v>
                </c:pt>
                <c:pt idx="87">
                  <c:v>58.872173712818864</c:v>
                </c:pt>
                <c:pt idx="88">
                  <c:v>58.7831149274718</c:v>
                </c:pt>
                <c:pt idx="89">
                  <c:v>58.70041708165423</c:v>
                </c:pt>
                <c:pt idx="90">
                  <c:v>58.612974477315625</c:v>
                </c:pt>
                <c:pt idx="91">
                  <c:v>58.5167870492443</c:v>
                </c:pt>
                <c:pt idx="92">
                  <c:v>58.417108215388211</c:v>
                </c:pt>
                <c:pt idx="93">
                  <c:v>58.315592090335478</c:v>
                </c:pt>
                <c:pt idx="94">
                  <c:v>58.21045327352887</c:v>
                </c:pt>
                <c:pt idx="95">
                  <c:v>58.10392704439262</c:v>
                </c:pt>
                <c:pt idx="96">
                  <c:v>58.017019347730511</c:v>
                </c:pt>
                <c:pt idx="97">
                  <c:v>57.92260112269868</c:v>
                </c:pt>
                <c:pt idx="98">
                  <c:v>57.816694800903015</c:v>
                </c:pt>
                <c:pt idx="99">
                  <c:v>57.702503479876889</c:v>
                </c:pt>
                <c:pt idx="100">
                  <c:v>57.593886030014808</c:v>
                </c:pt>
                <c:pt idx="101">
                  <c:v>57.47338557387377</c:v>
                </c:pt>
                <c:pt idx="102">
                  <c:v>57.344661811388043</c:v>
                </c:pt>
                <c:pt idx="103">
                  <c:v>57.216529852062195</c:v>
                </c:pt>
                <c:pt idx="104">
                  <c:v>57.083714764312653</c:v>
                </c:pt>
                <c:pt idx="105">
                  <c:v>56.951181179668112</c:v>
                </c:pt>
                <c:pt idx="106">
                  <c:v>56.807639911055553</c:v>
                </c:pt>
                <c:pt idx="107">
                  <c:v>56.655021207811615</c:v>
                </c:pt>
                <c:pt idx="108">
                  <c:v>56.500247562903638</c:v>
                </c:pt>
                <c:pt idx="109">
                  <c:v>56.356711952942938</c:v>
                </c:pt>
                <c:pt idx="110">
                  <c:v>56.215597566820698</c:v>
                </c:pt>
                <c:pt idx="111">
                  <c:v>56.067286921010727</c:v>
                </c:pt>
                <c:pt idx="112">
                  <c:v>55.904858181722275</c:v>
                </c:pt>
                <c:pt idx="113">
                  <c:v>55.728003187324823</c:v>
                </c:pt>
                <c:pt idx="114">
                  <c:v>55.537739692855347</c:v>
                </c:pt>
                <c:pt idx="115">
                  <c:v>55.335122436872588</c:v>
                </c:pt>
                <c:pt idx="116">
                  <c:v>55.124954065349463</c:v>
                </c:pt>
                <c:pt idx="117">
                  <c:v>54.904580607610207</c:v>
                </c:pt>
                <c:pt idx="118">
                  <c:v>54.669686854273294</c:v>
                </c:pt>
                <c:pt idx="119">
                  <c:v>54.421681148107801</c:v>
                </c:pt>
                <c:pt idx="120">
                  <c:v>54.158918850784623</c:v>
                </c:pt>
                <c:pt idx="121">
                  <c:v>53.881143317862957</c:v>
                </c:pt>
                <c:pt idx="122">
                  <c:v>53.598381941754333</c:v>
                </c:pt>
                <c:pt idx="123">
                  <c:v>53.296831640757766</c:v>
                </c:pt>
                <c:pt idx="124">
                  <c:v>52.978367681381776</c:v>
                </c:pt>
                <c:pt idx="125">
                  <c:v>52.661222337177463</c:v>
                </c:pt>
                <c:pt idx="126">
                  <c:v>52.351555538522078</c:v>
                </c:pt>
                <c:pt idx="127">
                  <c:v>52.020957661844456</c:v>
                </c:pt>
                <c:pt idx="128">
                  <c:v>51.682126826703204</c:v>
                </c:pt>
                <c:pt idx="129">
                  <c:v>51.332632620189955</c:v>
                </c:pt>
                <c:pt idx="130">
                  <c:v>50.971467721165432</c:v>
                </c:pt>
                <c:pt idx="131">
                  <c:v>50.609020619174863</c:v>
                </c:pt>
                <c:pt idx="132">
                  <c:v>50.255700623755082</c:v>
                </c:pt>
                <c:pt idx="133">
                  <c:v>49.913608244822029</c:v>
                </c:pt>
                <c:pt idx="134">
                  <c:v>49.568250778761339</c:v>
                </c:pt>
                <c:pt idx="135">
                  <c:v>49.212013235754412</c:v>
                </c:pt>
                <c:pt idx="136">
                  <c:v>48.844041803728302</c:v>
                </c:pt>
                <c:pt idx="137">
                  <c:v>48.474176329437796</c:v>
                </c:pt>
                <c:pt idx="138">
                  <c:v>48.090371649478215</c:v>
                </c:pt>
                <c:pt idx="139">
                  <c:v>47.69421810029953</c:v>
                </c:pt>
                <c:pt idx="140">
                  <c:v>47.283952708898198</c:v>
                </c:pt>
                <c:pt idx="141">
                  <c:v>46.827016606033652</c:v>
                </c:pt>
                <c:pt idx="142">
                  <c:v>46.403143235183578</c:v>
                </c:pt>
                <c:pt idx="143">
                  <c:v>45.978193711307178</c:v>
                </c:pt>
                <c:pt idx="144">
                  <c:v>45.562065874437145</c:v>
                </c:pt>
                <c:pt idx="145">
                  <c:v>45.156695896249175</c:v>
                </c:pt>
                <c:pt idx="146">
                  <c:v>44.746479897503797</c:v>
                </c:pt>
                <c:pt idx="147">
                  <c:v>44.317518657091398</c:v>
                </c:pt>
                <c:pt idx="148">
                  <c:v>43.883022747820206</c:v>
                </c:pt>
                <c:pt idx="149">
                  <c:v>43.415510587085343</c:v>
                </c:pt>
                <c:pt idx="150">
                  <c:v>42.941105940559751</c:v>
                </c:pt>
                <c:pt idx="151">
                  <c:v>42.437091575017199</c:v>
                </c:pt>
                <c:pt idx="152">
                  <c:v>41.913699744222356</c:v>
                </c:pt>
                <c:pt idx="153">
                  <c:v>41.378561762209017</c:v>
                </c:pt>
                <c:pt idx="154">
                  <c:v>40.848424371593431</c:v>
                </c:pt>
                <c:pt idx="155">
                  <c:v>40.30859094126086</c:v>
                </c:pt>
                <c:pt idx="156">
                  <c:v>39.773132301806072</c:v>
                </c:pt>
                <c:pt idx="157">
                  <c:v>39.246078899375945</c:v>
                </c:pt>
                <c:pt idx="158">
                  <c:v>38.701642789052229</c:v>
                </c:pt>
                <c:pt idx="159">
                  <c:v>38.198708927571886</c:v>
                </c:pt>
                <c:pt idx="160">
                  <c:v>37.79860435905568</c:v>
                </c:pt>
                <c:pt idx="161">
                  <c:v>37.386598635825194</c:v>
                </c:pt>
                <c:pt idx="162">
                  <c:v>37.035515119870453</c:v>
                </c:pt>
                <c:pt idx="163">
                  <c:v>36.715563108177186</c:v>
                </c:pt>
                <c:pt idx="164">
                  <c:v>36.372614085292525</c:v>
                </c:pt>
                <c:pt idx="165">
                  <c:v>36.040437256802697</c:v>
                </c:pt>
                <c:pt idx="166">
                  <c:v>35.681428838534103</c:v>
                </c:pt>
                <c:pt idx="167">
                  <c:v>35.284783238690338</c:v>
                </c:pt>
                <c:pt idx="168">
                  <c:v>34.852461471737776</c:v>
                </c:pt>
                <c:pt idx="169">
                  <c:v>34.34780099714019</c:v>
                </c:pt>
                <c:pt idx="170">
                  <c:v>33.90405943555465</c:v>
                </c:pt>
                <c:pt idx="171">
                  <c:v>33.634922443659178</c:v>
                </c:pt>
                <c:pt idx="172">
                  <c:v>33.128047082855097</c:v>
                </c:pt>
                <c:pt idx="173">
                  <c:v>32.61575208939027</c:v>
                </c:pt>
                <c:pt idx="174">
                  <c:v>32.408271546196964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90-4014-A4AD-5DEE22E8B1E4}"/>
            </c:ext>
          </c:extLst>
        </c:ser>
        <c:ser>
          <c:idx val="10"/>
          <c:order val="10"/>
          <c:tx>
            <c:strRef>
              <c:f>data_co2_excLUC!$N$2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data_co2_excLUC!$N$3:$N$177</c:f>
              <c:numCache>
                <c:formatCode>0.0</c:formatCode>
                <c:ptCount val="175"/>
                <c:pt idx="0">
                  <c:v>62.172529548298364</c:v>
                </c:pt>
                <c:pt idx="1">
                  <c:v>62.16839401370887</c:v>
                </c:pt>
                <c:pt idx="2">
                  <c:v>62.164199683521694</c:v>
                </c:pt>
                <c:pt idx="3">
                  <c:v>62.159811990123046</c:v>
                </c:pt>
                <c:pt idx="4">
                  <c:v>62.155211320174701</c:v>
                </c:pt>
                <c:pt idx="5">
                  <c:v>62.149807001770249</c:v>
                </c:pt>
                <c:pt idx="6">
                  <c:v>62.144290081071695</c:v>
                </c:pt>
                <c:pt idx="7">
                  <c:v>62.138397255916104</c:v>
                </c:pt>
                <c:pt idx="8">
                  <c:v>62.132438544407307</c:v>
                </c:pt>
                <c:pt idx="9">
                  <c:v>62.126408621590713</c:v>
                </c:pt>
                <c:pt idx="10">
                  <c:v>62.120035782227447</c:v>
                </c:pt>
                <c:pt idx="11">
                  <c:v>62.113044321403329</c:v>
                </c:pt>
                <c:pt idx="12">
                  <c:v>62.105665045559888</c:v>
                </c:pt>
                <c:pt idx="13">
                  <c:v>62.098141348341883</c:v>
                </c:pt>
                <c:pt idx="14">
                  <c:v>62.090122084633826</c:v>
                </c:pt>
                <c:pt idx="15">
                  <c:v>62.081474032883257</c:v>
                </c:pt>
                <c:pt idx="16">
                  <c:v>62.072283030754349</c:v>
                </c:pt>
                <c:pt idx="17">
                  <c:v>62.06282003784834</c:v>
                </c:pt>
                <c:pt idx="18">
                  <c:v>62.052653405800328</c:v>
                </c:pt>
                <c:pt idx="19">
                  <c:v>62.042188444557091</c:v>
                </c:pt>
                <c:pt idx="20">
                  <c:v>62.03108884653075</c:v>
                </c:pt>
                <c:pt idx="21">
                  <c:v>62.019731150356428</c:v>
                </c:pt>
                <c:pt idx="22">
                  <c:v>62.007656153049325</c:v>
                </c:pt>
                <c:pt idx="23">
                  <c:v>61.9942754610178</c:v>
                </c:pt>
                <c:pt idx="24">
                  <c:v>61.980047256642592</c:v>
                </c:pt>
                <c:pt idx="25">
                  <c:v>61.966744860368884</c:v>
                </c:pt>
                <c:pt idx="26">
                  <c:v>61.952270305901237</c:v>
                </c:pt>
                <c:pt idx="27">
                  <c:v>61.937575616679972</c:v>
                </c:pt>
                <c:pt idx="28">
                  <c:v>61.922578736203825</c:v>
                </c:pt>
                <c:pt idx="29">
                  <c:v>61.907527461086367</c:v>
                </c:pt>
                <c:pt idx="30">
                  <c:v>61.891358673584222</c:v>
                </c:pt>
                <c:pt idx="31">
                  <c:v>61.873001207761455</c:v>
                </c:pt>
                <c:pt idx="32">
                  <c:v>61.854065485760444</c:v>
                </c:pt>
                <c:pt idx="33">
                  <c:v>61.834032925860946</c:v>
                </c:pt>
                <c:pt idx="34">
                  <c:v>61.812714723024023</c:v>
                </c:pt>
                <c:pt idx="35">
                  <c:v>61.791136025826354</c:v>
                </c:pt>
                <c:pt idx="36">
                  <c:v>61.769338501598789</c:v>
                </c:pt>
                <c:pt idx="37">
                  <c:v>61.747202868624285</c:v>
                </c:pt>
                <c:pt idx="38">
                  <c:v>61.724010217556035</c:v>
                </c:pt>
                <c:pt idx="39">
                  <c:v>61.698270537461951</c:v>
                </c:pt>
                <c:pt idx="40">
                  <c:v>61.672559758896739</c:v>
                </c:pt>
                <c:pt idx="41">
                  <c:v>61.644523898721793</c:v>
                </c:pt>
                <c:pt idx="42">
                  <c:v>61.615141199389733</c:v>
                </c:pt>
                <c:pt idx="43">
                  <c:v>61.585578899275482</c:v>
                </c:pt>
                <c:pt idx="44">
                  <c:v>61.55647244338973</c:v>
                </c:pt>
                <c:pt idx="45">
                  <c:v>61.526319040649682</c:v>
                </c:pt>
                <c:pt idx="46">
                  <c:v>61.494477871669851</c:v>
                </c:pt>
                <c:pt idx="47">
                  <c:v>61.461613348393996</c:v>
                </c:pt>
                <c:pt idx="48">
                  <c:v>61.427174298724019</c:v>
                </c:pt>
                <c:pt idx="49">
                  <c:v>61.390935348075359</c:v>
                </c:pt>
                <c:pt idx="50">
                  <c:v>61.351208439073716</c:v>
                </c:pt>
                <c:pt idx="51">
                  <c:v>61.309073970598291</c:v>
                </c:pt>
                <c:pt idx="52">
                  <c:v>61.265942610630333</c:v>
                </c:pt>
                <c:pt idx="53">
                  <c:v>61.221761803899625</c:v>
                </c:pt>
                <c:pt idx="54">
                  <c:v>61.173578537284214</c:v>
                </c:pt>
                <c:pt idx="55">
                  <c:v>61.125047418784831</c:v>
                </c:pt>
                <c:pt idx="56">
                  <c:v>61.073178100075843</c:v>
                </c:pt>
                <c:pt idx="57">
                  <c:v>61.01976087169745</c:v>
                </c:pt>
                <c:pt idx="58">
                  <c:v>60.958855460352879</c:v>
                </c:pt>
                <c:pt idx="59">
                  <c:v>60.900834451517518</c:v>
                </c:pt>
                <c:pt idx="60">
                  <c:v>60.8401873379809</c:v>
                </c:pt>
                <c:pt idx="61">
                  <c:v>60.77631328263152</c:v>
                </c:pt>
                <c:pt idx="62">
                  <c:v>60.711984375077478</c:v>
                </c:pt>
                <c:pt idx="63">
                  <c:v>60.643276481567142</c:v>
                </c:pt>
                <c:pt idx="64">
                  <c:v>60.569011387958462</c:v>
                </c:pt>
                <c:pt idx="65">
                  <c:v>60.501822312998002</c:v>
                </c:pt>
                <c:pt idx="66">
                  <c:v>60.435662504478685</c:v>
                </c:pt>
                <c:pt idx="67">
                  <c:v>60.364210128081474</c:v>
                </c:pt>
                <c:pt idx="68">
                  <c:v>60.290081753363381</c:v>
                </c:pt>
                <c:pt idx="69">
                  <c:v>60.2168278579313</c:v>
                </c:pt>
                <c:pt idx="70">
                  <c:v>60.155539803086498</c:v>
                </c:pt>
                <c:pt idx="71">
                  <c:v>60.084307655226375</c:v>
                </c:pt>
                <c:pt idx="72">
                  <c:v>60.024075291955917</c:v>
                </c:pt>
                <c:pt idx="73">
                  <c:v>59.959890914609971</c:v>
                </c:pt>
                <c:pt idx="74">
                  <c:v>59.885601054140004</c:v>
                </c:pt>
                <c:pt idx="75">
                  <c:v>59.811339641848896</c:v>
                </c:pt>
                <c:pt idx="76">
                  <c:v>59.735294909801809</c:v>
                </c:pt>
                <c:pt idx="77">
                  <c:v>59.660487841708175</c:v>
                </c:pt>
                <c:pt idx="78">
                  <c:v>59.577005816054751</c:v>
                </c:pt>
                <c:pt idx="79">
                  <c:v>59.494718696410828</c:v>
                </c:pt>
                <c:pt idx="80">
                  <c:v>59.405677814085145</c:v>
                </c:pt>
                <c:pt idx="81">
                  <c:v>59.324806615150614</c:v>
                </c:pt>
                <c:pt idx="82">
                  <c:v>59.252989955583999</c:v>
                </c:pt>
                <c:pt idx="83">
                  <c:v>59.189465929218379</c:v>
                </c:pt>
                <c:pt idx="84">
                  <c:v>59.122634752388414</c:v>
                </c:pt>
                <c:pt idx="85">
                  <c:v>59.050569366368919</c:v>
                </c:pt>
                <c:pt idx="86">
                  <c:v>58.975879517709487</c:v>
                </c:pt>
                <c:pt idx="87">
                  <c:v>58.892951856982677</c:v>
                </c:pt>
                <c:pt idx="88">
                  <c:v>58.804344238400461</c:v>
                </c:pt>
                <c:pt idx="89">
                  <c:v>58.722667423098848</c:v>
                </c:pt>
                <c:pt idx="90">
                  <c:v>58.636137225221219</c:v>
                </c:pt>
                <c:pt idx="91">
                  <c:v>58.541037820296502</c:v>
                </c:pt>
                <c:pt idx="92">
                  <c:v>58.443066367345118</c:v>
                </c:pt>
                <c:pt idx="93">
                  <c:v>58.34110354141766</c:v>
                </c:pt>
                <c:pt idx="94">
                  <c:v>58.235539915276632</c:v>
                </c:pt>
                <c:pt idx="95">
                  <c:v>58.132596415661673</c:v>
                </c:pt>
                <c:pt idx="96">
                  <c:v>58.050753112627454</c:v>
                </c:pt>
                <c:pt idx="97">
                  <c:v>57.962358371558267</c:v>
                </c:pt>
                <c:pt idx="98">
                  <c:v>57.859971298847135</c:v>
                </c:pt>
                <c:pt idx="99">
                  <c:v>57.748577120928893</c:v>
                </c:pt>
                <c:pt idx="100">
                  <c:v>57.644057055282872</c:v>
                </c:pt>
                <c:pt idx="101">
                  <c:v>57.520514085741759</c:v>
                </c:pt>
                <c:pt idx="102">
                  <c:v>57.388319994832372</c:v>
                </c:pt>
                <c:pt idx="103">
                  <c:v>57.256364042971065</c:v>
                </c:pt>
                <c:pt idx="104">
                  <c:v>57.119536835559984</c:v>
                </c:pt>
                <c:pt idx="105">
                  <c:v>56.982441241774339</c:v>
                </c:pt>
                <c:pt idx="106">
                  <c:v>56.833174294590307</c:v>
                </c:pt>
                <c:pt idx="107">
                  <c:v>56.674059590342061</c:v>
                </c:pt>
                <c:pt idx="108">
                  <c:v>56.512795262827098</c:v>
                </c:pt>
                <c:pt idx="109">
                  <c:v>56.363048945894271</c:v>
                </c:pt>
                <c:pt idx="110">
                  <c:v>56.215243950567753</c:v>
                </c:pt>
                <c:pt idx="111">
                  <c:v>56.060479785739162</c:v>
                </c:pt>
                <c:pt idx="112">
                  <c:v>55.891451647528733</c:v>
                </c:pt>
                <c:pt idx="113">
                  <c:v>55.707244328588146</c:v>
                </c:pt>
                <c:pt idx="114">
                  <c:v>55.507821067639952</c:v>
                </c:pt>
                <c:pt idx="115">
                  <c:v>55.294924186313487</c:v>
                </c:pt>
                <c:pt idx="116">
                  <c:v>55.072535382276946</c:v>
                </c:pt>
                <c:pt idx="117">
                  <c:v>54.8404420618674</c:v>
                </c:pt>
                <c:pt idx="118">
                  <c:v>54.591627199906313</c:v>
                </c:pt>
                <c:pt idx="119">
                  <c:v>54.329747510292449</c:v>
                </c:pt>
                <c:pt idx="120">
                  <c:v>54.051762676038187</c:v>
                </c:pt>
                <c:pt idx="121">
                  <c:v>53.760152500538958</c:v>
                </c:pt>
                <c:pt idx="122">
                  <c:v>53.464505883824032</c:v>
                </c:pt>
                <c:pt idx="123">
                  <c:v>53.14769925294739</c:v>
                </c:pt>
                <c:pt idx="124">
                  <c:v>52.811486148375451</c:v>
                </c:pt>
                <c:pt idx="125">
                  <c:v>52.4776978037916</c:v>
                </c:pt>
                <c:pt idx="126">
                  <c:v>52.153784555823101</c:v>
                </c:pt>
                <c:pt idx="127">
                  <c:v>51.805044697378698</c:v>
                </c:pt>
                <c:pt idx="128">
                  <c:v>51.447888542621044</c:v>
                </c:pt>
                <c:pt idx="129">
                  <c:v>51.076841039471823</c:v>
                </c:pt>
                <c:pt idx="130">
                  <c:v>50.691402817378297</c:v>
                </c:pt>
                <c:pt idx="131">
                  <c:v>50.3050734237762</c:v>
                </c:pt>
                <c:pt idx="132">
                  <c:v>49.927980132776867</c:v>
                </c:pt>
                <c:pt idx="133">
                  <c:v>49.562789844773413</c:v>
                </c:pt>
                <c:pt idx="134">
                  <c:v>49.192092934057747</c:v>
                </c:pt>
                <c:pt idx="135">
                  <c:v>48.80849546286148</c:v>
                </c:pt>
                <c:pt idx="136">
                  <c:v>48.412858507247066</c:v>
                </c:pt>
                <c:pt idx="137">
                  <c:v>48.012426114814701</c:v>
                </c:pt>
                <c:pt idx="138">
                  <c:v>47.595764137762146</c:v>
                </c:pt>
                <c:pt idx="139">
                  <c:v>47.162394391082046</c:v>
                </c:pt>
                <c:pt idx="140">
                  <c:v>46.716770000848015</c:v>
                </c:pt>
                <c:pt idx="141">
                  <c:v>46.262511318451274</c:v>
                </c:pt>
                <c:pt idx="142">
                  <c:v>45.831882986677627</c:v>
                </c:pt>
                <c:pt idx="143">
                  <c:v>45.406729330757514</c:v>
                </c:pt>
                <c:pt idx="144">
                  <c:v>44.988054285011273</c:v>
                </c:pt>
                <c:pt idx="145">
                  <c:v>44.576049391926276</c:v>
                </c:pt>
                <c:pt idx="146">
                  <c:v>44.160225625355778</c:v>
                </c:pt>
                <c:pt idx="147">
                  <c:v>43.728073547263556</c:v>
                </c:pt>
                <c:pt idx="148">
                  <c:v>43.292749385196863</c:v>
                </c:pt>
                <c:pt idx="149">
                  <c:v>42.827284173943092</c:v>
                </c:pt>
                <c:pt idx="150">
                  <c:v>42.356313367786747</c:v>
                </c:pt>
                <c:pt idx="151">
                  <c:v>41.857312882078091</c:v>
                </c:pt>
                <c:pt idx="152">
                  <c:v>41.343052533023794</c:v>
                </c:pt>
                <c:pt idx="153">
                  <c:v>40.821616576434799</c:v>
                </c:pt>
                <c:pt idx="154">
                  <c:v>40.305267003695867</c:v>
                </c:pt>
                <c:pt idx="155">
                  <c:v>39.786348457025674</c:v>
                </c:pt>
                <c:pt idx="156">
                  <c:v>39.279258559846561</c:v>
                </c:pt>
                <c:pt idx="157">
                  <c:v>38.773156653385833</c:v>
                </c:pt>
                <c:pt idx="158">
                  <c:v>38.246476192506954</c:v>
                </c:pt>
                <c:pt idx="159">
                  <c:v>37.751253226569439</c:v>
                </c:pt>
                <c:pt idx="160">
                  <c:v>37.354700249942489</c:v>
                </c:pt>
                <c:pt idx="161">
                  <c:v>36.925514442518306</c:v>
                </c:pt>
                <c:pt idx="162">
                  <c:v>36.557525412426543</c:v>
                </c:pt>
                <c:pt idx="163">
                  <c:v>36.217147345748415</c:v>
                </c:pt>
                <c:pt idx="164">
                  <c:v>35.855027927066729</c:v>
                </c:pt>
                <c:pt idx="165">
                  <c:v>35.515953350346287</c:v>
                </c:pt>
                <c:pt idx="166">
                  <c:v>35.176823591181666</c:v>
                </c:pt>
                <c:pt idx="167">
                  <c:v>34.818810888916005</c:v>
                </c:pt>
                <c:pt idx="168">
                  <c:v>34.455872175113136</c:v>
                </c:pt>
                <c:pt idx="169">
                  <c:v>34.022199976353455</c:v>
                </c:pt>
                <c:pt idx="170">
                  <c:v>33.616544473837592</c:v>
                </c:pt>
                <c:pt idx="171">
                  <c:v>33.397023454353395</c:v>
                </c:pt>
                <c:pt idx="172">
                  <c:v>32.954825371141325</c:v>
                </c:pt>
                <c:pt idx="173">
                  <c:v>32.402529169223996</c:v>
                </c:pt>
                <c:pt idx="174">
                  <c:v>32.229402668729954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90-4014-A4AD-5DEE22E8B1E4}"/>
            </c:ext>
          </c:extLst>
        </c:ser>
        <c:ser>
          <c:idx val="11"/>
          <c:order val="11"/>
          <c:tx>
            <c:strRef>
              <c:f>data_co2_excLUC!$O$2</c:f>
              <c:strCache>
                <c:ptCount val="1"/>
                <c:pt idx="0">
                  <c:v>pct_annex1_GCP_fossil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data_co2_excLUC!$O$3:$O$177</c:f>
              <c:numCache>
                <c:formatCode>0.0</c:formatCode>
                <c:ptCount val="175"/>
                <c:pt idx="0">
                  <c:v>62.108450170722151</c:v>
                </c:pt>
                <c:pt idx="1">
                  <c:v>62.104307840656958</c:v>
                </c:pt>
                <c:pt idx="2">
                  <c:v>62.100123916539886</c:v>
                </c:pt>
                <c:pt idx="3">
                  <c:v>62.095757100737906</c:v>
                </c:pt>
                <c:pt idx="4">
                  <c:v>62.091182354329597</c:v>
                </c:pt>
                <c:pt idx="5">
                  <c:v>62.085802788429426</c:v>
                </c:pt>
                <c:pt idx="6">
                  <c:v>62.080322290499353</c:v>
                </c:pt>
                <c:pt idx="7">
                  <c:v>62.074502292813627</c:v>
                </c:pt>
                <c:pt idx="8">
                  <c:v>62.068635195298526</c:v>
                </c:pt>
                <c:pt idx="9">
                  <c:v>62.06270350494075</c:v>
                </c:pt>
                <c:pt idx="10">
                  <c:v>62.056410956313755</c:v>
                </c:pt>
                <c:pt idx="11">
                  <c:v>62.049503601736554</c:v>
                </c:pt>
                <c:pt idx="12">
                  <c:v>62.042233630811694</c:v>
                </c:pt>
                <c:pt idx="13">
                  <c:v>62.034824726405937</c:v>
                </c:pt>
                <c:pt idx="14">
                  <c:v>62.026909993881382</c:v>
                </c:pt>
                <c:pt idx="15">
                  <c:v>62.018380638942581</c:v>
                </c:pt>
                <c:pt idx="16">
                  <c:v>62.009320817231547</c:v>
                </c:pt>
                <c:pt idx="17">
                  <c:v>62.000003077532348</c:v>
                </c:pt>
                <c:pt idx="18">
                  <c:v>61.989982776967167</c:v>
                </c:pt>
                <c:pt idx="19">
                  <c:v>61.979678823321663</c:v>
                </c:pt>
                <c:pt idx="20">
                  <c:v>61.968725378296817</c:v>
                </c:pt>
                <c:pt idx="21">
                  <c:v>61.957526360716685</c:v>
                </c:pt>
                <c:pt idx="22">
                  <c:v>61.945621503034445</c:v>
                </c:pt>
                <c:pt idx="23">
                  <c:v>61.932452109235101</c:v>
                </c:pt>
                <c:pt idx="24">
                  <c:v>61.91844819197825</c:v>
                </c:pt>
                <c:pt idx="25">
                  <c:v>61.905357466715373</c:v>
                </c:pt>
                <c:pt idx="26">
                  <c:v>61.891120362466687</c:v>
                </c:pt>
                <c:pt idx="27">
                  <c:v>61.876674897889231</c:v>
                </c:pt>
                <c:pt idx="28">
                  <c:v>61.861922756286184</c:v>
                </c:pt>
                <c:pt idx="29">
                  <c:v>61.847161969050092</c:v>
                </c:pt>
                <c:pt idx="30">
                  <c:v>61.83132208077329</c:v>
                </c:pt>
                <c:pt idx="31">
                  <c:v>61.813408217457031</c:v>
                </c:pt>
                <c:pt idx="32">
                  <c:v>61.794854512890176</c:v>
                </c:pt>
                <c:pt idx="33">
                  <c:v>61.775242466602364</c:v>
                </c:pt>
                <c:pt idx="34">
                  <c:v>61.754371528024109</c:v>
                </c:pt>
                <c:pt idx="35">
                  <c:v>61.733271243985918</c:v>
                </c:pt>
                <c:pt idx="36">
                  <c:v>61.711991968355086</c:v>
                </c:pt>
                <c:pt idx="37">
                  <c:v>61.690358103579776</c:v>
                </c:pt>
                <c:pt idx="38">
                  <c:v>61.66766726396461</c:v>
                </c:pt>
                <c:pt idx="39">
                  <c:v>61.642520652944199</c:v>
                </c:pt>
                <c:pt idx="40">
                  <c:v>61.617448886281501</c:v>
                </c:pt>
                <c:pt idx="41">
                  <c:v>61.590068580761802</c:v>
                </c:pt>
                <c:pt idx="42">
                  <c:v>61.561397861392834</c:v>
                </c:pt>
                <c:pt idx="43">
                  <c:v>61.532563272673947</c:v>
                </c:pt>
                <c:pt idx="44">
                  <c:v>61.504218959833338</c:v>
                </c:pt>
                <c:pt idx="45">
                  <c:v>61.474909311159706</c:v>
                </c:pt>
                <c:pt idx="46">
                  <c:v>61.443916300925615</c:v>
                </c:pt>
                <c:pt idx="47">
                  <c:v>61.411933219080069</c:v>
                </c:pt>
                <c:pt idx="48">
                  <c:v>61.378434281067186</c:v>
                </c:pt>
                <c:pt idx="49">
                  <c:v>61.343188145168028</c:v>
                </c:pt>
                <c:pt idx="50">
                  <c:v>61.304570142685918</c:v>
                </c:pt>
                <c:pt idx="51">
                  <c:v>61.263668898345927</c:v>
                </c:pt>
                <c:pt idx="52">
                  <c:v>61.221616268806613</c:v>
                </c:pt>
                <c:pt idx="53">
                  <c:v>61.178507702947115</c:v>
                </c:pt>
                <c:pt idx="54">
                  <c:v>61.131419345096617</c:v>
                </c:pt>
                <c:pt idx="55">
                  <c:v>61.083953820303861</c:v>
                </c:pt>
                <c:pt idx="56">
                  <c:v>61.033233233988504</c:v>
                </c:pt>
                <c:pt idx="57">
                  <c:v>60.980481154732743</c:v>
                </c:pt>
                <c:pt idx="58">
                  <c:v>60.921233415781217</c:v>
                </c:pt>
                <c:pt idx="59">
                  <c:v>60.864819970359918</c:v>
                </c:pt>
                <c:pt idx="60">
                  <c:v>60.805837988274192</c:v>
                </c:pt>
                <c:pt idx="61">
                  <c:v>60.743727000855721</c:v>
                </c:pt>
                <c:pt idx="62">
                  <c:v>60.680848008482137</c:v>
                </c:pt>
                <c:pt idx="63">
                  <c:v>60.614136740734345</c:v>
                </c:pt>
                <c:pt idx="64">
                  <c:v>60.542137506779447</c:v>
                </c:pt>
                <c:pt idx="65">
                  <c:v>60.476944008974833</c:v>
                </c:pt>
                <c:pt idx="66">
                  <c:v>60.412517631872518</c:v>
                </c:pt>
                <c:pt idx="67">
                  <c:v>60.34282714571961</c:v>
                </c:pt>
                <c:pt idx="68">
                  <c:v>60.270001769832845</c:v>
                </c:pt>
                <c:pt idx="69">
                  <c:v>60.198233087646244</c:v>
                </c:pt>
                <c:pt idx="70">
                  <c:v>60.138347086770153</c:v>
                </c:pt>
                <c:pt idx="71">
                  <c:v>60.068635225109787</c:v>
                </c:pt>
                <c:pt idx="72">
                  <c:v>60.009730942068018</c:v>
                </c:pt>
                <c:pt idx="73">
                  <c:v>59.947016215648986</c:v>
                </c:pt>
                <c:pt idx="74">
                  <c:v>59.874143323014763</c:v>
                </c:pt>
                <c:pt idx="75">
                  <c:v>59.801366800543363</c:v>
                </c:pt>
                <c:pt idx="76">
                  <c:v>59.727213304590457</c:v>
                </c:pt>
                <c:pt idx="77">
                  <c:v>59.65383958055277</c:v>
                </c:pt>
                <c:pt idx="78">
                  <c:v>59.572137557757706</c:v>
                </c:pt>
                <c:pt idx="79">
                  <c:v>59.490732796924974</c:v>
                </c:pt>
                <c:pt idx="80">
                  <c:v>59.40240060958493</c:v>
                </c:pt>
                <c:pt idx="81">
                  <c:v>59.321652841946594</c:v>
                </c:pt>
                <c:pt idx="82">
                  <c:v>59.250047023724306</c:v>
                </c:pt>
                <c:pt idx="83">
                  <c:v>59.186662977658067</c:v>
                </c:pt>
                <c:pt idx="84">
                  <c:v>59.119914073346102</c:v>
                </c:pt>
                <c:pt idx="85">
                  <c:v>59.047819312409459</c:v>
                </c:pt>
                <c:pt idx="86">
                  <c:v>58.972885581775124</c:v>
                </c:pt>
                <c:pt idx="87">
                  <c:v>58.889544243660694</c:v>
                </c:pt>
                <c:pt idx="88">
                  <c:v>58.800506873518707</c:v>
                </c:pt>
                <c:pt idx="89">
                  <c:v>58.717829596339179</c:v>
                </c:pt>
                <c:pt idx="90">
                  <c:v>58.630408833978954</c:v>
                </c:pt>
                <c:pt idx="91">
                  <c:v>58.53424522128897</c:v>
                </c:pt>
                <c:pt idx="92">
                  <c:v>58.434590539201047</c:v>
                </c:pt>
                <c:pt idx="93">
                  <c:v>58.333097984253456</c:v>
                </c:pt>
                <c:pt idx="94">
                  <c:v>58.227982840985881</c:v>
                </c:pt>
                <c:pt idx="95">
                  <c:v>58.12148093573596</c:v>
                </c:pt>
                <c:pt idx="96">
                  <c:v>58.034594053400113</c:v>
                </c:pt>
                <c:pt idx="97">
                  <c:v>57.940197973659423</c:v>
                </c:pt>
                <c:pt idx="98">
                  <c:v>57.834316629054442</c:v>
                </c:pt>
                <c:pt idx="99">
                  <c:v>57.720151067664339</c:v>
                </c:pt>
                <c:pt idx="100">
                  <c:v>57.611558532601173</c:v>
                </c:pt>
                <c:pt idx="101">
                  <c:v>57.491086206739006</c:v>
                </c:pt>
                <c:pt idx="102">
                  <c:v>57.362393072524753</c:v>
                </c:pt>
                <c:pt idx="103">
                  <c:v>57.23429312027617</c:v>
                </c:pt>
                <c:pt idx="104">
                  <c:v>57.101510878421159</c:v>
                </c:pt>
                <c:pt idx="105">
                  <c:v>56.969012099062311</c:v>
                </c:pt>
                <c:pt idx="106">
                  <c:v>56.825509386203485</c:v>
                </c:pt>
                <c:pt idx="107">
                  <c:v>56.672932217458516</c:v>
                </c:pt>
                <c:pt idx="108">
                  <c:v>56.518202497036718</c:v>
                </c:pt>
                <c:pt idx="109">
                  <c:v>56.374717808708155</c:v>
                </c:pt>
                <c:pt idx="110">
                  <c:v>56.233660901797911</c:v>
                </c:pt>
                <c:pt idx="111">
                  <c:v>56.08541223869792</c:v>
                </c:pt>
                <c:pt idx="112">
                  <c:v>55.923040303179803</c:v>
                </c:pt>
                <c:pt idx="113">
                  <c:v>55.746242089011922</c:v>
                </c:pt>
                <c:pt idx="114">
                  <c:v>55.556037895268851</c:v>
                </c:pt>
                <c:pt idx="115">
                  <c:v>55.353483166446225</c:v>
                </c:pt>
                <c:pt idx="116">
                  <c:v>55.143381514153788</c:v>
                </c:pt>
                <c:pt idx="117">
                  <c:v>54.92307915305723</c:v>
                </c:pt>
                <c:pt idx="118">
                  <c:v>54.688257000354724</c:v>
                </c:pt>
                <c:pt idx="119">
                  <c:v>54.440328060364571</c:v>
                </c:pt>
                <c:pt idx="120">
                  <c:v>54.177647928900306</c:v>
                </c:pt>
                <c:pt idx="121">
                  <c:v>53.899963282213115</c:v>
                </c:pt>
                <c:pt idx="122">
                  <c:v>53.617299336900281</c:v>
                </c:pt>
                <c:pt idx="123">
                  <c:v>53.315851425244745</c:v>
                </c:pt>
                <c:pt idx="124">
                  <c:v>52.997498437379477</c:v>
                </c:pt>
                <c:pt idx="125">
                  <c:v>52.680463926727818</c:v>
                </c:pt>
                <c:pt idx="126">
                  <c:v>52.370913720156075</c:v>
                </c:pt>
                <c:pt idx="127">
                  <c:v>52.040444867316559</c:v>
                </c:pt>
                <c:pt idx="128">
                  <c:v>51.701749615192284</c:v>
                </c:pt>
                <c:pt idx="129">
                  <c:v>51.352404365342139</c:v>
                </c:pt>
                <c:pt idx="130">
                  <c:v>50.991395419161897</c:v>
                </c:pt>
                <c:pt idx="131">
                  <c:v>50.629105917739182</c:v>
                </c:pt>
                <c:pt idx="132">
                  <c:v>50.275943822195636</c:v>
                </c:pt>
                <c:pt idx="133">
                  <c:v>49.934018361201069</c:v>
                </c:pt>
                <c:pt idx="134">
                  <c:v>49.588834925776105</c:v>
                </c:pt>
                <c:pt idx="135">
                  <c:v>49.232786243334409</c:v>
                </c:pt>
                <c:pt idx="136">
                  <c:v>48.865017836582517</c:v>
                </c:pt>
                <c:pt idx="137">
                  <c:v>48.495367152498318</c:v>
                </c:pt>
                <c:pt idx="138">
                  <c:v>48.111789627257231</c:v>
                </c:pt>
                <c:pt idx="139">
                  <c:v>47.715881749705062</c:v>
                </c:pt>
                <c:pt idx="140">
                  <c:v>47.305869393339506</c:v>
                </c:pt>
                <c:pt idx="141">
                  <c:v>46.849186773960966</c:v>
                </c:pt>
                <c:pt idx="142">
                  <c:v>46.403148307463731</c:v>
                </c:pt>
                <c:pt idx="143">
                  <c:v>45.97819813751174</c:v>
                </c:pt>
                <c:pt idx="144">
                  <c:v>45.562069687905762</c:v>
                </c:pt>
                <c:pt idx="145">
                  <c:v>45.156699081556859</c:v>
                </c:pt>
                <c:pt idx="146">
                  <c:v>44.746482935124163</c:v>
                </c:pt>
                <c:pt idx="147">
                  <c:v>44.317521607658279</c:v>
                </c:pt>
                <c:pt idx="148">
                  <c:v>43.883025545681967</c:v>
                </c:pt>
                <c:pt idx="149">
                  <c:v>43.415513225383343</c:v>
                </c:pt>
                <c:pt idx="150">
                  <c:v>42.941108415807477</c:v>
                </c:pt>
                <c:pt idx="151">
                  <c:v>42.437093936939043</c:v>
                </c:pt>
                <c:pt idx="152">
                  <c:v>41.913701856366536</c:v>
                </c:pt>
                <c:pt idx="153">
                  <c:v>41.378563693108724</c:v>
                </c:pt>
                <c:pt idx="154">
                  <c:v>40.848426175992117</c:v>
                </c:pt>
                <c:pt idx="155">
                  <c:v>40.308592376413117</c:v>
                </c:pt>
                <c:pt idx="156">
                  <c:v>39.773133381099598</c:v>
                </c:pt>
                <c:pt idx="157">
                  <c:v>39.246079571603893</c:v>
                </c:pt>
                <c:pt idx="158">
                  <c:v>38.701642827655022</c:v>
                </c:pt>
                <c:pt idx="159">
                  <c:v>38.198708970147131</c:v>
                </c:pt>
                <c:pt idx="160">
                  <c:v>37.798604405637057</c:v>
                </c:pt>
                <c:pt idx="161">
                  <c:v>37.386598763184303</c:v>
                </c:pt>
                <c:pt idx="162">
                  <c:v>37.035515257271037</c:v>
                </c:pt>
                <c:pt idx="163">
                  <c:v>36.715563257294278</c:v>
                </c:pt>
                <c:pt idx="164">
                  <c:v>36.372614085292525</c:v>
                </c:pt>
                <c:pt idx="165">
                  <c:v>36.040437256802697</c:v>
                </c:pt>
                <c:pt idx="166">
                  <c:v>35.681428949474217</c:v>
                </c:pt>
                <c:pt idx="167">
                  <c:v>35.284783361460981</c:v>
                </c:pt>
                <c:pt idx="168">
                  <c:v>34.852461609695979</c:v>
                </c:pt>
                <c:pt idx="169">
                  <c:v>34.347801155328057</c:v>
                </c:pt>
                <c:pt idx="170">
                  <c:v>33.90405943555465</c:v>
                </c:pt>
                <c:pt idx="171">
                  <c:v>33.634922443659178</c:v>
                </c:pt>
                <c:pt idx="172">
                  <c:v>33.128046784349117</c:v>
                </c:pt>
                <c:pt idx="173">
                  <c:v>32.615751651109036</c:v>
                </c:pt>
                <c:pt idx="174">
                  <c:v>32.408271546196964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90-4014-A4AD-5DEE22E8B1E4}"/>
            </c:ext>
          </c:extLst>
        </c:ser>
        <c:ser>
          <c:idx val="12"/>
          <c:order val="12"/>
          <c:tx>
            <c:strRef>
              <c:f>data_co2_excLUC!$P$2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90-4014-A4AD-5DEE22E8B1E4}"/>
            </c:ext>
          </c:extLst>
        </c:ser>
        <c:ser>
          <c:idx val="13"/>
          <c:order val="13"/>
          <c:tx>
            <c:strRef>
              <c:f>data_co2_excLUC!$R$2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data_co2_excLUC!$R$3:$R$177</c:f>
              <c:numCache>
                <c:formatCode>0.0</c:formatCode>
                <c:ptCount val="175"/>
                <c:pt idx="0">
                  <c:v>48.619</c:v>
                </c:pt>
                <c:pt idx="1">
                  <c:v>48.619</c:v>
                </c:pt>
                <c:pt idx="2">
                  <c:v>48.613999999999997</c:v>
                </c:pt>
                <c:pt idx="3">
                  <c:v>48.607999999999997</c:v>
                </c:pt>
                <c:pt idx="4">
                  <c:v>48.601999999999997</c:v>
                </c:pt>
                <c:pt idx="5">
                  <c:v>48.594999999999999</c:v>
                </c:pt>
                <c:pt idx="6">
                  <c:v>48.588000000000001</c:v>
                </c:pt>
                <c:pt idx="7">
                  <c:v>48.581000000000003</c:v>
                </c:pt>
                <c:pt idx="8">
                  <c:v>48.573</c:v>
                </c:pt>
                <c:pt idx="9">
                  <c:v>48.564999999999998</c:v>
                </c:pt>
                <c:pt idx="10">
                  <c:v>48.557000000000002</c:v>
                </c:pt>
                <c:pt idx="11">
                  <c:v>48.548000000000002</c:v>
                </c:pt>
                <c:pt idx="12">
                  <c:v>48.539000000000001</c:v>
                </c:pt>
                <c:pt idx="13">
                  <c:v>48.53</c:v>
                </c:pt>
                <c:pt idx="14">
                  <c:v>48.52</c:v>
                </c:pt>
                <c:pt idx="15">
                  <c:v>48.509</c:v>
                </c:pt>
                <c:pt idx="16">
                  <c:v>48.497999999999998</c:v>
                </c:pt>
                <c:pt idx="17">
                  <c:v>48.485999999999997</c:v>
                </c:pt>
                <c:pt idx="18">
                  <c:v>48.473999999999997</c:v>
                </c:pt>
                <c:pt idx="19">
                  <c:v>48.460999999999999</c:v>
                </c:pt>
                <c:pt idx="20">
                  <c:v>48.448</c:v>
                </c:pt>
                <c:pt idx="21">
                  <c:v>48.433999999999997</c:v>
                </c:pt>
                <c:pt idx="22">
                  <c:v>48.42</c:v>
                </c:pt>
                <c:pt idx="23">
                  <c:v>48.404000000000003</c:v>
                </c:pt>
                <c:pt idx="24">
                  <c:v>48.387</c:v>
                </c:pt>
                <c:pt idx="25">
                  <c:v>48.371000000000002</c:v>
                </c:pt>
                <c:pt idx="26">
                  <c:v>48.353999999999999</c:v>
                </c:pt>
                <c:pt idx="27">
                  <c:v>48.337000000000003</c:v>
                </c:pt>
                <c:pt idx="28">
                  <c:v>48.32</c:v>
                </c:pt>
                <c:pt idx="29">
                  <c:v>48.302999999999997</c:v>
                </c:pt>
                <c:pt idx="30">
                  <c:v>48.284999999999997</c:v>
                </c:pt>
                <c:pt idx="31">
                  <c:v>48.264000000000003</c:v>
                </c:pt>
                <c:pt idx="32">
                  <c:v>48.241999999999997</c:v>
                </c:pt>
                <c:pt idx="33">
                  <c:v>48.219000000000001</c:v>
                </c:pt>
                <c:pt idx="34">
                  <c:v>48.195</c:v>
                </c:pt>
                <c:pt idx="35">
                  <c:v>48.170999999999999</c:v>
                </c:pt>
                <c:pt idx="36">
                  <c:v>48.146000000000001</c:v>
                </c:pt>
                <c:pt idx="37">
                  <c:v>48.121000000000002</c:v>
                </c:pt>
                <c:pt idx="38">
                  <c:v>48.094999999999999</c:v>
                </c:pt>
                <c:pt idx="39">
                  <c:v>48.066000000000003</c:v>
                </c:pt>
                <c:pt idx="40">
                  <c:v>48.036999999999999</c:v>
                </c:pt>
                <c:pt idx="41">
                  <c:v>48.006</c:v>
                </c:pt>
                <c:pt idx="42">
                  <c:v>47.972999999999999</c:v>
                </c:pt>
                <c:pt idx="43">
                  <c:v>47.94</c:v>
                </c:pt>
                <c:pt idx="44">
                  <c:v>47.908000000000001</c:v>
                </c:pt>
                <c:pt idx="45">
                  <c:v>47.875</c:v>
                </c:pt>
                <c:pt idx="46">
                  <c:v>47.84</c:v>
                </c:pt>
                <c:pt idx="47">
                  <c:v>47.804000000000002</c:v>
                </c:pt>
                <c:pt idx="48">
                  <c:v>47.767000000000003</c:v>
                </c:pt>
                <c:pt idx="49">
                  <c:v>47.728000000000002</c:v>
                </c:pt>
                <c:pt idx="50">
                  <c:v>47.685000000000002</c:v>
                </c:pt>
                <c:pt idx="51">
                  <c:v>47.639000000000003</c:v>
                </c:pt>
                <c:pt idx="52">
                  <c:v>47.591999999999999</c:v>
                </c:pt>
                <c:pt idx="53">
                  <c:v>47.543999999999997</c:v>
                </c:pt>
                <c:pt idx="54">
                  <c:v>47.49</c:v>
                </c:pt>
                <c:pt idx="55">
                  <c:v>47.436</c:v>
                </c:pt>
                <c:pt idx="56">
                  <c:v>47.378</c:v>
                </c:pt>
                <c:pt idx="57">
                  <c:v>47.317999999999998</c:v>
                </c:pt>
                <c:pt idx="58">
                  <c:v>47.249000000000002</c:v>
                </c:pt>
                <c:pt idx="59">
                  <c:v>47.185000000000002</c:v>
                </c:pt>
                <c:pt idx="60">
                  <c:v>47.118000000000002</c:v>
                </c:pt>
                <c:pt idx="61">
                  <c:v>47.045999999999999</c:v>
                </c:pt>
                <c:pt idx="62">
                  <c:v>46.973999999999997</c:v>
                </c:pt>
                <c:pt idx="63">
                  <c:v>46.898000000000003</c:v>
                </c:pt>
                <c:pt idx="64">
                  <c:v>46.816000000000003</c:v>
                </c:pt>
                <c:pt idx="65">
                  <c:v>46.741</c:v>
                </c:pt>
                <c:pt idx="66">
                  <c:v>46.667000000000002</c:v>
                </c:pt>
                <c:pt idx="67">
                  <c:v>46.585999999999999</c:v>
                </c:pt>
                <c:pt idx="68">
                  <c:v>46.500999999999998</c:v>
                </c:pt>
                <c:pt idx="69">
                  <c:v>46.412999999999997</c:v>
                </c:pt>
                <c:pt idx="70">
                  <c:v>46.332999999999998</c:v>
                </c:pt>
                <c:pt idx="71">
                  <c:v>46.244</c:v>
                </c:pt>
                <c:pt idx="72">
                  <c:v>46.17</c:v>
                </c:pt>
                <c:pt idx="73">
                  <c:v>46.09</c:v>
                </c:pt>
                <c:pt idx="74">
                  <c:v>45.996000000000002</c:v>
                </c:pt>
                <c:pt idx="75">
                  <c:v>45.902999999999999</c:v>
                </c:pt>
                <c:pt idx="76">
                  <c:v>45.808</c:v>
                </c:pt>
                <c:pt idx="77">
                  <c:v>45.716000000000001</c:v>
                </c:pt>
                <c:pt idx="78">
                  <c:v>45.615000000000002</c:v>
                </c:pt>
                <c:pt idx="79">
                  <c:v>45.515000000000001</c:v>
                </c:pt>
                <c:pt idx="80">
                  <c:v>45.406999999999996</c:v>
                </c:pt>
                <c:pt idx="81">
                  <c:v>45.311</c:v>
                </c:pt>
                <c:pt idx="82">
                  <c:v>45.228000000000002</c:v>
                </c:pt>
                <c:pt idx="83">
                  <c:v>45.156999999999996</c:v>
                </c:pt>
                <c:pt idx="84">
                  <c:v>45.081000000000003</c:v>
                </c:pt>
                <c:pt idx="85">
                  <c:v>45.000999999999998</c:v>
                </c:pt>
                <c:pt idx="86">
                  <c:v>44.918999999999997</c:v>
                </c:pt>
                <c:pt idx="87">
                  <c:v>44.829000000000001</c:v>
                </c:pt>
                <c:pt idx="88">
                  <c:v>44.731000000000002</c:v>
                </c:pt>
                <c:pt idx="89">
                  <c:v>44.643000000000001</c:v>
                </c:pt>
                <c:pt idx="90">
                  <c:v>44.548999999999999</c:v>
                </c:pt>
                <c:pt idx="91">
                  <c:v>44.454999999999998</c:v>
                </c:pt>
                <c:pt idx="92">
                  <c:v>44.351999999999997</c:v>
                </c:pt>
                <c:pt idx="93">
                  <c:v>44.238999999999997</c:v>
                </c:pt>
                <c:pt idx="94">
                  <c:v>44.124000000000002</c:v>
                </c:pt>
                <c:pt idx="95">
                  <c:v>44.011000000000003</c:v>
                </c:pt>
                <c:pt idx="96">
                  <c:v>43.914999999999999</c:v>
                </c:pt>
                <c:pt idx="97">
                  <c:v>43.816000000000003</c:v>
                </c:pt>
                <c:pt idx="98">
                  <c:v>43.704000000000001</c:v>
                </c:pt>
                <c:pt idx="99">
                  <c:v>43.584000000000003</c:v>
                </c:pt>
                <c:pt idx="100">
                  <c:v>43.478000000000002</c:v>
                </c:pt>
                <c:pt idx="101">
                  <c:v>43.357999999999997</c:v>
                </c:pt>
                <c:pt idx="102">
                  <c:v>43.231000000000002</c:v>
                </c:pt>
                <c:pt idx="103">
                  <c:v>43.107999999999997</c:v>
                </c:pt>
                <c:pt idx="104">
                  <c:v>42.982999999999997</c:v>
                </c:pt>
                <c:pt idx="105">
                  <c:v>42.863</c:v>
                </c:pt>
                <c:pt idx="106">
                  <c:v>42.734000000000002</c:v>
                </c:pt>
                <c:pt idx="107">
                  <c:v>42.598999999999997</c:v>
                </c:pt>
                <c:pt idx="108">
                  <c:v>42.468000000000004</c:v>
                </c:pt>
                <c:pt idx="109">
                  <c:v>42.351999999999997</c:v>
                </c:pt>
                <c:pt idx="110">
                  <c:v>42.24</c:v>
                </c:pt>
                <c:pt idx="111">
                  <c:v>42.121000000000002</c:v>
                </c:pt>
                <c:pt idx="112">
                  <c:v>41.994</c:v>
                </c:pt>
                <c:pt idx="113">
                  <c:v>41.856000000000002</c:v>
                </c:pt>
                <c:pt idx="114">
                  <c:v>41.71</c:v>
                </c:pt>
                <c:pt idx="115">
                  <c:v>41.555999999999997</c:v>
                </c:pt>
                <c:pt idx="116">
                  <c:v>41.398000000000003</c:v>
                </c:pt>
                <c:pt idx="117">
                  <c:v>41.232999999999997</c:v>
                </c:pt>
                <c:pt idx="118">
                  <c:v>41.058</c:v>
                </c:pt>
                <c:pt idx="119">
                  <c:v>40.871000000000002</c:v>
                </c:pt>
                <c:pt idx="120">
                  <c:v>40.671999999999997</c:v>
                </c:pt>
                <c:pt idx="121">
                  <c:v>40.459000000000003</c:v>
                </c:pt>
                <c:pt idx="122">
                  <c:v>40.249000000000002</c:v>
                </c:pt>
                <c:pt idx="123">
                  <c:v>40.024999999999999</c:v>
                </c:pt>
                <c:pt idx="124">
                  <c:v>39.787999999999997</c:v>
                </c:pt>
                <c:pt idx="125">
                  <c:v>39.564</c:v>
                </c:pt>
                <c:pt idx="126">
                  <c:v>39.363</c:v>
                </c:pt>
                <c:pt idx="127">
                  <c:v>39.146999999999998</c:v>
                </c:pt>
                <c:pt idx="128">
                  <c:v>38.932000000000002</c:v>
                </c:pt>
                <c:pt idx="129">
                  <c:v>38.713999999999999</c:v>
                </c:pt>
                <c:pt idx="130">
                  <c:v>38.485999999999997</c:v>
                </c:pt>
                <c:pt idx="131">
                  <c:v>38.273000000000003</c:v>
                </c:pt>
                <c:pt idx="132">
                  <c:v>38.07</c:v>
                </c:pt>
                <c:pt idx="133">
                  <c:v>37.890999999999998</c:v>
                </c:pt>
                <c:pt idx="134">
                  <c:v>37.716000000000001</c:v>
                </c:pt>
                <c:pt idx="135">
                  <c:v>37.533999999999999</c:v>
                </c:pt>
                <c:pt idx="136">
                  <c:v>37.363</c:v>
                </c:pt>
                <c:pt idx="137">
                  <c:v>37.198</c:v>
                </c:pt>
                <c:pt idx="138">
                  <c:v>37.021999999999998</c:v>
                </c:pt>
                <c:pt idx="139">
                  <c:v>36.838000000000001</c:v>
                </c:pt>
                <c:pt idx="140">
                  <c:v>36.636000000000003</c:v>
                </c:pt>
                <c:pt idx="141">
                  <c:v>36.398000000000003</c:v>
                </c:pt>
                <c:pt idx="142">
                  <c:v>36.167999999999999</c:v>
                </c:pt>
                <c:pt idx="143">
                  <c:v>35.896000000000001</c:v>
                </c:pt>
                <c:pt idx="144">
                  <c:v>35.615000000000002</c:v>
                </c:pt>
                <c:pt idx="145">
                  <c:v>35.311</c:v>
                </c:pt>
                <c:pt idx="146">
                  <c:v>34.997999999999998</c:v>
                </c:pt>
                <c:pt idx="147">
                  <c:v>34.659999999999997</c:v>
                </c:pt>
                <c:pt idx="148">
                  <c:v>34.305</c:v>
                </c:pt>
                <c:pt idx="149">
                  <c:v>33.912999999999997</c:v>
                </c:pt>
                <c:pt idx="150">
                  <c:v>33.506</c:v>
                </c:pt>
                <c:pt idx="151">
                  <c:v>33.064</c:v>
                </c:pt>
                <c:pt idx="152">
                  <c:v>32.610999999999997</c:v>
                </c:pt>
                <c:pt idx="153">
                  <c:v>32.14</c:v>
                </c:pt>
                <c:pt idx="154">
                  <c:v>31.675000000000001</c:v>
                </c:pt>
                <c:pt idx="155">
                  <c:v>31.196999999999999</c:v>
                </c:pt>
                <c:pt idx="156">
                  <c:v>30.721</c:v>
                </c:pt>
                <c:pt idx="157">
                  <c:v>30.265000000000001</c:v>
                </c:pt>
                <c:pt idx="158">
                  <c:v>29.792999999999999</c:v>
                </c:pt>
                <c:pt idx="159">
                  <c:v>29.361999999999998</c:v>
                </c:pt>
                <c:pt idx="160">
                  <c:v>29.007999999999999</c:v>
                </c:pt>
                <c:pt idx="161">
                  <c:v>28.645</c:v>
                </c:pt>
                <c:pt idx="162">
                  <c:v>28.347999999999999</c:v>
                </c:pt>
                <c:pt idx="163">
                  <c:v>28.081</c:v>
                </c:pt>
                <c:pt idx="164">
                  <c:v>27.766999999999999</c:v>
                </c:pt>
                <c:pt idx="165">
                  <c:v>27.452000000000002</c:v>
                </c:pt>
                <c:pt idx="166">
                  <c:v>27.113</c:v>
                </c:pt>
                <c:pt idx="167">
                  <c:v>26.754000000000001</c:v>
                </c:pt>
                <c:pt idx="168">
                  <c:v>26.379000000000001</c:v>
                </c:pt>
                <c:pt idx="169">
                  <c:v>25.943000000000001</c:v>
                </c:pt>
                <c:pt idx="170">
                  <c:v>25.542000000000002</c:v>
                </c:pt>
                <c:pt idx="171">
                  <c:v>25.337</c:v>
                </c:pt>
                <c:pt idx="172">
                  <c:v>24.934999999999999</c:v>
                </c:pt>
                <c:pt idx="173">
                  <c:v>24.422999999999998</c:v>
                </c:pt>
                <c:pt idx="174">
                  <c:v>24.184999999999999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0-4FEA-BE31-4DA70DC13471}"/>
            </c:ext>
          </c:extLst>
        </c:ser>
        <c:ser>
          <c:idx val="14"/>
          <c:order val="14"/>
          <c:tx>
            <c:strRef>
              <c:f>data_co2_excLUC!$S$2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data_co2_excLUC!$S$3:$S$177</c:f>
              <c:numCache>
                <c:formatCode>0.0</c:formatCode>
                <c:ptCount val="175"/>
                <c:pt idx="0">
                  <c:v>62.091999999999999</c:v>
                </c:pt>
                <c:pt idx="1">
                  <c:v>62.091999999999999</c:v>
                </c:pt>
                <c:pt idx="2">
                  <c:v>62.088000000000001</c:v>
                </c:pt>
                <c:pt idx="3">
                  <c:v>62.082999999999998</c:v>
                </c:pt>
                <c:pt idx="4">
                  <c:v>62.079000000000001</c:v>
                </c:pt>
                <c:pt idx="5">
                  <c:v>62.073</c:v>
                </c:pt>
                <c:pt idx="6">
                  <c:v>62.067999999999998</c:v>
                </c:pt>
                <c:pt idx="7">
                  <c:v>62.061999999999998</c:v>
                </c:pt>
                <c:pt idx="8">
                  <c:v>62.055999999999997</c:v>
                </c:pt>
                <c:pt idx="9">
                  <c:v>62.05</c:v>
                </c:pt>
                <c:pt idx="10">
                  <c:v>62.043999999999997</c:v>
                </c:pt>
                <c:pt idx="11">
                  <c:v>62.036999999999999</c:v>
                </c:pt>
                <c:pt idx="12">
                  <c:v>62.03</c:v>
                </c:pt>
                <c:pt idx="13">
                  <c:v>62.021999999999998</c:v>
                </c:pt>
                <c:pt idx="14">
                  <c:v>62.014000000000003</c:v>
                </c:pt>
                <c:pt idx="15">
                  <c:v>62.006</c:v>
                </c:pt>
                <c:pt idx="16">
                  <c:v>61.997</c:v>
                </c:pt>
                <c:pt idx="17">
                  <c:v>61.987000000000002</c:v>
                </c:pt>
                <c:pt idx="18">
                  <c:v>61.976999999999997</c:v>
                </c:pt>
                <c:pt idx="19">
                  <c:v>61.966999999999999</c:v>
                </c:pt>
                <c:pt idx="20">
                  <c:v>61.956000000000003</c:v>
                </c:pt>
                <c:pt idx="21">
                  <c:v>61.945</c:v>
                </c:pt>
                <c:pt idx="22">
                  <c:v>61.933</c:v>
                </c:pt>
                <c:pt idx="23">
                  <c:v>61.92</c:v>
                </c:pt>
                <c:pt idx="24">
                  <c:v>61.905999999999999</c:v>
                </c:pt>
                <c:pt idx="25">
                  <c:v>61.893000000000001</c:v>
                </c:pt>
                <c:pt idx="26">
                  <c:v>61.878999999999998</c:v>
                </c:pt>
                <c:pt idx="27">
                  <c:v>61.863999999999997</c:v>
                </c:pt>
                <c:pt idx="28">
                  <c:v>61.848999999999997</c:v>
                </c:pt>
                <c:pt idx="29">
                  <c:v>61.835000000000001</c:v>
                </c:pt>
                <c:pt idx="30">
                  <c:v>61.819000000000003</c:v>
                </c:pt>
                <c:pt idx="31">
                  <c:v>61.801000000000002</c:v>
                </c:pt>
                <c:pt idx="32">
                  <c:v>61.781999999999996</c:v>
                </c:pt>
                <c:pt idx="33">
                  <c:v>61.762999999999998</c:v>
                </c:pt>
                <c:pt idx="34">
                  <c:v>61.741999999999997</c:v>
                </c:pt>
                <c:pt idx="35">
                  <c:v>61.720999999999997</c:v>
                </c:pt>
                <c:pt idx="36">
                  <c:v>61.698999999999998</c:v>
                </c:pt>
                <c:pt idx="37">
                  <c:v>61.677999999999997</c:v>
                </c:pt>
                <c:pt idx="38">
                  <c:v>61.655000000000001</c:v>
                </c:pt>
                <c:pt idx="39">
                  <c:v>61.63</c:v>
                </c:pt>
                <c:pt idx="40">
                  <c:v>61.604999999999997</c:v>
                </c:pt>
                <c:pt idx="41">
                  <c:v>61.576999999999998</c:v>
                </c:pt>
                <c:pt idx="42">
                  <c:v>61.548999999999999</c:v>
                </c:pt>
                <c:pt idx="43">
                  <c:v>61.52</c:v>
                </c:pt>
                <c:pt idx="44">
                  <c:v>61.491999999999997</c:v>
                </c:pt>
                <c:pt idx="45">
                  <c:v>61.462000000000003</c:v>
                </c:pt>
                <c:pt idx="46">
                  <c:v>61.430999999999997</c:v>
                </c:pt>
                <c:pt idx="47">
                  <c:v>61.399000000000001</c:v>
                </c:pt>
                <c:pt idx="48">
                  <c:v>61.366</c:v>
                </c:pt>
                <c:pt idx="49">
                  <c:v>61.331000000000003</c:v>
                </c:pt>
                <c:pt idx="50">
                  <c:v>61.292000000000002</c:v>
                </c:pt>
                <c:pt idx="51">
                  <c:v>61.250999999999998</c:v>
                </c:pt>
                <c:pt idx="52">
                  <c:v>61.209000000000003</c:v>
                </c:pt>
                <c:pt idx="53">
                  <c:v>61.165999999999997</c:v>
                </c:pt>
                <c:pt idx="54">
                  <c:v>61.119</c:v>
                </c:pt>
                <c:pt idx="55">
                  <c:v>61.070999999999998</c:v>
                </c:pt>
                <c:pt idx="56">
                  <c:v>61.021000000000001</c:v>
                </c:pt>
                <c:pt idx="57">
                  <c:v>60.968000000000004</c:v>
                </c:pt>
                <c:pt idx="58">
                  <c:v>60.908999999999999</c:v>
                </c:pt>
                <c:pt idx="59">
                  <c:v>60.851999999999997</c:v>
                </c:pt>
                <c:pt idx="60">
                  <c:v>60.792999999999999</c:v>
                </c:pt>
                <c:pt idx="61">
                  <c:v>60.731000000000002</c:v>
                </c:pt>
                <c:pt idx="62">
                  <c:v>60.667999999999999</c:v>
                </c:pt>
                <c:pt idx="63">
                  <c:v>60.600999999999999</c:v>
                </c:pt>
                <c:pt idx="64">
                  <c:v>60.529000000000003</c:v>
                </c:pt>
                <c:pt idx="65">
                  <c:v>60.463999999999999</c:v>
                </c:pt>
                <c:pt idx="66">
                  <c:v>60.4</c:v>
                </c:pt>
                <c:pt idx="67">
                  <c:v>60.33</c:v>
                </c:pt>
                <c:pt idx="68">
                  <c:v>60.256999999999998</c:v>
                </c:pt>
                <c:pt idx="69">
                  <c:v>60.185000000000002</c:v>
                </c:pt>
                <c:pt idx="70">
                  <c:v>60.125999999999998</c:v>
                </c:pt>
                <c:pt idx="71">
                  <c:v>60.055999999999997</c:v>
                </c:pt>
                <c:pt idx="72">
                  <c:v>59.997</c:v>
                </c:pt>
                <c:pt idx="73">
                  <c:v>59.933999999999997</c:v>
                </c:pt>
                <c:pt idx="74">
                  <c:v>59.860999999999997</c:v>
                </c:pt>
                <c:pt idx="75">
                  <c:v>59.789000000000001</c:v>
                </c:pt>
                <c:pt idx="76">
                  <c:v>59.713999999999999</c:v>
                </c:pt>
                <c:pt idx="77">
                  <c:v>59.640999999999998</c:v>
                </c:pt>
                <c:pt idx="78">
                  <c:v>59.558999999999997</c:v>
                </c:pt>
                <c:pt idx="79">
                  <c:v>59.478000000000002</c:v>
                </c:pt>
                <c:pt idx="80">
                  <c:v>59.389000000000003</c:v>
                </c:pt>
                <c:pt idx="81">
                  <c:v>59.308999999999997</c:v>
                </c:pt>
                <c:pt idx="82">
                  <c:v>59.237000000000002</c:v>
                </c:pt>
                <c:pt idx="83">
                  <c:v>59.173999999999999</c:v>
                </c:pt>
                <c:pt idx="84">
                  <c:v>59.106999999999999</c:v>
                </c:pt>
                <c:pt idx="85">
                  <c:v>59.034999999999997</c:v>
                </c:pt>
                <c:pt idx="86">
                  <c:v>58.96</c:v>
                </c:pt>
                <c:pt idx="87">
                  <c:v>58.877000000000002</c:v>
                </c:pt>
                <c:pt idx="88">
                  <c:v>58.786999999999999</c:v>
                </c:pt>
                <c:pt idx="89">
                  <c:v>58.704999999999998</c:v>
                </c:pt>
                <c:pt idx="90">
                  <c:v>58.616999999999997</c:v>
                </c:pt>
                <c:pt idx="91">
                  <c:v>58.521000000000001</c:v>
                </c:pt>
                <c:pt idx="92">
                  <c:v>58.421999999999997</c:v>
                </c:pt>
                <c:pt idx="93">
                  <c:v>58.32</c:v>
                </c:pt>
                <c:pt idx="94">
                  <c:v>58.215000000000003</c:v>
                </c:pt>
                <c:pt idx="95">
                  <c:v>58.107999999999997</c:v>
                </c:pt>
                <c:pt idx="96">
                  <c:v>58.021000000000001</c:v>
                </c:pt>
                <c:pt idx="97">
                  <c:v>57.927</c:v>
                </c:pt>
                <c:pt idx="98">
                  <c:v>57.820999999999998</c:v>
                </c:pt>
                <c:pt idx="99">
                  <c:v>57.707000000000001</c:v>
                </c:pt>
                <c:pt idx="100">
                  <c:v>57.597999999999999</c:v>
                </c:pt>
                <c:pt idx="101">
                  <c:v>57.478000000000002</c:v>
                </c:pt>
                <c:pt idx="102">
                  <c:v>57.348999999999997</c:v>
                </c:pt>
                <c:pt idx="103">
                  <c:v>57.220999999999997</c:v>
                </c:pt>
                <c:pt idx="104">
                  <c:v>57.088000000000001</c:v>
                </c:pt>
                <c:pt idx="105">
                  <c:v>56.956000000000003</c:v>
                </c:pt>
                <c:pt idx="106">
                  <c:v>56.811999999999998</c:v>
                </c:pt>
                <c:pt idx="107">
                  <c:v>56.66</c:v>
                </c:pt>
                <c:pt idx="108">
                  <c:v>56.505000000000003</c:v>
                </c:pt>
                <c:pt idx="109">
                  <c:v>56.360999999999997</c:v>
                </c:pt>
                <c:pt idx="110">
                  <c:v>56.22</c:v>
                </c:pt>
                <c:pt idx="111">
                  <c:v>56.072000000000003</c:v>
                </c:pt>
                <c:pt idx="112">
                  <c:v>55.908999999999999</c:v>
                </c:pt>
                <c:pt idx="113">
                  <c:v>55.732999999999997</c:v>
                </c:pt>
                <c:pt idx="114">
                  <c:v>55.542000000000002</c:v>
                </c:pt>
                <c:pt idx="115">
                  <c:v>55.34</c:v>
                </c:pt>
                <c:pt idx="116">
                  <c:v>55.13</c:v>
                </c:pt>
                <c:pt idx="117">
                  <c:v>54.908999999999999</c:v>
                </c:pt>
                <c:pt idx="118">
                  <c:v>54.673999999999999</c:v>
                </c:pt>
                <c:pt idx="119">
                  <c:v>54.426000000000002</c:v>
                </c:pt>
                <c:pt idx="120">
                  <c:v>54.164000000000001</c:v>
                </c:pt>
                <c:pt idx="121">
                  <c:v>53.886000000000003</c:v>
                </c:pt>
                <c:pt idx="122">
                  <c:v>53.603000000000002</c:v>
                </c:pt>
                <c:pt idx="123">
                  <c:v>53.302</c:v>
                </c:pt>
                <c:pt idx="124">
                  <c:v>52.982999999999997</c:v>
                </c:pt>
                <c:pt idx="125">
                  <c:v>52.665999999999997</c:v>
                </c:pt>
                <c:pt idx="126">
                  <c:v>52.356000000000002</c:v>
                </c:pt>
                <c:pt idx="127">
                  <c:v>52.026000000000003</c:v>
                </c:pt>
                <c:pt idx="128">
                  <c:v>51.686999999999998</c:v>
                </c:pt>
                <c:pt idx="129">
                  <c:v>51.337000000000003</c:v>
                </c:pt>
                <c:pt idx="130">
                  <c:v>50.975999999999999</c:v>
                </c:pt>
                <c:pt idx="131">
                  <c:v>50.613999999999997</c:v>
                </c:pt>
                <c:pt idx="132">
                  <c:v>50.261000000000003</c:v>
                </c:pt>
                <c:pt idx="133">
                  <c:v>49.918999999999997</c:v>
                </c:pt>
                <c:pt idx="134">
                  <c:v>49.573</c:v>
                </c:pt>
                <c:pt idx="135">
                  <c:v>49.216999999999999</c:v>
                </c:pt>
                <c:pt idx="136">
                  <c:v>48.848999999999997</c:v>
                </c:pt>
                <c:pt idx="137">
                  <c:v>48.478999999999999</c:v>
                </c:pt>
                <c:pt idx="138">
                  <c:v>48.094999999999999</c:v>
                </c:pt>
                <c:pt idx="139">
                  <c:v>47.698999999999998</c:v>
                </c:pt>
                <c:pt idx="140">
                  <c:v>47.289000000000001</c:v>
                </c:pt>
                <c:pt idx="141">
                  <c:v>46.832000000000001</c:v>
                </c:pt>
                <c:pt idx="142">
                  <c:v>46.408000000000001</c:v>
                </c:pt>
                <c:pt idx="143">
                  <c:v>45.982999999999997</c:v>
                </c:pt>
                <c:pt idx="144">
                  <c:v>45.567</c:v>
                </c:pt>
                <c:pt idx="145">
                  <c:v>45.161999999999999</c:v>
                </c:pt>
                <c:pt idx="146">
                  <c:v>44.752000000000002</c:v>
                </c:pt>
                <c:pt idx="147">
                  <c:v>44.323</c:v>
                </c:pt>
                <c:pt idx="148">
                  <c:v>43.887999999999998</c:v>
                </c:pt>
                <c:pt idx="149">
                  <c:v>43.420999999999999</c:v>
                </c:pt>
                <c:pt idx="150">
                  <c:v>42.945999999999998</c:v>
                </c:pt>
                <c:pt idx="151">
                  <c:v>42.442</c:v>
                </c:pt>
                <c:pt idx="152">
                  <c:v>41.918999999999997</c:v>
                </c:pt>
                <c:pt idx="153">
                  <c:v>41.383000000000003</c:v>
                </c:pt>
                <c:pt idx="154">
                  <c:v>40.853000000000002</c:v>
                </c:pt>
                <c:pt idx="155">
                  <c:v>40.313000000000002</c:v>
                </c:pt>
                <c:pt idx="156">
                  <c:v>39.777999999999999</c:v>
                </c:pt>
                <c:pt idx="157">
                  <c:v>39.250999999999998</c:v>
                </c:pt>
                <c:pt idx="158">
                  <c:v>38.706000000000003</c:v>
                </c:pt>
                <c:pt idx="159">
                  <c:v>38.203000000000003</c:v>
                </c:pt>
                <c:pt idx="160">
                  <c:v>37.802999999999997</c:v>
                </c:pt>
                <c:pt idx="161">
                  <c:v>37.390999999999998</c:v>
                </c:pt>
                <c:pt idx="162">
                  <c:v>37.04</c:v>
                </c:pt>
                <c:pt idx="163">
                  <c:v>36.72</c:v>
                </c:pt>
                <c:pt idx="164">
                  <c:v>36.377000000000002</c:v>
                </c:pt>
                <c:pt idx="165">
                  <c:v>36.045000000000002</c:v>
                </c:pt>
                <c:pt idx="166">
                  <c:v>35.686</c:v>
                </c:pt>
                <c:pt idx="167">
                  <c:v>35.29</c:v>
                </c:pt>
                <c:pt idx="168">
                  <c:v>34.856999999999999</c:v>
                </c:pt>
                <c:pt idx="169">
                  <c:v>34.353000000000002</c:v>
                </c:pt>
                <c:pt idx="170">
                  <c:v>33.908999999999999</c:v>
                </c:pt>
                <c:pt idx="171">
                  <c:v>33.64</c:v>
                </c:pt>
                <c:pt idx="172">
                  <c:v>33.133000000000003</c:v>
                </c:pt>
                <c:pt idx="173">
                  <c:v>32.621000000000002</c:v>
                </c:pt>
                <c:pt idx="174">
                  <c:v>32.412999999999997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0-4FEA-BE31-4DA70DC1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36.435551692977214</c:v>
                </c:pt>
                <c:pt idx="1">
                  <c:v>36.435930458879689</c:v>
                </c:pt>
                <c:pt idx="2">
                  <c:v>36.436122365108211</c:v>
                </c:pt>
                <c:pt idx="3">
                  <c:v>36.436610425539804</c:v>
                </c:pt>
                <c:pt idx="4">
                  <c:v>36.436022288691447</c:v>
                </c:pt>
                <c:pt idx="5">
                  <c:v>36.434368503301947</c:v>
                </c:pt>
                <c:pt idx="6">
                  <c:v>36.432817229764566</c:v>
                </c:pt>
                <c:pt idx="7">
                  <c:v>36.430832317549502</c:v>
                </c:pt>
                <c:pt idx="8">
                  <c:v>36.428716869530575</c:v>
                </c:pt>
                <c:pt idx="9">
                  <c:v>36.426062821947511</c:v>
                </c:pt>
                <c:pt idx="10">
                  <c:v>36.42269282293055</c:v>
                </c:pt>
                <c:pt idx="11">
                  <c:v>36.417718669741419</c:v>
                </c:pt>
                <c:pt idx="12">
                  <c:v>36.412952249853291</c:v>
                </c:pt>
                <c:pt idx="13">
                  <c:v>36.407312837100889</c:v>
                </c:pt>
                <c:pt idx="14">
                  <c:v>36.400856494566654</c:v>
                </c:pt>
                <c:pt idx="15">
                  <c:v>36.394590204232337</c:v>
                </c:pt>
                <c:pt idx="16">
                  <c:v>36.387692633450953</c:v>
                </c:pt>
                <c:pt idx="17">
                  <c:v>36.380974492937625</c:v>
                </c:pt>
                <c:pt idx="18">
                  <c:v>36.372782607212571</c:v>
                </c:pt>
                <c:pt idx="19">
                  <c:v>36.364548210298807</c:v>
                </c:pt>
                <c:pt idx="20">
                  <c:v>36.356200676647425</c:v>
                </c:pt>
                <c:pt idx="21">
                  <c:v>36.34454278093726</c:v>
                </c:pt>
                <c:pt idx="22">
                  <c:v>36.330054088805085</c:v>
                </c:pt>
                <c:pt idx="23">
                  <c:v>36.31425769145298</c:v>
                </c:pt>
                <c:pt idx="24">
                  <c:v>36.29614020282326</c:v>
                </c:pt>
                <c:pt idx="25">
                  <c:v>36.278362214228885</c:v>
                </c:pt>
                <c:pt idx="26">
                  <c:v>36.258578405957834</c:v>
                </c:pt>
                <c:pt idx="27">
                  <c:v>36.238240412671338</c:v>
                </c:pt>
                <c:pt idx="28">
                  <c:v>36.217045073111009</c:v>
                </c:pt>
                <c:pt idx="29">
                  <c:v>36.195159065305695</c:v>
                </c:pt>
                <c:pt idx="30">
                  <c:v>36.171532779064528</c:v>
                </c:pt>
                <c:pt idx="31">
                  <c:v>36.14886070154256</c:v>
                </c:pt>
                <c:pt idx="32">
                  <c:v>36.127622484136438</c:v>
                </c:pt>
                <c:pt idx="33">
                  <c:v>36.105761254580862</c:v>
                </c:pt>
                <c:pt idx="34">
                  <c:v>36.082718000229839</c:v>
                </c:pt>
                <c:pt idx="35">
                  <c:v>36.060057781762517</c:v>
                </c:pt>
                <c:pt idx="36">
                  <c:v>36.038007308966961</c:v>
                </c:pt>
                <c:pt idx="37">
                  <c:v>36.015630780569303</c:v>
                </c:pt>
                <c:pt idx="38">
                  <c:v>35.991906746239991</c:v>
                </c:pt>
                <c:pt idx="39">
                  <c:v>35.966254733990517</c:v>
                </c:pt>
                <c:pt idx="40">
                  <c:v>35.941823587404336</c:v>
                </c:pt>
                <c:pt idx="41">
                  <c:v>35.915779086328257</c:v>
                </c:pt>
                <c:pt idx="42">
                  <c:v>35.888673001286165</c:v>
                </c:pt>
                <c:pt idx="43">
                  <c:v>35.861273087825147</c:v>
                </c:pt>
                <c:pt idx="44">
                  <c:v>35.833888534384862</c:v>
                </c:pt>
                <c:pt idx="45">
                  <c:v>35.80611148647003</c:v>
                </c:pt>
                <c:pt idx="46">
                  <c:v>35.776756116747485</c:v>
                </c:pt>
                <c:pt idx="47">
                  <c:v>35.746255554032551</c:v>
                </c:pt>
                <c:pt idx="48">
                  <c:v>35.714781352487904</c:v>
                </c:pt>
                <c:pt idx="49">
                  <c:v>35.681522887278319</c:v>
                </c:pt>
                <c:pt idx="50">
                  <c:v>35.645002395932984</c:v>
                </c:pt>
                <c:pt idx="51">
                  <c:v>35.607252612807159</c:v>
                </c:pt>
                <c:pt idx="52">
                  <c:v>35.570716996158133</c:v>
                </c:pt>
                <c:pt idx="53">
                  <c:v>35.533129372542803</c:v>
                </c:pt>
                <c:pt idx="54">
                  <c:v>35.492336725034896</c:v>
                </c:pt>
                <c:pt idx="55">
                  <c:v>35.451476797662608</c:v>
                </c:pt>
                <c:pt idx="56">
                  <c:v>35.407641905925153</c:v>
                </c:pt>
                <c:pt idx="57">
                  <c:v>35.362972304488849</c:v>
                </c:pt>
                <c:pt idx="58">
                  <c:v>35.311682028286086</c:v>
                </c:pt>
                <c:pt idx="59">
                  <c:v>35.263501565548907</c:v>
                </c:pt>
                <c:pt idx="60">
                  <c:v>35.21327457157529</c:v>
                </c:pt>
                <c:pt idx="61">
                  <c:v>35.158929692916765</c:v>
                </c:pt>
                <c:pt idx="62">
                  <c:v>35.103851691132512</c:v>
                </c:pt>
                <c:pt idx="63">
                  <c:v>35.046796466041734</c:v>
                </c:pt>
                <c:pt idx="64">
                  <c:v>34.984330970874076</c:v>
                </c:pt>
                <c:pt idx="65">
                  <c:v>34.927310245227929</c:v>
                </c:pt>
                <c:pt idx="66">
                  <c:v>34.871121820611521</c:v>
                </c:pt>
                <c:pt idx="67">
                  <c:v>34.810551596800053</c:v>
                </c:pt>
                <c:pt idx="68">
                  <c:v>34.746268548117918</c:v>
                </c:pt>
                <c:pt idx="69">
                  <c:v>34.678928292145386</c:v>
                </c:pt>
                <c:pt idx="70">
                  <c:v>34.619485179422817</c:v>
                </c:pt>
                <c:pt idx="71">
                  <c:v>34.555750994807902</c:v>
                </c:pt>
                <c:pt idx="72">
                  <c:v>34.503956229626247</c:v>
                </c:pt>
                <c:pt idx="73">
                  <c:v>34.448732805407424</c:v>
                </c:pt>
                <c:pt idx="74">
                  <c:v>34.385204815459211</c:v>
                </c:pt>
                <c:pt idx="75">
                  <c:v>34.321925072466982</c:v>
                </c:pt>
                <c:pt idx="76">
                  <c:v>34.258576045647921</c:v>
                </c:pt>
                <c:pt idx="77">
                  <c:v>34.198447407050949</c:v>
                </c:pt>
                <c:pt idx="78">
                  <c:v>34.13244487104307</c:v>
                </c:pt>
                <c:pt idx="79">
                  <c:v>34.06840213351083</c:v>
                </c:pt>
                <c:pt idx="80">
                  <c:v>33.999600054627635</c:v>
                </c:pt>
                <c:pt idx="81">
                  <c:v>33.942903600426263</c:v>
                </c:pt>
                <c:pt idx="82">
                  <c:v>33.898463137107747</c:v>
                </c:pt>
                <c:pt idx="83">
                  <c:v>33.865055703103529</c:v>
                </c:pt>
                <c:pt idx="84">
                  <c:v>33.829434733007069</c:v>
                </c:pt>
                <c:pt idx="85">
                  <c:v>33.790786105397878</c:v>
                </c:pt>
                <c:pt idx="86">
                  <c:v>33.751096857194142</c:v>
                </c:pt>
                <c:pt idx="87">
                  <c:v>33.706642928054428</c:v>
                </c:pt>
                <c:pt idx="88">
                  <c:v>33.65799466427378</c:v>
                </c:pt>
                <c:pt idx="89">
                  <c:v>33.618077603760206</c:v>
                </c:pt>
                <c:pt idx="90">
                  <c:v>33.573685191491734</c:v>
                </c:pt>
                <c:pt idx="91">
                  <c:v>33.528248955926593</c:v>
                </c:pt>
                <c:pt idx="92">
                  <c:v>33.47895324711385</c:v>
                </c:pt>
                <c:pt idx="93">
                  <c:v>33.422668608162702</c:v>
                </c:pt>
                <c:pt idx="94">
                  <c:v>33.364870938485971</c:v>
                </c:pt>
                <c:pt idx="95">
                  <c:v>33.30725747740496</c:v>
                </c:pt>
                <c:pt idx="96">
                  <c:v>33.2643188640075</c:v>
                </c:pt>
                <c:pt idx="97">
                  <c:v>33.217845447991742</c:v>
                </c:pt>
                <c:pt idx="98">
                  <c:v>33.160341208639757</c:v>
                </c:pt>
                <c:pt idx="99">
                  <c:v>33.095654004363048</c:v>
                </c:pt>
                <c:pt idx="100">
                  <c:v>33.040685182993364</c:v>
                </c:pt>
                <c:pt idx="101">
                  <c:v>32.986145259820574</c:v>
                </c:pt>
                <c:pt idx="102">
                  <c:v>32.933272423714051</c:v>
                </c:pt>
                <c:pt idx="103">
                  <c:v>32.88293339339593</c:v>
                </c:pt>
                <c:pt idx="104">
                  <c:v>32.832860835580234</c:v>
                </c:pt>
                <c:pt idx="105">
                  <c:v>32.790831112959189</c:v>
                </c:pt>
                <c:pt idx="106">
                  <c:v>32.743676360242674</c:v>
                </c:pt>
                <c:pt idx="107">
                  <c:v>32.692301631067892</c:v>
                </c:pt>
                <c:pt idx="108">
                  <c:v>32.645534573223351</c:v>
                </c:pt>
                <c:pt idx="109">
                  <c:v>32.607958298772921</c:v>
                </c:pt>
                <c:pt idx="110">
                  <c:v>32.581026315423998</c:v>
                </c:pt>
                <c:pt idx="111">
                  <c:v>32.537384815910087</c:v>
                </c:pt>
                <c:pt idx="112">
                  <c:v>32.491723098982192</c:v>
                </c:pt>
                <c:pt idx="113">
                  <c:v>32.430058304363847</c:v>
                </c:pt>
                <c:pt idx="114">
                  <c:v>32.362345908827095</c:v>
                </c:pt>
                <c:pt idx="115">
                  <c:v>32.284473720679046</c:v>
                </c:pt>
                <c:pt idx="116">
                  <c:v>32.198521376058679</c:v>
                </c:pt>
                <c:pt idx="117">
                  <c:v>32.10478748744535</c:v>
                </c:pt>
                <c:pt idx="118">
                  <c:v>31.986053187077008</c:v>
                </c:pt>
                <c:pt idx="119">
                  <c:v>31.852646902445937</c:v>
                </c:pt>
                <c:pt idx="120">
                  <c:v>31.72972214491044</c:v>
                </c:pt>
                <c:pt idx="121">
                  <c:v>31.601881150501832</c:v>
                </c:pt>
                <c:pt idx="122">
                  <c:v>31.464758865493199</c:v>
                </c:pt>
                <c:pt idx="123">
                  <c:v>31.327013476595518</c:v>
                </c:pt>
                <c:pt idx="124">
                  <c:v>31.177795099840232</c:v>
                </c:pt>
                <c:pt idx="125">
                  <c:v>31.036151404962691</c:v>
                </c:pt>
                <c:pt idx="126">
                  <c:v>30.906544775763724</c:v>
                </c:pt>
                <c:pt idx="127">
                  <c:v>30.762742581151571</c:v>
                </c:pt>
                <c:pt idx="128">
                  <c:v>30.620411046249391</c:v>
                </c:pt>
                <c:pt idx="129">
                  <c:v>30.480042705884252</c:v>
                </c:pt>
                <c:pt idx="130">
                  <c:v>30.320357149093567</c:v>
                </c:pt>
                <c:pt idx="131">
                  <c:v>30.169069881714272</c:v>
                </c:pt>
                <c:pt idx="132">
                  <c:v>30.02308342647088</c:v>
                </c:pt>
                <c:pt idx="133">
                  <c:v>29.892310880651323</c:v>
                </c:pt>
                <c:pt idx="134">
                  <c:v>29.76715189064026</c:v>
                </c:pt>
                <c:pt idx="135">
                  <c:v>29.646045650980806</c:v>
                </c:pt>
                <c:pt idx="136">
                  <c:v>29.536524539944281</c:v>
                </c:pt>
                <c:pt idx="137">
                  <c:v>29.43854889755762</c:v>
                </c:pt>
                <c:pt idx="138">
                  <c:v>29.328443312140788</c:v>
                </c:pt>
                <c:pt idx="139">
                  <c:v>29.204601422716063</c:v>
                </c:pt>
                <c:pt idx="140">
                  <c:v>29.066637793101506</c:v>
                </c:pt>
                <c:pt idx="141">
                  <c:v>28.898685032153438</c:v>
                </c:pt>
                <c:pt idx="142">
                  <c:v>28.733420549020721</c:v>
                </c:pt>
                <c:pt idx="143">
                  <c:v>28.549503068423547</c:v>
                </c:pt>
                <c:pt idx="144">
                  <c:v>28.355618279919675</c:v>
                </c:pt>
                <c:pt idx="145">
                  <c:v>28.165335073890073</c:v>
                </c:pt>
                <c:pt idx="146">
                  <c:v>27.957913781690319</c:v>
                </c:pt>
                <c:pt idx="147">
                  <c:v>27.738207243750612</c:v>
                </c:pt>
                <c:pt idx="148">
                  <c:v>27.543257636406288</c:v>
                </c:pt>
                <c:pt idx="149">
                  <c:v>27.29878646718139</c:v>
                </c:pt>
                <c:pt idx="150">
                  <c:v>27.036950708133507</c:v>
                </c:pt>
                <c:pt idx="151">
                  <c:v>26.735872828575353</c:v>
                </c:pt>
                <c:pt idx="152">
                  <c:v>26.423562554603354</c:v>
                </c:pt>
                <c:pt idx="153">
                  <c:v>26.061893541307242</c:v>
                </c:pt>
                <c:pt idx="154">
                  <c:v>25.708185750467138</c:v>
                </c:pt>
                <c:pt idx="155">
                  <c:v>25.353859738839162</c:v>
                </c:pt>
                <c:pt idx="156">
                  <c:v>25.024632513834614</c:v>
                </c:pt>
                <c:pt idx="157">
                  <c:v>24.661801781677461</c:v>
                </c:pt>
                <c:pt idx="158">
                  <c:v>24.261991584671549</c:v>
                </c:pt>
                <c:pt idx="159">
                  <c:v>23.942964864669516</c:v>
                </c:pt>
                <c:pt idx="160">
                  <c:v>23.702611003425371</c:v>
                </c:pt>
                <c:pt idx="161">
                  <c:v>23.450558787583589</c:v>
                </c:pt>
                <c:pt idx="162">
                  <c:v>23.110161074251923</c:v>
                </c:pt>
                <c:pt idx="163">
                  <c:v>22.81683458885038</c:v>
                </c:pt>
                <c:pt idx="164">
                  <c:v>22.637646869057324</c:v>
                </c:pt>
                <c:pt idx="165">
                  <c:v>22.464956242969176</c:v>
                </c:pt>
                <c:pt idx="166">
                  <c:v>22.287273276514323</c:v>
                </c:pt>
                <c:pt idx="167">
                  <c:v>22.173457617359215</c:v>
                </c:pt>
                <c:pt idx="168">
                  <c:v>21.887473996014307</c:v>
                </c:pt>
                <c:pt idx="169">
                  <c:v>21.533508715571131</c:v>
                </c:pt>
                <c:pt idx="170">
                  <c:v>21.28082352474053</c:v>
                </c:pt>
                <c:pt idx="171">
                  <c:v>21.314357854933043</c:v>
                </c:pt>
                <c:pt idx="172">
                  <c:v>21.236644560776597</c:v>
                </c:pt>
                <c:pt idx="173">
                  <c:v>21.06546642224021</c:v>
                </c:pt>
                <c:pt idx="174">
                  <c:v>20.161409886951269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5-4EC5-95C6-F12EA562D6E1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3.0187333026094478</c:v>
                </c:pt>
                <c:pt idx="1">
                  <c:v>3.0159396696642347</c:v>
                </c:pt>
                <c:pt idx="2">
                  <c:v>3.0127503649290688</c:v>
                </c:pt>
                <c:pt idx="3">
                  <c:v>3.0040860446232571</c:v>
                </c:pt>
                <c:pt idx="4">
                  <c:v>2.9952391602428463</c:v>
                </c:pt>
                <c:pt idx="5">
                  <c:v>2.9855670715935929</c:v>
                </c:pt>
                <c:pt idx="6">
                  <c:v>2.9746737353669914</c:v>
                </c:pt>
                <c:pt idx="7">
                  <c:v>2.9632228615630822</c:v>
                </c:pt>
                <c:pt idx="8">
                  <c:v>2.9512766986180026</c:v>
                </c:pt>
                <c:pt idx="9">
                  <c:v>2.9392802732152603</c:v>
                </c:pt>
                <c:pt idx="10">
                  <c:v>2.9270728805253583</c:v>
                </c:pt>
                <c:pt idx="11">
                  <c:v>2.9152967335795594</c:v>
                </c:pt>
                <c:pt idx="12">
                  <c:v>2.9027930418027807</c:v>
                </c:pt>
                <c:pt idx="13">
                  <c:v>2.8943429013396411</c:v>
                </c:pt>
                <c:pt idx="14">
                  <c:v>2.8862504971222975</c:v>
                </c:pt>
                <c:pt idx="15">
                  <c:v>2.877358919519061</c:v>
                </c:pt>
                <c:pt idx="16">
                  <c:v>2.8685869130849468</c:v>
                </c:pt>
                <c:pt idx="17">
                  <c:v>2.8593125936493848</c:v>
                </c:pt>
                <c:pt idx="18">
                  <c:v>2.8509505624281601</c:v>
                </c:pt>
                <c:pt idx="19">
                  <c:v>2.8424413983096457</c:v>
                </c:pt>
                <c:pt idx="20">
                  <c:v>2.8334608995201123</c:v>
                </c:pt>
                <c:pt idx="21">
                  <c:v>2.8276693344569352</c:v>
                </c:pt>
                <c:pt idx="22">
                  <c:v>2.8249002113348567</c:v>
                </c:pt>
                <c:pt idx="23">
                  <c:v>2.8163805746543531</c:v>
                </c:pt>
                <c:pt idx="24">
                  <c:v>2.8089452728645909</c:v>
                </c:pt>
                <c:pt idx="25">
                  <c:v>2.8018189014567199</c:v>
                </c:pt>
                <c:pt idx="26">
                  <c:v>2.7950842607687392</c:v>
                </c:pt>
                <c:pt idx="27">
                  <c:v>2.7886130203759976</c:v>
                </c:pt>
                <c:pt idx="28">
                  <c:v>2.7822068675447085</c:v>
                </c:pt>
                <c:pt idx="29">
                  <c:v>2.7761491141087618</c:v>
                </c:pt>
                <c:pt idx="30">
                  <c:v>2.7703473384528223</c:v>
                </c:pt>
                <c:pt idx="31">
                  <c:v>2.7609372404534795</c:v>
                </c:pt>
                <c:pt idx="32">
                  <c:v>2.7506663806907099</c:v>
                </c:pt>
                <c:pt idx="33">
                  <c:v>2.7443779086586915</c:v>
                </c:pt>
                <c:pt idx="34">
                  <c:v>2.738554846638884</c:v>
                </c:pt>
                <c:pt idx="35">
                  <c:v>2.7325751753238592</c:v>
                </c:pt>
                <c:pt idx="36">
                  <c:v>2.7262681217873492</c:v>
                </c:pt>
                <c:pt idx="37">
                  <c:v>2.7202455356862814</c:v>
                </c:pt>
                <c:pt idx="38">
                  <c:v>2.7148517634731419</c:v>
                </c:pt>
                <c:pt idx="39">
                  <c:v>2.7092171591963137</c:v>
                </c:pt>
                <c:pt idx="40">
                  <c:v>2.7029069649224056</c:v>
                </c:pt>
                <c:pt idx="41">
                  <c:v>2.6962226607411139</c:v>
                </c:pt>
                <c:pt idx="42">
                  <c:v>2.6896329904668832</c:v>
                </c:pt>
                <c:pt idx="43">
                  <c:v>2.6821079998652522</c:v>
                </c:pt>
                <c:pt idx="44">
                  <c:v>2.6752836201555326</c:v>
                </c:pt>
                <c:pt idx="45">
                  <c:v>2.6682612340882912</c:v>
                </c:pt>
                <c:pt idx="46">
                  <c:v>2.6612018957739778</c:v>
                </c:pt>
                <c:pt idx="47">
                  <c:v>2.6543978341147749</c:v>
                </c:pt>
                <c:pt idx="48">
                  <c:v>2.6471945188438966</c:v>
                </c:pt>
                <c:pt idx="49">
                  <c:v>2.6403466284612094</c:v>
                </c:pt>
                <c:pt idx="50">
                  <c:v>2.6334220563181034</c:v>
                </c:pt>
                <c:pt idx="51">
                  <c:v>2.6255910746998126</c:v>
                </c:pt>
                <c:pt idx="52">
                  <c:v>2.6187148119652761</c:v>
                </c:pt>
                <c:pt idx="53">
                  <c:v>2.6157835030741126</c:v>
                </c:pt>
                <c:pt idx="54">
                  <c:v>2.6137421522228905</c:v>
                </c:pt>
                <c:pt idx="55">
                  <c:v>2.6138417397251885</c:v>
                </c:pt>
                <c:pt idx="56">
                  <c:v>2.6153011322733875</c:v>
                </c:pt>
                <c:pt idx="57">
                  <c:v>2.6181280473726929</c:v>
                </c:pt>
                <c:pt idx="58">
                  <c:v>2.6212003882154349</c:v>
                </c:pt>
                <c:pt idx="59">
                  <c:v>2.6252753429012827</c:v>
                </c:pt>
                <c:pt idx="60">
                  <c:v>2.6295623684435938</c:v>
                </c:pt>
                <c:pt idx="61">
                  <c:v>2.6348549223084277</c:v>
                </c:pt>
                <c:pt idx="62">
                  <c:v>2.6377991958378146</c:v>
                </c:pt>
                <c:pt idx="63">
                  <c:v>2.6405320695712931</c:v>
                </c:pt>
                <c:pt idx="64">
                  <c:v>2.6419582425763011</c:v>
                </c:pt>
                <c:pt idx="65">
                  <c:v>2.6442959461891746</c:v>
                </c:pt>
                <c:pt idx="66">
                  <c:v>2.6461739676900677</c:v>
                </c:pt>
                <c:pt idx="67">
                  <c:v>2.6476768460968714</c:v>
                </c:pt>
                <c:pt idx="68">
                  <c:v>2.6500670662881021</c:v>
                </c:pt>
                <c:pt idx="69">
                  <c:v>2.6537366663261892</c:v>
                </c:pt>
                <c:pt idx="70">
                  <c:v>2.658140915184724</c:v>
                </c:pt>
                <c:pt idx="71">
                  <c:v>2.6585357190259913</c:v>
                </c:pt>
                <c:pt idx="72">
                  <c:v>2.6623663706389351</c:v>
                </c:pt>
                <c:pt idx="73">
                  <c:v>2.6682766291285986</c:v>
                </c:pt>
                <c:pt idx="74">
                  <c:v>2.6720719166414426</c:v>
                </c:pt>
                <c:pt idx="75">
                  <c:v>2.6774321948033091</c:v>
                </c:pt>
                <c:pt idx="76">
                  <c:v>2.6826067545118732</c:v>
                </c:pt>
                <c:pt idx="77">
                  <c:v>2.6884479701592738</c:v>
                </c:pt>
                <c:pt idx="78">
                  <c:v>2.6893827946017268</c:v>
                </c:pt>
                <c:pt idx="79">
                  <c:v>2.6904853302632503</c:v>
                </c:pt>
                <c:pt idx="80">
                  <c:v>2.6879150507113394</c:v>
                </c:pt>
                <c:pt idx="81">
                  <c:v>2.676711593193005</c:v>
                </c:pt>
                <c:pt idx="82">
                  <c:v>2.6664326935557128</c:v>
                </c:pt>
                <c:pt idx="83">
                  <c:v>2.6645360866490435</c:v>
                </c:pt>
                <c:pt idx="84">
                  <c:v>2.662966514948387</c:v>
                </c:pt>
                <c:pt idx="85">
                  <c:v>2.6609160475567037</c:v>
                </c:pt>
                <c:pt idx="86">
                  <c:v>2.6585674371749235</c:v>
                </c:pt>
                <c:pt idx="87">
                  <c:v>2.6556589971415505</c:v>
                </c:pt>
                <c:pt idx="88">
                  <c:v>2.6537225933269966</c:v>
                </c:pt>
                <c:pt idx="89">
                  <c:v>2.6528076639405782</c:v>
                </c:pt>
                <c:pt idx="90">
                  <c:v>2.6512401911547627</c:v>
                </c:pt>
                <c:pt idx="91">
                  <c:v>2.6514027975029819</c:v>
                </c:pt>
                <c:pt idx="92">
                  <c:v>2.6493115272378205</c:v>
                </c:pt>
                <c:pt idx="93">
                  <c:v>2.6460426766262017</c:v>
                </c:pt>
                <c:pt idx="94">
                  <c:v>2.6460276779446659</c:v>
                </c:pt>
                <c:pt idx="95">
                  <c:v>2.6473233067333837</c:v>
                </c:pt>
                <c:pt idx="96">
                  <c:v>2.6515789012905771</c:v>
                </c:pt>
                <c:pt idx="97">
                  <c:v>2.660823598853078</c:v>
                </c:pt>
                <c:pt idx="98">
                  <c:v>2.6681903149628781</c:v>
                </c:pt>
                <c:pt idx="99">
                  <c:v>2.6769579809516131</c:v>
                </c:pt>
                <c:pt idx="100">
                  <c:v>2.6886173704055736</c:v>
                </c:pt>
                <c:pt idx="101">
                  <c:v>2.6860462902642865</c:v>
                </c:pt>
                <c:pt idx="102">
                  <c:v>2.6801558434428401</c:v>
                </c:pt>
                <c:pt idx="103">
                  <c:v>2.6819403442207204</c:v>
                </c:pt>
                <c:pt idx="104">
                  <c:v>2.684304723899416</c:v>
                </c:pt>
                <c:pt idx="105">
                  <c:v>2.6843042845358625</c:v>
                </c:pt>
                <c:pt idx="106">
                  <c:v>2.6850481445387828</c:v>
                </c:pt>
                <c:pt idx="107">
                  <c:v>2.6858717018684075</c:v>
                </c:pt>
                <c:pt idx="108">
                  <c:v>2.6870502083151635</c:v>
                </c:pt>
                <c:pt idx="109">
                  <c:v>2.6869862364419248</c:v>
                </c:pt>
                <c:pt idx="110">
                  <c:v>2.6784092611976291</c:v>
                </c:pt>
                <c:pt idx="111">
                  <c:v>2.6806060297848759</c:v>
                </c:pt>
                <c:pt idx="112">
                  <c:v>2.6845901455604206</c:v>
                </c:pt>
                <c:pt idx="113">
                  <c:v>2.6940910443371635</c:v>
                </c:pt>
                <c:pt idx="114">
                  <c:v>2.7020283622726922</c:v>
                </c:pt>
                <c:pt idx="115">
                  <c:v>2.7134699686362538</c:v>
                </c:pt>
                <c:pt idx="116">
                  <c:v>2.7291876474221368</c:v>
                </c:pt>
                <c:pt idx="117">
                  <c:v>2.7448830430411846</c:v>
                </c:pt>
                <c:pt idx="118">
                  <c:v>2.7739930938899953</c:v>
                </c:pt>
                <c:pt idx="119">
                  <c:v>2.8020236054808514</c:v>
                </c:pt>
                <c:pt idx="120">
                  <c:v>2.804917714979986</c:v>
                </c:pt>
                <c:pt idx="121">
                  <c:v>2.8019827615438189</c:v>
                </c:pt>
                <c:pt idx="122">
                  <c:v>2.8099706707565879</c:v>
                </c:pt>
                <c:pt idx="123">
                  <c:v>2.8052773046519661</c:v>
                </c:pt>
                <c:pt idx="124">
                  <c:v>2.802095880296342</c:v>
                </c:pt>
                <c:pt idx="125">
                  <c:v>2.8012106752194761</c:v>
                </c:pt>
                <c:pt idx="126">
                  <c:v>2.8078379602434715</c:v>
                </c:pt>
                <c:pt idx="127">
                  <c:v>2.8143332303296091</c:v>
                </c:pt>
                <c:pt idx="128">
                  <c:v>2.8211336160384413</c:v>
                </c:pt>
                <c:pt idx="129">
                  <c:v>2.8208226653533188</c:v>
                </c:pt>
                <c:pt idx="130">
                  <c:v>2.8282423765300138</c:v>
                </c:pt>
                <c:pt idx="131">
                  <c:v>2.8380547831773271</c:v>
                </c:pt>
                <c:pt idx="132">
                  <c:v>2.8508344954524567</c:v>
                </c:pt>
                <c:pt idx="133">
                  <c:v>2.8856557211623013</c:v>
                </c:pt>
                <c:pt idx="134">
                  <c:v>2.9247142079167183</c:v>
                </c:pt>
                <c:pt idx="135">
                  <c:v>2.9583814453969133</c:v>
                </c:pt>
                <c:pt idx="136">
                  <c:v>2.9907457565152598</c:v>
                </c:pt>
                <c:pt idx="137">
                  <c:v>3.0206409811580919</c:v>
                </c:pt>
                <c:pt idx="138">
                  <c:v>3.0591486667947869</c:v>
                </c:pt>
                <c:pt idx="139">
                  <c:v>3.1034224278616556</c:v>
                </c:pt>
                <c:pt idx="140">
                  <c:v>3.1535490704006506</c:v>
                </c:pt>
                <c:pt idx="141">
                  <c:v>3.1795872734149881</c:v>
                </c:pt>
                <c:pt idx="142">
                  <c:v>3.2084417921830983</c:v>
                </c:pt>
                <c:pt idx="143">
                  <c:v>3.2333079566934622</c:v>
                </c:pt>
                <c:pt idx="144">
                  <c:v>3.2582482435487847</c:v>
                </c:pt>
                <c:pt idx="145">
                  <c:v>3.1913664569540927</c:v>
                </c:pt>
                <c:pt idx="146">
                  <c:v>3.1478878572155935</c:v>
                </c:pt>
                <c:pt idx="147">
                  <c:v>3.0875756944634247</c:v>
                </c:pt>
                <c:pt idx="148">
                  <c:v>2.9702929026796561</c:v>
                </c:pt>
                <c:pt idx="149">
                  <c:v>2.8989425352277429</c:v>
                </c:pt>
                <c:pt idx="150">
                  <c:v>2.8175321117741241</c:v>
                </c:pt>
                <c:pt idx="151">
                  <c:v>2.7282173459833245</c:v>
                </c:pt>
                <c:pt idx="152">
                  <c:v>2.6477718841246265</c:v>
                </c:pt>
                <c:pt idx="153">
                  <c:v>2.6112517654358456</c:v>
                </c:pt>
                <c:pt idx="154">
                  <c:v>2.6117722338584031</c:v>
                </c:pt>
                <c:pt idx="155">
                  <c:v>2.6180370708506331</c:v>
                </c:pt>
                <c:pt idx="156">
                  <c:v>2.5781503804999915</c:v>
                </c:pt>
                <c:pt idx="157">
                  <c:v>2.5728772996337206</c:v>
                </c:pt>
                <c:pt idx="158">
                  <c:v>2.5569039851855848</c:v>
                </c:pt>
                <c:pt idx="159">
                  <c:v>2.4955079640197475</c:v>
                </c:pt>
                <c:pt idx="160">
                  <c:v>2.3938628393699446</c:v>
                </c:pt>
                <c:pt idx="161">
                  <c:v>2.262442307865129</c:v>
                </c:pt>
                <c:pt idx="162">
                  <c:v>2.3298571802700323</c:v>
                </c:pt>
                <c:pt idx="163">
                  <c:v>2.4006609014828832</c:v>
                </c:pt>
                <c:pt idx="164">
                  <c:v>2.2755500604810663</c:v>
                </c:pt>
                <c:pt idx="165">
                  <c:v>2.1635368804170731</c:v>
                </c:pt>
                <c:pt idx="166">
                  <c:v>2.0904450304834832</c:v>
                </c:pt>
                <c:pt idx="167">
                  <c:v>1.9558214828834899</c:v>
                </c:pt>
                <c:pt idx="168">
                  <c:v>1.9559377129823794</c:v>
                </c:pt>
                <c:pt idx="169">
                  <c:v>1.9295429108799382</c:v>
                </c:pt>
                <c:pt idx="170">
                  <c:v>1.8580369144635434</c:v>
                </c:pt>
                <c:pt idx="171">
                  <c:v>1.6351754351753449</c:v>
                </c:pt>
                <c:pt idx="172">
                  <c:v>1.569097867559055</c:v>
                </c:pt>
                <c:pt idx="173">
                  <c:v>1.7591593768213123</c:v>
                </c:pt>
                <c:pt idx="174">
                  <c:v>4.1635484241035776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5-4EC5-95C6-F12EA562D6E1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5-4EC5-95C6-F12EA562D6E1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9.935670643795028</c:v>
                </c:pt>
                <c:pt idx="1">
                  <c:v>9.932386753199296</c:v>
                </c:pt>
                <c:pt idx="2">
                  <c:v>9.9298581014361389</c:v>
                </c:pt>
                <c:pt idx="3">
                  <c:v>9.932099015817009</c:v>
                </c:pt>
                <c:pt idx="4">
                  <c:v>9.9353139198404463</c:v>
                </c:pt>
                <c:pt idx="5">
                  <c:v>9.9389081141286368</c:v>
                </c:pt>
                <c:pt idx="6">
                  <c:v>9.9437670172378319</c:v>
                </c:pt>
                <c:pt idx="7">
                  <c:v>9.9491065304106243</c:v>
                </c:pt>
                <c:pt idx="8">
                  <c:v>9.954775867587152</c:v>
                </c:pt>
                <c:pt idx="9">
                  <c:v>9.9604813986904475</c:v>
                </c:pt>
                <c:pt idx="10">
                  <c:v>9.9664062645499953</c:v>
                </c:pt>
                <c:pt idx="11">
                  <c:v>9.9719464758223566</c:v>
                </c:pt>
                <c:pt idx="12">
                  <c:v>9.9777016327753429</c:v>
                </c:pt>
                <c:pt idx="13">
                  <c:v>9.979326720394198</c:v>
                </c:pt>
                <c:pt idx="14">
                  <c:v>9.9808871615405508</c:v>
                </c:pt>
                <c:pt idx="15">
                  <c:v>9.9823003195256845</c:v>
                </c:pt>
                <c:pt idx="16">
                  <c:v>9.9838671807086072</c:v>
                </c:pt>
                <c:pt idx="17">
                  <c:v>9.9848998863730358</c:v>
                </c:pt>
                <c:pt idx="18">
                  <c:v>9.9862443828262926</c:v>
                </c:pt>
                <c:pt idx="19">
                  <c:v>9.9872064629192963</c:v>
                </c:pt>
                <c:pt idx="20">
                  <c:v>9.9884592769186682</c:v>
                </c:pt>
                <c:pt idx="21">
                  <c:v>9.9858579570600341</c:v>
                </c:pt>
                <c:pt idx="22">
                  <c:v>9.9811702492444496</c:v>
                </c:pt>
                <c:pt idx="23">
                  <c:v>9.9816643844897257</c:v>
                </c:pt>
                <c:pt idx="24">
                  <c:v>9.9817222794302154</c:v>
                </c:pt>
                <c:pt idx="25">
                  <c:v>9.9804582647703768</c:v>
                </c:pt>
                <c:pt idx="26">
                  <c:v>9.9793728580172356</c:v>
                </c:pt>
                <c:pt idx="27">
                  <c:v>9.9775553024659729</c:v>
                </c:pt>
                <c:pt idx="28">
                  <c:v>9.9756662109001226</c:v>
                </c:pt>
                <c:pt idx="29">
                  <c:v>9.9729954187417746</c:v>
                </c:pt>
                <c:pt idx="30">
                  <c:v>9.9699835137552668</c:v>
                </c:pt>
                <c:pt idx="31">
                  <c:v>9.9703073289074879</c:v>
                </c:pt>
                <c:pt idx="32">
                  <c:v>9.9713329831521378</c:v>
                </c:pt>
                <c:pt idx="33">
                  <c:v>9.9682838452807658</c:v>
                </c:pt>
                <c:pt idx="34">
                  <c:v>9.9646743240064453</c:v>
                </c:pt>
                <c:pt idx="35">
                  <c:v>9.9604915890785364</c:v>
                </c:pt>
                <c:pt idx="36">
                  <c:v>9.9560844677056863</c:v>
                </c:pt>
                <c:pt idx="37">
                  <c:v>9.9517714611877679</c:v>
                </c:pt>
                <c:pt idx="38">
                  <c:v>9.947495720276045</c:v>
                </c:pt>
                <c:pt idx="39">
                  <c:v>9.9432610297030877</c:v>
                </c:pt>
                <c:pt idx="40">
                  <c:v>9.9391699029881551</c:v>
                </c:pt>
                <c:pt idx="41">
                  <c:v>9.9334820375814203</c:v>
                </c:pt>
                <c:pt idx="42">
                  <c:v>9.9273858406267124</c:v>
                </c:pt>
                <c:pt idx="43">
                  <c:v>9.9216656462342456</c:v>
                </c:pt>
                <c:pt idx="44">
                  <c:v>9.9150470816167484</c:v>
                </c:pt>
                <c:pt idx="45">
                  <c:v>9.9074943674362999</c:v>
                </c:pt>
                <c:pt idx="46">
                  <c:v>9.9004659372802593</c:v>
                </c:pt>
                <c:pt idx="47">
                  <c:v>9.8931424755618593</c:v>
                </c:pt>
                <c:pt idx="48">
                  <c:v>9.8857166271022834</c:v>
                </c:pt>
                <c:pt idx="49">
                  <c:v>9.8772955228271542</c:v>
                </c:pt>
                <c:pt idx="50">
                  <c:v>9.8692897131157551</c:v>
                </c:pt>
                <c:pt idx="51">
                  <c:v>9.8611698585031533</c:v>
                </c:pt>
                <c:pt idx="52">
                  <c:v>9.8504777765066578</c:v>
                </c:pt>
                <c:pt idx="53">
                  <c:v>9.8357191048203987</c:v>
                </c:pt>
                <c:pt idx="54">
                  <c:v>9.819578776509438</c:v>
                </c:pt>
                <c:pt idx="55">
                  <c:v>9.8004659397307989</c:v>
                </c:pt>
                <c:pt idx="56">
                  <c:v>9.7792093914981351</c:v>
                </c:pt>
                <c:pt idx="57">
                  <c:v>9.7559409836568705</c:v>
                </c:pt>
                <c:pt idx="58">
                  <c:v>9.7319866531128341</c:v>
                </c:pt>
                <c:pt idx="59">
                  <c:v>9.705421221380341</c:v>
                </c:pt>
                <c:pt idx="60">
                  <c:v>9.6778545773664248</c:v>
                </c:pt>
                <c:pt idx="61">
                  <c:v>9.658320940472592</c:v>
                </c:pt>
                <c:pt idx="62">
                  <c:v>9.6436125471531469</c:v>
                </c:pt>
                <c:pt idx="63">
                  <c:v>9.6295522866087495</c:v>
                </c:pt>
                <c:pt idx="64">
                  <c:v>9.6197359306617116</c:v>
                </c:pt>
                <c:pt idx="65">
                  <c:v>9.6107239956374997</c:v>
                </c:pt>
                <c:pt idx="66">
                  <c:v>9.6038508321344693</c:v>
                </c:pt>
                <c:pt idx="67">
                  <c:v>9.5974764387493607</c:v>
                </c:pt>
                <c:pt idx="68">
                  <c:v>9.5933587894744008</c:v>
                </c:pt>
                <c:pt idx="69">
                  <c:v>9.5930824315186172</c:v>
                </c:pt>
                <c:pt idx="70">
                  <c:v>9.5945764807622353</c:v>
                </c:pt>
                <c:pt idx="71">
                  <c:v>9.5968930767695682</c:v>
                </c:pt>
                <c:pt idx="72">
                  <c:v>9.5928611214148845</c:v>
                </c:pt>
                <c:pt idx="73">
                  <c:v>9.5872203216630751</c:v>
                </c:pt>
                <c:pt idx="74">
                  <c:v>9.5846722233692105</c:v>
                </c:pt>
                <c:pt idx="75">
                  <c:v>9.5820744844155854</c:v>
                </c:pt>
                <c:pt idx="76">
                  <c:v>9.5777289893927673</c:v>
                </c:pt>
                <c:pt idx="77">
                  <c:v>9.5708177021979566</c:v>
                </c:pt>
                <c:pt idx="78">
                  <c:v>9.5686536898210335</c:v>
                </c:pt>
                <c:pt idx="79">
                  <c:v>9.5655996944804471</c:v>
                </c:pt>
                <c:pt idx="80">
                  <c:v>9.5644873669794919</c:v>
                </c:pt>
                <c:pt idx="81">
                  <c:v>9.5645722254682184</c:v>
                </c:pt>
                <c:pt idx="82">
                  <c:v>9.5586786349773689</c:v>
                </c:pt>
                <c:pt idx="83">
                  <c:v>9.5411892218368024</c:v>
                </c:pt>
                <c:pt idx="84">
                  <c:v>9.523240838748066</c:v>
                </c:pt>
                <c:pt idx="85">
                  <c:v>9.5045437763639384</c:v>
                </c:pt>
                <c:pt idx="86">
                  <c:v>9.4836644636891734</c:v>
                </c:pt>
                <c:pt idx="87">
                  <c:v>9.4611594982832372</c:v>
                </c:pt>
                <c:pt idx="88">
                  <c:v>9.4378389971114416</c:v>
                </c:pt>
                <c:pt idx="89">
                  <c:v>9.410061485253145</c:v>
                </c:pt>
                <c:pt idx="90">
                  <c:v>9.3836529512579503</c:v>
                </c:pt>
                <c:pt idx="91">
                  <c:v>9.3609590321976839</c:v>
                </c:pt>
                <c:pt idx="92">
                  <c:v>9.3482845135486627</c:v>
                </c:pt>
                <c:pt idx="93">
                  <c:v>9.3469438219906849</c:v>
                </c:pt>
                <c:pt idx="94">
                  <c:v>9.344599402963766</c:v>
                </c:pt>
                <c:pt idx="95">
                  <c:v>9.342680748133823</c:v>
                </c:pt>
                <c:pt idx="96">
                  <c:v>9.3420156827743313</c:v>
                </c:pt>
                <c:pt idx="97">
                  <c:v>9.3369264815079944</c:v>
                </c:pt>
                <c:pt idx="98">
                  <c:v>9.3362974202840761</c:v>
                </c:pt>
                <c:pt idx="99">
                  <c:v>9.3364882343208109</c:v>
                </c:pt>
                <c:pt idx="100">
                  <c:v>9.3320219801862763</c:v>
                </c:pt>
                <c:pt idx="101">
                  <c:v>9.3383460464318517</c:v>
                </c:pt>
                <c:pt idx="102">
                  <c:v>9.3449789161865908</c:v>
                </c:pt>
                <c:pt idx="103">
                  <c:v>9.3396523421450439</c:v>
                </c:pt>
                <c:pt idx="104">
                  <c:v>9.3302416013195213</c:v>
                </c:pt>
                <c:pt idx="105">
                  <c:v>9.3192624023076576</c:v>
                </c:pt>
                <c:pt idx="106">
                  <c:v>9.3040628674470227</c:v>
                </c:pt>
                <c:pt idx="107">
                  <c:v>9.2850435960498174</c:v>
                </c:pt>
                <c:pt idx="108">
                  <c:v>9.261055045669309</c:v>
                </c:pt>
                <c:pt idx="109">
                  <c:v>9.2339534039799958</c:v>
                </c:pt>
                <c:pt idx="110">
                  <c:v>9.2040304384731471</c:v>
                </c:pt>
                <c:pt idx="111">
                  <c:v>9.1670683203340175</c:v>
                </c:pt>
                <c:pt idx="112">
                  <c:v>9.1248558436395442</c:v>
                </c:pt>
                <c:pt idx="113">
                  <c:v>9.0828559846327295</c:v>
                </c:pt>
                <c:pt idx="114">
                  <c:v>9.0382630227106091</c:v>
                </c:pt>
                <c:pt idx="115">
                  <c:v>8.9884209109571813</c:v>
                </c:pt>
                <c:pt idx="116">
                  <c:v>8.9322742618198205</c:v>
                </c:pt>
                <c:pt idx="117">
                  <c:v>8.8742280989597617</c:v>
                </c:pt>
                <c:pt idx="118">
                  <c:v>8.7999581652171557</c:v>
                </c:pt>
                <c:pt idx="119">
                  <c:v>8.7224797190662358</c:v>
                </c:pt>
                <c:pt idx="120">
                  <c:v>8.6739472776733493</c:v>
                </c:pt>
                <c:pt idx="121">
                  <c:v>8.6239499399569723</c:v>
                </c:pt>
                <c:pt idx="122">
                  <c:v>8.5610936564542399</c:v>
                </c:pt>
                <c:pt idx="123">
                  <c:v>8.5089019428465775</c:v>
                </c:pt>
                <c:pt idx="124">
                  <c:v>8.4490003104244735</c:v>
                </c:pt>
                <c:pt idx="125">
                  <c:v>8.3786472464819255</c:v>
                </c:pt>
                <c:pt idx="126">
                  <c:v>8.2906061248957172</c:v>
                </c:pt>
                <c:pt idx="127">
                  <c:v>8.1950741528353603</c:v>
                </c:pt>
                <c:pt idx="128">
                  <c:v>8.096228763515775</c:v>
                </c:pt>
                <c:pt idx="129">
                  <c:v>7.9963638035897304</c:v>
                </c:pt>
                <c:pt idx="130">
                  <c:v>7.8859409927593234</c:v>
                </c:pt>
                <c:pt idx="131">
                  <c:v>7.7560165386112416</c:v>
                </c:pt>
                <c:pt idx="132">
                  <c:v>7.6278174226620834</c:v>
                </c:pt>
                <c:pt idx="133">
                  <c:v>7.4653907361337772</c:v>
                </c:pt>
                <c:pt idx="134">
                  <c:v>7.2937590749343215</c:v>
                </c:pt>
                <c:pt idx="135">
                  <c:v>7.125394196190932</c:v>
                </c:pt>
                <c:pt idx="136">
                  <c:v>6.9427362873295309</c:v>
                </c:pt>
                <c:pt idx="137">
                  <c:v>6.7577199695537828</c:v>
                </c:pt>
                <c:pt idx="138">
                  <c:v>6.5588512366325489</c:v>
                </c:pt>
                <c:pt idx="139">
                  <c:v>6.3490623139713946</c:v>
                </c:pt>
                <c:pt idx="140">
                  <c:v>3.8123132553840477</c:v>
                </c:pt>
                <c:pt idx="141">
                  <c:v>3.5864275907049645</c:v>
                </c:pt>
                <c:pt idx="142">
                  <c:v>3.358034566536805</c:v>
                </c:pt>
                <c:pt idx="143">
                  <c:v>3.1705768165534316</c:v>
                </c:pt>
                <c:pt idx="144">
                  <c:v>3.0019693099064924</c:v>
                </c:pt>
                <c:pt idx="145">
                  <c:v>2.9144452822048272</c:v>
                </c:pt>
                <c:pt idx="146">
                  <c:v>2.8174153704299165</c:v>
                </c:pt>
                <c:pt idx="147">
                  <c:v>2.7622132311672978</c:v>
                </c:pt>
                <c:pt idx="148">
                  <c:v>2.7156200834474298</c:v>
                </c:pt>
                <c:pt idx="149">
                  <c:v>2.6852938176168522</c:v>
                </c:pt>
                <c:pt idx="150">
                  <c:v>2.6425789349212749</c:v>
                </c:pt>
                <c:pt idx="151">
                  <c:v>2.6029875408395995</c:v>
                </c:pt>
                <c:pt idx="152">
                  <c:v>2.5862561654224407</c:v>
                </c:pt>
                <c:pt idx="153">
                  <c:v>2.5676998041425847</c:v>
                </c:pt>
                <c:pt idx="154">
                  <c:v>2.5147157360528887</c:v>
                </c:pt>
                <c:pt idx="155">
                  <c:v>2.4823623949672005</c:v>
                </c:pt>
                <c:pt idx="156">
                  <c:v>2.4984293296992313</c:v>
                </c:pt>
                <c:pt idx="157">
                  <c:v>2.4726783312997966</c:v>
                </c:pt>
                <c:pt idx="158">
                  <c:v>2.4512471368473037</c:v>
                </c:pt>
                <c:pt idx="159">
                  <c:v>2.4602340352732632</c:v>
                </c:pt>
                <c:pt idx="160">
                  <c:v>2.5613976464161219</c:v>
                </c:pt>
                <c:pt idx="161">
                  <c:v>2.6875851335175618</c:v>
                </c:pt>
                <c:pt idx="162">
                  <c:v>2.5978103450891403</c:v>
                </c:pt>
                <c:pt idx="163">
                  <c:v>2.5113963304556997</c:v>
                </c:pt>
                <c:pt idx="164">
                  <c:v>2.6395958875806258</c:v>
                </c:pt>
                <c:pt idx="165">
                  <c:v>2.7624071547657856</c:v>
                </c:pt>
                <c:pt idx="166">
                  <c:v>2.8815364910676458</c:v>
                </c:pt>
                <c:pt idx="167">
                  <c:v>3.0465112573529964</c:v>
                </c:pt>
                <c:pt idx="168">
                  <c:v>3.0800042113488786</c:v>
                </c:pt>
                <c:pt idx="169">
                  <c:v>3.0578491852271092</c:v>
                </c:pt>
                <c:pt idx="170">
                  <c:v>3.0831465297342433</c:v>
                </c:pt>
                <c:pt idx="171">
                  <c:v>3.2892238127400155</c:v>
                </c:pt>
                <c:pt idx="172">
                  <c:v>3.1756844423211845</c:v>
                </c:pt>
                <c:pt idx="173">
                  <c:v>3.0993639710118792</c:v>
                </c:pt>
                <c:pt idx="174">
                  <c:v>0.65276335079753522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05-4EC5-95C6-F12EA562D6E1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  <c:pt idx="0">
                  <c:v>1.5666652342306122</c:v>
                </c:pt>
                <c:pt idx="1">
                  <c:v>1.5666932807745297</c:v>
                </c:pt>
                <c:pt idx="2">
                  <c:v>1.5658014059028318</c:v>
                </c:pt>
                <c:pt idx="3">
                  <c:v>1.560809383159544</c:v>
                </c:pt>
                <c:pt idx="4">
                  <c:v>1.5547703063990852</c:v>
                </c:pt>
                <c:pt idx="5">
                  <c:v>1.548383419351822</c:v>
                </c:pt>
                <c:pt idx="6">
                  <c:v>1.5405948359948596</c:v>
                </c:pt>
                <c:pt idx="7">
                  <c:v>1.5323628220696435</c:v>
                </c:pt>
                <c:pt idx="8">
                  <c:v>1.5237808016337553</c:v>
                </c:pt>
                <c:pt idx="9">
                  <c:v>1.5151260931970825</c:v>
                </c:pt>
                <c:pt idx="10">
                  <c:v>1.506319959682294</c:v>
                </c:pt>
                <c:pt idx="11">
                  <c:v>1.4979740482972801</c:v>
                </c:pt>
                <c:pt idx="12">
                  <c:v>1.4891019997961408</c:v>
                </c:pt>
                <c:pt idx="13">
                  <c:v>1.4843341812755071</c:v>
                </c:pt>
                <c:pt idx="14">
                  <c:v>1.4795466640770769</c:v>
                </c:pt>
                <c:pt idx="15">
                  <c:v>1.4748853689886587</c:v>
                </c:pt>
                <c:pt idx="16">
                  <c:v>1.4700324217222942</c:v>
                </c:pt>
                <c:pt idx="17">
                  <c:v>1.4656298849477736</c:v>
                </c:pt>
                <c:pt idx="18">
                  <c:v>1.4608751693262434</c:v>
                </c:pt>
                <c:pt idx="19">
                  <c:v>1.4564021830334255</c:v>
                </c:pt>
                <c:pt idx="20">
                  <c:v>1.4516017263170511</c:v>
                </c:pt>
                <c:pt idx="21">
                  <c:v>1.4505527613438574</c:v>
                </c:pt>
                <c:pt idx="22">
                  <c:v>1.4520790628798252</c:v>
                </c:pt>
                <c:pt idx="23">
                  <c:v>1.449712599268544</c:v>
                </c:pt>
                <c:pt idx="24">
                  <c:v>1.4479614371452527</c:v>
                </c:pt>
                <c:pt idx="25">
                  <c:v>1.44724713106487</c:v>
                </c:pt>
                <c:pt idx="26">
                  <c:v>1.4465720489617411</c:v>
                </c:pt>
                <c:pt idx="27">
                  <c:v>1.4462929650511853</c:v>
                </c:pt>
                <c:pt idx="28">
                  <c:v>1.4461820184844356</c:v>
                </c:pt>
                <c:pt idx="29">
                  <c:v>1.4467383551340305</c:v>
                </c:pt>
                <c:pt idx="30">
                  <c:v>1.4477593183353434</c:v>
                </c:pt>
                <c:pt idx="31">
                  <c:v>1.445794807687129</c:v>
                </c:pt>
                <c:pt idx="32">
                  <c:v>1.4436139528552019</c:v>
                </c:pt>
                <c:pt idx="33">
                  <c:v>1.4449497298314213</c:v>
                </c:pt>
                <c:pt idx="34">
                  <c:v>1.4468737814865875</c:v>
                </c:pt>
                <c:pt idx="35">
                  <c:v>1.4493193626165493</c:v>
                </c:pt>
                <c:pt idx="36">
                  <c:v>1.4518565502852354</c:v>
                </c:pt>
                <c:pt idx="37">
                  <c:v>1.4542253053265881</c:v>
                </c:pt>
                <c:pt idx="38">
                  <c:v>1.4565637857947848</c:v>
                </c:pt>
                <c:pt idx="39">
                  <c:v>1.4589925969416129</c:v>
                </c:pt>
                <c:pt idx="40">
                  <c:v>1.4609202908130214</c:v>
                </c:pt>
                <c:pt idx="41">
                  <c:v>1.4645197207348772</c:v>
                </c:pt>
                <c:pt idx="42">
                  <c:v>1.4683253936303728</c:v>
                </c:pt>
                <c:pt idx="43">
                  <c:v>1.471896688948128</c:v>
                </c:pt>
                <c:pt idx="44">
                  <c:v>1.4758706902647987</c:v>
                </c:pt>
                <c:pt idx="45">
                  <c:v>1.4810799798698042</c:v>
                </c:pt>
                <c:pt idx="46">
                  <c:v>1.4856819890875599</c:v>
                </c:pt>
                <c:pt idx="47">
                  <c:v>1.4905120926528994</c:v>
                </c:pt>
                <c:pt idx="48">
                  <c:v>1.4952822512803152</c:v>
                </c:pt>
                <c:pt idx="49">
                  <c:v>1.5008403321615447</c:v>
                </c:pt>
                <c:pt idx="50">
                  <c:v>1.506160812773004</c:v>
                </c:pt>
                <c:pt idx="51">
                  <c:v>1.5115388836754065</c:v>
                </c:pt>
                <c:pt idx="52">
                  <c:v>1.5200084086203844</c:v>
                </c:pt>
                <c:pt idx="53">
                  <c:v>1.5327883178302031</c:v>
                </c:pt>
                <c:pt idx="54">
                  <c:v>1.547923300083049</c:v>
                </c:pt>
                <c:pt idx="55">
                  <c:v>1.5659144292895917</c:v>
                </c:pt>
                <c:pt idx="56">
                  <c:v>1.5869873947050976</c:v>
                </c:pt>
                <c:pt idx="57">
                  <c:v>1.6101806213494854</c:v>
                </c:pt>
                <c:pt idx="58">
                  <c:v>1.6346679500089394</c:v>
                </c:pt>
                <c:pt idx="59">
                  <c:v>1.6609409164023177</c:v>
                </c:pt>
                <c:pt idx="60">
                  <c:v>1.6882796173223014</c:v>
                </c:pt>
                <c:pt idx="61">
                  <c:v>1.7083116948943697</c:v>
                </c:pt>
                <c:pt idx="62">
                  <c:v>1.72253786762505</c:v>
                </c:pt>
                <c:pt idx="63">
                  <c:v>1.7351826373914605</c:v>
                </c:pt>
                <c:pt idx="64">
                  <c:v>1.7430051983290014</c:v>
                </c:pt>
                <c:pt idx="65">
                  <c:v>1.7497224733796841</c:v>
                </c:pt>
                <c:pt idx="66">
                  <c:v>1.7542941571771422</c:v>
                </c:pt>
                <c:pt idx="67">
                  <c:v>1.7585980484762516</c:v>
                </c:pt>
                <c:pt idx="68">
                  <c:v>1.7613323055839061</c:v>
                </c:pt>
                <c:pt idx="69">
                  <c:v>1.7636044638782451</c:v>
                </c:pt>
                <c:pt idx="70">
                  <c:v>1.7663772952809964</c:v>
                </c:pt>
                <c:pt idx="71">
                  <c:v>1.7677708618300869</c:v>
                </c:pt>
                <c:pt idx="72">
                  <c:v>1.7738663279716462</c:v>
                </c:pt>
                <c:pt idx="73">
                  <c:v>1.7819698702843993</c:v>
                </c:pt>
                <c:pt idx="74">
                  <c:v>1.7894027186067731</c:v>
                </c:pt>
                <c:pt idx="75">
                  <c:v>1.7962113473879455</c:v>
                </c:pt>
                <c:pt idx="76">
                  <c:v>1.8049212497873128</c:v>
                </c:pt>
                <c:pt idx="77">
                  <c:v>1.8137372379630605</c:v>
                </c:pt>
                <c:pt idx="78">
                  <c:v>1.8181362069230502</c:v>
                </c:pt>
                <c:pt idx="79">
                  <c:v>1.822483177001196</c:v>
                </c:pt>
                <c:pt idx="80">
                  <c:v>1.8254804929505895</c:v>
                </c:pt>
                <c:pt idx="81">
                  <c:v>1.8258252514578501</c:v>
                </c:pt>
                <c:pt idx="82">
                  <c:v>1.8288263808288008</c:v>
                </c:pt>
                <c:pt idx="83">
                  <c:v>1.8399165044263981</c:v>
                </c:pt>
                <c:pt idx="84">
                  <c:v>1.8512764675218349</c:v>
                </c:pt>
                <c:pt idx="85">
                  <c:v>1.8624159879042423</c:v>
                </c:pt>
                <c:pt idx="86">
                  <c:v>1.8752016926104673</c:v>
                </c:pt>
                <c:pt idx="87">
                  <c:v>1.8895355087262189</c:v>
                </c:pt>
                <c:pt idx="88">
                  <c:v>1.9053165966000591</c:v>
                </c:pt>
                <c:pt idx="89">
                  <c:v>1.9231725081391957</c:v>
                </c:pt>
                <c:pt idx="90">
                  <c:v>1.9412218703198647</c:v>
                </c:pt>
                <c:pt idx="91">
                  <c:v>1.948801042161989</c:v>
                </c:pt>
                <c:pt idx="92">
                  <c:v>1.9516937956370626</c:v>
                </c:pt>
                <c:pt idx="93">
                  <c:v>1.9492920800314906</c:v>
                </c:pt>
                <c:pt idx="94">
                  <c:v>1.9455301278400228</c:v>
                </c:pt>
                <c:pt idx="95">
                  <c:v>1.9440762482708891</c:v>
                </c:pt>
                <c:pt idx="96">
                  <c:v>1.9459423091362069</c:v>
                </c:pt>
                <c:pt idx="97">
                  <c:v>1.95202311241232</c:v>
                </c:pt>
                <c:pt idx="98">
                  <c:v>1.9540778331121444</c:v>
                </c:pt>
                <c:pt idx="99">
                  <c:v>1.955429088916631</c:v>
                </c:pt>
                <c:pt idx="100">
                  <c:v>1.9567096371519739</c:v>
                </c:pt>
                <c:pt idx="101">
                  <c:v>1.9464913954277634</c:v>
                </c:pt>
                <c:pt idx="102">
                  <c:v>1.9232101457589366</c:v>
                </c:pt>
                <c:pt idx="103">
                  <c:v>1.9059579553613304</c:v>
                </c:pt>
                <c:pt idx="104">
                  <c:v>1.8869873370882146</c:v>
                </c:pt>
                <c:pt idx="105">
                  <c:v>1.8634281573975784</c:v>
                </c:pt>
                <c:pt idx="106">
                  <c:v>1.8384154289793457</c:v>
                </c:pt>
                <c:pt idx="107">
                  <c:v>1.8109539241851067</c:v>
                </c:pt>
                <c:pt idx="108">
                  <c:v>1.779630390936596</c:v>
                </c:pt>
                <c:pt idx="109">
                  <c:v>1.7446336949935812</c:v>
                </c:pt>
                <c:pt idx="110">
                  <c:v>1.7184439008394818</c:v>
                </c:pt>
                <c:pt idx="111">
                  <c:v>1.6963642933589895</c:v>
                </c:pt>
                <c:pt idx="112">
                  <c:v>1.677293830559563</c:v>
                </c:pt>
                <c:pt idx="113">
                  <c:v>1.6532590759642929</c:v>
                </c:pt>
                <c:pt idx="114">
                  <c:v>1.62674547337474</c:v>
                </c:pt>
                <c:pt idx="115">
                  <c:v>1.6005284186903737</c:v>
                </c:pt>
                <c:pt idx="116">
                  <c:v>1.5767618810404755</c:v>
                </c:pt>
                <c:pt idx="117">
                  <c:v>1.5520362332499218</c:v>
                </c:pt>
                <c:pt idx="118">
                  <c:v>1.5393396947736306</c:v>
                </c:pt>
                <c:pt idx="119">
                  <c:v>1.5272763467196384</c:v>
                </c:pt>
                <c:pt idx="120">
                  <c:v>1.4841467722130091</c:v>
                </c:pt>
                <c:pt idx="121">
                  <c:v>1.442667934115704</c:v>
                </c:pt>
                <c:pt idx="122">
                  <c:v>1.4064298116442799</c:v>
                </c:pt>
                <c:pt idx="123">
                  <c:v>1.3527921427856029</c:v>
                </c:pt>
                <c:pt idx="124">
                  <c:v>1.3018888681673815</c:v>
                </c:pt>
                <c:pt idx="125">
                  <c:v>1.2526097210385174</c:v>
                </c:pt>
                <c:pt idx="126">
                  <c:v>1.2075329577727274</c:v>
                </c:pt>
                <c:pt idx="127">
                  <c:v>1.1620306349853209</c:v>
                </c:pt>
                <c:pt idx="128">
                  <c:v>1.1108235197546961</c:v>
                </c:pt>
                <c:pt idx="129">
                  <c:v>1.0505603734684001</c:v>
                </c:pt>
                <c:pt idx="130">
                  <c:v>0.99615049223181273</c:v>
                </c:pt>
                <c:pt idx="131">
                  <c:v>0.94518583097155329</c:v>
                </c:pt>
                <c:pt idx="132">
                  <c:v>0.89084103250991831</c:v>
                </c:pt>
                <c:pt idx="133">
                  <c:v>0.86083115796852638</c:v>
                </c:pt>
                <c:pt idx="134">
                  <c:v>0.83012185431241647</c:v>
                </c:pt>
                <c:pt idx="135">
                  <c:v>0.78729713259079404</c:v>
                </c:pt>
                <c:pt idx="136">
                  <c:v>0.73587350864744394</c:v>
                </c:pt>
                <c:pt idx="137">
                  <c:v>0.67245414406574611</c:v>
                </c:pt>
                <c:pt idx="138">
                  <c:v>0.6111802636089152</c:v>
                </c:pt>
                <c:pt idx="139">
                  <c:v>0.5513419346924664</c:v>
                </c:pt>
                <c:pt idx="140">
                  <c:v>2.8152563232418828</c:v>
                </c:pt>
                <c:pt idx="141">
                  <c:v>2.8309322429510857</c:v>
                </c:pt>
                <c:pt idx="142">
                  <c:v>2.8840791285153884</c:v>
                </c:pt>
                <c:pt idx="143">
                  <c:v>2.939433740546491</c:v>
                </c:pt>
                <c:pt idx="144">
                  <c:v>3.0034606865551012</c:v>
                </c:pt>
                <c:pt idx="145">
                  <c:v>3.0217346458897509</c:v>
                </c:pt>
                <c:pt idx="146">
                  <c:v>3.0684479132120188</c:v>
                </c:pt>
                <c:pt idx="147">
                  <c:v>3.054270563474617</c:v>
                </c:pt>
                <c:pt idx="148">
                  <c:v>3.0627970906186306</c:v>
                </c:pt>
                <c:pt idx="149">
                  <c:v>3.0388167735889695</c:v>
                </c:pt>
                <c:pt idx="150">
                  <c:v>3.0671242203453488</c:v>
                </c:pt>
                <c:pt idx="151">
                  <c:v>3.1288521561818783</c:v>
                </c:pt>
                <c:pt idx="152">
                  <c:v>3.1995750553136659</c:v>
                </c:pt>
                <c:pt idx="153">
                  <c:v>3.2931267972681013</c:v>
                </c:pt>
                <c:pt idx="154">
                  <c:v>3.3956452291979495</c:v>
                </c:pt>
                <c:pt idx="155">
                  <c:v>3.4472548416763082</c:v>
                </c:pt>
                <c:pt idx="156">
                  <c:v>3.4563477795724111</c:v>
                </c:pt>
                <c:pt idx="157">
                  <c:v>3.5490370267397147</c:v>
                </c:pt>
                <c:pt idx="158">
                  <c:v>3.6399462536660216</c:v>
                </c:pt>
                <c:pt idx="159">
                  <c:v>3.695427861569744</c:v>
                </c:pt>
                <c:pt idx="160">
                  <c:v>3.7203194431539259</c:v>
                </c:pt>
                <c:pt idx="161">
                  <c:v>3.7024516772474776</c:v>
                </c:pt>
                <c:pt idx="162">
                  <c:v>3.8857575172244481</c:v>
                </c:pt>
                <c:pt idx="163">
                  <c:v>4.0184798114322824</c:v>
                </c:pt>
                <c:pt idx="164">
                  <c:v>4.0244643193989766</c:v>
                </c:pt>
                <c:pt idx="165">
                  <c:v>4.0560205345025686</c:v>
                </c:pt>
                <c:pt idx="166">
                  <c:v>4.024071529820322</c:v>
                </c:pt>
                <c:pt idx="167">
                  <c:v>3.8464558680789374</c:v>
                </c:pt>
                <c:pt idx="168">
                  <c:v>3.7915608558718894</c:v>
                </c:pt>
                <c:pt idx="169">
                  <c:v>3.8338842424550705</c:v>
                </c:pt>
                <c:pt idx="170">
                  <c:v>3.8349505288861607</c:v>
                </c:pt>
                <c:pt idx="171">
                  <c:v>3.6722067348178413</c:v>
                </c:pt>
                <c:pt idx="172">
                  <c:v>3.5767684655538865</c:v>
                </c:pt>
                <c:pt idx="173">
                  <c:v>3.2831638268672307</c:v>
                </c:pt>
                <c:pt idx="174">
                  <c:v>7.251665583421957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05-4EC5-95C6-F12EA562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36.435551692977214</c:v>
                </c:pt>
                <c:pt idx="1">
                  <c:v>36.435930458879689</c:v>
                </c:pt>
                <c:pt idx="2">
                  <c:v>36.436122365108211</c:v>
                </c:pt>
                <c:pt idx="3">
                  <c:v>36.436610425539804</c:v>
                </c:pt>
                <c:pt idx="4">
                  <c:v>36.436022288691447</c:v>
                </c:pt>
                <c:pt idx="5">
                  <c:v>36.434368503301947</c:v>
                </c:pt>
                <c:pt idx="6">
                  <c:v>36.432817229764566</c:v>
                </c:pt>
                <c:pt idx="7">
                  <c:v>36.430832317549502</c:v>
                </c:pt>
                <c:pt idx="8">
                  <c:v>36.428716869530575</c:v>
                </c:pt>
                <c:pt idx="9">
                  <c:v>36.426062821947511</c:v>
                </c:pt>
                <c:pt idx="10">
                  <c:v>36.42269282293055</c:v>
                </c:pt>
                <c:pt idx="11">
                  <c:v>36.417718669741419</c:v>
                </c:pt>
                <c:pt idx="12">
                  <c:v>36.412952249853291</c:v>
                </c:pt>
                <c:pt idx="13">
                  <c:v>36.407312837100889</c:v>
                </c:pt>
                <c:pt idx="14">
                  <c:v>36.400856494566654</c:v>
                </c:pt>
                <c:pt idx="15">
                  <c:v>36.394590204232337</c:v>
                </c:pt>
                <c:pt idx="16">
                  <c:v>36.387692633450953</c:v>
                </c:pt>
                <c:pt idx="17">
                  <c:v>36.380974492937625</c:v>
                </c:pt>
                <c:pt idx="18">
                  <c:v>36.372782607212571</c:v>
                </c:pt>
                <c:pt idx="19">
                  <c:v>36.364548210298807</c:v>
                </c:pt>
                <c:pt idx="20">
                  <c:v>36.356200676647425</c:v>
                </c:pt>
                <c:pt idx="21">
                  <c:v>36.34454278093726</c:v>
                </c:pt>
                <c:pt idx="22">
                  <c:v>36.330054088805085</c:v>
                </c:pt>
                <c:pt idx="23">
                  <c:v>36.31425769145298</c:v>
                </c:pt>
                <c:pt idx="24">
                  <c:v>36.29614020282326</c:v>
                </c:pt>
                <c:pt idx="25">
                  <c:v>36.278362214228885</c:v>
                </c:pt>
                <c:pt idx="26">
                  <c:v>36.258578405957834</c:v>
                </c:pt>
                <c:pt idx="27">
                  <c:v>36.238240412671338</c:v>
                </c:pt>
                <c:pt idx="28">
                  <c:v>36.217045073111009</c:v>
                </c:pt>
                <c:pt idx="29">
                  <c:v>36.195159065305695</c:v>
                </c:pt>
                <c:pt idx="30">
                  <c:v>36.171532779064528</c:v>
                </c:pt>
                <c:pt idx="31">
                  <c:v>36.14886070154256</c:v>
                </c:pt>
                <c:pt idx="32">
                  <c:v>36.127622484136438</c:v>
                </c:pt>
                <c:pt idx="33">
                  <c:v>36.105761254580862</c:v>
                </c:pt>
                <c:pt idx="34">
                  <c:v>36.082718000229839</c:v>
                </c:pt>
                <c:pt idx="35">
                  <c:v>36.060057781762517</c:v>
                </c:pt>
                <c:pt idx="36">
                  <c:v>36.038007308966961</c:v>
                </c:pt>
                <c:pt idx="37">
                  <c:v>36.015630780569303</c:v>
                </c:pt>
                <c:pt idx="38">
                  <c:v>35.991906746239991</c:v>
                </c:pt>
                <c:pt idx="39">
                  <c:v>35.966254733990517</c:v>
                </c:pt>
                <c:pt idx="40">
                  <c:v>35.941823587404336</c:v>
                </c:pt>
                <c:pt idx="41">
                  <c:v>35.915779086328257</c:v>
                </c:pt>
                <c:pt idx="42">
                  <c:v>35.888673001286165</c:v>
                </c:pt>
                <c:pt idx="43">
                  <c:v>35.861273087825147</c:v>
                </c:pt>
                <c:pt idx="44">
                  <c:v>35.833888534384862</c:v>
                </c:pt>
                <c:pt idx="45">
                  <c:v>35.80611148647003</c:v>
                </c:pt>
                <c:pt idx="46">
                  <c:v>35.776756116747485</c:v>
                </c:pt>
                <c:pt idx="47">
                  <c:v>35.746255554032551</c:v>
                </c:pt>
                <c:pt idx="48">
                  <c:v>35.714781352487904</c:v>
                </c:pt>
                <c:pt idx="49">
                  <c:v>35.681522887278319</c:v>
                </c:pt>
                <c:pt idx="50">
                  <c:v>35.645002395932984</c:v>
                </c:pt>
                <c:pt idx="51">
                  <c:v>35.607252612807159</c:v>
                </c:pt>
                <c:pt idx="52">
                  <c:v>35.570716996158133</c:v>
                </c:pt>
                <c:pt idx="53">
                  <c:v>35.533129372542803</c:v>
                </c:pt>
                <c:pt idx="54">
                  <c:v>35.492336725034896</c:v>
                </c:pt>
                <c:pt idx="55">
                  <c:v>35.451476797662608</c:v>
                </c:pt>
                <c:pt idx="56">
                  <c:v>35.407641905925153</c:v>
                </c:pt>
                <c:pt idx="57">
                  <c:v>35.362972304488849</c:v>
                </c:pt>
                <c:pt idx="58">
                  <c:v>35.311682028286086</c:v>
                </c:pt>
                <c:pt idx="59">
                  <c:v>35.263501565548907</c:v>
                </c:pt>
                <c:pt idx="60">
                  <c:v>35.21327457157529</c:v>
                </c:pt>
                <c:pt idx="61">
                  <c:v>35.158929692916765</c:v>
                </c:pt>
                <c:pt idx="62">
                  <c:v>35.103851691132512</c:v>
                </c:pt>
                <c:pt idx="63">
                  <c:v>35.046796466041734</c:v>
                </c:pt>
                <c:pt idx="64">
                  <c:v>34.984330970874076</c:v>
                </c:pt>
                <c:pt idx="65">
                  <c:v>34.927310245227929</c:v>
                </c:pt>
                <c:pt idx="66">
                  <c:v>34.871121820611521</c:v>
                </c:pt>
                <c:pt idx="67">
                  <c:v>34.810551596800053</c:v>
                </c:pt>
                <c:pt idx="68">
                  <c:v>34.746268548117918</c:v>
                </c:pt>
                <c:pt idx="69">
                  <c:v>34.678928292145386</c:v>
                </c:pt>
                <c:pt idx="70">
                  <c:v>34.619485179422817</c:v>
                </c:pt>
                <c:pt idx="71">
                  <c:v>34.555750994807902</c:v>
                </c:pt>
                <c:pt idx="72">
                  <c:v>34.503956229626247</c:v>
                </c:pt>
                <c:pt idx="73">
                  <c:v>34.448732805407424</c:v>
                </c:pt>
                <c:pt idx="74">
                  <c:v>34.385204815459211</c:v>
                </c:pt>
                <c:pt idx="75">
                  <c:v>34.321925072466982</c:v>
                </c:pt>
                <c:pt idx="76">
                  <c:v>34.258576045647921</c:v>
                </c:pt>
                <c:pt idx="77">
                  <c:v>34.198447407050949</c:v>
                </c:pt>
                <c:pt idx="78">
                  <c:v>34.13244487104307</c:v>
                </c:pt>
                <c:pt idx="79">
                  <c:v>34.06840213351083</c:v>
                </c:pt>
                <c:pt idx="80">
                  <c:v>33.999600054627635</c:v>
                </c:pt>
                <c:pt idx="81">
                  <c:v>33.942903600426263</c:v>
                </c:pt>
                <c:pt idx="82">
                  <c:v>33.898463137107747</c:v>
                </c:pt>
                <c:pt idx="83">
                  <c:v>33.865055703103529</c:v>
                </c:pt>
                <c:pt idx="84">
                  <c:v>33.829434733007069</c:v>
                </c:pt>
                <c:pt idx="85">
                  <c:v>33.790786105397878</c:v>
                </c:pt>
                <c:pt idx="86">
                  <c:v>33.751096857194142</c:v>
                </c:pt>
                <c:pt idx="87">
                  <c:v>33.706642928054428</c:v>
                </c:pt>
                <c:pt idx="88">
                  <c:v>33.65799466427378</c:v>
                </c:pt>
                <c:pt idx="89">
                  <c:v>33.618077603760206</c:v>
                </c:pt>
                <c:pt idx="90">
                  <c:v>33.573685191491734</c:v>
                </c:pt>
                <c:pt idx="91">
                  <c:v>33.528248955926593</c:v>
                </c:pt>
                <c:pt idx="92">
                  <c:v>33.47895324711385</c:v>
                </c:pt>
                <c:pt idx="93">
                  <c:v>33.422668608162702</c:v>
                </c:pt>
                <c:pt idx="94">
                  <c:v>33.364870938485971</c:v>
                </c:pt>
                <c:pt idx="95">
                  <c:v>33.30725747740496</c:v>
                </c:pt>
                <c:pt idx="96">
                  <c:v>33.2643188640075</c:v>
                </c:pt>
                <c:pt idx="97">
                  <c:v>33.217845447991742</c:v>
                </c:pt>
                <c:pt idx="98">
                  <c:v>33.160341208639757</c:v>
                </c:pt>
                <c:pt idx="99">
                  <c:v>33.095654004363048</c:v>
                </c:pt>
                <c:pt idx="100">
                  <c:v>33.040685182993364</c:v>
                </c:pt>
                <c:pt idx="101">
                  <c:v>32.986145259820574</c:v>
                </c:pt>
                <c:pt idx="102">
                  <c:v>32.933272423714051</c:v>
                </c:pt>
                <c:pt idx="103">
                  <c:v>32.88293339339593</c:v>
                </c:pt>
                <c:pt idx="104">
                  <c:v>32.832860835580234</c:v>
                </c:pt>
                <c:pt idx="105">
                  <c:v>32.790831112959189</c:v>
                </c:pt>
                <c:pt idx="106">
                  <c:v>32.743676360242674</c:v>
                </c:pt>
                <c:pt idx="107">
                  <c:v>32.692301631067892</c:v>
                </c:pt>
                <c:pt idx="108">
                  <c:v>32.645534573223351</c:v>
                </c:pt>
                <c:pt idx="109">
                  <c:v>32.607958298772921</c:v>
                </c:pt>
                <c:pt idx="110">
                  <c:v>32.581026315423998</c:v>
                </c:pt>
                <c:pt idx="111">
                  <c:v>32.537384815910087</c:v>
                </c:pt>
                <c:pt idx="112">
                  <c:v>32.491723098982192</c:v>
                </c:pt>
                <c:pt idx="113">
                  <c:v>32.430058304363847</c:v>
                </c:pt>
                <c:pt idx="114">
                  <c:v>32.362345908827095</c:v>
                </c:pt>
                <c:pt idx="115">
                  <c:v>32.284473720679046</c:v>
                </c:pt>
                <c:pt idx="116">
                  <c:v>32.198521376058679</c:v>
                </c:pt>
                <c:pt idx="117">
                  <c:v>32.10478748744535</c:v>
                </c:pt>
                <c:pt idx="118">
                  <c:v>31.986053187077008</c:v>
                </c:pt>
                <c:pt idx="119">
                  <c:v>31.852646902445937</c:v>
                </c:pt>
                <c:pt idx="120">
                  <c:v>31.72972214491044</c:v>
                </c:pt>
                <c:pt idx="121">
                  <c:v>31.601881150501832</c:v>
                </c:pt>
                <c:pt idx="122">
                  <c:v>31.464758865493199</c:v>
                </c:pt>
                <c:pt idx="123">
                  <c:v>31.327013476595518</c:v>
                </c:pt>
                <c:pt idx="124">
                  <c:v>31.177795099840232</c:v>
                </c:pt>
                <c:pt idx="125">
                  <c:v>31.036151404962691</c:v>
                </c:pt>
                <c:pt idx="126">
                  <c:v>30.906544775763724</c:v>
                </c:pt>
                <c:pt idx="127">
                  <c:v>30.762742581151571</c:v>
                </c:pt>
                <c:pt idx="128">
                  <c:v>30.620411046249391</c:v>
                </c:pt>
                <c:pt idx="129">
                  <c:v>30.480042705884252</c:v>
                </c:pt>
                <c:pt idx="130">
                  <c:v>30.320357149093567</c:v>
                </c:pt>
                <c:pt idx="131">
                  <c:v>30.169069881714272</c:v>
                </c:pt>
                <c:pt idx="132">
                  <c:v>30.02308342647088</c:v>
                </c:pt>
                <c:pt idx="133">
                  <c:v>29.892310880651323</c:v>
                </c:pt>
                <c:pt idx="134">
                  <c:v>29.76715189064026</c:v>
                </c:pt>
                <c:pt idx="135">
                  <c:v>29.646045650980806</c:v>
                </c:pt>
                <c:pt idx="136">
                  <c:v>29.536524539944281</c:v>
                </c:pt>
                <c:pt idx="137">
                  <c:v>29.43854889755762</c:v>
                </c:pt>
                <c:pt idx="138">
                  <c:v>29.328443312140788</c:v>
                </c:pt>
                <c:pt idx="139">
                  <c:v>29.204601422716063</c:v>
                </c:pt>
                <c:pt idx="140">
                  <c:v>29.066637793101506</c:v>
                </c:pt>
                <c:pt idx="141">
                  <c:v>28.898685032153438</c:v>
                </c:pt>
                <c:pt idx="142">
                  <c:v>28.733420549020721</c:v>
                </c:pt>
                <c:pt idx="143">
                  <c:v>28.549503068423547</c:v>
                </c:pt>
                <c:pt idx="144">
                  <c:v>28.355618279919675</c:v>
                </c:pt>
                <c:pt idx="145">
                  <c:v>28.165335073890073</c:v>
                </c:pt>
                <c:pt idx="146">
                  <c:v>27.957913781690319</c:v>
                </c:pt>
                <c:pt idx="147">
                  <c:v>27.738207243750612</c:v>
                </c:pt>
                <c:pt idx="148">
                  <c:v>27.543257636406288</c:v>
                </c:pt>
                <c:pt idx="149">
                  <c:v>27.29878646718139</c:v>
                </c:pt>
                <c:pt idx="150">
                  <c:v>27.036950708133507</c:v>
                </c:pt>
                <c:pt idx="151">
                  <c:v>26.735872828575353</c:v>
                </c:pt>
                <c:pt idx="152">
                  <c:v>26.423562554603354</c:v>
                </c:pt>
                <c:pt idx="153">
                  <c:v>26.113003602692842</c:v>
                </c:pt>
                <c:pt idx="154">
                  <c:v>25.81740469995259</c:v>
                </c:pt>
                <c:pt idx="155">
                  <c:v>25.494081108184059</c:v>
                </c:pt>
                <c:pt idx="156">
                  <c:v>25.158996026575085</c:v>
                </c:pt>
                <c:pt idx="157">
                  <c:v>24.869744903738518</c:v>
                </c:pt>
                <c:pt idx="158">
                  <c:v>24.548068066125481</c:v>
                </c:pt>
                <c:pt idx="159">
                  <c:v>24.242906931973334</c:v>
                </c:pt>
                <c:pt idx="160">
                  <c:v>24.035908291657858</c:v>
                </c:pt>
                <c:pt idx="161">
                  <c:v>23.785746443082495</c:v>
                </c:pt>
                <c:pt idx="162">
                  <c:v>23.599611375253264</c:v>
                </c:pt>
                <c:pt idx="163">
                  <c:v>23.447223204226518</c:v>
                </c:pt>
                <c:pt idx="164">
                  <c:v>23.27196695168762</c:v>
                </c:pt>
                <c:pt idx="165">
                  <c:v>23.100054310076789</c:v>
                </c:pt>
                <c:pt idx="166">
                  <c:v>22.941639792040373</c:v>
                </c:pt>
                <c:pt idx="167">
                  <c:v>22.718708241229304</c:v>
                </c:pt>
                <c:pt idx="168">
                  <c:v>22.458670514388391</c:v>
                </c:pt>
                <c:pt idx="169">
                  <c:v>22.140156835475633</c:v>
                </c:pt>
                <c:pt idx="170">
                  <c:v>21.856636952576121</c:v>
                </c:pt>
                <c:pt idx="171">
                  <c:v>21.72215812282418</c:v>
                </c:pt>
                <c:pt idx="172">
                  <c:v>21.41630609330252</c:v>
                </c:pt>
                <c:pt idx="173">
                  <c:v>21.06546642224021</c:v>
                </c:pt>
                <c:pt idx="174">
                  <c:v>20.89484287782097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05-4EC5-95C6-F12EA562D6E1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39.454284995586661</c:v>
                </c:pt>
                <c:pt idx="1">
                  <c:v>39.451870128543923</c:v>
                </c:pt>
                <c:pt idx="2">
                  <c:v>39.44887273003728</c:v>
                </c:pt>
                <c:pt idx="3">
                  <c:v>39.440696470163061</c:v>
                </c:pt>
                <c:pt idx="4">
                  <c:v>39.431261448934293</c:v>
                </c:pt>
                <c:pt idx="5">
                  <c:v>39.41993557489554</c:v>
                </c:pt>
                <c:pt idx="6">
                  <c:v>39.407490965131558</c:v>
                </c:pt>
                <c:pt idx="7">
                  <c:v>39.394055179112584</c:v>
                </c:pt>
                <c:pt idx="8">
                  <c:v>39.379993568148578</c:v>
                </c:pt>
                <c:pt idx="9">
                  <c:v>39.365343095162771</c:v>
                </c:pt>
                <c:pt idx="10">
                  <c:v>39.349765703455908</c:v>
                </c:pt>
                <c:pt idx="11">
                  <c:v>39.333015403320978</c:v>
                </c:pt>
                <c:pt idx="12">
                  <c:v>39.315745291656071</c:v>
                </c:pt>
                <c:pt idx="13">
                  <c:v>39.30165573844053</c:v>
                </c:pt>
                <c:pt idx="14">
                  <c:v>39.287106991688951</c:v>
                </c:pt>
                <c:pt idx="15">
                  <c:v>39.271949123751398</c:v>
                </c:pt>
                <c:pt idx="16">
                  <c:v>39.2562795465359</c:v>
                </c:pt>
                <c:pt idx="17">
                  <c:v>39.24028708658701</c:v>
                </c:pt>
                <c:pt idx="18">
                  <c:v>39.223733169640731</c:v>
                </c:pt>
                <c:pt idx="19">
                  <c:v>39.206989608608453</c:v>
                </c:pt>
                <c:pt idx="20">
                  <c:v>39.189661576167538</c:v>
                </c:pt>
                <c:pt idx="21">
                  <c:v>39.172212115394196</c:v>
                </c:pt>
                <c:pt idx="22">
                  <c:v>39.154954300139941</c:v>
                </c:pt>
                <c:pt idx="23">
                  <c:v>39.130638266107333</c:v>
                </c:pt>
                <c:pt idx="24">
                  <c:v>39.105085475687851</c:v>
                </c:pt>
                <c:pt idx="25">
                  <c:v>39.080181115685605</c:v>
                </c:pt>
                <c:pt idx="26">
                  <c:v>39.053662666726574</c:v>
                </c:pt>
                <c:pt idx="27">
                  <c:v>39.026853433047336</c:v>
                </c:pt>
                <c:pt idx="28">
                  <c:v>38.999251940655718</c:v>
                </c:pt>
                <c:pt idx="29">
                  <c:v>38.971308179414457</c:v>
                </c:pt>
                <c:pt idx="30">
                  <c:v>38.94188011751735</c:v>
                </c:pt>
                <c:pt idx="31">
                  <c:v>38.90979794199604</c:v>
                </c:pt>
                <c:pt idx="32">
                  <c:v>38.878288864827148</c:v>
                </c:pt>
                <c:pt idx="33">
                  <c:v>38.850139163239554</c:v>
                </c:pt>
                <c:pt idx="34">
                  <c:v>38.821272846868723</c:v>
                </c:pt>
                <c:pt idx="35">
                  <c:v>38.792632957086376</c:v>
                </c:pt>
                <c:pt idx="36">
                  <c:v>38.76427543075431</c:v>
                </c:pt>
                <c:pt idx="37">
                  <c:v>38.735876316255585</c:v>
                </c:pt>
                <c:pt idx="38">
                  <c:v>38.706758509713133</c:v>
                </c:pt>
                <c:pt idx="39">
                  <c:v>38.675471893186831</c:v>
                </c:pt>
                <c:pt idx="40">
                  <c:v>38.644730552326742</c:v>
                </c:pt>
                <c:pt idx="41">
                  <c:v>38.612001747069371</c:v>
                </c:pt>
                <c:pt idx="42">
                  <c:v>38.578305991753048</c:v>
                </c:pt>
                <c:pt idx="43">
                  <c:v>38.543381087690399</c:v>
                </c:pt>
                <c:pt idx="44">
                  <c:v>38.509172154540394</c:v>
                </c:pt>
                <c:pt idx="45">
                  <c:v>38.474372720558321</c:v>
                </c:pt>
                <c:pt idx="46">
                  <c:v>38.437958012521463</c:v>
                </c:pt>
                <c:pt idx="47">
                  <c:v>38.400653388147326</c:v>
                </c:pt>
                <c:pt idx="48">
                  <c:v>38.361975871331801</c:v>
                </c:pt>
                <c:pt idx="49">
                  <c:v>38.321869515739529</c:v>
                </c:pt>
                <c:pt idx="50">
                  <c:v>38.278424452251087</c:v>
                </c:pt>
                <c:pt idx="51">
                  <c:v>38.232843687506971</c:v>
                </c:pt>
                <c:pt idx="52">
                  <c:v>38.189431808123409</c:v>
                </c:pt>
                <c:pt idx="53">
                  <c:v>38.148912875616915</c:v>
                </c:pt>
                <c:pt idx="54">
                  <c:v>38.106078877257787</c:v>
                </c:pt>
                <c:pt idx="55">
                  <c:v>38.065318537387796</c:v>
                </c:pt>
                <c:pt idx="56">
                  <c:v>38.022943038198541</c:v>
                </c:pt>
                <c:pt idx="57">
                  <c:v>37.981100351861542</c:v>
                </c:pt>
                <c:pt idx="58">
                  <c:v>37.932882416501521</c:v>
                </c:pt>
                <c:pt idx="59">
                  <c:v>37.88877690845019</c:v>
                </c:pt>
                <c:pt idx="60">
                  <c:v>37.842836940018884</c:v>
                </c:pt>
                <c:pt idx="61">
                  <c:v>37.793784615225192</c:v>
                </c:pt>
                <c:pt idx="62">
                  <c:v>37.741650886970326</c:v>
                </c:pt>
                <c:pt idx="63">
                  <c:v>37.687328535613027</c:v>
                </c:pt>
                <c:pt idx="64">
                  <c:v>37.626289213450377</c:v>
                </c:pt>
                <c:pt idx="65">
                  <c:v>37.571606191417104</c:v>
                </c:pt>
                <c:pt idx="66">
                  <c:v>37.517295788301588</c:v>
                </c:pt>
                <c:pt idx="67">
                  <c:v>37.458228442896925</c:v>
                </c:pt>
                <c:pt idx="68">
                  <c:v>37.39633561440602</c:v>
                </c:pt>
                <c:pt idx="69">
                  <c:v>37.332664958471575</c:v>
                </c:pt>
                <c:pt idx="70">
                  <c:v>37.277626094607541</c:v>
                </c:pt>
                <c:pt idx="71">
                  <c:v>37.214286713833893</c:v>
                </c:pt>
                <c:pt idx="72">
                  <c:v>37.166322600265183</c:v>
                </c:pt>
                <c:pt idx="73">
                  <c:v>37.117009434536023</c:v>
                </c:pt>
                <c:pt idx="74">
                  <c:v>37.057276732100654</c:v>
                </c:pt>
                <c:pt idx="75">
                  <c:v>36.999357267270291</c:v>
                </c:pt>
                <c:pt idx="76">
                  <c:v>36.941182800159794</c:v>
                </c:pt>
                <c:pt idx="77">
                  <c:v>36.886895377210223</c:v>
                </c:pt>
                <c:pt idx="78">
                  <c:v>36.821827665644797</c:v>
                </c:pt>
                <c:pt idx="79">
                  <c:v>36.75888746377408</c:v>
                </c:pt>
                <c:pt idx="80">
                  <c:v>36.687515105338974</c:v>
                </c:pt>
                <c:pt idx="81">
                  <c:v>36.619615193619268</c:v>
                </c:pt>
                <c:pt idx="82">
                  <c:v>36.56489583066346</c:v>
                </c:pt>
                <c:pt idx="83">
                  <c:v>36.529591789752573</c:v>
                </c:pt>
                <c:pt idx="84">
                  <c:v>36.492401247955456</c:v>
                </c:pt>
                <c:pt idx="85">
                  <c:v>36.451702152954581</c:v>
                </c:pt>
                <c:pt idx="86">
                  <c:v>36.409664294369065</c:v>
                </c:pt>
                <c:pt idx="87">
                  <c:v>36.362301925195979</c:v>
                </c:pt>
                <c:pt idx="88">
                  <c:v>36.311717257600776</c:v>
                </c:pt>
                <c:pt idx="89">
                  <c:v>36.270885267700784</c:v>
                </c:pt>
                <c:pt idx="90">
                  <c:v>36.224925382646497</c:v>
                </c:pt>
                <c:pt idx="91">
                  <c:v>36.179651753429575</c:v>
                </c:pt>
                <c:pt idx="92">
                  <c:v>36.12826477435167</c:v>
                </c:pt>
                <c:pt idx="93">
                  <c:v>36.068711284788904</c:v>
                </c:pt>
                <c:pt idx="94">
                  <c:v>36.010898616430637</c:v>
                </c:pt>
                <c:pt idx="95">
                  <c:v>35.954580784138344</c:v>
                </c:pt>
                <c:pt idx="96">
                  <c:v>35.915897765298077</c:v>
                </c:pt>
                <c:pt idx="97">
                  <c:v>35.87866904684482</c:v>
                </c:pt>
                <c:pt idx="98">
                  <c:v>35.828531523602635</c:v>
                </c:pt>
                <c:pt idx="99">
                  <c:v>35.772611985314661</c:v>
                </c:pt>
                <c:pt idx="100">
                  <c:v>35.729302553398938</c:v>
                </c:pt>
                <c:pt idx="101">
                  <c:v>35.672191550084861</c:v>
                </c:pt>
                <c:pt idx="102">
                  <c:v>35.613428267156891</c:v>
                </c:pt>
                <c:pt idx="103">
                  <c:v>35.564873737616651</c:v>
                </c:pt>
                <c:pt idx="104">
                  <c:v>35.51716555947965</c:v>
                </c:pt>
                <c:pt idx="105">
                  <c:v>35.475135397495052</c:v>
                </c:pt>
                <c:pt idx="106">
                  <c:v>35.428724504781457</c:v>
                </c:pt>
                <c:pt idx="107">
                  <c:v>35.378173332936299</c:v>
                </c:pt>
                <c:pt idx="108">
                  <c:v>35.332584781538515</c:v>
                </c:pt>
                <c:pt idx="109">
                  <c:v>35.294944535214846</c:v>
                </c:pt>
                <c:pt idx="110">
                  <c:v>35.259435576621627</c:v>
                </c:pt>
                <c:pt idx="111">
                  <c:v>35.217990845694963</c:v>
                </c:pt>
                <c:pt idx="112">
                  <c:v>35.176313244542612</c:v>
                </c:pt>
                <c:pt idx="113">
                  <c:v>35.12414934870101</c:v>
                </c:pt>
                <c:pt idx="114">
                  <c:v>35.064374271099787</c:v>
                </c:pt>
                <c:pt idx="115">
                  <c:v>34.997943689315299</c:v>
                </c:pt>
                <c:pt idx="116">
                  <c:v>34.927709023480816</c:v>
                </c:pt>
                <c:pt idx="117">
                  <c:v>34.849670530486534</c:v>
                </c:pt>
                <c:pt idx="118">
                  <c:v>34.760046280967003</c:v>
                </c:pt>
                <c:pt idx="119">
                  <c:v>34.654670507926788</c:v>
                </c:pt>
                <c:pt idx="120">
                  <c:v>34.534639859890426</c:v>
                </c:pt>
                <c:pt idx="121">
                  <c:v>34.403863912045651</c:v>
                </c:pt>
                <c:pt idx="122">
                  <c:v>34.274729536249787</c:v>
                </c:pt>
                <c:pt idx="123">
                  <c:v>34.132290781247484</c:v>
                </c:pt>
                <c:pt idx="124">
                  <c:v>33.979890980136574</c:v>
                </c:pt>
                <c:pt idx="125">
                  <c:v>33.837362080182167</c:v>
                </c:pt>
                <c:pt idx="126">
                  <c:v>33.714382736007195</c:v>
                </c:pt>
                <c:pt idx="127">
                  <c:v>33.57707581148118</c:v>
                </c:pt>
                <c:pt idx="128">
                  <c:v>33.441544662287832</c:v>
                </c:pt>
                <c:pt idx="129">
                  <c:v>33.30086537123757</c:v>
                </c:pt>
                <c:pt idx="130">
                  <c:v>33.148599525623581</c:v>
                </c:pt>
                <c:pt idx="131">
                  <c:v>33.007124664891599</c:v>
                </c:pt>
                <c:pt idx="132">
                  <c:v>32.873917921923336</c:v>
                </c:pt>
                <c:pt idx="133">
                  <c:v>32.777966601813624</c:v>
                </c:pt>
                <c:pt idx="134">
                  <c:v>32.691866098556979</c:v>
                </c:pt>
                <c:pt idx="135">
                  <c:v>32.604427096377719</c:v>
                </c:pt>
                <c:pt idx="136">
                  <c:v>32.527270296459541</c:v>
                </c:pt>
                <c:pt idx="137">
                  <c:v>32.459189878715712</c:v>
                </c:pt>
                <c:pt idx="138">
                  <c:v>32.387591978935575</c:v>
                </c:pt>
                <c:pt idx="139">
                  <c:v>32.308023850577719</c:v>
                </c:pt>
                <c:pt idx="140">
                  <c:v>32.220186863502157</c:v>
                </c:pt>
                <c:pt idx="141">
                  <c:v>32.078272305568426</c:v>
                </c:pt>
                <c:pt idx="142">
                  <c:v>31.941862341203819</c:v>
                </c:pt>
                <c:pt idx="143">
                  <c:v>31.78281102511701</c:v>
                </c:pt>
                <c:pt idx="144">
                  <c:v>31.613866523468459</c:v>
                </c:pt>
                <c:pt idx="145">
                  <c:v>31.356701530844166</c:v>
                </c:pt>
                <c:pt idx="146">
                  <c:v>31.105801638905913</c:v>
                </c:pt>
                <c:pt idx="147">
                  <c:v>30.825782938214036</c:v>
                </c:pt>
                <c:pt idx="148">
                  <c:v>30.513550539085944</c:v>
                </c:pt>
                <c:pt idx="149">
                  <c:v>30.197729002409133</c:v>
                </c:pt>
                <c:pt idx="150">
                  <c:v>29.854482819907631</c:v>
                </c:pt>
                <c:pt idx="151">
                  <c:v>29.464090174558677</c:v>
                </c:pt>
                <c:pt idx="152">
                  <c:v>29.07133443872798</c:v>
                </c:pt>
                <c:pt idx="153">
                  <c:v>28.673145306743088</c:v>
                </c:pt>
                <c:pt idx="154">
                  <c:v>28.319957984325541</c:v>
                </c:pt>
                <c:pt idx="155">
                  <c:v>27.971896809689795</c:v>
                </c:pt>
                <c:pt idx="156">
                  <c:v>27.602782894334606</c:v>
                </c:pt>
                <c:pt idx="157">
                  <c:v>27.234679081311182</c:v>
                </c:pt>
                <c:pt idx="158">
                  <c:v>26.818895569857133</c:v>
                </c:pt>
                <c:pt idx="159">
                  <c:v>26.438472828689264</c:v>
                </c:pt>
                <c:pt idx="160">
                  <c:v>26.096473842795316</c:v>
                </c:pt>
                <c:pt idx="161">
                  <c:v>25.713001095448718</c:v>
                </c:pt>
                <c:pt idx="162">
                  <c:v>25.440018254521956</c:v>
                </c:pt>
                <c:pt idx="163">
                  <c:v>25.217495490333263</c:v>
                </c:pt>
                <c:pt idx="164">
                  <c:v>24.91319692953839</c:v>
                </c:pt>
                <c:pt idx="165">
                  <c:v>24.628493123386249</c:v>
                </c:pt>
                <c:pt idx="166">
                  <c:v>24.377718306997807</c:v>
                </c:pt>
                <c:pt idx="167">
                  <c:v>24.129279100242705</c:v>
                </c:pt>
                <c:pt idx="168">
                  <c:v>23.843411708996687</c:v>
                </c:pt>
                <c:pt idx="169">
                  <c:v>23.463051626451069</c:v>
                </c:pt>
                <c:pt idx="170">
                  <c:v>23.138860439204073</c:v>
                </c:pt>
                <c:pt idx="171">
                  <c:v>22.949533290108388</c:v>
                </c:pt>
                <c:pt idx="172">
                  <c:v>22.805742428335652</c:v>
                </c:pt>
                <c:pt idx="173">
                  <c:v>22.824625799061522</c:v>
                </c:pt>
                <c:pt idx="174">
                  <c:v>24.324958311054846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05-4EC5-95C6-F12EA562D6E1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29.692322785701069</c:v>
                </c:pt>
                <c:pt idx="141">
                  <c:v>29.501353766941207</c:v>
                </c:pt>
                <c:pt idx="142">
                  <c:v>29.309248098966943</c:v>
                </c:pt>
                <c:pt idx="143">
                  <c:v>29.109417385587861</c:v>
                </c:pt>
                <c:pt idx="144">
                  <c:v>28.879286626217908</c:v>
                </c:pt>
                <c:pt idx="145">
                  <c:v>28.634659801602751</c:v>
                </c:pt>
                <c:pt idx="146">
                  <c:v>28.383523739671766</c:v>
                </c:pt>
                <c:pt idx="147">
                  <c:v>28.127044586791456</c:v>
                </c:pt>
                <c:pt idx="148">
                  <c:v>27.831953047746715</c:v>
                </c:pt>
                <c:pt idx="149">
                  <c:v>27.502714605136465</c:v>
                </c:pt>
                <c:pt idx="150">
                  <c:v>27.174231977429091</c:v>
                </c:pt>
                <c:pt idx="151">
                  <c:v>26.827819206222259</c:v>
                </c:pt>
                <c:pt idx="152">
                  <c:v>26.459962913781236</c:v>
                </c:pt>
                <c:pt idx="153">
                  <c:v>26.061893541307242</c:v>
                </c:pt>
                <c:pt idx="154">
                  <c:v>25.708185750467138</c:v>
                </c:pt>
                <c:pt idx="155">
                  <c:v>25.353859738839162</c:v>
                </c:pt>
                <c:pt idx="156">
                  <c:v>25.024632513834614</c:v>
                </c:pt>
                <c:pt idx="157">
                  <c:v>24.661801781677461</c:v>
                </c:pt>
                <c:pt idx="158">
                  <c:v>24.261991584671549</c:v>
                </c:pt>
                <c:pt idx="159">
                  <c:v>23.942964864669516</c:v>
                </c:pt>
                <c:pt idx="160">
                  <c:v>23.702611003425371</c:v>
                </c:pt>
                <c:pt idx="161">
                  <c:v>23.450558787583589</c:v>
                </c:pt>
                <c:pt idx="162">
                  <c:v>23.110161074251923</c:v>
                </c:pt>
                <c:pt idx="163">
                  <c:v>22.81683458885038</c:v>
                </c:pt>
                <c:pt idx="164">
                  <c:v>22.637646869057324</c:v>
                </c:pt>
                <c:pt idx="165">
                  <c:v>22.464956242969176</c:v>
                </c:pt>
                <c:pt idx="166">
                  <c:v>22.287273276514323</c:v>
                </c:pt>
                <c:pt idx="167">
                  <c:v>22.173457617359215</c:v>
                </c:pt>
                <c:pt idx="168">
                  <c:v>21.887473996014307</c:v>
                </c:pt>
                <c:pt idx="169">
                  <c:v>21.533508715571131</c:v>
                </c:pt>
                <c:pt idx="170">
                  <c:v>21.28082352474053</c:v>
                </c:pt>
                <c:pt idx="171">
                  <c:v>21.314357854933043</c:v>
                </c:pt>
                <c:pt idx="172">
                  <c:v>21.236644560776597</c:v>
                </c:pt>
                <c:pt idx="173">
                  <c:v>21.20722770303934</c:v>
                </c:pt>
                <c:pt idx="174">
                  <c:v>20.161409886951269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05-4EC5-95C6-F12EA562D6E1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05-4EC5-95C6-F12EA562D6E1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49.389955639381689</c:v>
                </c:pt>
                <c:pt idx="1">
                  <c:v>49.384256881743219</c:v>
                </c:pt>
                <c:pt idx="2">
                  <c:v>49.378730831473419</c:v>
                </c:pt>
                <c:pt idx="3">
                  <c:v>49.37279548598007</c:v>
                </c:pt>
                <c:pt idx="4">
                  <c:v>49.36657536877474</c:v>
                </c:pt>
                <c:pt idx="5">
                  <c:v>49.358843689024177</c:v>
                </c:pt>
                <c:pt idx="6">
                  <c:v>49.35125798236939</c:v>
                </c:pt>
                <c:pt idx="7">
                  <c:v>49.343161709523208</c:v>
                </c:pt>
                <c:pt idx="8">
                  <c:v>49.33476943573573</c:v>
                </c:pt>
                <c:pt idx="9">
                  <c:v>49.325824493853219</c:v>
                </c:pt>
                <c:pt idx="10">
                  <c:v>49.316171968005904</c:v>
                </c:pt>
                <c:pt idx="11">
                  <c:v>49.304961879143335</c:v>
                </c:pt>
                <c:pt idx="12">
                  <c:v>49.293446924431414</c:v>
                </c:pt>
                <c:pt idx="13">
                  <c:v>49.280982458834728</c:v>
                </c:pt>
                <c:pt idx="14">
                  <c:v>49.267994153229502</c:v>
                </c:pt>
                <c:pt idx="15">
                  <c:v>49.254249443277082</c:v>
                </c:pt>
                <c:pt idx="16">
                  <c:v>49.240146727244507</c:v>
                </c:pt>
                <c:pt idx="17">
                  <c:v>49.225186972960046</c:v>
                </c:pt>
                <c:pt idx="18">
                  <c:v>49.209977552467024</c:v>
                </c:pt>
                <c:pt idx="19">
                  <c:v>49.194196071527749</c:v>
                </c:pt>
                <c:pt idx="20">
                  <c:v>49.178120853086206</c:v>
                </c:pt>
                <c:pt idx="21">
                  <c:v>49.15807007245423</c:v>
                </c:pt>
                <c:pt idx="22">
                  <c:v>49.136124549384391</c:v>
                </c:pt>
                <c:pt idx="23">
                  <c:v>49.112302650597059</c:v>
                </c:pt>
                <c:pt idx="24">
                  <c:v>49.086807755118066</c:v>
                </c:pt>
                <c:pt idx="25">
                  <c:v>49.060639380455981</c:v>
                </c:pt>
                <c:pt idx="26">
                  <c:v>49.033035524743809</c:v>
                </c:pt>
                <c:pt idx="27">
                  <c:v>49.004408735513309</c:v>
                </c:pt>
                <c:pt idx="28">
                  <c:v>48.97491815155584</c:v>
                </c:pt>
                <c:pt idx="29">
                  <c:v>48.944303598156232</c:v>
                </c:pt>
                <c:pt idx="30">
                  <c:v>48.911863631272617</c:v>
                </c:pt>
                <c:pt idx="31">
                  <c:v>48.880105270903528</c:v>
                </c:pt>
                <c:pt idx="32">
                  <c:v>48.849621847979286</c:v>
                </c:pt>
                <c:pt idx="33">
                  <c:v>48.81842300852032</c:v>
                </c:pt>
                <c:pt idx="34">
                  <c:v>48.785947170875168</c:v>
                </c:pt>
                <c:pt idx="35">
                  <c:v>48.753124546164912</c:v>
                </c:pt>
                <c:pt idx="36">
                  <c:v>48.720359898459996</c:v>
                </c:pt>
                <c:pt idx="37">
                  <c:v>48.687647777443352</c:v>
                </c:pt>
                <c:pt idx="38">
                  <c:v>48.654254229989178</c:v>
                </c:pt>
                <c:pt idx="39">
                  <c:v>48.618732922889919</c:v>
                </c:pt>
                <c:pt idx="40">
                  <c:v>48.583900455314897</c:v>
                </c:pt>
                <c:pt idx="41">
                  <c:v>48.545483784650791</c:v>
                </c:pt>
                <c:pt idx="42">
                  <c:v>48.50569183237976</c:v>
                </c:pt>
                <c:pt idx="43">
                  <c:v>48.465046733924645</c:v>
                </c:pt>
                <c:pt idx="44">
                  <c:v>48.424219236157143</c:v>
                </c:pt>
                <c:pt idx="45">
                  <c:v>48.381867087994621</c:v>
                </c:pt>
                <c:pt idx="46">
                  <c:v>48.338423949801722</c:v>
                </c:pt>
                <c:pt idx="47">
                  <c:v>48.293795863709185</c:v>
                </c:pt>
                <c:pt idx="48">
                  <c:v>48.247692498434084</c:v>
                </c:pt>
                <c:pt idx="49">
                  <c:v>48.199165038566683</c:v>
                </c:pt>
                <c:pt idx="50">
                  <c:v>48.147714165366843</c:v>
                </c:pt>
                <c:pt idx="51">
                  <c:v>48.094013546010125</c:v>
                </c:pt>
                <c:pt idx="52">
                  <c:v>48.039909584630067</c:v>
                </c:pt>
                <c:pt idx="53">
                  <c:v>47.984631980437314</c:v>
                </c:pt>
                <c:pt idx="54">
                  <c:v>47.925657653767225</c:v>
                </c:pt>
                <c:pt idx="55">
                  <c:v>47.865784477118595</c:v>
                </c:pt>
                <c:pt idx="56">
                  <c:v>47.802152429696676</c:v>
                </c:pt>
                <c:pt idx="57">
                  <c:v>47.737041335518413</c:v>
                </c:pt>
                <c:pt idx="58">
                  <c:v>47.664869069614355</c:v>
                </c:pt>
                <c:pt idx="59">
                  <c:v>47.594198129830531</c:v>
                </c:pt>
                <c:pt idx="60">
                  <c:v>47.520691517385309</c:v>
                </c:pt>
                <c:pt idx="61">
                  <c:v>47.452105555697784</c:v>
                </c:pt>
                <c:pt idx="62">
                  <c:v>47.385263434123473</c:v>
                </c:pt>
                <c:pt idx="63">
                  <c:v>47.316880822221776</c:v>
                </c:pt>
                <c:pt idx="64">
                  <c:v>47.246025144112089</c:v>
                </c:pt>
                <c:pt idx="65">
                  <c:v>47.182330187054603</c:v>
                </c:pt>
                <c:pt idx="66">
                  <c:v>47.121146620436058</c:v>
                </c:pt>
                <c:pt idx="67">
                  <c:v>47.055704881646285</c:v>
                </c:pt>
                <c:pt idx="68">
                  <c:v>46.989694403880421</c:v>
                </c:pt>
                <c:pt idx="69">
                  <c:v>46.925747389990192</c:v>
                </c:pt>
                <c:pt idx="70">
                  <c:v>46.872202575369776</c:v>
                </c:pt>
                <c:pt idx="71">
                  <c:v>46.811179790603461</c:v>
                </c:pt>
                <c:pt idx="72">
                  <c:v>46.759183721680067</c:v>
                </c:pt>
                <c:pt idx="73">
                  <c:v>46.704229756199098</c:v>
                </c:pt>
                <c:pt idx="74">
                  <c:v>46.641948955469864</c:v>
                </c:pt>
                <c:pt idx="75">
                  <c:v>46.581431751685876</c:v>
                </c:pt>
                <c:pt idx="76">
                  <c:v>46.518911789552561</c:v>
                </c:pt>
                <c:pt idx="77">
                  <c:v>46.45771307940818</c:v>
                </c:pt>
                <c:pt idx="78">
                  <c:v>46.39048135546583</c:v>
                </c:pt>
                <c:pt idx="79">
                  <c:v>46.324487158254527</c:v>
                </c:pt>
                <c:pt idx="80">
                  <c:v>46.252002472318466</c:v>
                </c:pt>
                <c:pt idx="81">
                  <c:v>46.184187419087486</c:v>
                </c:pt>
                <c:pt idx="82">
                  <c:v>46.123574465640829</c:v>
                </c:pt>
                <c:pt idx="83">
                  <c:v>46.070781011589375</c:v>
                </c:pt>
                <c:pt idx="84">
                  <c:v>46.015642086703522</c:v>
                </c:pt>
                <c:pt idx="85">
                  <c:v>45.95624592931852</c:v>
                </c:pt>
                <c:pt idx="86">
                  <c:v>45.893328758058239</c:v>
                </c:pt>
                <c:pt idx="87">
                  <c:v>45.823461423479216</c:v>
                </c:pt>
                <c:pt idx="88">
                  <c:v>45.749556254712218</c:v>
                </c:pt>
                <c:pt idx="89">
                  <c:v>45.680946752953929</c:v>
                </c:pt>
                <c:pt idx="90">
                  <c:v>45.608578333904447</c:v>
                </c:pt>
                <c:pt idx="91">
                  <c:v>45.540610785627258</c:v>
                </c:pt>
                <c:pt idx="92">
                  <c:v>45.476549287900333</c:v>
                </c:pt>
                <c:pt idx="93">
                  <c:v>45.415655106779589</c:v>
                </c:pt>
                <c:pt idx="94">
                  <c:v>45.355498019394403</c:v>
                </c:pt>
                <c:pt idx="95">
                  <c:v>45.297261532272167</c:v>
                </c:pt>
                <c:pt idx="96">
                  <c:v>45.257913448072408</c:v>
                </c:pt>
                <c:pt idx="97">
                  <c:v>45.215595528352814</c:v>
                </c:pt>
                <c:pt idx="98">
                  <c:v>45.164828943886711</c:v>
                </c:pt>
                <c:pt idx="99">
                  <c:v>45.109100219635472</c:v>
                </c:pt>
                <c:pt idx="100">
                  <c:v>45.061324533585214</c:v>
                </c:pt>
                <c:pt idx="101">
                  <c:v>45.010537596516713</c:v>
                </c:pt>
                <c:pt idx="102">
                  <c:v>44.958407183343482</c:v>
                </c:pt>
                <c:pt idx="103">
                  <c:v>44.904526079761695</c:v>
                </c:pt>
                <c:pt idx="104">
                  <c:v>44.847407160799172</c:v>
                </c:pt>
                <c:pt idx="105">
                  <c:v>44.794397799802709</c:v>
                </c:pt>
                <c:pt idx="106">
                  <c:v>44.732787372228479</c:v>
                </c:pt>
                <c:pt idx="107">
                  <c:v>44.663216928986117</c:v>
                </c:pt>
                <c:pt idx="108">
                  <c:v>44.593639827207824</c:v>
                </c:pt>
                <c:pt idx="109">
                  <c:v>44.528897939194842</c:v>
                </c:pt>
                <c:pt idx="110">
                  <c:v>44.463466015094774</c:v>
                </c:pt>
                <c:pt idx="111">
                  <c:v>44.385059166028981</c:v>
                </c:pt>
                <c:pt idx="112">
                  <c:v>44.301169088182156</c:v>
                </c:pt>
                <c:pt idx="113">
                  <c:v>44.20700533333374</c:v>
                </c:pt>
                <c:pt idx="114">
                  <c:v>44.102637293810396</c:v>
                </c:pt>
                <c:pt idx="115">
                  <c:v>43.986364600272481</c:v>
                </c:pt>
                <c:pt idx="116">
                  <c:v>43.859983285300636</c:v>
                </c:pt>
                <c:pt idx="117">
                  <c:v>43.723898629446296</c:v>
                </c:pt>
                <c:pt idx="118">
                  <c:v>43.560004446184159</c:v>
                </c:pt>
                <c:pt idx="119">
                  <c:v>43.377150226993024</c:v>
                </c:pt>
                <c:pt idx="120">
                  <c:v>43.208587137563775</c:v>
                </c:pt>
                <c:pt idx="121">
                  <c:v>43.027813852002623</c:v>
                </c:pt>
                <c:pt idx="122">
                  <c:v>42.835823192704026</c:v>
                </c:pt>
                <c:pt idx="123">
                  <c:v>42.641192724094061</c:v>
                </c:pt>
                <c:pt idx="124">
                  <c:v>42.428891290561047</c:v>
                </c:pt>
                <c:pt idx="125">
                  <c:v>42.216009326664093</c:v>
                </c:pt>
                <c:pt idx="126">
                  <c:v>42.004988860902913</c:v>
                </c:pt>
                <c:pt idx="127">
                  <c:v>41.77214996431654</c:v>
                </c:pt>
                <c:pt idx="128">
                  <c:v>41.537773425803607</c:v>
                </c:pt>
                <c:pt idx="129">
                  <c:v>41.297229174827301</c:v>
                </c:pt>
                <c:pt idx="130">
                  <c:v>41.034540518382904</c:v>
                </c:pt>
                <c:pt idx="131">
                  <c:v>40.76314120350284</c:v>
                </c:pt>
                <c:pt idx="132">
                  <c:v>40.50173534458542</c:v>
                </c:pt>
                <c:pt idx="133">
                  <c:v>40.243357337947401</c:v>
                </c:pt>
                <c:pt idx="134">
                  <c:v>39.9856251734913</c:v>
                </c:pt>
                <c:pt idx="135">
                  <c:v>39.729821292568651</c:v>
                </c:pt>
                <c:pt idx="136">
                  <c:v>39.470006583789072</c:v>
                </c:pt>
                <c:pt idx="137">
                  <c:v>39.216909848269495</c:v>
                </c:pt>
                <c:pt idx="138">
                  <c:v>38.946443215568124</c:v>
                </c:pt>
                <c:pt idx="139">
                  <c:v>38.657086164549114</c:v>
                </c:pt>
                <c:pt idx="140">
                  <c:v>38.357513732436814</c:v>
                </c:pt>
                <c:pt idx="141">
                  <c:v>38.021285895826772</c:v>
                </c:pt>
                <c:pt idx="142">
                  <c:v>37.704595314127623</c:v>
                </c:pt>
                <c:pt idx="143">
                  <c:v>37.406974812201511</c:v>
                </c:pt>
                <c:pt idx="144">
                  <c:v>37.114585948236922</c:v>
                </c:pt>
                <c:pt idx="145">
                  <c:v>36.860837587050732</c:v>
                </c:pt>
                <c:pt idx="146">
                  <c:v>36.599160368921638</c:v>
                </c:pt>
                <c:pt idx="147">
                  <c:v>36.304994004171967</c:v>
                </c:pt>
                <c:pt idx="148">
                  <c:v>36.082782341050695</c:v>
                </c:pt>
                <c:pt idx="149">
                  <c:v>35.806055021734863</c:v>
                </c:pt>
                <c:pt idx="150">
                  <c:v>35.515272602787945</c:v>
                </c:pt>
                <c:pt idx="151">
                  <c:v>35.195929871580155</c:v>
                </c:pt>
                <c:pt idx="152">
                  <c:v>34.857165659464087</c:v>
                </c:pt>
                <c:pt idx="153">
                  <c:v>34.533971908153774</c:v>
                </c:pt>
                <c:pt idx="154">
                  <c:v>34.230318949576379</c:v>
                </c:pt>
                <c:pt idx="155">
                  <c:v>33.901514046333304</c:v>
                </c:pt>
                <c:pt idx="156">
                  <c:v>33.557560003606248</c:v>
                </c:pt>
                <c:pt idx="157">
                  <c:v>33.256394439350693</c:v>
                </c:pt>
                <c:pt idx="158">
                  <c:v>32.910088960370459</c:v>
                </c:pt>
                <c:pt idx="159">
                  <c:v>32.594134725532271</c:v>
                </c:pt>
                <c:pt idx="160">
                  <c:v>32.378190932365364</c:v>
                </c:pt>
                <c:pt idx="161">
                  <c:v>32.103037906213757</c:v>
                </c:pt>
                <c:pt idx="162">
                  <c:v>31.923586116835544</c:v>
                </c:pt>
                <c:pt idx="163">
                  <c:v>31.747371632221245</c:v>
                </c:pt>
                <c:pt idx="164">
                  <c:v>31.577257136517993</c:v>
                </c:pt>
                <c:pt idx="165">
                  <c:v>31.446920812654604</c:v>
                </c:pt>
                <c:pt idx="166">
                  <c:v>31.283326327885774</c:v>
                </c:pt>
                <c:pt idx="167">
                  <c:v>31.022246225674639</c:v>
                </c:pt>
                <c:pt idx="168">
                  <c:v>30.714976776217455</c:v>
                </c:pt>
                <c:pt idx="169">
                  <c:v>30.354785054133249</c:v>
                </c:pt>
                <c:pt idx="170">
                  <c:v>30.056957497824477</c:v>
                </c:pt>
                <c:pt idx="171">
                  <c:v>29.910963837666245</c:v>
                </c:pt>
                <c:pt idx="172">
                  <c:v>29.558195336210723</c:v>
                </c:pt>
                <c:pt idx="173">
                  <c:v>29.207153596940632</c:v>
                </c:pt>
                <c:pt idx="174">
                  <c:v>29.056678470446805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05-4EC5-95C6-F12EA562D6E1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50.956620873612302</c:v>
                </c:pt>
                <c:pt idx="1">
                  <c:v>50.950950162517749</c:v>
                </c:pt>
                <c:pt idx="2">
                  <c:v>50.944532237376251</c:v>
                </c:pt>
                <c:pt idx="3">
                  <c:v>50.933604869139614</c:v>
                </c:pt>
                <c:pt idx="4">
                  <c:v>50.921345675173825</c:v>
                </c:pt>
                <c:pt idx="5">
                  <c:v>50.907227108375999</c:v>
                </c:pt>
                <c:pt idx="6">
                  <c:v>50.891852818364249</c:v>
                </c:pt>
                <c:pt idx="7">
                  <c:v>50.875524531592852</c:v>
                </c:pt>
                <c:pt idx="8">
                  <c:v>50.858550237369485</c:v>
                </c:pt>
                <c:pt idx="9">
                  <c:v>50.840950587050301</c:v>
                </c:pt>
                <c:pt idx="10">
                  <c:v>50.822491927688198</c:v>
                </c:pt>
                <c:pt idx="11">
                  <c:v>50.802935927440615</c:v>
                </c:pt>
                <c:pt idx="12">
                  <c:v>50.782548924227555</c:v>
                </c:pt>
                <c:pt idx="13">
                  <c:v>50.765316640110235</c:v>
                </c:pt>
                <c:pt idx="14">
                  <c:v>50.747540817306579</c:v>
                </c:pt>
                <c:pt idx="15">
                  <c:v>50.729134812265741</c:v>
                </c:pt>
                <c:pt idx="16">
                  <c:v>50.710179148966802</c:v>
                </c:pt>
                <c:pt idx="17">
                  <c:v>50.690816857907819</c:v>
                </c:pt>
                <c:pt idx="18">
                  <c:v>50.670852721793267</c:v>
                </c:pt>
                <c:pt idx="19">
                  <c:v>50.650598254561174</c:v>
                </c:pt>
                <c:pt idx="20">
                  <c:v>50.629722579403257</c:v>
                </c:pt>
                <c:pt idx="21">
                  <c:v>50.608622833798087</c:v>
                </c:pt>
                <c:pt idx="22">
                  <c:v>50.588203612264216</c:v>
                </c:pt>
                <c:pt idx="23">
                  <c:v>50.562015249865603</c:v>
                </c:pt>
                <c:pt idx="24">
                  <c:v>50.534769192263319</c:v>
                </c:pt>
                <c:pt idx="25">
                  <c:v>50.507886511520852</c:v>
                </c:pt>
                <c:pt idx="26">
                  <c:v>50.47960757370555</c:v>
                </c:pt>
                <c:pt idx="27">
                  <c:v>50.450701700564494</c:v>
                </c:pt>
                <c:pt idx="28">
                  <c:v>50.421100170040276</c:v>
                </c:pt>
                <c:pt idx="29">
                  <c:v>50.391041953290262</c:v>
                </c:pt>
                <c:pt idx="30">
                  <c:v>50.35962294960796</c:v>
                </c:pt>
                <c:pt idx="31">
                  <c:v>50.325900078590657</c:v>
                </c:pt>
                <c:pt idx="32">
                  <c:v>50.293235800834488</c:v>
                </c:pt>
                <c:pt idx="33">
                  <c:v>50.263372738351741</c:v>
                </c:pt>
                <c:pt idx="34">
                  <c:v>50.232820952361756</c:v>
                </c:pt>
                <c:pt idx="35">
                  <c:v>50.202443908781461</c:v>
                </c:pt>
                <c:pt idx="36">
                  <c:v>50.172216448745232</c:v>
                </c:pt>
                <c:pt idx="37">
                  <c:v>50.141873082769941</c:v>
                </c:pt>
                <c:pt idx="38">
                  <c:v>50.110818015783963</c:v>
                </c:pt>
                <c:pt idx="39">
                  <c:v>50.077725519831532</c:v>
                </c:pt>
                <c:pt idx="40">
                  <c:v>50.044820746127918</c:v>
                </c:pt>
                <c:pt idx="41">
                  <c:v>50.010003505385669</c:v>
                </c:pt>
                <c:pt idx="42">
                  <c:v>49.974017226010133</c:v>
                </c:pt>
                <c:pt idx="43">
                  <c:v>49.936943422872773</c:v>
                </c:pt>
                <c:pt idx="44">
                  <c:v>49.900089926421941</c:v>
                </c:pt>
                <c:pt idx="45">
                  <c:v>49.862947067864425</c:v>
                </c:pt>
                <c:pt idx="46">
                  <c:v>49.824105938889282</c:v>
                </c:pt>
                <c:pt idx="47">
                  <c:v>49.784307956362085</c:v>
                </c:pt>
                <c:pt idx="48">
                  <c:v>49.742974749714399</c:v>
                </c:pt>
                <c:pt idx="49">
                  <c:v>49.700005370728228</c:v>
                </c:pt>
                <c:pt idx="50">
                  <c:v>49.653874978139847</c:v>
                </c:pt>
                <c:pt idx="51">
                  <c:v>49.605552429685531</c:v>
                </c:pt>
                <c:pt idx="52">
                  <c:v>49.559917993250451</c:v>
                </c:pt>
                <c:pt idx="53">
                  <c:v>49.517420298267517</c:v>
                </c:pt>
                <c:pt idx="54">
                  <c:v>49.473580953850274</c:v>
                </c:pt>
                <c:pt idx="55">
                  <c:v>49.431698906408187</c:v>
                </c:pt>
                <c:pt idx="56">
                  <c:v>49.389139824401774</c:v>
                </c:pt>
                <c:pt idx="57">
                  <c:v>49.347221956867898</c:v>
                </c:pt>
                <c:pt idx="58">
                  <c:v>49.299537019623294</c:v>
                </c:pt>
                <c:pt idx="59">
                  <c:v>49.255139046232848</c:v>
                </c:pt>
                <c:pt idx="60">
                  <c:v>49.20897113470761</c:v>
                </c:pt>
                <c:pt idx="61">
                  <c:v>49.160417250592154</c:v>
                </c:pt>
                <c:pt idx="62">
                  <c:v>49.107801301748523</c:v>
                </c:pt>
                <c:pt idx="63">
                  <c:v>49.052063459613237</c:v>
                </c:pt>
                <c:pt idx="64">
                  <c:v>48.98903034244109</c:v>
                </c:pt>
                <c:pt idx="65">
                  <c:v>48.932052660434287</c:v>
                </c:pt>
                <c:pt idx="66">
                  <c:v>48.8754407776132</c:v>
                </c:pt>
                <c:pt idx="67">
                  <c:v>48.814302930122537</c:v>
                </c:pt>
                <c:pt idx="68">
                  <c:v>48.751026709464327</c:v>
                </c:pt>
                <c:pt idx="69">
                  <c:v>48.689351853868438</c:v>
                </c:pt>
                <c:pt idx="70">
                  <c:v>48.638579870650773</c:v>
                </c:pt>
                <c:pt idx="71">
                  <c:v>48.578950652433548</c:v>
                </c:pt>
                <c:pt idx="72">
                  <c:v>48.533050049651713</c:v>
                </c:pt>
                <c:pt idx="73">
                  <c:v>48.486199626483497</c:v>
                </c:pt>
                <c:pt idx="74">
                  <c:v>48.431351674076637</c:v>
                </c:pt>
                <c:pt idx="75">
                  <c:v>48.377643099073822</c:v>
                </c:pt>
                <c:pt idx="76">
                  <c:v>48.323833039339874</c:v>
                </c:pt>
                <c:pt idx="77">
                  <c:v>48.27145031737124</c:v>
                </c:pt>
                <c:pt idx="78">
                  <c:v>48.208617562388881</c:v>
                </c:pt>
                <c:pt idx="79">
                  <c:v>48.146970335255723</c:v>
                </c:pt>
                <c:pt idx="80">
                  <c:v>48.077482965269056</c:v>
                </c:pt>
                <c:pt idx="81">
                  <c:v>48.010012670545336</c:v>
                </c:pt>
                <c:pt idx="82">
                  <c:v>47.952400846469629</c:v>
                </c:pt>
                <c:pt idx="83">
                  <c:v>47.910697516015773</c:v>
                </c:pt>
                <c:pt idx="84">
                  <c:v>47.866918554225357</c:v>
                </c:pt>
                <c:pt idx="85">
                  <c:v>47.818661917222762</c:v>
                </c:pt>
                <c:pt idx="86">
                  <c:v>47.768530450668706</c:v>
                </c:pt>
                <c:pt idx="87">
                  <c:v>47.712996932205435</c:v>
                </c:pt>
                <c:pt idx="88">
                  <c:v>47.654872851312277</c:v>
                </c:pt>
                <c:pt idx="89">
                  <c:v>47.604119261093125</c:v>
                </c:pt>
                <c:pt idx="90">
                  <c:v>47.549800204224312</c:v>
                </c:pt>
                <c:pt idx="91">
                  <c:v>47.489411827789247</c:v>
                </c:pt>
                <c:pt idx="92">
                  <c:v>47.428243083537396</c:v>
                </c:pt>
                <c:pt idx="93">
                  <c:v>47.364947186811079</c:v>
                </c:pt>
                <c:pt idx="94">
                  <c:v>47.301028147234426</c:v>
                </c:pt>
                <c:pt idx="95">
                  <c:v>47.241337780543056</c:v>
                </c:pt>
                <c:pt idx="96">
                  <c:v>47.203855757208615</c:v>
                </c:pt>
                <c:pt idx="97">
                  <c:v>47.167618640765134</c:v>
                </c:pt>
                <c:pt idx="98">
                  <c:v>47.118906776998855</c:v>
                </c:pt>
                <c:pt idx="99">
                  <c:v>47.064529308552103</c:v>
                </c:pt>
                <c:pt idx="100">
                  <c:v>47.018034170737188</c:v>
                </c:pt>
                <c:pt idx="101">
                  <c:v>46.957028991944476</c:v>
                </c:pt>
                <c:pt idx="102">
                  <c:v>46.881617329102419</c:v>
                </c:pt>
                <c:pt idx="103">
                  <c:v>46.810484035123025</c:v>
                </c:pt>
                <c:pt idx="104">
                  <c:v>46.734394497887386</c:v>
                </c:pt>
                <c:pt idx="105">
                  <c:v>46.657825957200288</c:v>
                </c:pt>
                <c:pt idx="106">
                  <c:v>46.571202801207825</c:v>
                </c:pt>
                <c:pt idx="107">
                  <c:v>46.474170853171223</c:v>
                </c:pt>
                <c:pt idx="108">
                  <c:v>46.37327021814442</c:v>
                </c:pt>
                <c:pt idx="109">
                  <c:v>46.273531634188423</c:v>
                </c:pt>
                <c:pt idx="110">
                  <c:v>46.181909915934256</c:v>
                </c:pt>
                <c:pt idx="111">
                  <c:v>46.08142345938797</c:v>
                </c:pt>
                <c:pt idx="112">
                  <c:v>45.97846291874172</c:v>
                </c:pt>
                <c:pt idx="113">
                  <c:v>45.860264409298033</c:v>
                </c:pt>
                <c:pt idx="114">
                  <c:v>45.729382767185136</c:v>
                </c:pt>
                <c:pt idx="115">
                  <c:v>45.586893018962854</c:v>
                </c:pt>
                <c:pt idx="116">
                  <c:v>45.436745166341112</c:v>
                </c:pt>
                <c:pt idx="117">
                  <c:v>45.275934862696218</c:v>
                </c:pt>
                <c:pt idx="118">
                  <c:v>45.09934414095779</c:v>
                </c:pt>
                <c:pt idx="119">
                  <c:v>44.904426573712662</c:v>
                </c:pt>
                <c:pt idx="120">
                  <c:v>44.692733909776784</c:v>
                </c:pt>
                <c:pt idx="121">
                  <c:v>44.470481786118327</c:v>
                </c:pt>
                <c:pt idx="122">
                  <c:v>44.242253004348306</c:v>
                </c:pt>
                <c:pt idx="123">
                  <c:v>43.993984866879664</c:v>
                </c:pt>
                <c:pt idx="124">
                  <c:v>43.730780158728429</c:v>
                </c:pt>
                <c:pt idx="125">
                  <c:v>43.46861904770261</c:v>
                </c:pt>
                <c:pt idx="126">
                  <c:v>43.21252181867564</c:v>
                </c:pt>
                <c:pt idx="127">
                  <c:v>42.934180599301861</c:v>
                </c:pt>
                <c:pt idx="128">
                  <c:v>42.648596945558303</c:v>
                </c:pt>
                <c:pt idx="129">
                  <c:v>42.347789548295701</c:v>
                </c:pt>
                <c:pt idx="130">
                  <c:v>42.030691010614717</c:v>
                </c:pt>
                <c:pt idx="131">
                  <c:v>41.708327034474394</c:v>
                </c:pt>
                <c:pt idx="132">
                  <c:v>41.392576377095338</c:v>
                </c:pt>
                <c:pt idx="133">
                  <c:v>41.104188495915928</c:v>
                </c:pt>
                <c:pt idx="134">
                  <c:v>40.815747027803717</c:v>
                </c:pt>
                <c:pt idx="135">
                  <c:v>40.517118425159445</c:v>
                </c:pt>
                <c:pt idx="136">
                  <c:v>40.205880092436516</c:v>
                </c:pt>
                <c:pt idx="137">
                  <c:v>39.889363992335241</c:v>
                </c:pt>
                <c:pt idx="138">
                  <c:v>39.557623479177039</c:v>
                </c:pt>
                <c:pt idx="139">
                  <c:v>39.20842809924158</c:v>
                </c:pt>
                <c:pt idx="140">
                  <c:v>38.847756442128087</c:v>
                </c:pt>
                <c:pt idx="141">
                  <c:v>38.495632139224476</c:v>
                </c:pt>
                <c:pt idx="142">
                  <c:v>38.183976036256013</c:v>
                </c:pt>
                <c:pt idx="143">
                  <c:v>37.892821582216932</c:v>
                </c:pt>
                <c:pt idx="144">
                  <c:v>37.619296519930053</c:v>
                </c:pt>
                <c:pt idx="145">
                  <c:v>37.292881458938744</c:v>
                </c:pt>
                <c:pt idx="146">
                  <c:v>36.991664922547848</c:v>
                </c:pt>
                <c:pt idx="147">
                  <c:v>36.642266732855951</c:v>
                </c:pt>
                <c:pt idx="148">
                  <c:v>36.291967713152005</c:v>
                </c:pt>
                <c:pt idx="149">
                  <c:v>35.921839593614955</c:v>
                </c:pt>
                <c:pt idx="150">
                  <c:v>35.564185975174254</c:v>
                </c:pt>
                <c:pt idx="151">
                  <c:v>35.150433155071624</c:v>
                </c:pt>
                <c:pt idx="152">
                  <c:v>34.739106099246236</c:v>
                </c:pt>
                <c:pt idx="153">
                  <c:v>34.327008445479237</c:v>
                </c:pt>
                <c:pt idx="154">
                  <c:v>33.951716318341617</c:v>
                </c:pt>
                <c:pt idx="155">
                  <c:v>33.634879099535148</c:v>
                </c:pt>
                <c:pt idx="156">
                  <c:v>33.289625138998659</c:v>
                </c:pt>
                <c:pt idx="157">
                  <c:v>32.940137752999554</c:v>
                </c:pt>
                <c:pt idx="158">
                  <c:v>32.547801121657166</c:v>
                </c:pt>
                <c:pt idx="159">
                  <c:v>32.1836922720763</c:v>
                </c:pt>
                <c:pt idx="160">
                  <c:v>31.901962244189114</c:v>
                </c:pt>
                <c:pt idx="161">
                  <c:v>31.575837962761589</c:v>
                </c:pt>
                <c:pt idx="162">
                  <c:v>31.307245375809273</c:v>
                </c:pt>
                <c:pt idx="163">
                  <c:v>31.022682466098633</c:v>
                </c:pt>
                <c:pt idx="164">
                  <c:v>30.765986243339512</c:v>
                </c:pt>
                <c:pt idx="165">
                  <c:v>30.51448759189584</c:v>
                </c:pt>
                <c:pt idx="166">
                  <c:v>30.317901111378671</c:v>
                </c:pt>
                <c:pt idx="167">
                  <c:v>30.078885403313144</c:v>
                </c:pt>
                <c:pt idx="168">
                  <c:v>29.830751387902765</c:v>
                </c:pt>
                <c:pt idx="169">
                  <c:v>29.433948722320814</c:v>
                </c:pt>
                <c:pt idx="170">
                  <c:v>29.072152435377657</c:v>
                </c:pt>
                <c:pt idx="171">
                  <c:v>28.92988802319406</c:v>
                </c:pt>
                <c:pt idx="172">
                  <c:v>28.601751719681406</c:v>
                </c:pt>
                <c:pt idx="173">
                  <c:v>29.05119817306862</c:v>
                </c:pt>
                <c:pt idx="174">
                  <c:v>32.229387245274339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05-4EC5-95C6-F12EA562D6E1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36.032500118886205</c:v>
                </c:pt>
                <c:pt idx="141">
                  <c:v>35.66469989627339</c:v>
                </c:pt>
                <c:pt idx="142">
                  <c:v>35.299896907740624</c:v>
                </c:pt>
                <c:pt idx="143">
                  <c:v>34.953387841670441</c:v>
                </c:pt>
                <c:pt idx="144">
                  <c:v>34.615835833374952</c:v>
                </c:pt>
                <c:pt idx="145">
                  <c:v>34.271146813048993</c:v>
                </c:pt>
                <c:pt idx="146">
                  <c:v>33.923217009335829</c:v>
                </c:pt>
                <c:pt idx="147">
                  <c:v>33.587996169381334</c:v>
                </c:pt>
                <c:pt idx="148">
                  <c:v>33.229170622533374</c:v>
                </c:pt>
                <c:pt idx="149">
                  <c:v>32.883022820025985</c:v>
                </c:pt>
                <c:pt idx="150">
                  <c:v>32.497061754828906</c:v>
                </c:pt>
                <c:pt idx="151">
                  <c:v>32.067077715398277</c:v>
                </c:pt>
                <c:pt idx="152">
                  <c:v>31.657590604150421</c:v>
                </c:pt>
                <c:pt idx="153">
                  <c:v>31.240845110885672</c:v>
                </c:pt>
                <c:pt idx="154">
                  <c:v>30.834673720378429</c:v>
                </c:pt>
                <c:pt idx="155">
                  <c:v>30.454259204656996</c:v>
                </c:pt>
                <c:pt idx="156">
                  <c:v>30.101212224033837</c:v>
                </c:pt>
                <c:pt idx="157">
                  <c:v>29.707357412610978</c:v>
                </c:pt>
                <c:pt idx="158">
                  <c:v>29.270142706704437</c:v>
                </c:pt>
                <c:pt idx="159">
                  <c:v>28.898706863962527</c:v>
                </c:pt>
                <c:pt idx="160">
                  <c:v>28.657871489211438</c:v>
                </c:pt>
                <c:pt idx="161">
                  <c:v>28.400586228966279</c:v>
                </c:pt>
                <c:pt idx="162">
                  <c:v>28.037828599611096</c:v>
                </c:pt>
                <c:pt idx="163">
                  <c:v>27.728891820788963</c:v>
                </c:pt>
                <c:pt idx="164">
                  <c:v>27.552792817119016</c:v>
                </c:pt>
                <c:pt idx="165">
                  <c:v>27.390900278152035</c:v>
                </c:pt>
                <c:pt idx="166">
                  <c:v>27.259254798065452</c:v>
                </c:pt>
                <c:pt idx="167">
                  <c:v>27.175790357595702</c:v>
                </c:pt>
                <c:pt idx="168">
                  <c:v>26.923415920345565</c:v>
                </c:pt>
                <c:pt idx="169">
                  <c:v>26.520900811678178</c:v>
                </c:pt>
                <c:pt idx="170">
                  <c:v>26.222006968938317</c:v>
                </c:pt>
                <c:pt idx="171">
                  <c:v>26.238757102848403</c:v>
                </c:pt>
                <c:pt idx="172">
                  <c:v>25.981426870656836</c:v>
                </c:pt>
                <c:pt idx="173">
                  <c:v>25.923989770073401</c:v>
                </c:pt>
                <c:pt idx="174">
                  <c:v>24.977721661852382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05-4EC5-95C6-F12EA562D6E1}"/>
            </c:ext>
          </c:extLst>
        </c:ser>
        <c:ser>
          <c:idx val="12"/>
          <c:order val="12"/>
          <c:tx>
            <c:strRef>
              <c:f>data_ghg_incLUC!$P$2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05-4EC5-95C6-F12EA562D6E1}"/>
            </c:ext>
          </c:extLst>
        </c:ser>
        <c:ser>
          <c:idx val="13"/>
          <c:order val="13"/>
          <c:tx>
            <c:strRef>
              <c:f>data_ghg_incLUC!$R$2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data_ghg_incLUC!$R$3:$R$177</c:f>
              <c:numCache>
                <c:formatCode>0.0</c:formatCode>
                <c:ptCount val="175"/>
                <c:pt idx="0">
                  <c:v>34.289000000000001</c:v>
                </c:pt>
                <c:pt idx="1">
                  <c:v>34.289000000000001</c:v>
                </c:pt>
                <c:pt idx="2">
                  <c:v>34.283000000000001</c:v>
                </c:pt>
                <c:pt idx="3">
                  <c:v>34.277999999999999</c:v>
                </c:pt>
                <c:pt idx="4">
                  <c:v>34.271000000000001</c:v>
                </c:pt>
                <c:pt idx="5">
                  <c:v>34.262</c:v>
                </c:pt>
                <c:pt idx="6">
                  <c:v>34.253999999999998</c:v>
                </c:pt>
                <c:pt idx="7">
                  <c:v>34.244999999999997</c:v>
                </c:pt>
                <c:pt idx="8">
                  <c:v>34.234999999999999</c:v>
                </c:pt>
                <c:pt idx="9">
                  <c:v>34.225999999999999</c:v>
                </c:pt>
                <c:pt idx="10">
                  <c:v>34.215000000000003</c:v>
                </c:pt>
                <c:pt idx="11">
                  <c:v>34.203000000000003</c:v>
                </c:pt>
                <c:pt idx="12">
                  <c:v>34.19</c:v>
                </c:pt>
                <c:pt idx="13">
                  <c:v>34.177</c:v>
                </c:pt>
                <c:pt idx="14">
                  <c:v>34.162999999999997</c:v>
                </c:pt>
                <c:pt idx="15">
                  <c:v>34.149000000000001</c:v>
                </c:pt>
                <c:pt idx="16">
                  <c:v>34.134999999999998</c:v>
                </c:pt>
                <c:pt idx="17">
                  <c:v>34.119999999999997</c:v>
                </c:pt>
                <c:pt idx="18">
                  <c:v>34.103999999999999</c:v>
                </c:pt>
                <c:pt idx="19">
                  <c:v>34.087000000000003</c:v>
                </c:pt>
                <c:pt idx="20">
                  <c:v>34.070999999999998</c:v>
                </c:pt>
                <c:pt idx="21">
                  <c:v>34.051000000000002</c:v>
                </c:pt>
                <c:pt idx="22">
                  <c:v>34.027999999999999</c:v>
                </c:pt>
                <c:pt idx="23">
                  <c:v>34.003999999999998</c:v>
                </c:pt>
                <c:pt idx="24">
                  <c:v>33.976999999999997</c:v>
                </c:pt>
                <c:pt idx="25">
                  <c:v>33.951000000000001</c:v>
                </c:pt>
                <c:pt idx="26">
                  <c:v>33.923000000000002</c:v>
                </c:pt>
                <c:pt idx="27">
                  <c:v>33.895000000000003</c:v>
                </c:pt>
                <c:pt idx="28">
                  <c:v>33.866</c:v>
                </c:pt>
                <c:pt idx="29">
                  <c:v>33.837000000000003</c:v>
                </c:pt>
                <c:pt idx="30">
                  <c:v>33.805999999999997</c:v>
                </c:pt>
                <c:pt idx="31">
                  <c:v>33.774999999999999</c:v>
                </c:pt>
                <c:pt idx="32">
                  <c:v>33.746000000000002</c:v>
                </c:pt>
                <c:pt idx="33">
                  <c:v>33.716000000000001</c:v>
                </c:pt>
                <c:pt idx="34">
                  <c:v>33.685000000000002</c:v>
                </c:pt>
                <c:pt idx="35">
                  <c:v>33.654000000000003</c:v>
                </c:pt>
                <c:pt idx="36">
                  <c:v>33.625</c:v>
                </c:pt>
                <c:pt idx="37">
                  <c:v>33.595999999999997</c:v>
                </c:pt>
                <c:pt idx="38">
                  <c:v>33.564999999999998</c:v>
                </c:pt>
                <c:pt idx="39">
                  <c:v>33.531999999999996</c:v>
                </c:pt>
                <c:pt idx="40">
                  <c:v>33.500999999999998</c:v>
                </c:pt>
                <c:pt idx="41">
                  <c:v>33.466000000000001</c:v>
                </c:pt>
                <c:pt idx="42">
                  <c:v>33.430999999999997</c:v>
                </c:pt>
                <c:pt idx="43">
                  <c:v>33.396999999999998</c:v>
                </c:pt>
                <c:pt idx="44">
                  <c:v>33.363</c:v>
                </c:pt>
                <c:pt idx="45">
                  <c:v>33.328000000000003</c:v>
                </c:pt>
                <c:pt idx="46">
                  <c:v>33.290999999999997</c:v>
                </c:pt>
                <c:pt idx="47">
                  <c:v>33.253</c:v>
                </c:pt>
                <c:pt idx="48">
                  <c:v>33.213999999999999</c:v>
                </c:pt>
                <c:pt idx="49">
                  <c:v>33.171999999999997</c:v>
                </c:pt>
                <c:pt idx="50">
                  <c:v>33.127000000000002</c:v>
                </c:pt>
                <c:pt idx="51">
                  <c:v>33.08</c:v>
                </c:pt>
                <c:pt idx="52">
                  <c:v>33.034999999999997</c:v>
                </c:pt>
                <c:pt idx="53">
                  <c:v>32.988</c:v>
                </c:pt>
                <c:pt idx="54">
                  <c:v>32.936999999999998</c:v>
                </c:pt>
                <c:pt idx="55">
                  <c:v>32.886000000000003</c:v>
                </c:pt>
                <c:pt idx="56">
                  <c:v>32.831000000000003</c:v>
                </c:pt>
                <c:pt idx="57">
                  <c:v>32.773000000000003</c:v>
                </c:pt>
                <c:pt idx="58">
                  <c:v>32.707000000000001</c:v>
                </c:pt>
                <c:pt idx="59">
                  <c:v>32.646999999999998</c:v>
                </c:pt>
                <c:pt idx="60">
                  <c:v>32.582999999999998</c:v>
                </c:pt>
                <c:pt idx="61">
                  <c:v>32.514000000000003</c:v>
                </c:pt>
                <c:pt idx="62">
                  <c:v>32.445999999999998</c:v>
                </c:pt>
                <c:pt idx="63">
                  <c:v>32.374000000000002</c:v>
                </c:pt>
                <c:pt idx="64">
                  <c:v>32.293999999999997</c:v>
                </c:pt>
                <c:pt idx="65">
                  <c:v>32.223999999999997</c:v>
                </c:pt>
                <c:pt idx="66">
                  <c:v>32.154000000000003</c:v>
                </c:pt>
                <c:pt idx="67">
                  <c:v>32.079000000000001</c:v>
                </c:pt>
                <c:pt idx="68">
                  <c:v>32</c:v>
                </c:pt>
                <c:pt idx="69">
                  <c:v>31.917000000000002</c:v>
                </c:pt>
                <c:pt idx="70">
                  <c:v>31.847000000000001</c:v>
                </c:pt>
                <c:pt idx="71">
                  <c:v>31.768999999999998</c:v>
                </c:pt>
                <c:pt idx="72">
                  <c:v>31.707000000000001</c:v>
                </c:pt>
                <c:pt idx="73">
                  <c:v>31.640999999999998</c:v>
                </c:pt>
                <c:pt idx="74">
                  <c:v>31.565000000000001</c:v>
                </c:pt>
                <c:pt idx="75">
                  <c:v>31.489000000000001</c:v>
                </c:pt>
                <c:pt idx="76">
                  <c:v>31.414000000000001</c:v>
                </c:pt>
                <c:pt idx="77">
                  <c:v>31.344999999999999</c:v>
                </c:pt>
                <c:pt idx="78">
                  <c:v>31.271000000000001</c:v>
                </c:pt>
                <c:pt idx="79">
                  <c:v>31.196999999999999</c:v>
                </c:pt>
                <c:pt idx="80">
                  <c:v>31.117999999999999</c:v>
                </c:pt>
                <c:pt idx="81">
                  <c:v>31.056000000000001</c:v>
                </c:pt>
                <c:pt idx="82">
                  <c:v>31.010999999999999</c:v>
                </c:pt>
                <c:pt idx="83">
                  <c:v>30.981000000000002</c:v>
                </c:pt>
                <c:pt idx="84">
                  <c:v>30.951000000000001</c:v>
                </c:pt>
                <c:pt idx="85">
                  <c:v>30.914000000000001</c:v>
                </c:pt>
                <c:pt idx="86">
                  <c:v>30.875</c:v>
                </c:pt>
                <c:pt idx="87">
                  <c:v>30.832000000000001</c:v>
                </c:pt>
                <c:pt idx="88">
                  <c:v>30.786000000000001</c:v>
                </c:pt>
                <c:pt idx="89">
                  <c:v>30.751999999999999</c:v>
                </c:pt>
                <c:pt idx="90">
                  <c:v>30.709</c:v>
                </c:pt>
                <c:pt idx="91">
                  <c:v>30.669</c:v>
                </c:pt>
                <c:pt idx="92">
                  <c:v>30.616</c:v>
                </c:pt>
                <c:pt idx="93">
                  <c:v>30.556000000000001</c:v>
                </c:pt>
                <c:pt idx="94">
                  <c:v>30.498999999999999</c:v>
                </c:pt>
                <c:pt idx="95">
                  <c:v>30.442</c:v>
                </c:pt>
                <c:pt idx="96">
                  <c:v>30.402999999999999</c:v>
                </c:pt>
                <c:pt idx="97">
                  <c:v>30.358000000000001</c:v>
                </c:pt>
                <c:pt idx="98">
                  <c:v>30.298999999999999</c:v>
                </c:pt>
                <c:pt idx="99">
                  <c:v>30.228999999999999</c:v>
                </c:pt>
                <c:pt idx="100">
                  <c:v>30.172999999999998</c:v>
                </c:pt>
                <c:pt idx="101">
                  <c:v>30.106999999999999</c:v>
                </c:pt>
                <c:pt idx="102">
                  <c:v>30.033999999999999</c:v>
                </c:pt>
                <c:pt idx="103">
                  <c:v>29.957999999999998</c:v>
                </c:pt>
                <c:pt idx="104">
                  <c:v>29.881</c:v>
                </c:pt>
                <c:pt idx="105">
                  <c:v>29.812999999999999</c:v>
                </c:pt>
                <c:pt idx="106">
                  <c:v>29.736999999999998</c:v>
                </c:pt>
                <c:pt idx="107">
                  <c:v>29.655999999999999</c:v>
                </c:pt>
                <c:pt idx="108">
                  <c:v>29.581</c:v>
                </c:pt>
                <c:pt idx="109">
                  <c:v>29.510999999999999</c:v>
                </c:pt>
                <c:pt idx="110">
                  <c:v>29.454999999999998</c:v>
                </c:pt>
                <c:pt idx="111">
                  <c:v>29.38</c:v>
                </c:pt>
                <c:pt idx="112">
                  <c:v>29.303000000000001</c:v>
                </c:pt>
                <c:pt idx="113">
                  <c:v>29.210999999999999</c:v>
                </c:pt>
                <c:pt idx="114">
                  <c:v>29.11</c:v>
                </c:pt>
                <c:pt idx="115">
                  <c:v>28.995999999999999</c:v>
                </c:pt>
                <c:pt idx="116">
                  <c:v>28.867999999999999</c:v>
                </c:pt>
                <c:pt idx="117">
                  <c:v>28.734000000000002</c:v>
                </c:pt>
                <c:pt idx="118">
                  <c:v>28.579000000000001</c:v>
                </c:pt>
                <c:pt idx="119">
                  <c:v>28.405999999999999</c:v>
                </c:pt>
                <c:pt idx="120">
                  <c:v>28.234999999999999</c:v>
                </c:pt>
                <c:pt idx="121">
                  <c:v>28.07</c:v>
                </c:pt>
                <c:pt idx="122">
                  <c:v>27.899000000000001</c:v>
                </c:pt>
                <c:pt idx="123">
                  <c:v>27.722999999999999</c:v>
                </c:pt>
                <c:pt idx="124">
                  <c:v>27.54</c:v>
                </c:pt>
                <c:pt idx="125">
                  <c:v>27.363</c:v>
                </c:pt>
                <c:pt idx="126">
                  <c:v>27.201000000000001</c:v>
                </c:pt>
                <c:pt idx="127">
                  <c:v>27.027999999999999</c:v>
                </c:pt>
                <c:pt idx="128">
                  <c:v>26.859000000000002</c:v>
                </c:pt>
                <c:pt idx="129">
                  <c:v>26.692</c:v>
                </c:pt>
                <c:pt idx="130">
                  <c:v>26.498000000000001</c:v>
                </c:pt>
                <c:pt idx="131">
                  <c:v>26.309000000000001</c:v>
                </c:pt>
                <c:pt idx="132">
                  <c:v>26.126000000000001</c:v>
                </c:pt>
                <c:pt idx="133">
                  <c:v>25.965</c:v>
                </c:pt>
                <c:pt idx="134">
                  <c:v>25.821999999999999</c:v>
                </c:pt>
                <c:pt idx="135">
                  <c:v>25.686</c:v>
                </c:pt>
                <c:pt idx="136">
                  <c:v>25.558</c:v>
                </c:pt>
                <c:pt idx="137">
                  <c:v>25.440999999999999</c:v>
                </c:pt>
                <c:pt idx="138">
                  <c:v>25.327000000000002</c:v>
                </c:pt>
                <c:pt idx="139">
                  <c:v>25.210999999999999</c:v>
                </c:pt>
                <c:pt idx="140">
                  <c:v>25.091000000000001</c:v>
                </c:pt>
                <c:pt idx="141">
                  <c:v>24.93</c:v>
                </c:pt>
                <c:pt idx="142">
                  <c:v>24.768000000000001</c:v>
                </c:pt>
                <c:pt idx="143">
                  <c:v>24.588999999999999</c:v>
                </c:pt>
                <c:pt idx="144">
                  <c:v>24.391999999999999</c:v>
                </c:pt>
                <c:pt idx="145">
                  <c:v>24.196999999999999</c:v>
                </c:pt>
                <c:pt idx="146">
                  <c:v>23.989000000000001</c:v>
                </c:pt>
                <c:pt idx="147">
                  <c:v>23.768999999999998</c:v>
                </c:pt>
                <c:pt idx="148">
                  <c:v>23.556999999999999</c:v>
                </c:pt>
                <c:pt idx="149">
                  <c:v>23.291</c:v>
                </c:pt>
                <c:pt idx="150">
                  <c:v>23.012</c:v>
                </c:pt>
                <c:pt idx="151">
                  <c:v>22.710999999999999</c:v>
                </c:pt>
                <c:pt idx="152">
                  <c:v>22.411999999999999</c:v>
                </c:pt>
                <c:pt idx="153">
                  <c:v>22.116</c:v>
                </c:pt>
                <c:pt idx="154">
                  <c:v>21.834</c:v>
                </c:pt>
                <c:pt idx="155">
                  <c:v>21.521999999999998</c:v>
                </c:pt>
                <c:pt idx="156">
                  <c:v>21.224</c:v>
                </c:pt>
                <c:pt idx="157">
                  <c:v>20.954999999999998</c:v>
                </c:pt>
                <c:pt idx="158">
                  <c:v>20.635999999999999</c:v>
                </c:pt>
                <c:pt idx="159">
                  <c:v>20.332000000000001</c:v>
                </c:pt>
                <c:pt idx="160">
                  <c:v>20.13</c:v>
                </c:pt>
                <c:pt idx="161">
                  <c:v>19.898</c:v>
                </c:pt>
                <c:pt idx="162">
                  <c:v>19.727</c:v>
                </c:pt>
                <c:pt idx="163">
                  <c:v>19.597999999999999</c:v>
                </c:pt>
                <c:pt idx="164">
                  <c:v>19.466000000000001</c:v>
                </c:pt>
                <c:pt idx="165">
                  <c:v>19.324999999999999</c:v>
                </c:pt>
                <c:pt idx="166">
                  <c:v>19.193000000000001</c:v>
                </c:pt>
                <c:pt idx="167">
                  <c:v>19.021999999999998</c:v>
                </c:pt>
                <c:pt idx="168">
                  <c:v>18.806000000000001</c:v>
                </c:pt>
                <c:pt idx="169">
                  <c:v>18.515000000000001</c:v>
                </c:pt>
                <c:pt idx="170">
                  <c:v>18.265000000000001</c:v>
                </c:pt>
                <c:pt idx="171">
                  <c:v>18.260000000000002</c:v>
                </c:pt>
                <c:pt idx="172">
                  <c:v>18.068999999999999</c:v>
                </c:pt>
                <c:pt idx="173">
                  <c:v>17.913</c:v>
                </c:pt>
                <c:pt idx="174">
                  <c:v>17.709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05-4EC5-95C6-F12EA562D6E1}"/>
            </c:ext>
          </c:extLst>
        </c:ser>
        <c:ser>
          <c:idx val="14"/>
          <c:order val="14"/>
          <c:tx>
            <c:strRef>
              <c:f>data_ghg_incLUC!$S$2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data_ghg_incLUC!$S$3:$S$177</c:f>
              <c:numCache>
                <c:formatCode>0.0</c:formatCode>
                <c:ptCount val="175"/>
                <c:pt idx="0">
                  <c:v>46.369</c:v>
                </c:pt>
                <c:pt idx="1">
                  <c:v>46.369</c:v>
                </c:pt>
                <c:pt idx="2">
                  <c:v>46.356000000000002</c:v>
                </c:pt>
                <c:pt idx="3">
                  <c:v>46.341999999999999</c:v>
                </c:pt>
                <c:pt idx="4">
                  <c:v>46.328000000000003</c:v>
                </c:pt>
                <c:pt idx="5">
                  <c:v>46.311</c:v>
                </c:pt>
                <c:pt idx="6">
                  <c:v>46.295000000000002</c:v>
                </c:pt>
                <c:pt idx="7">
                  <c:v>46.279000000000003</c:v>
                </c:pt>
                <c:pt idx="8">
                  <c:v>46.261000000000003</c:v>
                </c:pt>
                <c:pt idx="9">
                  <c:v>46.244</c:v>
                </c:pt>
                <c:pt idx="10">
                  <c:v>46.225000000000001</c:v>
                </c:pt>
                <c:pt idx="11">
                  <c:v>46.204999999999998</c:v>
                </c:pt>
                <c:pt idx="12">
                  <c:v>46.183999999999997</c:v>
                </c:pt>
                <c:pt idx="13">
                  <c:v>46.161999999999999</c:v>
                </c:pt>
                <c:pt idx="14">
                  <c:v>46.14</c:v>
                </c:pt>
                <c:pt idx="15">
                  <c:v>46.116999999999997</c:v>
                </c:pt>
                <c:pt idx="16">
                  <c:v>46.093000000000004</c:v>
                </c:pt>
                <c:pt idx="17">
                  <c:v>46.067999999999998</c:v>
                </c:pt>
                <c:pt idx="18">
                  <c:v>46.042999999999999</c:v>
                </c:pt>
                <c:pt idx="19">
                  <c:v>46.017000000000003</c:v>
                </c:pt>
                <c:pt idx="20">
                  <c:v>45.99</c:v>
                </c:pt>
                <c:pt idx="21">
                  <c:v>45.96</c:v>
                </c:pt>
                <c:pt idx="22">
                  <c:v>45.927</c:v>
                </c:pt>
                <c:pt idx="23">
                  <c:v>45.892000000000003</c:v>
                </c:pt>
                <c:pt idx="24">
                  <c:v>45.856000000000002</c:v>
                </c:pt>
                <c:pt idx="25">
                  <c:v>45.819000000000003</c:v>
                </c:pt>
                <c:pt idx="26">
                  <c:v>45.780999999999999</c:v>
                </c:pt>
                <c:pt idx="27">
                  <c:v>45.741999999999997</c:v>
                </c:pt>
                <c:pt idx="28">
                  <c:v>45.701999999999998</c:v>
                </c:pt>
                <c:pt idx="29">
                  <c:v>45.661999999999999</c:v>
                </c:pt>
                <c:pt idx="30">
                  <c:v>45.619</c:v>
                </c:pt>
                <c:pt idx="31">
                  <c:v>45.576999999999998</c:v>
                </c:pt>
                <c:pt idx="32">
                  <c:v>45.534999999999997</c:v>
                </c:pt>
                <c:pt idx="33">
                  <c:v>45.493000000000002</c:v>
                </c:pt>
                <c:pt idx="34">
                  <c:v>45.45</c:v>
                </c:pt>
                <c:pt idx="35">
                  <c:v>45.405999999999999</c:v>
                </c:pt>
                <c:pt idx="36">
                  <c:v>45.363</c:v>
                </c:pt>
                <c:pt idx="37">
                  <c:v>45.320999999999998</c:v>
                </c:pt>
                <c:pt idx="38">
                  <c:v>45.277000000000001</c:v>
                </c:pt>
                <c:pt idx="39">
                  <c:v>45.231000000000002</c:v>
                </c:pt>
                <c:pt idx="40">
                  <c:v>45.186</c:v>
                </c:pt>
                <c:pt idx="41">
                  <c:v>45.137</c:v>
                </c:pt>
                <c:pt idx="42">
                  <c:v>45.085000000000001</c:v>
                </c:pt>
                <c:pt idx="43">
                  <c:v>45.033999999999999</c:v>
                </c:pt>
                <c:pt idx="44">
                  <c:v>44.982999999999997</c:v>
                </c:pt>
                <c:pt idx="45">
                  <c:v>44.93</c:v>
                </c:pt>
                <c:pt idx="46">
                  <c:v>44.875999999999998</c:v>
                </c:pt>
                <c:pt idx="47">
                  <c:v>44.82</c:v>
                </c:pt>
                <c:pt idx="48">
                  <c:v>44.762</c:v>
                </c:pt>
                <c:pt idx="49">
                  <c:v>44.701999999999998</c:v>
                </c:pt>
                <c:pt idx="50">
                  <c:v>44.637</c:v>
                </c:pt>
                <c:pt idx="51">
                  <c:v>44.570999999999998</c:v>
                </c:pt>
                <c:pt idx="52">
                  <c:v>44.503</c:v>
                </c:pt>
                <c:pt idx="53">
                  <c:v>44.435000000000002</c:v>
                </c:pt>
                <c:pt idx="54">
                  <c:v>44.360999999999997</c:v>
                </c:pt>
                <c:pt idx="55">
                  <c:v>44.286999999999999</c:v>
                </c:pt>
                <c:pt idx="56">
                  <c:v>44.207000000000001</c:v>
                </c:pt>
                <c:pt idx="57">
                  <c:v>44.125</c:v>
                </c:pt>
                <c:pt idx="58">
                  <c:v>44.033000000000001</c:v>
                </c:pt>
                <c:pt idx="59">
                  <c:v>43.945</c:v>
                </c:pt>
                <c:pt idx="60">
                  <c:v>43.853000000000002</c:v>
                </c:pt>
                <c:pt idx="61">
                  <c:v>43.765000000000001</c:v>
                </c:pt>
                <c:pt idx="62">
                  <c:v>43.679000000000002</c:v>
                </c:pt>
                <c:pt idx="63">
                  <c:v>43.591000000000001</c:v>
                </c:pt>
                <c:pt idx="64">
                  <c:v>43.497999999999998</c:v>
                </c:pt>
                <c:pt idx="65">
                  <c:v>43.417000000000002</c:v>
                </c:pt>
                <c:pt idx="66">
                  <c:v>43.338999999999999</c:v>
                </c:pt>
                <c:pt idx="67">
                  <c:v>43.256999999999998</c:v>
                </c:pt>
                <c:pt idx="68">
                  <c:v>43.173000000000002</c:v>
                </c:pt>
                <c:pt idx="69">
                  <c:v>43.094999999999999</c:v>
                </c:pt>
                <c:pt idx="70">
                  <c:v>43.031999999999996</c:v>
                </c:pt>
                <c:pt idx="71">
                  <c:v>42.959000000000003</c:v>
                </c:pt>
                <c:pt idx="72">
                  <c:v>42.9</c:v>
                </c:pt>
                <c:pt idx="73">
                  <c:v>42.837000000000003</c:v>
                </c:pt>
                <c:pt idx="74">
                  <c:v>42.765000000000001</c:v>
                </c:pt>
                <c:pt idx="75">
                  <c:v>42.695</c:v>
                </c:pt>
                <c:pt idx="76">
                  <c:v>42.625</c:v>
                </c:pt>
                <c:pt idx="77">
                  <c:v>42.558</c:v>
                </c:pt>
                <c:pt idx="78">
                  <c:v>42.484999999999999</c:v>
                </c:pt>
                <c:pt idx="79">
                  <c:v>42.414000000000001</c:v>
                </c:pt>
                <c:pt idx="80">
                  <c:v>42.335000000000001</c:v>
                </c:pt>
                <c:pt idx="81">
                  <c:v>42.264000000000003</c:v>
                </c:pt>
                <c:pt idx="82">
                  <c:v>42.203000000000003</c:v>
                </c:pt>
                <c:pt idx="83">
                  <c:v>42.155000000000001</c:v>
                </c:pt>
                <c:pt idx="84">
                  <c:v>42.104999999999997</c:v>
                </c:pt>
                <c:pt idx="85">
                  <c:v>42.045000000000002</c:v>
                </c:pt>
                <c:pt idx="86">
                  <c:v>41.981000000000002</c:v>
                </c:pt>
                <c:pt idx="87">
                  <c:v>41.908000000000001</c:v>
                </c:pt>
                <c:pt idx="88">
                  <c:v>41.83</c:v>
                </c:pt>
                <c:pt idx="89">
                  <c:v>41.759</c:v>
                </c:pt>
                <c:pt idx="90">
                  <c:v>41.677</c:v>
                </c:pt>
                <c:pt idx="91">
                  <c:v>41.600999999999999</c:v>
                </c:pt>
                <c:pt idx="92">
                  <c:v>41.523000000000003</c:v>
                </c:pt>
                <c:pt idx="93">
                  <c:v>41.448999999999998</c:v>
                </c:pt>
                <c:pt idx="94">
                  <c:v>41.378999999999998</c:v>
                </c:pt>
                <c:pt idx="95">
                  <c:v>41.311</c:v>
                </c:pt>
                <c:pt idx="96">
                  <c:v>41.268000000000001</c:v>
                </c:pt>
                <c:pt idx="97">
                  <c:v>41.222000000000001</c:v>
                </c:pt>
                <c:pt idx="98">
                  <c:v>41.164000000000001</c:v>
                </c:pt>
                <c:pt idx="99">
                  <c:v>41.095999999999997</c:v>
                </c:pt>
                <c:pt idx="100">
                  <c:v>41.04</c:v>
                </c:pt>
                <c:pt idx="101">
                  <c:v>40.972999999999999</c:v>
                </c:pt>
                <c:pt idx="102">
                  <c:v>40.896999999999998</c:v>
                </c:pt>
                <c:pt idx="103">
                  <c:v>40.814</c:v>
                </c:pt>
                <c:pt idx="104">
                  <c:v>40.726999999999997</c:v>
                </c:pt>
                <c:pt idx="105">
                  <c:v>40.645000000000003</c:v>
                </c:pt>
                <c:pt idx="106">
                  <c:v>40.552</c:v>
                </c:pt>
                <c:pt idx="107">
                  <c:v>40.450000000000003</c:v>
                </c:pt>
                <c:pt idx="108">
                  <c:v>40.347999999999999</c:v>
                </c:pt>
                <c:pt idx="109">
                  <c:v>40.247</c:v>
                </c:pt>
                <c:pt idx="110">
                  <c:v>40.149000000000001</c:v>
                </c:pt>
                <c:pt idx="111">
                  <c:v>40.04</c:v>
                </c:pt>
                <c:pt idx="112">
                  <c:v>39.921999999999997</c:v>
                </c:pt>
                <c:pt idx="113">
                  <c:v>39.789000000000001</c:v>
                </c:pt>
                <c:pt idx="114">
                  <c:v>39.642000000000003</c:v>
                </c:pt>
                <c:pt idx="115">
                  <c:v>39.481000000000002</c:v>
                </c:pt>
                <c:pt idx="116">
                  <c:v>39.299999999999997</c:v>
                </c:pt>
                <c:pt idx="117">
                  <c:v>39.112000000000002</c:v>
                </c:pt>
                <c:pt idx="118">
                  <c:v>38.899000000000001</c:v>
                </c:pt>
                <c:pt idx="119">
                  <c:v>38.667000000000002</c:v>
                </c:pt>
                <c:pt idx="120">
                  <c:v>38.444000000000003</c:v>
                </c:pt>
                <c:pt idx="121">
                  <c:v>38.22</c:v>
                </c:pt>
                <c:pt idx="122">
                  <c:v>37.984999999999999</c:v>
                </c:pt>
                <c:pt idx="123">
                  <c:v>37.744</c:v>
                </c:pt>
                <c:pt idx="124">
                  <c:v>37.488</c:v>
                </c:pt>
                <c:pt idx="125">
                  <c:v>37.228000000000002</c:v>
                </c:pt>
                <c:pt idx="126">
                  <c:v>36.97</c:v>
                </c:pt>
                <c:pt idx="127">
                  <c:v>36.692999999999998</c:v>
                </c:pt>
                <c:pt idx="128">
                  <c:v>36.414999999999999</c:v>
                </c:pt>
                <c:pt idx="129">
                  <c:v>36.128</c:v>
                </c:pt>
                <c:pt idx="130">
                  <c:v>35.808999999999997</c:v>
                </c:pt>
                <c:pt idx="131">
                  <c:v>35.475000000000001</c:v>
                </c:pt>
                <c:pt idx="132">
                  <c:v>35.15</c:v>
                </c:pt>
                <c:pt idx="133">
                  <c:v>34.834000000000003</c:v>
                </c:pt>
                <c:pt idx="134">
                  <c:v>34.529000000000003</c:v>
                </c:pt>
                <c:pt idx="135">
                  <c:v>34.225000000000001</c:v>
                </c:pt>
                <c:pt idx="136">
                  <c:v>33.908999999999999</c:v>
                </c:pt>
                <c:pt idx="137">
                  <c:v>33.594999999999999</c:v>
                </c:pt>
                <c:pt idx="138">
                  <c:v>33.276000000000003</c:v>
                </c:pt>
                <c:pt idx="139">
                  <c:v>32.947000000000003</c:v>
                </c:pt>
                <c:pt idx="140">
                  <c:v>32.613999999999997</c:v>
                </c:pt>
                <c:pt idx="141">
                  <c:v>32.229999999999997</c:v>
                </c:pt>
                <c:pt idx="142">
                  <c:v>31.875</c:v>
                </c:pt>
                <c:pt idx="143">
                  <c:v>31.555</c:v>
                </c:pt>
                <c:pt idx="144">
                  <c:v>31.244</c:v>
                </c:pt>
                <c:pt idx="145">
                  <c:v>30.988</c:v>
                </c:pt>
                <c:pt idx="146">
                  <c:v>30.74</c:v>
                </c:pt>
                <c:pt idx="147">
                  <c:v>30.471</c:v>
                </c:pt>
                <c:pt idx="148">
                  <c:v>30.266999999999999</c:v>
                </c:pt>
                <c:pt idx="149">
                  <c:v>30.02</c:v>
                </c:pt>
                <c:pt idx="150">
                  <c:v>29.77</c:v>
                </c:pt>
                <c:pt idx="151">
                  <c:v>29.516999999999999</c:v>
                </c:pt>
                <c:pt idx="152">
                  <c:v>29.257999999999999</c:v>
                </c:pt>
                <c:pt idx="153">
                  <c:v>29.027999999999999</c:v>
                </c:pt>
                <c:pt idx="154">
                  <c:v>28.821000000000002</c:v>
                </c:pt>
                <c:pt idx="155">
                  <c:v>28.600999999999999</c:v>
                </c:pt>
                <c:pt idx="156">
                  <c:v>28.396000000000001</c:v>
                </c:pt>
                <c:pt idx="157">
                  <c:v>28.225999999999999</c:v>
                </c:pt>
                <c:pt idx="158">
                  <c:v>28.003</c:v>
                </c:pt>
                <c:pt idx="159">
                  <c:v>27.818000000000001</c:v>
                </c:pt>
                <c:pt idx="160">
                  <c:v>27.744</c:v>
                </c:pt>
                <c:pt idx="161">
                  <c:v>27.63</c:v>
                </c:pt>
                <c:pt idx="162">
                  <c:v>27.603999999999999</c:v>
                </c:pt>
                <c:pt idx="163">
                  <c:v>27.57</c:v>
                </c:pt>
                <c:pt idx="164">
                  <c:v>27.547000000000001</c:v>
                </c:pt>
                <c:pt idx="165">
                  <c:v>27.536000000000001</c:v>
                </c:pt>
                <c:pt idx="166">
                  <c:v>27.478000000000002</c:v>
                </c:pt>
                <c:pt idx="167">
                  <c:v>27.324999999999999</c:v>
                </c:pt>
                <c:pt idx="168">
                  <c:v>27.111999999999998</c:v>
                </c:pt>
                <c:pt idx="169">
                  <c:v>26.802</c:v>
                </c:pt>
                <c:pt idx="170">
                  <c:v>26.54</c:v>
                </c:pt>
                <c:pt idx="171">
                  <c:v>26.504999999999999</c:v>
                </c:pt>
                <c:pt idx="172">
                  <c:v>26.234000000000002</c:v>
                </c:pt>
                <c:pt idx="173">
                  <c:v>26.094000000000001</c:v>
                </c:pt>
                <c:pt idx="174">
                  <c:v>25.975000000000001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05-4EC5-95C6-F12EA562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0.0</c:formatCode>
                <c:ptCount val="175"/>
                <c:pt idx="0">
                  <c:v>42.96309628573384</c:v>
                </c:pt>
                <c:pt idx="1">
                  <c:v>42.965405864785353</c:v>
                </c:pt>
                <c:pt idx="2">
                  <c:v>42.967670046517547</c:v>
                </c:pt>
                <c:pt idx="3">
                  <c:v>42.96972563621398</c:v>
                </c:pt>
                <c:pt idx="4">
                  <c:v>42.971514801108285</c:v>
                </c:pt>
                <c:pt idx="5">
                  <c:v>42.972347116089566</c:v>
                </c:pt>
                <c:pt idx="6">
                  <c:v>42.973067189046226</c:v>
                </c:pt>
                <c:pt idx="7">
                  <c:v>42.97335023664585</c:v>
                </c:pt>
                <c:pt idx="8">
                  <c:v>42.973563344316283</c:v>
                </c:pt>
                <c:pt idx="9">
                  <c:v>42.973720489537151</c:v>
                </c:pt>
                <c:pt idx="10">
                  <c:v>42.973426875363614</c:v>
                </c:pt>
                <c:pt idx="11">
                  <c:v>42.972415852195958</c:v>
                </c:pt>
                <c:pt idx="12">
                  <c:v>42.971010555319147</c:v>
                </c:pt>
                <c:pt idx="13">
                  <c:v>42.969529415121166</c:v>
                </c:pt>
                <c:pt idx="14">
                  <c:v>42.967576952121505</c:v>
                </c:pt>
                <c:pt idx="15">
                  <c:v>42.96496981600913</c:v>
                </c:pt>
                <c:pt idx="16">
                  <c:v>42.961816618470813</c:v>
                </c:pt>
                <c:pt idx="17">
                  <c:v>42.958397173387894</c:v>
                </c:pt>
                <c:pt idx="18">
                  <c:v>42.954311747037515</c:v>
                </c:pt>
                <c:pt idx="19">
                  <c:v>42.949988773324755</c:v>
                </c:pt>
                <c:pt idx="20">
                  <c:v>42.94502106908373</c:v>
                </c:pt>
                <c:pt idx="21">
                  <c:v>42.93989490675574</c:v>
                </c:pt>
                <c:pt idx="22">
                  <c:v>42.934182415352865</c:v>
                </c:pt>
                <c:pt idx="23">
                  <c:v>42.927060802343341</c:v>
                </c:pt>
                <c:pt idx="24">
                  <c:v>42.919052830156609</c:v>
                </c:pt>
                <c:pt idx="25">
                  <c:v>42.912248183238525</c:v>
                </c:pt>
                <c:pt idx="26">
                  <c:v>42.904153800838451</c:v>
                </c:pt>
                <c:pt idx="27">
                  <c:v>42.896211439680393</c:v>
                </c:pt>
                <c:pt idx="28">
                  <c:v>42.887920415931646</c:v>
                </c:pt>
                <c:pt idx="29">
                  <c:v>42.879765936830978</c:v>
                </c:pt>
                <c:pt idx="30">
                  <c:v>42.870509037749308</c:v>
                </c:pt>
                <c:pt idx="31">
                  <c:v>42.858910671036014</c:v>
                </c:pt>
                <c:pt idx="32">
                  <c:v>42.846776643861126</c:v>
                </c:pt>
                <c:pt idx="33">
                  <c:v>42.833566403837011</c:v>
                </c:pt>
                <c:pt idx="34">
                  <c:v>42.819239836075617</c:v>
                </c:pt>
                <c:pt idx="35">
                  <c:v>42.804850027233663</c:v>
                </c:pt>
                <c:pt idx="36">
                  <c:v>42.790515826348866</c:v>
                </c:pt>
                <c:pt idx="37">
                  <c:v>42.775990668324951</c:v>
                </c:pt>
                <c:pt idx="38">
                  <c:v>42.760435868679487</c:v>
                </c:pt>
                <c:pt idx="39">
                  <c:v>42.742363428942028</c:v>
                </c:pt>
                <c:pt idx="40">
                  <c:v>42.724658011192268</c:v>
                </c:pt>
                <c:pt idx="41">
                  <c:v>42.704667164981402</c:v>
                </c:pt>
                <c:pt idx="42">
                  <c:v>42.683524650779994</c:v>
                </c:pt>
                <c:pt idx="43">
                  <c:v>42.662194005353065</c:v>
                </c:pt>
                <c:pt idx="44">
                  <c:v>42.641807311276814</c:v>
                </c:pt>
                <c:pt idx="45">
                  <c:v>42.620287962703785</c:v>
                </c:pt>
                <c:pt idx="46">
                  <c:v>42.597268905648718</c:v>
                </c:pt>
                <c:pt idx="47">
                  <c:v>42.573357054142456</c:v>
                </c:pt>
                <c:pt idx="48">
                  <c:v>42.548153824953758</c:v>
                </c:pt>
                <c:pt idx="49">
                  <c:v>42.521464609536238</c:v>
                </c:pt>
                <c:pt idx="50">
                  <c:v>42.491306842519805</c:v>
                </c:pt>
                <c:pt idx="51">
                  <c:v>42.458949653832931</c:v>
                </c:pt>
                <c:pt idx="52">
                  <c:v>42.425731217987838</c:v>
                </c:pt>
                <c:pt idx="53">
                  <c:v>42.391163835461803</c:v>
                </c:pt>
                <c:pt idx="54">
                  <c:v>42.352085688960862</c:v>
                </c:pt>
                <c:pt idx="55">
                  <c:v>42.313032381071523</c:v>
                </c:pt>
                <c:pt idx="56">
                  <c:v>42.270171129141517</c:v>
                </c:pt>
                <c:pt idx="57">
                  <c:v>42.225843582043652</c:v>
                </c:pt>
                <c:pt idx="58">
                  <c:v>42.173930492393033</c:v>
                </c:pt>
                <c:pt idx="59">
                  <c:v>42.12553228905265</c:v>
                </c:pt>
                <c:pt idx="60">
                  <c:v>42.074573506549342</c:v>
                </c:pt>
                <c:pt idx="61">
                  <c:v>42.019802577207102</c:v>
                </c:pt>
                <c:pt idx="62">
                  <c:v>41.964695502827361</c:v>
                </c:pt>
                <c:pt idx="63">
                  <c:v>41.906244369889812</c:v>
                </c:pt>
                <c:pt idx="64">
                  <c:v>41.842126313823513</c:v>
                </c:pt>
                <c:pt idx="65">
                  <c:v>41.784754978788726</c:v>
                </c:pt>
                <c:pt idx="66">
                  <c:v>41.728118251963096</c:v>
                </c:pt>
                <c:pt idx="67">
                  <c:v>41.666341664072327</c:v>
                </c:pt>
                <c:pt idx="68">
                  <c:v>41.601288712055855</c:v>
                </c:pt>
                <c:pt idx="69">
                  <c:v>41.533698860374152</c:v>
                </c:pt>
                <c:pt idx="70">
                  <c:v>41.47440840935397</c:v>
                </c:pt>
                <c:pt idx="71">
                  <c:v>41.406299370972057</c:v>
                </c:pt>
                <c:pt idx="72">
                  <c:v>41.350966155979734</c:v>
                </c:pt>
                <c:pt idx="73">
                  <c:v>41.291218139694408</c:v>
                </c:pt>
                <c:pt idx="74">
                  <c:v>41.219454384446109</c:v>
                </c:pt>
                <c:pt idx="75">
                  <c:v>41.148329370930497</c:v>
                </c:pt>
                <c:pt idx="76">
                  <c:v>41.075542965855021</c:v>
                </c:pt>
                <c:pt idx="77">
                  <c:v>41.005839682681447</c:v>
                </c:pt>
                <c:pt idx="78">
                  <c:v>40.928088537073108</c:v>
                </c:pt>
                <c:pt idx="79">
                  <c:v>40.852322319094995</c:v>
                </c:pt>
                <c:pt idx="80">
                  <c:v>40.7700380612212</c:v>
                </c:pt>
                <c:pt idx="81">
                  <c:v>40.697816324883419</c:v>
                </c:pt>
                <c:pt idx="82">
                  <c:v>40.637815118399203</c:v>
                </c:pt>
                <c:pt idx="83">
                  <c:v>40.587860703645021</c:v>
                </c:pt>
                <c:pt idx="84">
                  <c:v>40.534974484850991</c:v>
                </c:pt>
                <c:pt idx="85">
                  <c:v>40.478188720133211</c:v>
                </c:pt>
                <c:pt idx="86">
                  <c:v>40.419767667549081</c:v>
                </c:pt>
                <c:pt idx="87">
                  <c:v>40.354299445354684</c:v>
                </c:pt>
                <c:pt idx="88">
                  <c:v>40.282819577165547</c:v>
                </c:pt>
                <c:pt idx="89">
                  <c:v>40.22089221194959</c:v>
                </c:pt>
                <c:pt idx="90">
                  <c:v>40.153127304355991</c:v>
                </c:pt>
                <c:pt idx="91">
                  <c:v>40.085158352464326</c:v>
                </c:pt>
                <c:pt idx="92">
                  <c:v>40.011302896042992</c:v>
                </c:pt>
                <c:pt idx="93">
                  <c:v>39.929454735575284</c:v>
                </c:pt>
                <c:pt idx="94">
                  <c:v>39.84778773066293</c:v>
                </c:pt>
                <c:pt idx="95">
                  <c:v>39.766592023659733</c:v>
                </c:pt>
                <c:pt idx="96">
                  <c:v>39.701055015256891</c:v>
                </c:pt>
                <c:pt idx="97">
                  <c:v>39.63226688146257</c:v>
                </c:pt>
                <c:pt idx="98">
                  <c:v>39.550558397439318</c:v>
                </c:pt>
                <c:pt idx="99">
                  <c:v>39.46089541387326</c:v>
                </c:pt>
                <c:pt idx="100">
                  <c:v>39.382712517890681</c:v>
                </c:pt>
                <c:pt idx="101">
                  <c:v>39.289629197299305</c:v>
                </c:pt>
                <c:pt idx="102">
                  <c:v>39.189646614729035</c:v>
                </c:pt>
                <c:pt idx="103">
                  <c:v>39.092792954295909</c:v>
                </c:pt>
                <c:pt idx="104">
                  <c:v>38.994034188069769</c:v>
                </c:pt>
                <c:pt idx="105">
                  <c:v>38.89847024792202</c:v>
                </c:pt>
                <c:pt idx="106">
                  <c:v>38.794970511640663</c:v>
                </c:pt>
                <c:pt idx="107">
                  <c:v>38.685335815659435</c:v>
                </c:pt>
                <c:pt idx="108">
                  <c:v>38.578594352574811</c:v>
                </c:pt>
                <c:pt idx="109">
                  <c:v>38.482788697322498</c:v>
                </c:pt>
                <c:pt idx="110">
                  <c:v>38.39023854256741</c:v>
                </c:pt>
                <c:pt idx="111">
                  <c:v>38.291969903277945</c:v>
                </c:pt>
                <c:pt idx="112">
                  <c:v>38.185606644181803</c:v>
                </c:pt>
                <c:pt idx="113">
                  <c:v>38.069043460153345</c:v>
                </c:pt>
                <c:pt idx="114">
                  <c:v>37.943062006216529</c:v>
                </c:pt>
                <c:pt idx="115">
                  <c:v>37.809186692654642</c:v>
                </c:pt>
                <c:pt idx="116">
                  <c:v>37.669755039832282</c:v>
                </c:pt>
                <c:pt idx="117">
                  <c:v>37.52631351479058</c:v>
                </c:pt>
                <c:pt idx="118">
                  <c:v>37.371265331452328</c:v>
                </c:pt>
                <c:pt idx="119">
                  <c:v>37.20519560384237</c:v>
                </c:pt>
                <c:pt idx="120">
                  <c:v>35.943900918086683</c:v>
                </c:pt>
                <c:pt idx="121">
                  <c:v>35.750456558462893</c:v>
                </c:pt>
                <c:pt idx="122">
                  <c:v>35.559338192067472</c:v>
                </c:pt>
                <c:pt idx="123">
                  <c:v>35.356763788491307</c:v>
                </c:pt>
                <c:pt idx="124">
                  <c:v>35.141678121481753</c:v>
                </c:pt>
                <c:pt idx="125">
                  <c:v>34.936290498138661</c:v>
                </c:pt>
                <c:pt idx="126">
                  <c:v>34.750518095915247</c:v>
                </c:pt>
                <c:pt idx="127">
                  <c:v>34.548833573045037</c:v>
                </c:pt>
                <c:pt idx="128">
                  <c:v>34.345229830661268</c:v>
                </c:pt>
                <c:pt idx="129">
                  <c:v>34.144934069814653</c:v>
                </c:pt>
                <c:pt idx="130">
                  <c:v>33.93560598503808</c:v>
                </c:pt>
                <c:pt idx="131">
                  <c:v>33.737728908858131</c:v>
                </c:pt>
                <c:pt idx="132">
                  <c:v>33.54101193648949</c:v>
                </c:pt>
                <c:pt idx="133">
                  <c:v>33.362343006668652</c:v>
                </c:pt>
                <c:pt idx="134">
                  <c:v>33.187300795357693</c:v>
                </c:pt>
                <c:pt idx="135">
                  <c:v>33.00230328074192</c:v>
                </c:pt>
                <c:pt idx="136">
                  <c:v>32.814063916979215</c:v>
                </c:pt>
                <c:pt idx="137">
                  <c:v>32.631059034124462</c:v>
                </c:pt>
                <c:pt idx="138">
                  <c:v>32.443787266468718</c:v>
                </c:pt>
                <c:pt idx="139">
                  <c:v>32.245717258285161</c:v>
                </c:pt>
                <c:pt idx="140">
                  <c:v>32.040554796705287</c:v>
                </c:pt>
                <c:pt idx="141">
                  <c:v>31.837331055279193</c:v>
                </c:pt>
                <c:pt idx="142">
                  <c:v>31.625855200586223</c:v>
                </c:pt>
                <c:pt idx="143">
                  <c:v>31.400672951657278</c:v>
                </c:pt>
                <c:pt idx="144">
                  <c:v>31.162423668198606</c:v>
                </c:pt>
                <c:pt idx="145">
                  <c:v>30.903862952985765</c:v>
                </c:pt>
                <c:pt idx="146">
                  <c:v>30.638793466449648</c:v>
                </c:pt>
                <c:pt idx="147">
                  <c:v>30.34855526586977</c:v>
                </c:pt>
                <c:pt idx="148">
                  <c:v>30.032721727559363</c:v>
                </c:pt>
                <c:pt idx="149">
                  <c:v>29.697117902020391</c:v>
                </c:pt>
                <c:pt idx="150">
                  <c:v>29.344627963812364</c:v>
                </c:pt>
                <c:pt idx="151">
                  <c:v>28.972637586355948</c:v>
                </c:pt>
                <c:pt idx="152">
                  <c:v>28.589738541532817</c:v>
                </c:pt>
                <c:pt idx="153">
                  <c:v>28.203914647928958</c:v>
                </c:pt>
                <c:pt idx="154">
                  <c:v>27.816762476781676</c:v>
                </c:pt>
                <c:pt idx="155">
                  <c:v>27.431012351597033</c:v>
                </c:pt>
                <c:pt idx="156">
                  <c:v>27.05009198850491</c:v>
                </c:pt>
                <c:pt idx="157">
                  <c:v>26.688716477217206</c:v>
                </c:pt>
                <c:pt idx="158">
                  <c:v>26.317997544704337</c:v>
                </c:pt>
                <c:pt idx="159">
                  <c:v>25.967034857334198</c:v>
                </c:pt>
                <c:pt idx="160">
                  <c:v>25.675869651555789</c:v>
                </c:pt>
                <c:pt idx="161">
                  <c:v>25.362752398627208</c:v>
                </c:pt>
                <c:pt idx="162">
                  <c:v>25.10518091358529</c:v>
                </c:pt>
                <c:pt idx="163">
                  <c:v>24.8714249639659</c:v>
                </c:pt>
                <c:pt idx="164">
                  <c:v>24.617547633913599</c:v>
                </c:pt>
                <c:pt idx="165">
                  <c:v>24.367036162560805</c:v>
                </c:pt>
                <c:pt idx="166">
                  <c:v>24.087315208372885</c:v>
                </c:pt>
                <c:pt idx="167">
                  <c:v>23.793000924846979</c:v>
                </c:pt>
                <c:pt idx="168">
                  <c:v>23.484898220091281</c:v>
                </c:pt>
                <c:pt idx="169">
                  <c:v>23.137727784864619</c:v>
                </c:pt>
                <c:pt idx="170">
                  <c:v>22.797758948443402</c:v>
                </c:pt>
                <c:pt idx="171">
                  <c:v>22.621710561294321</c:v>
                </c:pt>
                <c:pt idx="172">
                  <c:v>22.345478782688009</c:v>
                </c:pt>
                <c:pt idx="173">
                  <c:v>21.909650548042364</c:v>
                </c:pt>
                <c:pt idx="174">
                  <c:v>21.729549270643705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A-45E2-A902-9D785949E1EE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0.0</c:formatCode>
                <c:ptCount val="175"/>
                <c:pt idx="0">
                  <c:v>2.8997722374218782</c:v>
                </c:pt>
                <c:pt idx="1">
                  <c:v>2.8946316877113532</c:v>
                </c:pt>
                <c:pt idx="2">
                  <c:v>2.8895138233208968</c:v>
                </c:pt>
                <c:pt idx="3">
                  <c:v>2.8843865059638034</c:v>
                </c:pt>
                <c:pt idx="4">
                  <c:v>2.87923361450855</c:v>
                </c:pt>
                <c:pt idx="5">
                  <c:v>2.8739457565528639</c:v>
                </c:pt>
                <c:pt idx="6">
                  <c:v>2.8686728761054354</c:v>
                </c:pt>
                <c:pt idx="7">
                  <c:v>2.8633579682134709</c:v>
                </c:pt>
                <c:pt idx="8">
                  <c:v>2.8580562961193863</c:v>
                </c:pt>
                <c:pt idx="9">
                  <c:v>2.852778423393751</c:v>
                </c:pt>
                <c:pt idx="10">
                  <c:v>2.8474224870848346</c:v>
                </c:pt>
                <c:pt idx="11">
                  <c:v>2.8419646674669963</c:v>
                </c:pt>
                <c:pt idx="12">
                  <c:v>2.8364787888794467</c:v>
                </c:pt>
                <c:pt idx="13">
                  <c:v>2.8309927672076611</c:v>
                </c:pt>
                <c:pt idx="14">
                  <c:v>2.8254390880091194</c:v>
                </c:pt>
                <c:pt idx="15">
                  <c:v>2.8198007317564517</c:v>
                </c:pt>
                <c:pt idx="16">
                  <c:v>2.8140983484428048</c:v>
                </c:pt>
                <c:pt idx="17">
                  <c:v>2.8083638533263624</c:v>
                </c:pt>
                <c:pt idx="18">
                  <c:v>2.8025572205018676</c:v>
                </c:pt>
                <c:pt idx="19">
                  <c:v>2.7967382718345277</c:v>
                </c:pt>
                <c:pt idx="20">
                  <c:v>2.7908204651847583</c:v>
                </c:pt>
                <c:pt idx="21">
                  <c:v>2.7849120952736683</c:v>
                </c:pt>
                <c:pt idx="22">
                  <c:v>2.7789442530954318</c:v>
                </c:pt>
                <c:pt idx="23">
                  <c:v>2.7728196482980323</c:v>
                </c:pt>
                <c:pt idx="24">
                  <c:v>2.7666005706399019</c:v>
                </c:pt>
                <c:pt idx="25">
                  <c:v>2.7605594411086685</c:v>
                </c:pt>
                <c:pt idx="26">
                  <c:v>2.7544056596608684</c:v>
                </c:pt>
                <c:pt idx="27">
                  <c:v>2.7483257727970027</c:v>
                </c:pt>
                <c:pt idx="28">
                  <c:v>2.7422208679247007</c:v>
                </c:pt>
                <c:pt idx="29">
                  <c:v>2.7361878319416917</c:v>
                </c:pt>
                <c:pt idx="30">
                  <c:v>2.730062814440295</c:v>
                </c:pt>
                <c:pt idx="31">
                  <c:v>2.7237485158335346</c:v>
                </c:pt>
                <c:pt idx="32">
                  <c:v>2.7172465810449822</c:v>
                </c:pt>
                <c:pt idx="33">
                  <c:v>2.7106083126764986</c:v>
                </c:pt>
                <c:pt idx="34">
                  <c:v>2.703821062830734</c:v>
                </c:pt>
                <c:pt idx="35">
                  <c:v>2.6970280527647859</c:v>
                </c:pt>
                <c:pt idx="36">
                  <c:v>2.6902602021798501</c:v>
                </c:pt>
                <c:pt idx="37">
                  <c:v>2.6834204528610854</c:v>
                </c:pt>
                <c:pt idx="38">
                  <c:v>2.6764140069213056</c:v>
                </c:pt>
                <c:pt idx="39">
                  <c:v>2.6691164334452253</c:v>
                </c:pt>
                <c:pt idx="40">
                  <c:v>2.6618996735015372</c:v>
                </c:pt>
                <c:pt idx="41">
                  <c:v>2.6543358166281408</c:v>
                </c:pt>
                <c:pt idx="42">
                  <c:v>2.6466970270763142</c:v>
                </c:pt>
                <c:pt idx="43">
                  <c:v>2.6390592212210109</c:v>
                </c:pt>
                <c:pt idx="44">
                  <c:v>2.6316387664664234</c:v>
                </c:pt>
                <c:pt idx="45">
                  <c:v>2.6241358169697975</c:v>
                </c:pt>
                <c:pt idx="46">
                  <c:v>2.6164775254667276</c:v>
                </c:pt>
                <c:pt idx="47">
                  <c:v>2.608740789057812</c:v>
                </c:pt>
                <c:pt idx="48">
                  <c:v>2.6009109286868934</c:v>
                </c:pt>
                <c:pt idx="49">
                  <c:v>2.5929656884471513</c:v>
                </c:pt>
                <c:pt idx="50">
                  <c:v>2.5846751039136393</c:v>
                </c:pt>
                <c:pt idx="51">
                  <c:v>2.5762388120484374</c:v>
                </c:pt>
                <c:pt idx="52">
                  <c:v>2.5676029177685891</c:v>
                </c:pt>
                <c:pt idx="53">
                  <c:v>2.5587594580406545</c:v>
                </c:pt>
                <c:pt idx="54">
                  <c:v>2.5493431237697664</c:v>
                </c:pt>
                <c:pt idx="55">
                  <c:v>2.5399131727063491</c:v>
                </c:pt>
                <c:pt idx="56">
                  <c:v>2.5300123179360838</c:v>
                </c:pt>
                <c:pt idx="57">
                  <c:v>2.5197147923634233</c:v>
                </c:pt>
                <c:pt idx="58">
                  <c:v>2.5091334814164696</c:v>
                </c:pt>
                <c:pt idx="59">
                  <c:v>2.499124641665901</c:v>
                </c:pt>
                <c:pt idx="60">
                  <c:v>2.488738424963536</c:v>
                </c:pt>
                <c:pt idx="61">
                  <c:v>2.477936421162994</c:v>
                </c:pt>
                <c:pt idx="62">
                  <c:v>2.4669268925981029</c:v>
                </c:pt>
                <c:pt idx="63">
                  <c:v>2.4559026586872648</c:v>
                </c:pt>
                <c:pt idx="64">
                  <c:v>2.4443387778487491</c:v>
                </c:pt>
                <c:pt idx="65">
                  <c:v>2.43331816280147</c:v>
                </c:pt>
                <c:pt idx="66">
                  <c:v>2.4221259990620183</c:v>
                </c:pt>
                <c:pt idx="67">
                  <c:v>2.4101564542676499</c:v>
                </c:pt>
                <c:pt idx="68">
                  <c:v>2.3971054839652837</c:v>
                </c:pt>
                <c:pt idx="69">
                  <c:v>2.3837444298268196</c:v>
                </c:pt>
                <c:pt idx="70">
                  <c:v>2.371112338407201</c:v>
                </c:pt>
                <c:pt idx="71">
                  <c:v>2.3575103669893736</c:v>
                </c:pt>
                <c:pt idx="72">
                  <c:v>2.3454376211926302</c:v>
                </c:pt>
                <c:pt idx="73">
                  <c:v>2.3328863142627583</c:v>
                </c:pt>
                <c:pt idx="74">
                  <c:v>2.3185193872534242</c:v>
                </c:pt>
                <c:pt idx="75">
                  <c:v>2.3042805771200534</c:v>
                </c:pt>
                <c:pt idx="76">
                  <c:v>2.2902684345202147</c:v>
                </c:pt>
                <c:pt idx="77">
                  <c:v>2.2763564226074777</c:v>
                </c:pt>
                <c:pt idx="78">
                  <c:v>2.2616780271223647</c:v>
                </c:pt>
                <c:pt idx="79">
                  <c:v>2.246643593898213</c:v>
                </c:pt>
                <c:pt idx="80">
                  <c:v>2.2307757525270233</c:v>
                </c:pt>
                <c:pt idx="81">
                  <c:v>2.2157371082423865</c:v>
                </c:pt>
                <c:pt idx="82">
                  <c:v>2.202233693425022</c:v>
                </c:pt>
                <c:pt idx="83">
                  <c:v>2.1899193245235864</c:v>
                </c:pt>
                <c:pt idx="84">
                  <c:v>2.1771800634908516</c:v>
                </c:pt>
                <c:pt idx="85">
                  <c:v>2.164028421782298</c:v>
                </c:pt>
                <c:pt idx="86">
                  <c:v>2.1506731537332158</c:v>
                </c:pt>
                <c:pt idx="87">
                  <c:v>2.1363538495921972</c:v>
                </c:pt>
                <c:pt idx="88">
                  <c:v>2.1213697928213691</c:v>
                </c:pt>
                <c:pt idx="89">
                  <c:v>2.1071677924653542</c:v>
                </c:pt>
                <c:pt idx="90">
                  <c:v>2.0924314506195216</c:v>
                </c:pt>
                <c:pt idx="91">
                  <c:v>2.077406068651598</c:v>
                </c:pt>
                <c:pt idx="92">
                  <c:v>2.0608625865775494</c:v>
                </c:pt>
                <c:pt idx="93">
                  <c:v>2.0422820270752382</c:v>
                </c:pt>
                <c:pt idx="94">
                  <c:v>2.0213675345616906</c:v>
                </c:pt>
                <c:pt idx="95">
                  <c:v>2.0019339288961433</c:v>
                </c:pt>
                <c:pt idx="96">
                  <c:v>1.9832663102152353</c:v>
                </c:pt>
                <c:pt idx="97">
                  <c:v>1.9648166541952037</c:v>
                </c:pt>
                <c:pt idx="98">
                  <c:v>1.946622051551266</c:v>
                </c:pt>
                <c:pt idx="99">
                  <c:v>1.9279032857821079</c:v>
                </c:pt>
                <c:pt idx="100">
                  <c:v>1.9101637931098878</c:v>
                </c:pt>
                <c:pt idx="101">
                  <c:v>1.8942183868491043</c:v>
                </c:pt>
                <c:pt idx="102">
                  <c:v>1.8775926999098544</c:v>
                </c:pt>
                <c:pt idx="103">
                  <c:v>1.8615263304769698</c:v>
                </c:pt>
                <c:pt idx="104">
                  <c:v>1.8451480441506618</c:v>
                </c:pt>
                <c:pt idx="105">
                  <c:v>1.829568813722048</c:v>
                </c:pt>
                <c:pt idx="106">
                  <c:v>1.814018136230203</c:v>
                </c:pt>
                <c:pt idx="107">
                  <c:v>1.7980484037153417</c:v>
                </c:pt>
                <c:pt idx="108">
                  <c:v>1.7826825301849638</c:v>
                </c:pt>
                <c:pt idx="109">
                  <c:v>1.7690273945103883</c:v>
                </c:pt>
                <c:pt idx="110">
                  <c:v>1.7567846369905951</c:v>
                </c:pt>
                <c:pt idx="111">
                  <c:v>1.7434961795242572</c:v>
                </c:pt>
                <c:pt idx="112">
                  <c:v>1.7293768511999446</c:v>
                </c:pt>
                <c:pt idx="113">
                  <c:v>1.7145468528053271</c:v>
                </c:pt>
                <c:pt idx="114">
                  <c:v>1.7007678507232598</c:v>
                </c:pt>
                <c:pt idx="115">
                  <c:v>1.6863786095411939</c:v>
                </c:pt>
                <c:pt idx="116">
                  <c:v>1.6731337711249452</c:v>
                </c:pt>
                <c:pt idx="117">
                  <c:v>1.6583100580068049</c:v>
                </c:pt>
                <c:pt idx="118">
                  <c:v>1.6437427302617067</c:v>
                </c:pt>
                <c:pt idx="119">
                  <c:v>1.6273254586542905</c:v>
                </c:pt>
                <c:pt idx="120">
                  <c:v>2.6942712177914672</c:v>
                </c:pt>
                <c:pt idx="121">
                  <c:v>2.6836603193393813</c:v>
                </c:pt>
                <c:pt idx="122">
                  <c:v>2.6718787988860129</c:v>
                </c:pt>
                <c:pt idx="123">
                  <c:v>2.6604619861738996</c:v>
                </c:pt>
                <c:pt idx="124">
                  <c:v>2.6506514475581682</c:v>
                </c:pt>
                <c:pt idx="125">
                  <c:v>2.6423688343860405</c:v>
                </c:pt>
                <c:pt idx="126">
                  <c:v>2.6355175557836574</c:v>
                </c:pt>
                <c:pt idx="127">
                  <c:v>2.6309489229328449</c:v>
                </c:pt>
                <c:pt idx="128">
                  <c:v>2.6292548962637952</c:v>
                </c:pt>
                <c:pt idx="129">
                  <c:v>2.6211994507226564</c:v>
                </c:pt>
                <c:pt idx="130">
                  <c:v>2.6123376667346534</c:v>
                </c:pt>
                <c:pt idx="131">
                  <c:v>2.6025053310696649</c:v>
                </c:pt>
                <c:pt idx="132">
                  <c:v>2.5970595906848644</c:v>
                </c:pt>
                <c:pt idx="133">
                  <c:v>2.594836069050622</c:v>
                </c:pt>
                <c:pt idx="134">
                  <c:v>2.5931359521794022</c:v>
                </c:pt>
                <c:pt idx="135">
                  <c:v>2.5963521471440743</c:v>
                </c:pt>
                <c:pt idx="136">
                  <c:v>2.6109459009306235</c:v>
                </c:pt>
                <c:pt idx="137">
                  <c:v>2.6259890015456264</c:v>
                </c:pt>
                <c:pt idx="138">
                  <c:v>2.6363401195087164</c:v>
                </c:pt>
                <c:pt idx="139">
                  <c:v>2.6510240397087514</c:v>
                </c:pt>
                <c:pt idx="140">
                  <c:v>2.6581052204631561</c:v>
                </c:pt>
                <c:pt idx="141">
                  <c:v>2.6317366302212761</c:v>
                </c:pt>
                <c:pt idx="142">
                  <c:v>2.6172910013945483</c:v>
                </c:pt>
                <c:pt idx="143">
                  <c:v>2.5803731985747547</c:v>
                </c:pt>
                <c:pt idx="144">
                  <c:v>2.5481648106244634</c:v>
                </c:pt>
                <c:pt idx="145">
                  <c:v>2.5160313026270735</c:v>
                </c:pt>
                <c:pt idx="146">
                  <c:v>2.4824199385044352</c:v>
                </c:pt>
                <c:pt idx="147">
                  <c:v>2.4541684074485772</c:v>
                </c:pt>
                <c:pt idx="148">
                  <c:v>2.4368489165928366</c:v>
                </c:pt>
                <c:pt idx="149">
                  <c:v>2.4087654938244079</c:v>
                </c:pt>
                <c:pt idx="150">
                  <c:v>2.3837370153625628</c:v>
                </c:pt>
                <c:pt idx="151">
                  <c:v>2.3499103096057468</c:v>
                </c:pt>
                <c:pt idx="152">
                  <c:v>2.3180507627535292</c:v>
                </c:pt>
                <c:pt idx="153">
                  <c:v>2.2713324222259743</c:v>
                </c:pt>
                <c:pt idx="154">
                  <c:v>2.2328929842451046</c:v>
                </c:pt>
                <c:pt idx="155">
                  <c:v>2.1831864134692189</c:v>
                </c:pt>
                <c:pt idx="156">
                  <c:v>2.1317544877815564</c:v>
                </c:pt>
                <c:pt idx="157">
                  <c:v>2.0766577409043983</c:v>
                </c:pt>
                <c:pt idx="158">
                  <c:v>2.0145278038812329</c:v>
                </c:pt>
                <c:pt idx="159">
                  <c:v>1.9667967399177293</c:v>
                </c:pt>
                <c:pt idx="160">
                  <c:v>1.9298196425876526</c:v>
                </c:pt>
                <c:pt idx="161">
                  <c:v>1.9076648945624619</c:v>
                </c:pt>
                <c:pt idx="162">
                  <c:v>1.8920367623496581</c:v>
                </c:pt>
                <c:pt idx="163">
                  <c:v>1.8813313960136639</c:v>
                </c:pt>
                <c:pt idx="164">
                  <c:v>1.8465478618353259</c:v>
                </c:pt>
                <c:pt idx="165">
                  <c:v>1.8060494235846285</c:v>
                </c:pt>
                <c:pt idx="166">
                  <c:v>1.7734398773660054</c:v>
                </c:pt>
                <c:pt idx="167">
                  <c:v>1.7454941621386908</c:v>
                </c:pt>
                <c:pt idx="168">
                  <c:v>1.7164620636024921</c:v>
                </c:pt>
                <c:pt idx="169">
                  <c:v>1.6711327608983773</c:v>
                </c:pt>
                <c:pt idx="170">
                  <c:v>1.6413903628670248</c:v>
                </c:pt>
                <c:pt idx="171">
                  <c:v>1.6326908312431208</c:v>
                </c:pt>
                <c:pt idx="172">
                  <c:v>1.5409452452534538</c:v>
                </c:pt>
                <c:pt idx="173">
                  <c:v>1.5977516681615143</c:v>
                </c:pt>
                <c:pt idx="174">
                  <c:v>2.5954090404111412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A-45E2-A902-9D785949E1EE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6A-45E2-A902-9D785949E1EE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0.0</c:formatCode>
                <c:ptCount val="175"/>
                <c:pt idx="0">
                  <c:v>10.287659069900201</c:v>
                </c:pt>
                <c:pt idx="1">
                  <c:v>10.293132459633739</c:v>
                </c:pt>
                <c:pt idx="2">
                  <c:v>10.2985262905569</c:v>
                </c:pt>
                <c:pt idx="3">
                  <c:v>10.303902702451303</c:v>
                </c:pt>
                <c:pt idx="4">
                  <c:v>10.30930776480983</c:v>
                </c:pt>
                <c:pt idx="5">
                  <c:v>10.31499968299417</c:v>
                </c:pt>
                <c:pt idx="6">
                  <c:v>10.32062157503308</c:v>
                </c:pt>
                <c:pt idx="7">
                  <c:v>10.326314250247584</c:v>
                </c:pt>
                <c:pt idx="8">
                  <c:v>10.33194386599822</c:v>
                </c:pt>
                <c:pt idx="9">
                  <c:v>10.337486498308948</c:v>
                </c:pt>
                <c:pt idx="10">
                  <c:v>10.343173667625777</c:v>
                </c:pt>
                <c:pt idx="11">
                  <c:v>10.349052642363823</c:v>
                </c:pt>
                <c:pt idx="12">
                  <c:v>10.354982681523047</c:v>
                </c:pt>
                <c:pt idx="13">
                  <c:v>10.36083864568154</c:v>
                </c:pt>
                <c:pt idx="14">
                  <c:v>10.366789541200092</c:v>
                </c:pt>
                <c:pt idx="15">
                  <c:v>10.37288343323376</c:v>
                </c:pt>
                <c:pt idx="16">
                  <c:v>10.3790698570226</c:v>
                </c:pt>
                <c:pt idx="17">
                  <c:v>10.38524240235332</c:v>
                </c:pt>
                <c:pt idx="18">
                  <c:v>10.391529821387017</c:v>
                </c:pt>
                <c:pt idx="19">
                  <c:v>10.397787739766144</c:v>
                </c:pt>
                <c:pt idx="20">
                  <c:v>10.404191516090954</c:v>
                </c:pt>
                <c:pt idx="21">
                  <c:v>10.410536880427685</c:v>
                </c:pt>
                <c:pt idx="22">
                  <c:v>10.4168941182268</c:v>
                </c:pt>
                <c:pt idx="23">
                  <c:v>10.423601759059693</c:v>
                </c:pt>
                <c:pt idx="24">
                  <c:v>10.430486637855743</c:v>
                </c:pt>
                <c:pt idx="25">
                  <c:v>10.436747213424866</c:v>
                </c:pt>
                <c:pt idx="26">
                  <c:v>10.443319115018895</c:v>
                </c:pt>
                <c:pt idx="27">
                  <c:v>10.449412000031927</c:v>
                </c:pt>
                <c:pt idx="28">
                  <c:v>10.455551925001018</c:v>
                </c:pt>
                <c:pt idx="29">
                  <c:v>10.461391619628529</c:v>
                </c:pt>
                <c:pt idx="30">
                  <c:v>10.467403649900156</c:v>
                </c:pt>
                <c:pt idx="31">
                  <c:v>10.47399017252517</c:v>
                </c:pt>
                <c:pt idx="32">
                  <c:v>10.48078636515352</c:v>
                </c:pt>
                <c:pt idx="33">
                  <c:v>10.48786444064573</c:v>
                </c:pt>
                <c:pt idx="34">
                  <c:v>10.495102648053155</c:v>
                </c:pt>
                <c:pt idx="35">
                  <c:v>10.502238837069264</c:v>
                </c:pt>
                <c:pt idx="36">
                  <c:v>10.509161809969768</c:v>
                </c:pt>
                <c:pt idx="37">
                  <c:v>10.516100031524175</c:v>
                </c:pt>
                <c:pt idx="38">
                  <c:v>10.523322266435464</c:v>
                </c:pt>
                <c:pt idx="39">
                  <c:v>10.531153465148343</c:v>
                </c:pt>
                <c:pt idx="40">
                  <c:v>10.538584194818526</c:v>
                </c:pt>
                <c:pt idx="41">
                  <c:v>10.546617137152467</c:v>
                </c:pt>
                <c:pt idx="42">
                  <c:v>10.554677838283858</c:v>
                </c:pt>
                <c:pt idx="43">
                  <c:v>10.562754663558628</c:v>
                </c:pt>
                <c:pt idx="44">
                  <c:v>10.570091584621281</c:v>
                </c:pt>
                <c:pt idx="45">
                  <c:v>10.577675013297927</c:v>
                </c:pt>
                <c:pt idx="46">
                  <c:v>10.585383660002385</c:v>
                </c:pt>
                <c:pt idx="47">
                  <c:v>10.593165297835924</c:v>
                </c:pt>
                <c:pt idx="48">
                  <c:v>10.600923568913693</c:v>
                </c:pt>
                <c:pt idx="49">
                  <c:v>10.608673039268723</c:v>
                </c:pt>
                <c:pt idx="50">
                  <c:v>10.617136230221902</c:v>
                </c:pt>
                <c:pt idx="51">
                  <c:v>10.625810259794498</c:v>
                </c:pt>
                <c:pt idx="52">
                  <c:v>10.634576591148075</c:v>
                </c:pt>
                <c:pt idx="53">
                  <c:v>10.643945482530448</c:v>
                </c:pt>
                <c:pt idx="54">
                  <c:v>10.654820036134922</c:v>
                </c:pt>
                <c:pt idx="55">
                  <c:v>10.665325526201237</c:v>
                </c:pt>
                <c:pt idx="56">
                  <c:v>10.677200083658626</c:v>
                </c:pt>
                <c:pt idx="57">
                  <c:v>10.689351176839573</c:v>
                </c:pt>
                <c:pt idx="58">
                  <c:v>10.702726725957085</c:v>
                </c:pt>
                <c:pt idx="59">
                  <c:v>10.71450024627012</c:v>
                </c:pt>
                <c:pt idx="60">
                  <c:v>10.726800829733889</c:v>
                </c:pt>
                <c:pt idx="61">
                  <c:v>10.740432589511869</c:v>
                </c:pt>
                <c:pt idx="62">
                  <c:v>10.754250663322516</c:v>
                </c:pt>
                <c:pt idx="63">
                  <c:v>10.767831416119748</c:v>
                </c:pt>
                <c:pt idx="64">
                  <c:v>10.782771524064678</c:v>
                </c:pt>
                <c:pt idx="65">
                  <c:v>10.796990595068316</c:v>
                </c:pt>
                <c:pt idx="66">
                  <c:v>10.811743652329632</c:v>
                </c:pt>
                <c:pt idx="67">
                  <c:v>10.827907763429593</c:v>
                </c:pt>
                <c:pt idx="68">
                  <c:v>10.846180256649284</c:v>
                </c:pt>
                <c:pt idx="69">
                  <c:v>10.868576078533238</c:v>
                </c:pt>
                <c:pt idx="70">
                  <c:v>10.892444177588324</c:v>
                </c:pt>
                <c:pt idx="71">
                  <c:v>10.91728902094713</c:v>
                </c:pt>
                <c:pt idx="72">
                  <c:v>10.937846561610947</c:v>
                </c:pt>
                <c:pt idx="73">
                  <c:v>10.959842852473756</c:v>
                </c:pt>
                <c:pt idx="74">
                  <c:v>10.986802410847986</c:v>
                </c:pt>
                <c:pt idx="75">
                  <c:v>11.013070577140788</c:v>
                </c:pt>
                <c:pt idx="76">
                  <c:v>11.039526181893415</c:v>
                </c:pt>
                <c:pt idx="77">
                  <c:v>11.064169300685627</c:v>
                </c:pt>
                <c:pt idx="78">
                  <c:v>11.090013709532499</c:v>
                </c:pt>
                <c:pt idx="79">
                  <c:v>11.115395561438952</c:v>
                </c:pt>
                <c:pt idx="80">
                  <c:v>11.142222595749679</c:v>
                </c:pt>
                <c:pt idx="81">
                  <c:v>11.165133762154781</c:v>
                </c:pt>
                <c:pt idx="82">
                  <c:v>11.182484866757861</c:v>
                </c:pt>
                <c:pt idx="83">
                  <c:v>11.196369840170078</c:v>
                </c:pt>
                <c:pt idx="84">
                  <c:v>11.21085386231951</c:v>
                </c:pt>
                <c:pt idx="85">
                  <c:v>11.225060118411207</c:v>
                </c:pt>
                <c:pt idx="86">
                  <c:v>11.238933493719408</c:v>
                </c:pt>
                <c:pt idx="87">
                  <c:v>11.25372402818212</c:v>
                </c:pt>
                <c:pt idx="88">
                  <c:v>11.270336303979462</c:v>
                </c:pt>
                <c:pt idx="89">
                  <c:v>11.28306229206008</c:v>
                </c:pt>
                <c:pt idx="90">
                  <c:v>11.298049982990882</c:v>
                </c:pt>
                <c:pt idx="91">
                  <c:v>11.306265515323588</c:v>
                </c:pt>
                <c:pt idx="92">
                  <c:v>11.319805895252642</c:v>
                </c:pt>
                <c:pt idx="93">
                  <c:v>11.340560439733061</c:v>
                </c:pt>
                <c:pt idx="94">
                  <c:v>11.360499931245272</c:v>
                </c:pt>
                <c:pt idx="95">
                  <c:v>11.380856650149099</c:v>
                </c:pt>
                <c:pt idx="96">
                  <c:v>11.403557307472326</c:v>
                </c:pt>
                <c:pt idx="97">
                  <c:v>11.424237875326384</c:v>
                </c:pt>
                <c:pt idx="98">
                  <c:v>11.444638439260622</c:v>
                </c:pt>
                <c:pt idx="99">
                  <c:v>11.465383622081383</c:v>
                </c:pt>
                <c:pt idx="100">
                  <c:v>11.47936650265877</c:v>
                </c:pt>
                <c:pt idx="101">
                  <c:v>11.490834312169923</c:v>
                </c:pt>
                <c:pt idx="102">
                  <c:v>11.502116655850791</c:v>
                </c:pt>
                <c:pt idx="103">
                  <c:v>11.509639864286811</c:v>
                </c:pt>
                <c:pt idx="104">
                  <c:v>11.515041258626177</c:v>
                </c:pt>
                <c:pt idx="105">
                  <c:v>11.515706425487373</c:v>
                </c:pt>
                <c:pt idx="106">
                  <c:v>11.513758515388098</c:v>
                </c:pt>
                <c:pt idx="107">
                  <c:v>11.509049004404744</c:v>
                </c:pt>
                <c:pt idx="108">
                  <c:v>11.498291337725746</c:v>
                </c:pt>
                <c:pt idx="109">
                  <c:v>11.482176228481052</c:v>
                </c:pt>
                <c:pt idx="110">
                  <c:v>11.463252223338074</c:v>
                </c:pt>
                <c:pt idx="111">
                  <c:v>11.444265713985942</c:v>
                </c:pt>
                <c:pt idx="112">
                  <c:v>11.421931013895232</c:v>
                </c:pt>
                <c:pt idx="113">
                  <c:v>11.396074354439378</c:v>
                </c:pt>
                <c:pt idx="114">
                  <c:v>11.364682482411112</c:v>
                </c:pt>
                <c:pt idx="115">
                  <c:v>11.329650361624068</c:v>
                </c:pt>
                <c:pt idx="116">
                  <c:v>11.290269796769486</c:v>
                </c:pt>
                <c:pt idx="117">
                  <c:v>11.248959620111208</c:v>
                </c:pt>
                <c:pt idx="118">
                  <c:v>11.202551657539331</c:v>
                </c:pt>
                <c:pt idx="119">
                  <c:v>11.15682744061057</c:v>
                </c:pt>
                <c:pt idx="120">
                  <c:v>9.8123787469167993</c:v>
                </c:pt>
                <c:pt idx="121">
                  <c:v>9.7765006192869421</c:v>
                </c:pt>
                <c:pt idx="122">
                  <c:v>9.7386578198115643</c:v>
                </c:pt>
                <c:pt idx="123">
                  <c:v>9.6966879815671945</c:v>
                </c:pt>
                <c:pt idx="124">
                  <c:v>9.6486902740647835</c:v>
                </c:pt>
                <c:pt idx="125">
                  <c:v>9.5897748196888628</c:v>
                </c:pt>
                <c:pt idx="126">
                  <c:v>9.5169814106650463</c:v>
                </c:pt>
                <c:pt idx="127">
                  <c:v>9.4379241563692133</c:v>
                </c:pt>
                <c:pt idx="128">
                  <c:v>9.3509695233334114</c:v>
                </c:pt>
                <c:pt idx="129">
                  <c:v>9.2577879167452011</c:v>
                </c:pt>
                <c:pt idx="130">
                  <c:v>9.1626307497095354</c:v>
                </c:pt>
                <c:pt idx="131">
                  <c:v>9.0573759387277946</c:v>
                </c:pt>
                <c:pt idx="132">
                  <c:v>8.9449086269937936</c:v>
                </c:pt>
                <c:pt idx="133">
                  <c:v>8.8200653707631531</c:v>
                </c:pt>
                <c:pt idx="134">
                  <c:v>8.6883863629867193</c:v>
                </c:pt>
                <c:pt idx="135">
                  <c:v>8.5476326269857381</c:v>
                </c:pt>
                <c:pt idx="136">
                  <c:v>8.3889434150819469</c:v>
                </c:pt>
                <c:pt idx="137">
                  <c:v>8.2202078701732191</c:v>
                </c:pt>
                <c:pt idx="138">
                  <c:v>8.0467208583876086</c:v>
                </c:pt>
                <c:pt idx="139">
                  <c:v>7.8659677823502321</c:v>
                </c:pt>
                <c:pt idx="140">
                  <c:v>7.6920079702385706</c:v>
                </c:pt>
                <c:pt idx="141">
                  <c:v>7.5376426257164013</c:v>
                </c:pt>
                <c:pt idx="142">
                  <c:v>7.3822066986966206</c:v>
                </c:pt>
                <c:pt idx="143">
                  <c:v>7.2722567154202054</c:v>
                </c:pt>
                <c:pt idx="144">
                  <c:v>7.1794692948211605</c:v>
                </c:pt>
                <c:pt idx="145">
                  <c:v>7.1140332411314731</c:v>
                </c:pt>
                <c:pt idx="146">
                  <c:v>7.0573979368590116</c:v>
                </c:pt>
                <c:pt idx="147">
                  <c:v>7.0033479356116928</c:v>
                </c:pt>
                <c:pt idx="148">
                  <c:v>6.9518966715216735</c:v>
                </c:pt>
                <c:pt idx="149">
                  <c:v>6.9170171014265946</c:v>
                </c:pt>
                <c:pt idx="150">
                  <c:v>6.8772711626978094</c:v>
                </c:pt>
                <c:pt idx="151">
                  <c:v>6.8460186897372175</c:v>
                </c:pt>
                <c:pt idx="152">
                  <c:v>6.8122758877126159</c:v>
                </c:pt>
                <c:pt idx="153">
                  <c:v>6.7937094638243742</c:v>
                </c:pt>
                <c:pt idx="154">
                  <c:v>6.761002303481888</c:v>
                </c:pt>
                <c:pt idx="155">
                  <c:v>6.7483787449070327</c:v>
                </c:pt>
                <c:pt idx="156">
                  <c:v>6.7444202101263429</c:v>
                </c:pt>
                <c:pt idx="157">
                  <c:v>6.7393536886537682</c:v>
                </c:pt>
                <c:pt idx="158">
                  <c:v>6.7411732668244895</c:v>
                </c:pt>
                <c:pt idx="159">
                  <c:v>6.7308672028299945</c:v>
                </c:pt>
                <c:pt idx="160">
                  <c:v>6.7334685347789822</c:v>
                </c:pt>
                <c:pt idx="161">
                  <c:v>6.7191870385545336</c:v>
                </c:pt>
                <c:pt idx="162">
                  <c:v>6.6893031502042533</c:v>
                </c:pt>
                <c:pt idx="163">
                  <c:v>6.6585316107913499</c:v>
                </c:pt>
                <c:pt idx="164">
                  <c:v>6.6735004215522586</c:v>
                </c:pt>
                <c:pt idx="165">
                  <c:v>6.7071165020466026</c:v>
                </c:pt>
                <c:pt idx="166">
                  <c:v>6.7331787430414458</c:v>
                </c:pt>
                <c:pt idx="167">
                  <c:v>6.7480891521073403</c:v>
                </c:pt>
                <c:pt idx="168">
                  <c:v>6.7511817922943997</c:v>
                </c:pt>
                <c:pt idx="169">
                  <c:v>6.757084123466516</c:v>
                </c:pt>
                <c:pt idx="170">
                  <c:v>6.7526840068806671</c:v>
                </c:pt>
                <c:pt idx="171">
                  <c:v>6.7135205602643779</c:v>
                </c:pt>
                <c:pt idx="172">
                  <c:v>6.6787001872587162</c:v>
                </c:pt>
                <c:pt idx="173">
                  <c:v>6.5755315783623587</c:v>
                </c:pt>
                <c:pt idx="174">
                  <c:v>5.5810965434977433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6A-45E2-A902-9D785949E1EE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data_ghg_excLUC!$Q$3:$Q$177</c:f>
              <c:numCache>
                <c:formatCode>0.0</c:formatCode>
                <c:ptCount val="175"/>
                <c:pt idx="0">
                  <c:v>3.2515724106195307</c:v>
                </c:pt>
                <c:pt idx="1">
                  <c:v>3.246824403759021</c:v>
                </c:pt>
                <c:pt idx="2">
                  <c:v>3.2421183732683403</c:v>
                </c:pt>
                <c:pt idx="3">
                  <c:v>3.2374308667860632</c:v>
                </c:pt>
                <c:pt idx="4">
                  <c:v>3.2327529443919829</c:v>
                </c:pt>
                <c:pt idx="5">
                  <c:v>3.2280123949541135</c:v>
                </c:pt>
                <c:pt idx="6">
                  <c:v>3.2232975203052803</c:v>
                </c:pt>
                <c:pt idx="7">
                  <c:v>3.2185976813748454</c:v>
                </c:pt>
                <c:pt idx="8">
                  <c:v>3.2139335420682826</c:v>
                </c:pt>
                <c:pt idx="9">
                  <c:v>3.2092962175179167</c:v>
                </c:pt>
                <c:pt idx="10">
                  <c:v>3.2046291485827609</c:v>
                </c:pt>
                <c:pt idx="11">
                  <c:v>3.1999184422384772</c:v>
                </c:pt>
                <c:pt idx="12">
                  <c:v>3.1952003251908181</c:v>
                </c:pt>
                <c:pt idx="13">
                  <c:v>3.1904847940101178</c:v>
                </c:pt>
                <c:pt idx="14">
                  <c:v>3.1857314963567092</c:v>
                </c:pt>
                <c:pt idx="15">
                  <c:v>3.1809329605284873</c:v>
                </c:pt>
                <c:pt idx="16">
                  <c:v>3.1760982990623106</c:v>
                </c:pt>
                <c:pt idx="17">
                  <c:v>3.1712500912367076</c:v>
                </c:pt>
                <c:pt idx="18">
                  <c:v>3.1663505422632099</c:v>
                </c:pt>
                <c:pt idx="19">
                  <c:v>3.161448264073428</c:v>
                </c:pt>
                <c:pt idx="20">
                  <c:v>3.156481241230189</c:v>
                </c:pt>
                <c:pt idx="21">
                  <c:v>3.1515286191046883</c:v>
                </c:pt>
                <c:pt idx="22">
                  <c:v>3.1465402069015269</c:v>
                </c:pt>
                <c:pt idx="23">
                  <c:v>3.1414827732708162</c:v>
                </c:pt>
                <c:pt idx="24">
                  <c:v>3.1363967816765737</c:v>
                </c:pt>
                <c:pt idx="25">
                  <c:v>3.1314495445322166</c:v>
                </c:pt>
                <c:pt idx="26">
                  <c:v>3.1264714513771494</c:v>
                </c:pt>
                <c:pt idx="27">
                  <c:v>3.121547411982057</c:v>
                </c:pt>
                <c:pt idx="28">
                  <c:v>3.1166513596665339</c:v>
                </c:pt>
                <c:pt idx="29">
                  <c:v>3.1118456646714563</c:v>
                </c:pt>
                <c:pt idx="30">
                  <c:v>3.1070093660346103</c:v>
                </c:pt>
                <c:pt idx="31">
                  <c:v>3.1020912660154352</c:v>
                </c:pt>
                <c:pt idx="32">
                  <c:v>3.0970482930461785</c:v>
                </c:pt>
                <c:pt idx="33">
                  <c:v>3.0919257213566951</c:v>
                </c:pt>
                <c:pt idx="34">
                  <c:v>3.0866916919939413</c:v>
                </c:pt>
                <c:pt idx="35">
                  <c:v>3.0814562306223294</c:v>
                </c:pt>
                <c:pt idx="36">
                  <c:v>3.0762303262732544</c:v>
                </c:pt>
                <c:pt idx="37">
                  <c:v>3.0709536693660908</c:v>
                </c:pt>
                <c:pt idx="38">
                  <c:v>3.0655683850261397</c:v>
                </c:pt>
                <c:pt idx="39">
                  <c:v>3.0600028161727764</c:v>
                </c:pt>
                <c:pt idx="40">
                  <c:v>3.0544783289107684</c:v>
                </c:pt>
                <c:pt idx="41">
                  <c:v>3.048702198560683</c:v>
                </c:pt>
                <c:pt idx="42">
                  <c:v>3.0428752766379787</c:v>
                </c:pt>
                <c:pt idx="43">
                  <c:v>3.0370795075904269</c:v>
                </c:pt>
                <c:pt idx="44">
                  <c:v>3.0314054126324379</c:v>
                </c:pt>
                <c:pt idx="45">
                  <c:v>3.0257153376845523</c:v>
                </c:pt>
                <c:pt idx="46">
                  <c:v>3.0198970211081004</c:v>
                </c:pt>
                <c:pt idx="47">
                  <c:v>3.014033493338097</c:v>
                </c:pt>
                <c:pt idx="48">
                  <c:v>3.0080878842714682</c:v>
                </c:pt>
                <c:pt idx="49">
                  <c:v>3.0020341438086291</c:v>
                </c:pt>
                <c:pt idx="50">
                  <c:v>2.9957497597093266</c:v>
                </c:pt>
                <c:pt idx="51">
                  <c:v>2.9893386153543915</c:v>
                </c:pt>
                <c:pt idx="52">
                  <c:v>2.9827942013303002</c:v>
                </c:pt>
                <c:pt idx="53">
                  <c:v>2.9762120202626363</c:v>
                </c:pt>
                <c:pt idx="54">
                  <c:v>2.9693350994675285</c:v>
                </c:pt>
                <c:pt idx="55">
                  <c:v>2.9624675594068677</c:v>
                </c:pt>
                <c:pt idx="56">
                  <c:v>2.9554074243399171</c:v>
                </c:pt>
                <c:pt idx="57">
                  <c:v>2.9479295064563615</c:v>
                </c:pt>
                <c:pt idx="58">
                  <c:v>2.9406017670393965</c:v>
                </c:pt>
                <c:pt idx="59">
                  <c:v>2.9336379499790226</c:v>
                </c:pt>
                <c:pt idx="60">
                  <c:v>2.9265002145968282</c:v>
                </c:pt>
                <c:pt idx="61">
                  <c:v>2.9192160096220547</c:v>
                </c:pt>
                <c:pt idx="62">
                  <c:v>2.9116053403514073</c:v>
                </c:pt>
                <c:pt idx="63">
                  <c:v>2.9039225654633114</c:v>
                </c:pt>
                <c:pt idx="64">
                  <c:v>2.8958926399793867</c:v>
                </c:pt>
                <c:pt idx="65">
                  <c:v>2.8883059478199087</c:v>
                </c:pt>
                <c:pt idx="66">
                  <c:v>2.8805756331405519</c:v>
                </c:pt>
                <c:pt idx="67">
                  <c:v>2.872332663870715</c:v>
                </c:pt>
                <c:pt idx="68">
                  <c:v>2.8633937315116356</c:v>
                </c:pt>
                <c:pt idx="69">
                  <c:v>2.854718421461456</c:v>
                </c:pt>
                <c:pt idx="70">
                  <c:v>2.8471114777342521</c:v>
                </c:pt>
                <c:pt idx="71">
                  <c:v>2.8386172349430012</c:v>
                </c:pt>
                <c:pt idx="72">
                  <c:v>2.8310726443796241</c:v>
                </c:pt>
                <c:pt idx="73">
                  <c:v>2.8232154645963234</c:v>
                </c:pt>
                <c:pt idx="74">
                  <c:v>2.8143131333813542</c:v>
                </c:pt>
                <c:pt idx="75">
                  <c:v>2.8054904303702983</c:v>
                </c:pt>
                <c:pt idx="76">
                  <c:v>2.796865009119557</c:v>
                </c:pt>
                <c:pt idx="77">
                  <c:v>2.7880186282578379</c:v>
                </c:pt>
                <c:pt idx="78">
                  <c:v>2.7786379115073956</c:v>
                </c:pt>
                <c:pt idx="79">
                  <c:v>2.7686938754413788</c:v>
                </c:pt>
                <c:pt idx="80">
                  <c:v>2.7580060880219719</c:v>
                </c:pt>
                <c:pt idx="81">
                  <c:v>2.7475595327535629</c:v>
                </c:pt>
                <c:pt idx="82">
                  <c:v>2.7379345301357745</c:v>
                </c:pt>
                <c:pt idx="83">
                  <c:v>2.72905517934214</c:v>
                </c:pt>
                <c:pt idx="84">
                  <c:v>2.7197973323704119</c:v>
                </c:pt>
                <c:pt idx="85">
                  <c:v>2.710008049272318</c:v>
                </c:pt>
                <c:pt idx="86">
                  <c:v>2.6998756813823732</c:v>
                </c:pt>
                <c:pt idx="87">
                  <c:v>2.688689567044598</c:v>
                </c:pt>
                <c:pt idx="88">
                  <c:v>2.6768743175963223</c:v>
                </c:pt>
                <c:pt idx="89">
                  <c:v>2.6650992483740694</c:v>
                </c:pt>
                <c:pt idx="90">
                  <c:v>2.652868031042793</c:v>
                </c:pt>
                <c:pt idx="91">
                  <c:v>2.6394616235500052</c:v>
                </c:pt>
                <c:pt idx="92">
                  <c:v>2.6250800645927441</c:v>
                </c:pt>
                <c:pt idx="93">
                  <c:v>2.6117832941322661</c:v>
                </c:pt>
                <c:pt idx="94">
                  <c:v>2.5980454222110723</c:v>
                </c:pt>
                <c:pt idx="95">
                  <c:v>2.5808898794721244</c:v>
                </c:pt>
                <c:pt idx="96">
                  <c:v>2.5643319905943471</c:v>
                </c:pt>
                <c:pt idx="97">
                  <c:v>2.5468662891445035</c:v>
                </c:pt>
                <c:pt idx="98">
                  <c:v>2.5298440468768106</c:v>
                </c:pt>
                <c:pt idx="99">
                  <c:v>2.5122474430009945</c:v>
                </c:pt>
                <c:pt idx="100">
                  <c:v>2.4942310313838902</c:v>
                </c:pt>
                <c:pt idx="101">
                  <c:v>2.4796019442229635</c:v>
                </c:pt>
                <c:pt idx="102">
                  <c:v>2.4643363974690473</c:v>
                </c:pt>
                <c:pt idx="103">
                  <c:v>2.4494296829789235</c:v>
                </c:pt>
                <c:pt idx="104">
                  <c:v>2.4340553804356659</c:v>
                </c:pt>
                <c:pt idx="105">
                  <c:v>2.4191452197303036</c:v>
                </c:pt>
                <c:pt idx="106">
                  <c:v>2.4048060104900912</c:v>
                </c:pt>
                <c:pt idx="107">
                  <c:v>2.390120397303356</c:v>
                </c:pt>
                <c:pt idx="108">
                  <c:v>2.3758192489069359</c:v>
                </c:pt>
                <c:pt idx="109">
                  <c:v>2.3632799274505984</c:v>
                </c:pt>
                <c:pt idx="110">
                  <c:v>2.3524930763435492</c:v>
                </c:pt>
                <c:pt idx="111">
                  <c:v>2.3411568374599199</c:v>
                </c:pt>
                <c:pt idx="112">
                  <c:v>2.3287355779651335</c:v>
                </c:pt>
                <c:pt idx="113">
                  <c:v>2.3157261872661792</c:v>
                </c:pt>
                <c:pt idx="114">
                  <c:v>2.3038517971439845</c:v>
                </c:pt>
                <c:pt idx="115">
                  <c:v>2.2913916479665559</c:v>
                </c:pt>
                <c:pt idx="116">
                  <c:v>2.280907842285508</c:v>
                </c:pt>
                <c:pt idx="117">
                  <c:v>2.2705196716044895</c:v>
                </c:pt>
                <c:pt idx="118">
                  <c:v>2.2615129320805707</c:v>
                </c:pt>
                <c:pt idx="119">
                  <c:v>2.2510708523282972</c:v>
                </c:pt>
                <c:pt idx="120">
                  <c:v>3.538840719160099</c:v>
                </c:pt>
                <c:pt idx="121">
                  <c:v>3.5169229700003584</c:v>
                </c:pt>
                <c:pt idx="122">
                  <c:v>3.4904065716315742</c:v>
                </c:pt>
                <c:pt idx="123">
                  <c:v>3.462948508045443</c:v>
                </c:pt>
                <c:pt idx="124">
                  <c:v>3.4381374559164684</c:v>
                </c:pt>
                <c:pt idx="125">
                  <c:v>3.4135658638960962</c:v>
                </c:pt>
                <c:pt idx="126">
                  <c:v>3.3879793683585362</c:v>
                </c:pt>
                <c:pt idx="127">
                  <c:v>3.3625166144560978</c:v>
                </c:pt>
                <c:pt idx="128">
                  <c:v>3.3368372179212997</c:v>
                </c:pt>
                <c:pt idx="129">
                  <c:v>3.3097675808292166</c:v>
                </c:pt>
                <c:pt idx="130">
                  <c:v>3.2835743577707817</c:v>
                </c:pt>
                <c:pt idx="131">
                  <c:v>3.2523901100766111</c:v>
                </c:pt>
                <c:pt idx="132">
                  <c:v>3.2267072379818202</c:v>
                </c:pt>
                <c:pt idx="133">
                  <c:v>3.2013671659556096</c:v>
                </c:pt>
                <c:pt idx="134">
                  <c:v>3.1754264057642203</c:v>
                </c:pt>
                <c:pt idx="135">
                  <c:v>3.1552186110821125</c:v>
                </c:pt>
                <c:pt idx="136">
                  <c:v>3.1337335898846774</c:v>
                </c:pt>
                <c:pt idx="137">
                  <c:v>3.1155712159829037</c:v>
                </c:pt>
                <c:pt idx="138">
                  <c:v>3.0981989491328932</c:v>
                </c:pt>
                <c:pt idx="139">
                  <c:v>3.0850230957125504</c:v>
                </c:pt>
                <c:pt idx="140">
                  <c:v>3.069552441615663</c:v>
                </c:pt>
                <c:pt idx="141">
                  <c:v>3.0261259574739512</c:v>
                </c:pt>
                <c:pt idx="142">
                  <c:v>3.0070061637368894</c:v>
                </c:pt>
                <c:pt idx="143">
                  <c:v>2.9803421832131463</c:v>
                </c:pt>
                <c:pt idx="144">
                  <c:v>2.9535297072935691</c:v>
                </c:pt>
                <c:pt idx="145">
                  <c:v>2.9312601788086354</c:v>
                </c:pt>
                <c:pt idx="146">
                  <c:v>2.9056631452114559</c:v>
                </c:pt>
                <c:pt idx="147">
                  <c:v>2.8836794311275611</c:v>
                </c:pt>
                <c:pt idx="148">
                  <c:v>2.8696448265387744</c:v>
                </c:pt>
                <c:pt idx="149">
                  <c:v>2.8426256372939065</c:v>
                </c:pt>
                <c:pt idx="150">
                  <c:v>2.8263509028896081</c:v>
                </c:pt>
                <c:pt idx="151">
                  <c:v>2.8064774570331963</c:v>
                </c:pt>
                <c:pt idx="152">
                  <c:v>2.7806619713693408</c:v>
                </c:pt>
                <c:pt idx="153">
                  <c:v>2.7434675185827757</c:v>
                </c:pt>
                <c:pt idx="154">
                  <c:v>2.7218313372592817</c:v>
                </c:pt>
                <c:pt idx="155">
                  <c:v>2.6833692013796409</c:v>
                </c:pt>
                <c:pt idx="156">
                  <c:v>2.6377743829861515</c:v>
                </c:pt>
                <c:pt idx="157">
                  <c:v>2.5839576356642624</c:v>
                </c:pt>
                <c:pt idx="158">
                  <c:v>2.52033576333924</c:v>
                </c:pt>
                <c:pt idx="159">
                  <c:v>2.470673428980767</c:v>
                </c:pt>
                <c:pt idx="160">
                  <c:v>2.4304239700048242</c:v>
                </c:pt>
                <c:pt idx="161">
                  <c:v>2.4051227091257132</c:v>
                </c:pt>
                <c:pt idx="162">
                  <c:v>2.3906908027641904</c:v>
                </c:pt>
                <c:pt idx="163">
                  <c:v>2.3781442704938343</c:v>
                </c:pt>
                <c:pt idx="164">
                  <c:v>2.341422852246474</c:v>
                </c:pt>
                <c:pt idx="165">
                  <c:v>2.298040493936</c:v>
                </c:pt>
                <c:pt idx="166">
                  <c:v>2.2611842259135813</c:v>
                </c:pt>
                <c:pt idx="167">
                  <c:v>2.2175636011140085</c:v>
                </c:pt>
                <c:pt idx="168">
                  <c:v>2.1694582778839511</c:v>
                </c:pt>
                <c:pt idx="169">
                  <c:v>2.1067995926956051</c:v>
                </c:pt>
                <c:pt idx="170">
                  <c:v>2.0737768786355986</c:v>
                </c:pt>
                <c:pt idx="171">
                  <c:v>2.0502326919964382</c:v>
                </c:pt>
                <c:pt idx="172">
                  <c:v>1.9771606851682009</c:v>
                </c:pt>
                <c:pt idx="173">
                  <c:v>1.9939946639252923</c:v>
                </c:pt>
                <c:pt idx="174">
                  <c:v>2.3233323907217489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6A-45E2-A902-9D785949E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0.0</c:formatCode>
                <c:ptCount val="175"/>
                <c:pt idx="0">
                  <c:v>45.862868523155718</c:v>
                </c:pt>
                <c:pt idx="1">
                  <c:v>45.860037552496706</c:v>
                </c:pt>
                <c:pt idx="2">
                  <c:v>45.857183869838444</c:v>
                </c:pt>
                <c:pt idx="3">
                  <c:v>45.854112142177783</c:v>
                </c:pt>
                <c:pt idx="4">
                  <c:v>45.850748415616835</c:v>
                </c:pt>
                <c:pt idx="5">
                  <c:v>45.846292872642429</c:v>
                </c:pt>
                <c:pt idx="6">
                  <c:v>45.841740065151662</c:v>
                </c:pt>
                <c:pt idx="7">
                  <c:v>45.83670820485932</c:v>
                </c:pt>
                <c:pt idx="8">
                  <c:v>45.831619640435669</c:v>
                </c:pt>
                <c:pt idx="9">
                  <c:v>45.826498912930901</c:v>
                </c:pt>
                <c:pt idx="10">
                  <c:v>45.820849362448449</c:v>
                </c:pt>
                <c:pt idx="11">
                  <c:v>45.814380519662954</c:v>
                </c:pt>
                <c:pt idx="12">
                  <c:v>45.807489344198594</c:v>
                </c:pt>
                <c:pt idx="13">
                  <c:v>45.800522182328827</c:v>
                </c:pt>
                <c:pt idx="14">
                  <c:v>45.793016040130624</c:v>
                </c:pt>
                <c:pt idx="15">
                  <c:v>45.784770547765582</c:v>
                </c:pt>
                <c:pt idx="16">
                  <c:v>45.775914966913618</c:v>
                </c:pt>
                <c:pt idx="17">
                  <c:v>45.766761026714256</c:v>
                </c:pt>
                <c:pt idx="18">
                  <c:v>45.756868967539383</c:v>
                </c:pt>
                <c:pt idx="19">
                  <c:v>45.746727045159282</c:v>
                </c:pt>
                <c:pt idx="20">
                  <c:v>45.735841534268488</c:v>
                </c:pt>
                <c:pt idx="21">
                  <c:v>45.724807002029408</c:v>
                </c:pt>
                <c:pt idx="22">
                  <c:v>45.713126668448297</c:v>
                </c:pt>
                <c:pt idx="23">
                  <c:v>45.699880450641373</c:v>
                </c:pt>
                <c:pt idx="24">
                  <c:v>45.685653400796511</c:v>
                </c:pt>
                <c:pt idx="25">
                  <c:v>45.672807624347193</c:v>
                </c:pt>
                <c:pt idx="26">
                  <c:v>45.658559460499319</c:v>
                </c:pt>
                <c:pt idx="27">
                  <c:v>45.644537212477395</c:v>
                </c:pt>
                <c:pt idx="28">
                  <c:v>45.630141283856346</c:v>
                </c:pt>
                <c:pt idx="29">
                  <c:v>45.61595376877267</c:v>
                </c:pt>
                <c:pt idx="30">
                  <c:v>45.600571852189603</c:v>
                </c:pt>
                <c:pt idx="31">
                  <c:v>45.582659186869549</c:v>
                </c:pt>
                <c:pt idx="32">
                  <c:v>45.564023224906109</c:v>
                </c:pt>
                <c:pt idx="33">
                  <c:v>45.54417471651351</c:v>
                </c:pt>
                <c:pt idx="34">
                  <c:v>45.523060898906351</c:v>
                </c:pt>
                <c:pt idx="35">
                  <c:v>45.501878079998448</c:v>
                </c:pt>
                <c:pt idx="36">
                  <c:v>45.480776028528716</c:v>
                </c:pt>
                <c:pt idx="37">
                  <c:v>45.459411121186037</c:v>
                </c:pt>
                <c:pt idx="38">
                  <c:v>45.436849875600792</c:v>
                </c:pt>
                <c:pt idx="39">
                  <c:v>45.411479862387253</c:v>
                </c:pt>
                <c:pt idx="40">
                  <c:v>45.386557684693805</c:v>
                </c:pt>
                <c:pt idx="41">
                  <c:v>45.359002981609542</c:v>
                </c:pt>
                <c:pt idx="42">
                  <c:v>45.330221677856308</c:v>
                </c:pt>
                <c:pt idx="43">
                  <c:v>45.301253226574076</c:v>
                </c:pt>
                <c:pt idx="44">
                  <c:v>45.273446077743237</c:v>
                </c:pt>
                <c:pt idx="45">
                  <c:v>45.244423779673582</c:v>
                </c:pt>
                <c:pt idx="46">
                  <c:v>45.213746431115446</c:v>
                </c:pt>
                <c:pt idx="47">
                  <c:v>45.182097843200268</c:v>
                </c:pt>
                <c:pt idx="48">
                  <c:v>45.149064753640651</c:v>
                </c:pt>
                <c:pt idx="49">
                  <c:v>45.11443029798339</c:v>
                </c:pt>
                <c:pt idx="50">
                  <c:v>45.075981946433444</c:v>
                </c:pt>
                <c:pt idx="51">
                  <c:v>45.035188465881369</c:v>
                </c:pt>
                <c:pt idx="52">
                  <c:v>44.993334135756427</c:v>
                </c:pt>
                <c:pt idx="53">
                  <c:v>44.949923293502458</c:v>
                </c:pt>
                <c:pt idx="54">
                  <c:v>44.901428812730629</c:v>
                </c:pt>
                <c:pt idx="55">
                  <c:v>44.852945553777872</c:v>
                </c:pt>
                <c:pt idx="56">
                  <c:v>44.8001834470776</c:v>
                </c:pt>
                <c:pt idx="57">
                  <c:v>44.745558374407075</c:v>
                </c:pt>
                <c:pt idx="58">
                  <c:v>44.683063973809503</c:v>
                </c:pt>
                <c:pt idx="59">
                  <c:v>44.624656930718551</c:v>
                </c:pt>
                <c:pt idx="60">
                  <c:v>44.563311931512878</c:v>
                </c:pt>
                <c:pt idx="61">
                  <c:v>44.497738998370096</c:v>
                </c:pt>
                <c:pt idx="62">
                  <c:v>44.431622395425464</c:v>
                </c:pt>
                <c:pt idx="63">
                  <c:v>44.362147028577077</c:v>
                </c:pt>
                <c:pt idx="64">
                  <c:v>44.286465091672262</c:v>
                </c:pt>
                <c:pt idx="65">
                  <c:v>44.218073141590196</c:v>
                </c:pt>
                <c:pt idx="66">
                  <c:v>44.150244251025114</c:v>
                </c:pt>
                <c:pt idx="67">
                  <c:v>44.076498118339977</c:v>
                </c:pt>
                <c:pt idx="68">
                  <c:v>43.998394196021138</c:v>
                </c:pt>
                <c:pt idx="69">
                  <c:v>43.917443290200971</c:v>
                </c:pt>
                <c:pt idx="70">
                  <c:v>43.845520747761171</c:v>
                </c:pt>
                <c:pt idx="71">
                  <c:v>43.763809737961431</c:v>
                </c:pt>
                <c:pt idx="72">
                  <c:v>43.696403777172364</c:v>
                </c:pt>
                <c:pt idx="73">
                  <c:v>43.624104453957166</c:v>
                </c:pt>
                <c:pt idx="74">
                  <c:v>43.537973771699534</c:v>
                </c:pt>
                <c:pt idx="75">
                  <c:v>43.452609948050551</c:v>
                </c:pt>
                <c:pt idx="76">
                  <c:v>43.365811400375236</c:v>
                </c:pt>
                <c:pt idx="77">
                  <c:v>43.282196105288925</c:v>
                </c:pt>
                <c:pt idx="78">
                  <c:v>43.189766564195473</c:v>
                </c:pt>
                <c:pt idx="79">
                  <c:v>43.098965912993208</c:v>
                </c:pt>
                <c:pt idx="80">
                  <c:v>43.000813813748223</c:v>
                </c:pt>
                <c:pt idx="81">
                  <c:v>42.913553433125806</c:v>
                </c:pt>
                <c:pt idx="82">
                  <c:v>42.840048811824225</c:v>
                </c:pt>
                <c:pt idx="83">
                  <c:v>42.777780028168607</c:v>
                </c:pt>
                <c:pt idx="84">
                  <c:v>42.712154548341843</c:v>
                </c:pt>
                <c:pt idx="85">
                  <c:v>42.642217141915509</c:v>
                </c:pt>
                <c:pt idx="86">
                  <c:v>42.570440821282297</c:v>
                </c:pt>
                <c:pt idx="87">
                  <c:v>42.490653294946881</c:v>
                </c:pt>
                <c:pt idx="88">
                  <c:v>42.404189369986916</c:v>
                </c:pt>
                <c:pt idx="89">
                  <c:v>42.328060004414944</c:v>
                </c:pt>
                <c:pt idx="90">
                  <c:v>42.245558754975512</c:v>
                </c:pt>
                <c:pt idx="91">
                  <c:v>42.162564421115924</c:v>
                </c:pt>
                <c:pt idx="92">
                  <c:v>42.072165482620541</c:v>
                </c:pt>
                <c:pt idx="93">
                  <c:v>41.971736762650522</c:v>
                </c:pt>
                <c:pt idx="94">
                  <c:v>41.86915526522462</c:v>
                </c:pt>
                <c:pt idx="95">
                  <c:v>41.768525952555876</c:v>
                </c:pt>
                <c:pt idx="96">
                  <c:v>41.684321325472126</c:v>
                </c:pt>
                <c:pt idx="97">
                  <c:v>41.597083535657774</c:v>
                </c:pt>
                <c:pt idx="98">
                  <c:v>41.497180448990584</c:v>
                </c:pt>
                <c:pt idx="99">
                  <c:v>41.388798699655368</c:v>
                </c:pt>
                <c:pt idx="100">
                  <c:v>41.292876311000569</c:v>
                </c:pt>
                <c:pt idx="101">
                  <c:v>41.18384758414841</c:v>
                </c:pt>
                <c:pt idx="102">
                  <c:v>41.06723931463889</c:v>
                </c:pt>
                <c:pt idx="103">
                  <c:v>40.954319284772879</c:v>
                </c:pt>
                <c:pt idx="104">
                  <c:v>40.839182232220431</c:v>
                </c:pt>
                <c:pt idx="105">
                  <c:v>40.728039061644068</c:v>
                </c:pt>
                <c:pt idx="106">
                  <c:v>40.608988647870866</c:v>
                </c:pt>
                <c:pt idx="107">
                  <c:v>40.483384219374777</c:v>
                </c:pt>
                <c:pt idx="108">
                  <c:v>40.361276882759775</c:v>
                </c:pt>
                <c:pt idx="109">
                  <c:v>40.251816091832886</c:v>
                </c:pt>
                <c:pt idx="110">
                  <c:v>40.147023179558005</c:v>
                </c:pt>
                <c:pt idx="111">
                  <c:v>40.035466082802202</c:v>
                </c:pt>
                <c:pt idx="112">
                  <c:v>39.914983495381748</c:v>
                </c:pt>
                <c:pt idx="113">
                  <c:v>39.783590312958673</c:v>
                </c:pt>
                <c:pt idx="114">
                  <c:v>39.643829856939789</c:v>
                </c:pt>
                <c:pt idx="115">
                  <c:v>39.495565302195835</c:v>
                </c:pt>
                <c:pt idx="116">
                  <c:v>39.342888810957227</c:v>
                </c:pt>
                <c:pt idx="117">
                  <c:v>39.184623572797385</c:v>
                </c:pt>
                <c:pt idx="118">
                  <c:v>39.015008061714035</c:v>
                </c:pt>
                <c:pt idx="119">
                  <c:v>38.83252106249666</c:v>
                </c:pt>
                <c:pt idx="120">
                  <c:v>38.63817213587815</c:v>
                </c:pt>
                <c:pt idx="121">
                  <c:v>38.434116877802275</c:v>
                </c:pt>
                <c:pt idx="122">
                  <c:v>38.231216990953484</c:v>
                </c:pt>
                <c:pt idx="123">
                  <c:v>38.017225774665206</c:v>
                </c:pt>
                <c:pt idx="124">
                  <c:v>37.792329569039921</c:v>
                </c:pt>
                <c:pt idx="125">
                  <c:v>37.578659332524701</c:v>
                </c:pt>
                <c:pt idx="126">
                  <c:v>37.386035651698904</c:v>
                </c:pt>
                <c:pt idx="127">
                  <c:v>37.179782495977882</c:v>
                </c:pt>
                <c:pt idx="128">
                  <c:v>36.974484726925063</c:v>
                </c:pt>
                <c:pt idx="129">
                  <c:v>36.766133520537309</c:v>
                </c:pt>
                <c:pt idx="130">
                  <c:v>36.547943651772734</c:v>
                </c:pt>
                <c:pt idx="131">
                  <c:v>36.340234239927796</c:v>
                </c:pt>
                <c:pt idx="132">
                  <c:v>36.138071527174354</c:v>
                </c:pt>
                <c:pt idx="133">
                  <c:v>35.957179075719274</c:v>
                </c:pt>
                <c:pt idx="134">
                  <c:v>35.780436747537095</c:v>
                </c:pt>
                <c:pt idx="135">
                  <c:v>35.598655427885994</c:v>
                </c:pt>
                <c:pt idx="136">
                  <c:v>35.425009817909839</c:v>
                </c:pt>
                <c:pt idx="137">
                  <c:v>35.257048035670088</c:v>
                </c:pt>
                <c:pt idx="138">
                  <c:v>35.080127385977434</c:v>
                </c:pt>
                <c:pt idx="139">
                  <c:v>34.896741297993913</c:v>
                </c:pt>
                <c:pt idx="140">
                  <c:v>34.698660017168443</c:v>
                </c:pt>
                <c:pt idx="141">
                  <c:v>34.46906768550047</c:v>
                </c:pt>
                <c:pt idx="142">
                  <c:v>34.243146201980771</c:v>
                </c:pt>
                <c:pt idx="143">
                  <c:v>33.981046150232032</c:v>
                </c:pt>
                <c:pt idx="144">
                  <c:v>33.71058847882307</c:v>
                </c:pt>
                <c:pt idx="145">
                  <c:v>33.419894255612839</c:v>
                </c:pt>
                <c:pt idx="146">
                  <c:v>33.121213404954084</c:v>
                </c:pt>
                <c:pt idx="147">
                  <c:v>32.802723673318347</c:v>
                </c:pt>
                <c:pt idx="148">
                  <c:v>32.469570644152199</c:v>
                </c:pt>
                <c:pt idx="149">
                  <c:v>32.105883395844799</c:v>
                </c:pt>
                <c:pt idx="150">
                  <c:v>31.728364979174927</c:v>
                </c:pt>
                <c:pt idx="151">
                  <c:v>31.322547895961694</c:v>
                </c:pt>
                <c:pt idx="152">
                  <c:v>30.907789304286347</c:v>
                </c:pt>
                <c:pt idx="153">
                  <c:v>30.475247070154932</c:v>
                </c:pt>
                <c:pt idx="154">
                  <c:v>30.049655461026781</c:v>
                </c:pt>
                <c:pt idx="155">
                  <c:v>29.614198765066252</c:v>
                </c:pt>
                <c:pt idx="156">
                  <c:v>29.181846476286466</c:v>
                </c:pt>
                <c:pt idx="157">
                  <c:v>28.765374218121604</c:v>
                </c:pt>
                <c:pt idx="158">
                  <c:v>28.33252534858557</c:v>
                </c:pt>
                <c:pt idx="159">
                  <c:v>27.933831597251928</c:v>
                </c:pt>
                <c:pt idx="160">
                  <c:v>27.605689294143442</c:v>
                </c:pt>
                <c:pt idx="161">
                  <c:v>27.27041729318967</c:v>
                </c:pt>
                <c:pt idx="162">
                  <c:v>26.997217675934948</c:v>
                </c:pt>
                <c:pt idx="163">
                  <c:v>26.752756359979564</c:v>
                </c:pt>
                <c:pt idx="164">
                  <c:v>26.464095495748925</c:v>
                </c:pt>
                <c:pt idx="165">
                  <c:v>26.173085586145433</c:v>
                </c:pt>
                <c:pt idx="166">
                  <c:v>25.860755085738891</c:v>
                </c:pt>
                <c:pt idx="167">
                  <c:v>25.53849508698567</c:v>
                </c:pt>
                <c:pt idx="168">
                  <c:v>25.201360283693774</c:v>
                </c:pt>
                <c:pt idx="169">
                  <c:v>24.808860545762997</c:v>
                </c:pt>
                <c:pt idx="170">
                  <c:v>24.439149311310427</c:v>
                </c:pt>
                <c:pt idx="171">
                  <c:v>24.254401392537442</c:v>
                </c:pt>
                <c:pt idx="172">
                  <c:v>23.886424027941462</c:v>
                </c:pt>
                <c:pt idx="173">
                  <c:v>23.429090509986398</c:v>
                </c:pt>
                <c:pt idx="174">
                  <c:v>23.206093264282856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6A-45E2-A902-9D785949E1EE}"/>
            </c:ext>
          </c:extLst>
        </c:ser>
        <c:ser>
          <c:idx val="6"/>
          <c:order val="6"/>
          <c:tx>
            <c:strRef>
              <c:f>data_ghg_excLUC!$J$2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data_ghg_excLUC!$J$3:$J$177</c:f>
              <c:numCache>
                <c:formatCode>0.0</c:formatCode>
                <c:ptCount val="175"/>
                <c:pt idx="0">
                  <c:v>42.96309628573384</c:v>
                </c:pt>
                <c:pt idx="1">
                  <c:v>42.965405864785353</c:v>
                </c:pt>
                <c:pt idx="2">
                  <c:v>42.967670046517547</c:v>
                </c:pt>
                <c:pt idx="3">
                  <c:v>42.96972563621398</c:v>
                </c:pt>
                <c:pt idx="4">
                  <c:v>42.971514801108285</c:v>
                </c:pt>
                <c:pt idx="5">
                  <c:v>42.972347116089566</c:v>
                </c:pt>
                <c:pt idx="6">
                  <c:v>42.973067189046226</c:v>
                </c:pt>
                <c:pt idx="7">
                  <c:v>42.97335023664585</c:v>
                </c:pt>
                <c:pt idx="8">
                  <c:v>42.973563344316283</c:v>
                </c:pt>
                <c:pt idx="9">
                  <c:v>42.973720489537151</c:v>
                </c:pt>
                <c:pt idx="10">
                  <c:v>42.973426875363614</c:v>
                </c:pt>
                <c:pt idx="11">
                  <c:v>42.972415852195958</c:v>
                </c:pt>
                <c:pt idx="12">
                  <c:v>42.971010555319147</c:v>
                </c:pt>
                <c:pt idx="13">
                  <c:v>42.969529415121166</c:v>
                </c:pt>
                <c:pt idx="14">
                  <c:v>42.967576952121505</c:v>
                </c:pt>
                <c:pt idx="15">
                  <c:v>42.96496981600913</c:v>
                </c:pt>
                <c:pt idx="16">
                  <c:v>42.961816618470813</c:v>
                </c:pt>
                <c:pt idx="17">
                  <c:v>42.958397173387894</c:v>
                </c:pt>
                <c:pt idx="18">
                  <c:v>42.954311747037515</c:v>
                </c:pt>
                <c:pt idx="19">
                  <c:v>42.949988773324755</c:v>
                </c:pt>
                <c:pt idx="20">
                  <c:v>42.94502106908373</c:v>
                </c:pt>
                <c:pt idx="21">
                  <c:v>42.93989490675574</c:v>
                </c:pt>
                <c:pt idx="22">
                  <c:v>42.934182415352865</c:v>
                </c:pt>
                <c:pt idx="23">
                  <c:v>42.927060802343341</c:v>
                </c:pt>
                <c:pt idx="24">
                  <c:v>42.919052830156609</c:v>
                </c:pt>
                <c:pt idx="25">
                  <c:v>42.912248183238525</c:v>
                </c:pt>
                <c:pt idx="26">
                  <c:v>42.904153800838451</c:v>
                </c:pt>
                <c:pt idx="27">
                  <c:v>42.896211439680393</c:v>
                </c:pt>
                <c:pt idx="28">
                  <c:v>42.887920415931646</c:v>
                </c:pt>
                <c:pt idx="29">
                  <c:v>42.879765936830978</c:v>
                </c:pt>
                <c:pt idx="30">
                  <c:v>42.870509037749308</c:v>
                </c:pt>
                <c:pt idx="31">
                  <c:v>42.858910671036014</c:v>
                </c:pt>
                <c:pt idx="32">
                  <c:v>42.846776643861126</c:v>
                </c:pt>
                <c:pt idx="33">
                  <c:v>42.833566403837011</c:v>
                </c:pt>
                <c:pt idx="34">
                  <c:v>42.819239836075617</c:v>
                </c:pt>
                <c:pt idx="35">
                  <c:v>42.804850027233663</c:v>
                </c:pt>
                <c:pt idx="36">
                  <c:v>42.790515826348866</c:v>
                </c:pt>
                <c:pt idx="37">
                  <c:v>42.775990668324951</c:v>
                </c:pt>
                <c:pt idx="38">
                  <c:v>42.760435868679487</c:v>
                </c:pt>
                <c:pt idx="39">
                  <c:v>42.742363428942028</c:v>
                </c:pt>
                <c:pt idx="40">
                  <c:v>42.724658011192268</c:v>
                </c:pt>
                <c:pt idx="41">
                  <c:v>42.704667164981402</c:v>
                </c:pt>
                <c:pt idx="42">
                  <c:v>42.683524650779994</c:v>
                </c:pt>
                <c:pt idx="43">
                  <c:v>42.662194005353065</c:v>
                </c:pt>
                <c:pt idx="44">
                  <c:v>42.641807311276814</c:v>
                </c:pt>
                <c:pt idx="45">
                  <c:v>42.620287962703785</c:v>
                </c:pt>
                <c:pt idx="46">
                  <c:v>42.597268905648718</c:v>
                </c:pt>
                <c:pt idx="47">
                  <c:v>42.573357054142456</c:v>
                </c:pt>
                <c:pt idx="48">
                  <c:v>42.548153824953758</c:v>
                </c:pt>
                <c:pt idx="49">
                  <c:v>42.521464609536238</c:v>
                </c:pt>
                <c:pt idx="50">
                  <c:v>42.491306842519805</c:v>
                </c:pt>
                <c:pt idx="51">
                  <c:v>42.458949653832931</c:v>
                </c:pt>
                <c:pt idx="52">
                  <c:v>42.425731217987838</c:v>
                </c:pt>
                <c:pt idx="53">
                  <c:v>42.391163835461803</c:v>
                </c:pt>
                <c:pt idx="54">
                  <c:v>42.352085688960862</c:v>
                </c:pt>
                <c:pt idx="55">
                  <c:v>42.313032381071523</c:v>
                </c:pt>
                <c:pt idx="56">
                  <c:v>42.270171129141517</c:v>
                </c:pt>
                <c:pt idx="57">
                  <c:v>42.225843582043652</c:v>
                </c:pt>
                <c:pt idx="58">
                  <c:v>42.173930492393033</c:v>
                </c:pt>
                <c:pt idx="59">
                  <c:v>42.12553228905265</c:v>
                </c:pt>
                <c:pt idx="60">
                  <c:v>42.074573506549342</c:v>
                </c:pt>
                <c:pt idx="61">
                  <c:v>42.019802577207102</c:v>
                </c:pt>
                <c:pt idx="62">
                  <c:v>41.964695502827361</c:v>
                </c:pt>
                <c:pt idx="63">
                  <c:v>41.906244369889812</c:v>
                </c:pt>
                <c:pt idx="64">
                  <c:v>41.842126313823513</c:v>
                </c:pt>
                <c:pt idx="65">
                  <c:v>41.784754978788726</c:v>
                </c:pt>
                <c:pt idx="66">
                  <c:v>41.728118251963096</c:v>
                </c:pt>
                <c:pt idx="67">
                  <c:v>41.666341664072327</c:v>
                </c:pt>
                <c:pt idx="68">
                  <c:v>41.601288712055855</c:v>
                </c:pt>
                <c:pt idx="69">
                  <c:v>41.533698860374152</c:v>
                </c:pt>
                <c:pt idx="70">
                  <c:v>41.47440840935397</c:v>
                </c:pt>
                <c:pt idx="71">
                  <c:v>41.406299370972057</c:v>
                </c:pt>
                <c:pt idx="72">
                  <c:v>41.350966155979734</c:v>
                </c:pt>
                <c:pt idx="73">
                  <c:v>41.291218139694408</c:v>
                </c:pt>
                <c:pt idx="74">
                  <c:v>41.219454384446109</c:v>
                </c:pt>
                <c:pt idx="75">
                  <c:v>41.148329370930497</c:v>
                </c:pt>
                <c:pt idx="76">
                  <c:v>41.075542965855021</c:v>
                </c:pt>
                <c:pt idx="77">
                  <c:v>41.005839682681447</c:v>
                </c:pt>
                <c:pt idx="78">
                  <c:v>40.928088537073108</c:v>
                </c:pt>
                <c:pt idx="79">
                  <c:v>40.852322319094995</c:v>
                </c:pt>
                <c:pt idx="80">
                  <c:v>40.7700380612212</c:v>
                </c:pt>
                <c:pt idx="81">
                  <c:v>40.697816324883419</c:v>
                </c:pt>
                <c:pt idx="82">
                  <c:v>40.637815118399203</c:v>
                </c:pt>
                <c:pt idx="83">
                  <c:v>40.587860703645021</c:v>
                </c:pt>
                <c:pt idx="84">
                  <c:v>40.534974484850991</c:v>
                </c:pt>
                <c:pt idx="85">
                  <c:v>40.478188720133211</c:v>
                </c:pt>
                <c:pt idx="86">
                  <c:v>40.419767667549081</c:v>
                </c:pt>
                <c:pt idx="87">
                  <c:v>40.354299445354684</c:v>
                </c:pt>
                <c:pt idx="88">
                  <c:v>40.282819577165547</c:v>
                </c:pt>
                <c:pt idx="89">
                  <c:v>40.22089221194959</c:v>
                </c:pt>
                <c:pt idx="90">
                  <c:v>40.153127304355991</c:v>
                </c:pt>
                <c:pt idx="91">
                  <c:v>40.085158352464326</c:v>
                </c:pt>
                <c:pt idx="92">
                  <c:v>40.011302896042992</c:v>
                </c:pt>
                <c:pt idx="93">
                  <c:v>39.929454735575284</c:v>
                </c:pt>
                <c:pt idx="94">
                  <c:v>39.84778773066293</c:v>
                </c:pt>
                <c:pt idx="95">
                  <c:v>39.766592023659733</c:v>
                </c:pt>
                <c:pt idx="96">
                  <c:v>39.701055015256891</c:v>
                </c:pt>
                <c:pt idx="97">
                  <c:v>39.63226688146257</c:v>
                </c:pt>
                <c:pt idx="98">
                  <c:v>39.550558397439318</c:v>
                </c:pt>
                <c:pt idx="99">
                  <c:v>39.46089541387326</c:v>
                </c:pt>
                <c:pt idx="100">
                  <c:v>39.382712517890681</c:v>
                </c:pt>
                <c:pt idx="101">
                  <c:v>39.289629197299305</c:v>
                </c:pt>
                <c:pt idx="102">
                  <c:v>39.189646614729035</c:v>
                </c:pt>
                <c:pt idx="103">
                  <c:v>39.092792954295909</c:v>
                </c:pt>
                <c:pt idx="104">
                  <c:v>38.994034188069769</c:v>
                </c:pt>
                <c:pt idx="105">
                  <c:v>38.89847024792202</c:v>
                </c:pt>
                <c:pt idx="106">
                  <c:v>38.794970511640663</c:v>
                </c:pt>
                <c:pt idx="107">
                  <c:v>38.685335815659435</c:v>
                </c:pt>
                <c:pt idx="108">
                  <c:v>38.578594352574811</c:v>
                </c:pt>
                <c:pt idx="109">
                  <c:v>38.482788697322498</c:v>
                </c:pt>
                <c:pt idx="110">
                  <c:v>38.39023854256741</c:v>
                </c:pt>
                <c:pt idx="111">
                  <c:v>38.291969903277945</c:v>
                </c:pt>
                <c:pt idx="112">
                  <c:v>38.185606644181803</c:v>
                </c:pt>
                <c:pt idx="113">
                  <c:v>38.069043460153345</c:v>
                </c:pt>
                <c:pt idx="114">
                  <c:v>37.943062006216529</c:v>
                </c:pt>
                <c:pt idx="115">
                  <c:v>37.809186692654642</c:v>
                </c:pt>
                <c:pt idx="116">
                  <c:v>37.669755039832282</c:v>
                </c:pt>
                <c:pt idx="117">
                  <c:v>37.52631351479058</c:v>
                </c:pt>
                <c:pt idx="118">
                  <c:v>37.371265331452328</c:v>
                </c:pt>
                <c:pt idx="119">
                  <c:v>37.20519560384237</c:v>
                </c:pt>
                <c:pt idx="120">
                  <c:v>37.02675178215059</c:v>
                </c:pt>
                <c:pt idx="121">
                  <c:v>36.840828902407928</c:v>
                </c:pt>
                <c:pt idx="122">
                  <c:v>36.65327440266136</c:v>
                </c:pt>
                <c:pt idx="123">
                  <c:v>36.453847058980777</c:v>
                </c:pt>
                <c:pt idx="124">
                  <c:v>36.241909668544835</c:v>
                </c:pt>
                <c:pt idx="125">
                  <c:v>36.037849515885547</c:v>
                </c:pt>
                <c:pt idx="126">
                  <c:v>35.854560810940065</c:v>
                </c:pt>
                <c:pt idx="127">
                  <c:v>35.655344640391228</c:v>
                </c:pt>
                <c:pt idx="128">
                  <c:v>35.457590520362288</c:v>
                </c:pt>
                <c:pt idx="129">
                  <c:v>35.255336111427383</c:v>
                </c:pt>
                <c:pt idx="130">
                  <c:v>35.043282742759033</c:v>
                </c:pt>
                <c:pt idx="131">
                  <c:v>34.842741717688845</c:v>
                </c:pt>
                <c:pt idx="132">
                  <c:v>34.64767157124264</c:v>
                </c:pt>
                <c:pt idx="133">
                  <c:v>34.47434871147442</c:v>
                </c:pt>
                <c:pt idx="134">
                  <c:v>34.30433374627475</c:v>
                </c:pt>
                <c:pt idx="135">
                  <c:v>34.126219421939197</c:v>
                </c:pt>
                <c:pt idx="136">
                  <c:v>33.954282869232649</c:v>
                </c:pt>
                <c:pt idx="137">
                  <c:v>33.787775172313893</c:v>
                </c:pt>
                <c:pt idx="138">
                  <c:v>33.614390514611792</c:v>
                </c:pt>
                <c:pt idx="139">
                  <c:v>33.430993050501016</c:v>
                </c:pt>
                <c:pt idx="140">
                  <c:v>33.235796856147061</c:v>
                </c:pt>
                <c:pt idx="141">
                  <c:v>33.027633368370786</c:v>
                </c:pt>
                <c:pt idx="142">
                  <c:v>32.817226375013128</c:v>
                </c:pt>
                <c:pt idx="143">
                  <c:v>32.577691770445256</c:v>
                </c:pt>
                <c:pt idx="144">
                  <c:v>32.32720515909422</c:v>
                </c:pt>
                <c:pt idx="145">
                  <c:v>32.054329032837863</c:v>
                </c:pt>
                <c:pt idx="146">
                  <c:v>31.772539055844451</c:v>
                </c:pt>
                <c:pt idx="147">
                  <c:v>31.471476345821426</c:v>
                </c:pt>
                <c:pt idx="148">
                  <c:v>31.15791862271023</c:v>
                </c:pt>
                <c:pt idx="149">
                  <c:v>30.820057935717664</c:v>
                </c:pt>
                <c:pt idx="150">
                  <c:v>30.474932857116887</c:v>
                </c:pt>
                <c:pt idx="151">
                  <c:v>30.103843808557489</c:v>
                </c:pt>
                <c:pt idx="152">
                  <c:v>29.726231381519369</c:v>
                </c:pt>
                <c:pt idx="153">
                  <c:v>29.33633989853346</c:v>
                </c:pt>
                <c:pt idx="154">
                  <c:v>28.952494980307158</c:v>
                </c:pt>
                <c:pt idx="155">
                  <c:v>28.565380603302465</c:v>
                </c:pt>
                <c:pt idx="156">
                  <c:v>28.186296775056206</c:v>
                </c:pt>
                <c:pt idx="157">
                  <c:v>27.818256739132696</c:v>
                </c:pt>
                <c:pt idx="158">
                  <c:v>27.432255202083628</c:v>
                </c:pt>
                <c:pt idx="159">
                  <c:v>27.072407751684697</c:v>
                </c:pt>
                <c:pt idx="160">
                  <c:v>26.773836561978641</c:v>
                </c:pt>
                <c:pt idx="161">
                  <c:v>26.45613128473563</c:v>
                </c:pt>
                <c:pt idx="162">
                  <c:v>26.194890772731881</c:v>
                </c:pt>
                <c:pt idx="163">
                  <c:v>25.959277362271322</c:v>
                </c:pt>
                <c:pt idx="164">
                  <c:v>25.679486026818822</c:v>
                </c:pt>
                <c:pt idx="165">
                  <c:v>25.403633982151884</c:v>
                </c:pt>
                <c:pt idx="166">
                  <c:v>25.124328888319052</c:v>
                </c:pt>
                <c:pt idx="167">
                  <c:v>24.85336644886257</c:v>
                </c:pt>
                <c:pt idx="168">
                  <c:v>24.586771116041874</c:v>
                </c:pt>
                <c:pt idx="169">
                  <c:v>24.265218806085283</c:v>
                </c:pt>
                <c:pt idx="170">
                  <c:v>23.96451333864205</c:v>
                </c:pt>
                <c:pt idx="171">
                  <c:v>23.872318861588695</c:v>
                </c:pt>
                <c:pt idx="172">
                  <c:v>23.693464924117976</c:v>
                </c:pt>
                <c:pt idx="173">
                  <c:v>23.507402216203879</c:v>
                </c:pt>
                <c:pt idx="174">
                  <c:v>24.324958311054846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6A-45E2-A902-9D785949E1EE}"/>
            </c:ext>
          </c:extLst>
        </c:ser>
        <c:ser>
          <c:idx val="7"/>
          <c:order val="7"/>
          <c:tx>
            <c:strRef>
              <c:f>data_ghg_excLUC!$K$2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data_ghg_excLUC!$K$3:$K$177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35.943900918086683</c:v>
                </c:pt>
                <c:pt idx="121">
                  <c:v>35.750456558462893</c:v>
                </c:pt>
                <c:pt idx="122">
                  <c:v>35.559338192067472</c:v>
                </c:pt>
                <c:pt idx="123">
                  <c:v>35.356763788491307</c:v>
                </c:pt>
                <c:pt idx="124">
                  <c:v>35.141678121481753</c:v>
                </c:pt>
                <c:pt idx="125">
                  <c:v>34.936290498138661</c:v>
                </c:pt>
                <c:pt idx="126">
                  <c:v>34.750518095915247</c:v>
                </c:pt>
                <c:pt idx="127">
                  <c:v>34.548833573045037</c:v>
                </c:pt>
                <c:pt idx="128">
                  <c:v>34.345229830661268</c:v>
                </c:pt>
                <c:pt idx="129">
                  <c:v>34.144934069814653</c:v>
                </c:pt>
                <c:pt idx="130">
                  <c:v>33.93560598503808</c:v>
                </c:pt>
                <c:pt idx="131">
                  <c:v>33.737728908858131</c:v>
                </c:pt>
                <c:pt idx="132">
                  <c:v>33.54101193648949</c:v>
                </c:pt>
                <c:pt idx="133">
                  <c:v>33.362343006668652</c:v>
                </c:pt>
                <c:pt idx="134">
                  <c:v>33.187300795357693</c:v>
                </c:pt>
                <c:pt idx="135">
                  <c:v>33.00230328074192</c:v>
                </c:pt>
                <c:pt idx="136">
                  <c:v>32.814063916979215</c:v>
                </c:pt>
                <c:pt idx="137">
                  <c:v>32.631059034124462</c:v>
                </c:pt>
                <c:pt idx="138">
                  <c:v>32.443787266468718</c:v>
                </c:pt>
                <c:pt idx="139">
                  <c:v>32.245717258285161</c:v>
                </c:pt>
                <c:pt idx="140">
                  <c:v>32.040554796705287</c:v>
                </c:pt>
                <c:pt idx="141">
                  <c:v>31.837331055279193</c:v>
                </c:pt>
                <c:pt idx="142">
                  <c:v>31.625855200586223</c:v>
                </c:pt>
                <c:pt idx="143">
                  <c:v>31.400672951657278</c:v>
                </c:pt>
                <c:pt idx="144">
                  <c:v>31.162423668198606</c:v>
                </c:pt>
                <c:pt idx="145">
                  <c:v>30.903862952985765</c:v>
                </c:pt>
                <c:pt idx="146">
                  <c:v>30.638793466449648</c:v>
                </c:pt>
                <c:pt idx="147">
                  <c:v>30.34855526586977</c:v>
                </c:pt>
                <c:pt idx="148">
                  <c:v>30.032721727559363</c:v>
                </c:pt>
                <c:pt idx="149">
                  <c:v>29.697117902020391</c:v>
                </c:pt>
                <c:pt idx="150">
                  <c:v>29.344627963812364</c:v>
                </c:pt>
                <c:pt idx="151">
                  <c:v>28.972637586355948</c:v>
                </c:pt>
                <c:pt idx="152">
                  <c:v>28.589738541532817</c:v>
                </c:pt>
                <c:pt idx="153">
                  <c:v>28.203914647928958</c:v>
                </c:pt>
                <c:pt idx="154">
                  <c:v>27.816762476781676</c:v>
                </c:pt>
                <c:pt idx="155">
                  <c:v>27.431012351597033</c:v>
                </c:pt>
                <c:pt idx="156">
                  <c:v>27.05009198850491</c:v>
                </c:pt>
                <c:pt idx="157">
                  <c:v>26.688716477217206</c:v>
                </c:pt>
                <c:pt idx="158">
                  <c:v>26.317997544704337</c:v>
                </c:pt>
                <c:pt idx="159">
                  <c:v>25.967034857334198</c:v>
                </c:pt>
                <c:pt idx="160">
                  <c:v>25.675869651555789</c:v>
                </c:pt>
                <c:pt idx="161">
                  <c:v>25.362752398627208</c:v>
                </c:pt>
                <c:pt idx="162">
                  <c:v>25.10518091358529</c:v>
                </c:pt>
                <c:pt idx="163">
                  <c:v>24.8714249639659</c:v>
                </c:pt>
                <c:pt idx="164">
                  <c:v>24.617547633913599</c:v>
                </c:pt>
                <c:pt idx="165">
                  <c:v>24.367036162560805</c:v>
                </c:pt>
                <c:pt idx="166">
                  <c:v>24.087315208372885</c:v>
                </c:pt>
                <c:pt idx="167">
                  <c:v>23.793000924846979</c:v>
                </c:pt>
                <c:pt idx="168">
                  <c:v>23.484898220091281</c:v>
                </c:pt>
                <c:pt idx="169">
                  <c:v>23.137727784864619</c:v>
                </c:pt>
                <c:pt idx="170">
                  <c:v>22.797758948443402</c:v>
                </c:pt>
                <c:pt idx="171">
                  <c:v>22.621710561294321</c:v>
                </c:pt>
                <c:pt idx="172">
                  <c:v>22.345478782688009</c:v>
                </c:pt>
                <c:pt idx="173">
                  <c:v>21.909650548042364</c:v>
                </c:pt>
                <c:pt idx="174">
                  <c:v>21.729549270643705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6A-45E2-A902-9D785949E1EE}"/>
            </c:ext>
          </c:extLst>
        </c:ser>
        <c:ser>
          <c:idx val="8"/>
          <c:order val="8"/>
          <c:tx>
            <c:strRef>
              <c:f>data_ghg_excLUC!$L$2</c:f>
              <c:strCache>
                <c:ptCount val="1"/>
                <c:pt idx="0">
                  <c:v>pct_annex2_ClimateWatch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data_ghg_excLUC!$L$3:$L$177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32.325267186422046</c:v>
                </c:pt>
                <c:pt idx="141">
                  <c:v>32.136025301206203</c:v>
                </c:pt>
                <c:pt idx="142">
                  <c:v>31.940101591582071</c:v>
                </c:pt>
                <c:pt idx="143">
                  <c:v>31.729071728311148</c:v>
                </c:pt>
                <c:pt idx="144">
                  <c:v>31.508309092423097</c:v>
                </c:pt>
                <c:pt idx="145">
                  <c:v>31.265513004653467</c:v>
                </c:pt>
                <c:pt idx="146">
                  <c:v>31.016464230193495</c:v>
                </c:pt>
                <c:pt idx="147">
                  <c:v>30.741415139487881</c:v>
                </c:pt>
                <c:pt idx="148">
                  <c:v>30.440617337509458</c:v>
                </c:pt>
                <c:pt idx="149">
                  <c:v>30.120589261550574</c:v>
                </c:pt>
                <c:pt idx="150">
                  <c:v>29.782353652083632</c:v>
                </c:pt>
                <c:pt idx="151">
                  <c:v>29.421852816659072</c:v>
                </c:pt>
                <c:pt idx="152">
                  <c:v>29.048825126297796</c:v>
                </c:pt>
                <c:pt idx="153">
                  <c:v>28.675103348060976</c:v>
                </c:pt>
                <c:pt idx="154">
                  <c:v>28.303855680101321</c:v>
                </c:pt>
                <c:pt idx="155">
                  <c:v>27.933257259866973</c:v>
                </c:pt>
                <c:pt idx="156">
                  <c:v>27.572240514197532</c:v>
                </c:pt>
                <c:pt idx="157">
                  <c:v>27.225067616536457</c:v>
                </c:pt>
                <c:pt idx="158">
                  <c:v>26.870499552283722</c:v>
                </c:pt>
                <c:pt idx="159">
                  <c:v>26.542902371802334</c:v>
                </c:pt>
                <c:pt idx="160">
                  <c:v>26.275299424974296</c:v>
                </c:pt>
                <c:pt idx="161">
                  <c:v>25.991681239320798</c:v>
                </c:pt>
                <c:pt idx="162">
                  <c:v>25.754011717453469</c:v>
                </c:pt>
                <c:pt idx="163">
                  <c:v>25.537890634362569</c:v>
                </c:pt>
                <c:pt idx="164">
                  <c:v>25.31414217650395</c:v>
                </c:pt>
                <c:pt idx="165">
                  <c:v>25.088289244689843</c:v>
                </c:pt>
                <c:pt idx="166">
                  <c:v>24.825156758508356</c:v>
                </c:pt>
                <c:pt idx="167">
                  <c:v>24.5529414104838</c:v>
                </c:pt>
                <c:pt idx="168">
                  <c:v>24.260421136774632</c:v>
                </c:pt>
                <c:pt idx="169">
                  <c:v>23.89369276644187</c:v>
                </c:pt>
                <c:pt idx="170">
                  <c:v>23.531623790560523</c:v>
                </c:pt>
                <c:pt idx="171">
                  <c:v>23.390730061024012</c:v>
                </c:pt>
                <c:pt idx="172">
                  <c:v>23.155061636279108</c:v>
                </c:pt>
                <c:pt idx="173">
                  <c:v>22.63868373244577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6A-45E2-A902-9D785949E1EE}"/>
            </c:ext>
          </c:extLst>
        </c:ser>
        <c:ser>
          <c:idx val="9"/>
          <c:order val="9"/>
          <c:tx>
            <c:strRef>
              <c:f>data_ghg_excLUC!$M$2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data_ghg_excLUC!$M$3:$M$177</c:f>
              <c:numCache>
                <c:formatCode>0.0</c:formatCode>
                <c:ptCount val="175"/>
                <c:pt idx="0">
                  <c:v>59.40210000367545</c:v>
                </c:pt>
                <c:pt idx="1">
                  <c:v>59.399994415889466</c:v>
                </c:pt>
                <c:pt idx="2">
                  <c:v>59.397828533663684</c:v>
                </c:pt>
                <c:pt idx="3">
                  <c:v>59.39544571141515</c:v>
                </c:pt>
                <c:pt idx="4">
                  <c:v>59.392809124818648</c:v>
                </c:pt>
                <c:pt idx="5">
                  <c:v>59.389304950590713</c:v>
                </c:pt>
                <c:pt idx="6">
                  <c:v>59.385659160490022</c:v>
                </c:pt>
                <c:pt idx="7">
                  <c:v>59.38162013648175</c:v>
                </c:pt>
                <c:pt idx="8">
                  <c:v>59.377497048502171</c:v>
                </c:pt>
                <c:pt idx="9">
                  <c:v>59.373281628757766</c:v>
                </c:pt>
                <c:pt idx="10">
                  <c:v>59.368652178656987</c:v>
                </c:pt>
                <c:pt idx="11">
                  <c:v>59.363351604265254</c:v>
                </c:pt>
                <c:pt idx="12">
                  <c:v>59.357672350912459</c:v>
                </c:pt>
                <c:pt idx="13">
                  <c:v>59.351845622020484</c:v>
                </c:pt>
                <c:pt idx="14">
                  <c:v>59.345537077687425</c:v>
                </c:pt>
                <c:pt idx="15">
                  <c:v>59.338586941527829</c:v>
                </c:pt>
                <c:pt idx="16">
                  <c:v>59.331083122998528</c:v>
                </c:pt>
                <c:pt idx="17">
                  <c:v>59.323253520304284</c:v>
                </c:pt>
                <c:pt idx="18">
                  <c:v>59.31474933118961</c:v>
                </c:pt>
                <c:pt idx="19">
                  <c:v>59.305963048998855</c:v>
                </c:pt>
                <c:pt idx="20">
                  <c:v>59.296514291589631</c:v>
                </c:pt>
                <c:pt idx="21">
                  <c:v>59.286872501561781</c:v>
                </c:pt>
                <c:pt idx="22">
                  <c:v>59.276560993576624</c:v>
                </c:pt>
                <c:pt idx="23">
                  <c:v>59.264964982971883</c:v>
                </c:pt>
                <c:pt idx="24">
                  <c:v>59.252536820328828</c:v>
                </c:pt>
                <c:pt idx="25">
                  <c:v>59.241004382304276</c:v>
                </c:pt>
                <c:pt idx="26">
                  <c:v>59.228350026895363</c:v>
                </c:pt>
                <c:pt idx="27">
                  <c:v>59.215496624491379</c:v>
                </c:pt>
                <c:pt idx="28">
                  <c:v>59.202344568523898</c:v>
                </c:pt>
                <c:pt idx="29">
                  <c:v>59.189191053072655</c:v>
                </c:pt>
                <c:pt idx="30">
                  <c:v>59.174984868124369</c:v>
                </c:pt>
                <c:pt idx="31">
                  <c:v>59.158740625410154</c:v>
                </c:pt>
                <c:pt idx="32">
                  <c:v>59.141857883105807</c:v>
                </c:pt>
                <c:pt idx="33">
                  <c:v>59.123964878515935</c:v>
                </c:pt>
                <c:pt idx="34">
                  <c:v>59.104855238953448</c:v>
                </c:pt>
                <c:pt idx="35">
                  <c:v>59.085573147690042</c:v>
                </c:pt>
                <c:pt idx="36">
                  <c:v>59.066168164771739</c:v>
                </c:pt>
                <c:pt idx="37">
                  <c:v>59.046464822076302</c:v>
                </c:pt>
                <c:pt idx="38">
                  <c:v>59.025740527062396</c:v>
                </c:pt>
                <c:pt idx="39">
                  <c:v>59.002636143708372</c:v>
                </c:pt>
                <c:pt idx="40">
                  <c:v>58.9796202084231</c:v>
                </c:pt>
                <c:pt idx="41">
                  <c:v>58.954322317322692</c:v>
                </c:pt>
                <c:pt idx="42">
                  <c:v>58.927774792778145</c:v>
                </c:pt>
                <c:pt idx="43">
                  <c:v>58.901087397723131</c:v>
                </c:pt>
                <c:pt idx="44">
                  <c:v>58.874943074996956</c:v>
                </c:pt>
                <c:pt idx="45">
                  <c:v>58.847814130656062</c:v>
                </c:pt>
                <c:pt idx="46">
                  <c:v>58.819027112225932</c:v>
                </c:pt>
                <c:pt idx="47">
                  <c:v>58.789296634374288</c:v>
                </c:pt>
                <c:pt idx="48">
                  <c:v>58.758076206825812</c:v>
                </c:pt>
                <c:pt idx="49">
                  <c:v>58.725137481060742</c:v>
                </c:pt>
                <c:pt idx="50">
                  <c:v>58.688867936364673</c:v>
                </c:pt>
                <c:pt idx="51">
                  <c:v>58.650337341030259</c:v>
                </c:pt>
                <c:pt idx="52">
                  <c:v>58.610704928234803</c:v>
                </c:pt>
                <c:pt idx="53">
                  <c:v>58.570080796295542</c:v>
                </c:pt>
                <c:pt idx="54">
                  <c:v>58.525583948333079</c:v>
                </c:pt>
                <c:pt idx="55">
                  <c:v>58.480738639385976</c:v>
                </c:pt>
                <c:pt idx="56">
                  <c:v>58.432790955076143</c:v>
                </c:pt>
                <c:pt idx="57">
                  <c:v>58.382839057703009</c:v>
                </c:pt>
                <c:pt idx="58">
                  <c:v>58.326392466805984</c:v>
                </c:pt>
                <c:pt idx="59">
                  <c:v>58.272795126967694</c:v>
                </c:pt>
                <c:pt idx="60">
                  <c:v>58.216612975843596</c:v>
                </c:pt>
                <c:pt idx="61">
                  <c:v>58.15738759750402</c:v>
                </c:pt>
                <c:pt idx="62">
                  <c:v>58.097478399099387</c:v>
                </c:pt>
                <c:pt idx="63">
                  <c:v>58.033901010160136</c:v>
                </c:pt>
                <c:pt idx="64">
                  <c:v>57.965129255716327</c:v>
                </c:pt>
                <c:pt idx="65">
                  <c:v>57.90336968447842</c:v>
                </c:pt>
                <c:pt idx="66">
                  <c:v>57.842563536495298</c:v>
                </c:pt>
                <c:pt idx="67">
                  <c:v>57.776738545640285</c:v>
                </c:pt>
                <c:pt idx="68">
                  <c:v>57.707968184182057</c:v>
                </c:pt>
                <c:pt idx="69">
                  <c:v>57.640737790195665</c:v>
                </c:pt>
                <c:pt idx="70">
                  <c:v>57.585076403083747</c:v>
                </c:pt>
                <c:pt idx="71">
                  <c:v>57.519715993851563</c:v>
                </c:pt>
                <c:pt idx="72">
                  <c:v>57.465322983162935</c:v>
                </c:pt>
                <c:pt idx="73">
                  <c:v>57.407162771027245</c:v>
                </c:pt>
                <c:pt idx="74">
                  <c:v>57.339089315928874</c:v>
                </c:pt>
                <c:pt idx="75">
                  <c:v>57.271170955561637</c:v>
                </c:pt>
                <c:pt idx="76">
                  <c:v>57.202202591388208</c:v>
                </c:pt>
                <c:pt idx="77">
                  <c:v>57.13438403423239</c:v>
                </c:pt>
                <c:pt idx="78">
                  <c:v>57.058418185235368</c:v>
                </c:pt>
                <c:pt idx="79">
                  <c:v>56.983055349873538</c:v>
                </c:pt>
                <c:pt idx="80">
                  <c:v>56.901042497519875</c:v>
                </c:pt>
                <c:pt idx="81">
                  <c:v>56.82624672803415</c:v>
                </c:pt>
                <c:pt idx="82">
                  <c:v>56.76046820871786</c:v>
                </c:pt>
                <c:pt idx="83">
                  <c:v>56.703205047680825</c:v>
                </c:pt>
                <c:pt idx="84">
                  <c:v>56.642805743031765</c:v>
                </c:pt>
                <c:pt idx="85">
                  <c:v>56.577285309599034</c:v>
                </c:pt>
                <c:pt idx="86">
                  <c:v>56.509249996384078</c:v>
                </c:pt>
                <c:pt idx="87">
                  <c:v>56.433066890173599</c:v>
                </c:pt>
                <c:pt idx="88">
                  <c:v>56.351399991562701</c:v>
                </c:pt>
                <c:pt idx="89">
                  <c:v>56.276221544849093</c:v>
                </c:pt>
                <c:pt idx="90">
                  <c:v>56.196476769009188</c:v>
                </c:pt>
                <c:pt idx="91">
                  <c:v>56.108291559989517</c:v>
                </c:pt>
                <c:pt idx="92">
                  <c:v>56.017051442465927</c:v>
                </c:pt>
                <c:pt idx="93">
                  <c:v>55.924080496515849</c:v>
                </c:pt>
                <c:pt idx="94">
                  <c:v>55.827700618680964</c:v>
                </c:pt>
                <c:pt idx="95">
                  <c:v>55.730272482177099</c:v>
                </c:pt>
                <c:pt idx="96">
                  <c:v>55.652210623538799</c:v>
                </c:pt>
                <c:pt idx="97">
                  <c:v>55.568187700128661</c:v>
                </c:pt>
                <c:pt idx="98">
                  <c:v>55.471662935128016</c:v>
                </c:pt>
                <c:pt idx="99">
                  <c:v>55.366429764737745</c:v>
                </c:pt>
                <c:pt idx="100">
                  <c:v>55.26647384504323</c:v>
                </c:pt>
                <c:pt idx="101">
                  <c:v>55.154283840541297</c:v>
                </c:pt>
                <c:pt idx="102">
                  <c:v>55.033692367958729</c:v>
                </c:pt>
                <c:pt idx="103">
                  <c:v>54.913388832038613</c:v>
                </c:pt>
                <c:pt idx="104">
                  <c:v>54.788278871282273</c:v>
                </c:pt>
                <c:pt idx="105">
                  <c:v>54.662890706861745</c:v>
                </c:pt>
                <c:pt idx="106">
                  <c:v>54.527553173749055</c:v>
                </c:pt>
                <c:pt idx="107">
                  <c:v>54.382553621082877</c:v>
                </c:pt>
                <c:pt idx="108">
                  <c:v>54.235387469392457</c:v>
                </c:pt>
                <c:pt idx="109">
                  <c:v>54.097272247764536</c:v>
                </c:pt>
                <c:pt idx="110">
                  <c:v>53.962768479239628</c:v>
                </c:pt>
                <c:pt idx="111">
                  <c:v>53.820888634248064</c:v>
                </c:pt>
                <c:pt idx="112">
                  <c:v>53.665650087242113</c:v>
                </c:pt>
                <c:pt idx="113">
                  <c:v>53.49539085466423</c:v>
                </c:pt>
                <c:pt idx="114">
                  <c:v>53.312364136494885</c:v>
                </c:pt>
                <c:pt idx="115">
                  <c:v>53.11660731178646</c:v>
                </c:pt>
                <c:pt idx="116">
                  <c:v>52.914066450012221</c:v>
                </c:pt>
                <c:pt idx="117">
                  <c:v>52.704102864513082</c:v>
                </c:pt>
                <c:pt idx="118">
                  <c:v>52.479072651333937</c:v>
                </c:pt>
                <c:pt idx="119">
                  <c:v>52.240419355435527</c:v>
                </c:pt>
                <c:pt idx="120">
                  <c:v>51.989391601955049</c:v>
                </c:pt>
                <c:pt idx="121">
                  <c:v>51.727540467089575</c:v>
                </c:pt>
                <c:pt idx="122">
                  <c:v>51.460281382396623</c:v>
                </c:pt>
                <c:pt idx="123">
                  <c:v>51.176862264277844</c:v>
                </c:pt>
                <c:pt idx="124">
                  <c:v>50.879157299021173</c:v>
                </c:pt>
                <c:pt idx="125">
                  <c:v>50.58200001610966</c:v>
                </c:pt>
                <c:pt idx="126">
                  <c:v>50.290996430722487</c:v>
                </c:pt>
                <c:pt idx="127">
                  <c:v>49.980223266803193</c:v>
                </c:pt>
                <c:pt idx="128">
                  <c:v>49.662291468179774</c:v>
                </c:pt>
                <c:pt idx="129">
                  <c:v>49.333689018111727</c:v>
                </c:pt>
                <c:pt idx="130">
                  <c:v>48.994148759253051</c:v>
                </c:pt>
                <c:pt idx="131">
                  <c:v>48.650000288732201</c:v>
                </c:pt>
                <c:pt idx="132">
                  <c:v>48.309687392149968</c:v>
                </c:pt>
                <c:pt idx="133">
                  <c:v>47.978611612438037</c:v>
                </c:pt>
                <c:pt idx="134">
                  <c:v>47.644249516288035</c:v>
                </c:pt>
                <c:pt idx="135">
                  <c:v>47.301506665953845</c:v>
                </c:pt>
                <c:pt idx="136">
                  <c:v>46.947686822876463</c:v>
                </c:pt>
                <c:pt idx="137">
                  <c:v>46.592827121826211</c:v>
                </c:pt>
                <c:pt idx="138">
                  <c:v>46.225047193497936</c:v>
                </c:pt>
                <c:pt idx="139">
                  <c:v>45.847732176056695</c:v>
                </c:pt>
                <c:pt idx="140">
                  <c:v>45.460220429022677</c:v>
                </c:pt>
                <c:pt idx="141">
                  <c:v>45.032836268690822</c:v>
                </c:pt>
                <c:pt idx="142">
                  <c:v>44.632359064414281</c:v>
                </c:pt>
                <c:pt idx="143">
                  <c:v>44.233645048865384</c:v>
                </c:pt>
                <c:pt idx="144">
                  <c:v>43.843587480937799</c:v>
                </c:pt>
                <c:pt idx="145">
                  <c:v>43.465187675552947</c:v>
                </c:pt>
                <c:pt idx="146">
                  <c:v>43.084274487024551</c:v>
                </c:pt>
                <c:pt idx="147">
                  <c:v>42.689751040057601</c:v>
                </c:pt>
                <c:pt idx="148">
                  <c:v>42.291112142212647</c:v>
                </c:pt>
                <c:pt idx="149">
                  <c:v>41.8655261345653</c:v>
                </c:pt>
                <c:pt idx="150">
                  <c:v>41.431987044762344</c:v>
                </c:pt>
                <c:pt idx="151">
                  <c:v>40.975044042732108</c:v>
                </c:pt>
                <c:pt idx="152">
                  <c:v>40.500727163368303</c:v>
                </c:pt>
                <c:pt idx="153">
                  <c:v>40.012424052562082</c:v>
                </c:pt>
                <c:pt idx="154">
                  <c:v>39.532489101767951</c:v>
                </c:pt>
                <c:pt idx="155">
                  <c:v>39.045946711352926</c:v>
                </c:pt>
                <c:pt idx="156">
                  <c:v>38.564041069398961</c:v>
                </c:pt>
                <c:pt idx="157">
                  <c:v>38.088685542439634</c:v>
                </c:pt>
                <c:pt idx="158">
                  <c:v>37.594034378749299</c:v>
                </c:pt>
                <c:pt idx="159">
                  <c:v>37.135372229062689</c:v>
                </c:pt>
                <c:pt idx="160">
                  <c:v>36.769581798927248</c:v>
                </c:pt>
                <c:pt idx="161">
                  <c:v>36.394727040869917</c:v>
                </c:pt>
                <c:pt idx="162">
                  <c:v>36.077211628903392</c:v>
                </c:pt>
                <c:pt idx="163">
                  <c:v>35.789432241264748</c:v>
                </c:pt>
                <c:pt idx="164">
                  <c:v>35.479018769547658</c:v>
                </c:pt>
                <c:pt idx="165">
                  <c:v>35.178242582128036</c:v>
                </c:pt>
                <c:pt idx="166">
                  <c:v>34.855118054693918</c:v>
                </c:pt>
                <c:pt idx="167">
                  <c:v>34.504147840207018</c:v>
                </c:pt>
                <c:pt idx="168">
                  <c:v>34.122000353872124</c:v>
                </c:pt>
                <c:pt idx="169">
                  <c:v>33.672744261925118</c:v>
                </c:pt>
                <c:pt idx="170">
                  <c:v>33.265610196826692</c:v>
                </c:pt>
                <c:pt idx="171">
                  <c:v>33.018154644798258</c:v>
                </c:pt>
                <c:pt idx="172">
                  <c:v>32.542284900368379</c:v>
                </c:pt>
                <c:pt idx="173">
                  <c:v>32.07692845849153</c:v>
                </c:pt>
                <c:pt idx="174">
                  <c:v>31.882786293130572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6A-45E2-A902-9D785949E1EE}"/>
            </c:ext>
          </c:extLst>
        </c:ser>
        <c:ser>
          <c:idx val="10"/>
          <c:order val="10"/>
          <c:tx>
            <c:strRef>
              <c:f>data_ghg_excLUC!$N$2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data_ghg_excLUC!$N$3:$N$177</c:f>
              <c:numCache>
                <c:formatCode>0.0</c:formatCode>
                <c:ptCount val="175"/>
                <c:pt idx="0">
                  <c:v>56.150527593055919</c:v>
                </c:pt>
                <c:pt idx="1">
                  <c:v>56.153170012130445</c:v>
                </c:pt>
                <c:pt idx="2">
                  <c:v>56.155710160395344</c:v>
                </c:pt>
                <c:pt idx="3">
                  <c:v>56.158014844629086</c:v>
                </c:pt>
                <c:pt idx="4">
                  <c:v>56.160056180426665</c:v>
                </c:pt>
                <c:pt idx="5">
                  <c:v>56.161292555636599</c:v>
                </c:pt>
                <c:pt idx="6">
                  <c:v>56.162361640184741</c:v>
                </c:pt>
                <c:pt idx="7">
                  <c:v>56.163022455106905</c:v>
                </c:pt>
                <c:pt idx="8">
                  <c:v>56.163563506433889</c:v>
                </c:pt>
                <c:pt idx="9">
                  <c:v>56.16398541123985</c:v>
                </c:pt>
                <c:pt idx="10">
                  <c:v>56.164023030074226</c:v>
                </c:pt>
                <c:pt idx="11">
                  <c:v>56.163433162026777</c:v>
                </c:pt>
                <c:pt idx="12">
                  <c:v>56.162472025721641</c:v>
                </c:pt>
                <c:pt idx="13">
                  <c:v>56.161360828010366</c:v>
                </c:pt>
                <c:pt idx="14">
                  <c:v>56.159805581330716</c:v>
                </c:pt>
                <c:pt idx="15">
                  <c:v>56.157653980999342</c:v>
                </c:pt>
                <c:pt idx="16">
                  <c:v>56.154984823936218</c:v>
                </c:pt>
                <c:pt idx="17">
                  <c:v>56.152003429067577</c:v>
                </c:pt>
                <c:pt idx="18">
                  <c:v>56.1483987889264</c:v>
                </c:pt>
                <c:pt idx="19">
                  <c:v>56.144514784925427</c:v>
                </c:pt>
                <c:pt idx="20">
                  <c:v>56.140033050359442</c:v>
                </c:pt>
                <c:pt idx="21">
                  <c:v>56.135343882457093</c:v>
                </c:pt>
                <c:pt idx="22">
                  <c:v>56.130020786675097</c:v>
                </c:pt>
                <c:pt idx="23">
                  <c:v>56.123482209701066</c:v>
                </c:pt>
                <c:pt idx="24">
                  <c:v>56.116140038652254</c:v>
                </c:pt>
                <c:pt idx="25">
                  <c:v>56.109554837772059</c:v>
                </c:pt>
                <c:pt idx="26">
                  <c:v>56.101878575518214</c:v>
                </c:pt>
                <c:pt idx="27">
                  <c:v>56.093949212509322</c:v>
                </c:pt>
                <c:pt idx="28">
                  <c:v>56.085693208857364</c:v>
                </c:pt>
                <c:pt idx="29">
                  <c:v>56.077345388401199</c:v>
                </c:pt>
                <c:pt idx="30">
                  <c:v>56.067975502089759</c:v>
                </c:pt>
                <c:pt idx="31">
                  <c:v>56.056649359394719</c:v>
                </c:pt>
                <c:pt idx="32">
                  <c:v>56.044809590059629</c:v>
                </c:pt>
                <c:pt idx="33">
                  <c:v>56.03203915715924</c:v>
                </c:pt>
                <c:pt idx="34">
                  <c:v>56.018163546959507</c:v>
                </c:pt>
                <c:pt idx="35">
                  <c:v>56.004116917067712</c:v>
                </c:pt>
                <c:pt idx="36">
                  <c:v>55.989937838498484</c:v>
                </c:pt>
                <c:pt idx="37">
                  <c:v>55.975511152710212</c:v>
                </c:pt>
                <c:pt idx="38">
                  <c:v>55.960172142036257</c:v>
                </c:pt>
                <c:pt idx="39">
                  <c:v>55.942633327535596</c:v>
                </c:pt>
                <c:pt idx="40">
                  <c:v>55.925141879512331</c:v>
                </c:pt>
                <c:pt idx="41">
                  <c:v>55.905620118762009</c:v>
                </c:pt>
                <c:pt idx="42">
                  <c:v>55.884899516140166</c:v>
                </c:pt>
                <c:pt idx="43">
                  <c:v>55.864007890132704</c:v>
                </c:pt>
                <c:pt idx="44">
                  <c:v>55.843537662364518</c:v>
                </c:pt>
                <c:pt idx="45">
                  <c:v>55.822098792971509</c:v>
                </c:pt>
                <c:pt idx="46">
                  <c:v>55.799130091117831</c:v>
                </c:pt>
                <c:pt idx="47">
                  <c:v>55.775263141036191</c:v>
                </c:pt>
                <c:pt idx="48">
                  <c:v>55.749988322554344</c:v>
                </c:pt>
                <c:pt idx="49">
                  <c:v>55.723103337252113</c:v>
                </c:pt>
                <c:pt idx="50">
                  <c:v>55.693118176655346</c:v>
                </c:pt>
                <c:pt idx="51">
                  <c:v>55.660998725675867</c:v>
                </c:pt>
                <c:pt idx="52">
                  <c:v>55.627910726904503</c:v>
                </c:pt>
                <c:pt idx="53">
                  <c:v>55.593868776032906</c:v>
                </c:pt>
                <c:pt idx="54">
                  <c:v>55.55624884886555</c:v>
                </c:pt>
                <c:pt idx="55">
                  <c:v>55.518271079979108</c:v>
                </c:pt>
                <c:pt idx="56">
                  <c:v>55.477383530736226</c:v>
                </c:pt>
                <c:pt idx="57">
                  <c:v>55.434909551246648</c:v>
                </c:pt>
                <c:pt idx="58">
                  <c:v>55.385790699766588</c:v>
                </c:pt>
                <c:pt idx="59">
                  <c:v>55.339157176988671</c:v>
                </c:pt>
                <c:pt idx="60">
                  <c:v>55.290112761246768</c:v>
                </c:pt>
                <c:pt idx="61">
                  <c:v>55.238171587881965</c:v>
                </c:pt>
                <c:pt idx="62">
                  <c:v>55.18587305874798</c:v>
                </c:pt>
                <c:pt idx="63">
                  <c:v>55.129978444696825</c:v>
                </c:pt>
                <c:pt idx="64">
                  <c:v>55.069236615736941</c:v>
                </c:pt>
                <c:pt idx="65">
                  <c:v>55.015063736658512</c:v>
                </c:pt>
                <c:pt idx="66">
                  <c:v>54.961987903354746</c:v>
                </c:pt>
                <c:pt idx="67">
                  <c:v>54.90440588176957</c:v>
                </c:pt>
                <c:pt idx="68">
                  <c:v>54.844574452670422</c:v>
                </c:pt>
                <c:pt idx="69">
                  <c:v>54.786019368734209</c:v>
                </c:pt>
                <c:pt idx="70">
                  <c:v>54.737964925349495</c:v>
                </c:pt>
                <c:pt idx="71">
                  <c:v>54.681098758908561</c:v>
                </c:pt>
                <c:pt idx="72">
                  <c:v>54.63425033878331</c:v>
                </c:pt>
                <c:pt idx="73">
                  <c:v>54.583947306430922</c:v>
                </c:pt>
                <c:pt idx="74">
                  <c:v>54.524776182547519</c:v>
                </c:pt>
                <c:pt idx="75">
                  <c:v>54.465680525191338</c:v>
                </c:pt>
                <c:pt idx="76">
                  <c:v>54.40533758226865</c:v>
                </c:pt>
                <c:pt idx="77">
                  <c:v>54.346365405974552</c:v>
                </c:pt>
                <c:pt idx="78">
                  <c:v>54.279780273727972</c:v>
                </c:pt>
                <c:pt idx="79">
                  <c:v>54.21436147443216</c:v>
                </c:pt>
                <c:pt idx="80">
                  <c:v>54.143036409497903</c:v>
                </c:pt>
                <c:pt idx="81">
                  <c:v>54.078687195280587</c:v>
                </c:pt>
                <c:pt idx="82">
                  <c:v>54.022533678582086</c:v>
                </c:pt>
                <c:pt idx="83">
                  <c:v>53.974149868338685</c:v>
                </c:pt>
                <c:pt idx="84">
                  <c:v>53.923008410661353</c:v>
                </c:pt>
                <c:pt idx="85">
                  <c:v>53.867277260326716</c:v>
                </c:pt>
                <c:pt idx="86">
                  <c:v>53.809374315001705</c:v>
                </c:pt>
                <c:pt idx="87">
                  <c:v>53.744377323129001</c:v>
                </c:pt>
                <c:pt idx="88">
                  <c:v>53.674525673966379</c:v>
                </c:pt>
                <c:pt idx="89">
                  <c:v>53.611122296475024</c:v>
                </c:pt>
                <c:pt idx="90">
                  <c:v>53.543608737966395</c:v>
                </c:pt>
                <c:pt idx="91">
                  <c:v>53.468829936439512</c:v>
                </c:pt>
                <c:pt idx="92">
                  <c:v>53.391971377873183</c:v>
                </c:pt>
                <c:pt idx="93">
                  <c:v>53.312297202383583</c:v>
                </c:pt>
                <c:pt idx="94">
                  <c:v>53.229655196469892</c:v>
                </c:pt>
                <c:pt idx="95">
                  <c:v>53.149382602704975</c:v>
                </c:pt>
                <c:pt idx="96">
                  <c:v>53.087878632944452</c:v>
                </c:pt>
                <c:pt idx="97">
                  <c:v>53.021321410984157</c:v>
                </c:pt>
                <c:pt idx="98">
                  <c:v>52.941818888251206</c:v>
                </c:pt>
                <c:pt idx="99">
                  <c:v>52.854182321736751</c:v>
                </c:pt>
                <c:pt idx="100">
                  <c:v>52.772242813659339</c:v>
                </c:pt>
                <c:pt idx="101">
                  <c:v>52.674681896318333</c:v>
                </c:pt>
                <c:pt idx="102">
                  <c:v>52.569355970489681</c:v>
                </c:pt>
                <c:pt idx="103">
                  <c:v>52.46395914905969</c:v>
                </c:pt>
                <c:pt idx="104">
                  <c:v>52.354223490846607</c:v>
                </c:pt>
                <c:pt idx="105">
                  <c:v>52.243745487131442</c:v>
                </c:pt>
                <c:pt idx="106">
                  <c:v>52.122747163258964</c:v>
                </c:pt>
                <c:pt idx="107">
                  <c:v>51.992433223779521</c:v>
                </c:pt>
                <c:pt idx="108">
                  <c:v>51.859568220485521</c:v>
                </c:pt>
                <c:pt idx="109">
                  <c:v>51.733992320313938</c:v>
                </c:pt>
                <c:pt idx="110">
                  <c:v>51.610275402896079</c:v>
                </c:pt>
                <c:pt idx="111">
                  <c:v>51.479731796788144</c:v>
                </c:pt>
                <c:pt idx="112">
                  <c:v>51.33691450927698</c:v>
                </c:pt>
                <c:pt idx="113">
                  <c:v>51.17966466739805</c:v>
                </c:pt>
                <c:pt idx="114">
                  <c:v>51.008512339350901</c:v>
                </c:pt>
                <c:pt idx="115">
                  <c:v>50.825215663819904</c:v>
                </c:pt>
                <c:pt idx="116">
                  <c:v>50.633158607726713</c:v>
                </c:pt>
                <c:pt idx="117">
                  <c:v>50.433583192908593</c:v>
                </c:pt>
                <c:pt idx="118">
                  <c:v>50.217559719253366</c:v>
                </c:pt>
                <c:pt idx="119">
                  <c:v>49.98934850310723</c:v>
                </c:pt>
                <c:pt idx="120">
                  <c:v>49.747252164505881</c:v>
                </c:pt>
                <c:pt idx="121">
                  <c:v>49.495522345312736</c:v>
                </c:pt>
                <c:pt idx="122">
                  <c:v>49.236425388817828</c:v>
                </c:pt>
                <c:pt idx="123">
                  <c:v>48.958764753583701</c:v>
                </c:pt>
                <c:pt idx="124">
                  <c:v>48.66394102951859</c:v>
                </c:pt>
                <c:pt idx="125">
                  <c:v>48.367865280873303</c:v>
                </c:pt>
                <c:pt idx="126">
                  <c:v>48.07950261272191</c:v>
                </c:pt>
                <c:pt idx="127">
                  <c:v>47.76836423022192</c:v>
                </c:pt>
                <c:pt idx="128">
                  <c:v>47.450914560809828</c:v>
                </c:pt>
                <c:pt idx="129">
                  <c:v>47.120782456289675</c:v>
                </c:pt>
                <c:pt idx="130">
                  <c:v>46.778593130892958</c:v>
                </c:pt>
                <c:pt idx="131">
                  <c:v>46.433836473609006</c:v>
                </c:pt>
                <c:pt idx="132">
                  <c:v>46.09249093235497</c:v>
                </c:pt>
                <c:pt idx="133">
                  <c:v>45.760832752065419</c:v>
                </c:pt>
                <c:pt idx="134">
                  <c:v>45.424470409207757</c:v>
                </c:pt>
                <c:pt idx="135">
                  <c:v>45.074632276160436</c:v>
                </c:pt>
                <c:pt idx="136">
                  <c:v>44.712916539506047</c:v>
                </c:pt>
                <c:pt idx="137">
                  <c:v>44.347182704579133</c:v>
                </c:pt>
                <c:pt idx="138">
                  <c:v>43.969044167188777</c:v>
                </c:pt>
                <c:pt idx="139">
                  <c:v>43.575832447409105</c:v>
                </c:pt>
                <c:pt idx="140">
                  <c:v>43.172625027544818</c:v>
                </c:pt>
                <c:pt idx="141">
                  <c:v>42.766150935300118</c:v>
                </c:pt>
                <c:pt idx="142">
                  <c:v>42.376531046398554</c:v>
                </c:pt>
                <c:pt idx="143">
                  <c:v>41.993200454948408</c:v>
                </c:pt>
                <c:pt idx="144">
                  <c:v>41.613872876692611</c:v>
                </c:pt>
                <c:pt idx="145">
                  <c:v>41.240274967108284</c:v>
                </c:pt>
                <c:pt idx="146">
                  <c:v>40.865094603457713</c:v>
                </c:pt>
                <c:pt idx="147">
                  <c:v>40.476713868796047</c:v>
                </c:pt>
                <c:pt idx="148">
                  <c:v>40.085550545515346</c:v>
                </c:pt>
                <c:pt idx="149">
                  <c:v>39.675452132573014</c:v>
                </c:pt>
                <c:pt idx="150">
                  <c:v>39.263696415452429</c:v>
                </c:pt>
                <c:pt idx="151">
                  <c:v>38.831207420318933</c:v>
                </c:pt>
                <c:pt idx="152">
                  <c:v>38.386199486077601</c:v>
                </c:pt>
                <c:pt idx="153">
                  <c:v>37.935159838670209</c:v>
                </c:pt>
                <c:pt idx="154">
                  <c:v>37.490128713929685</c:v>
                </c:pt>
                <c:pt idx="155">
                  <c:v>37.045637518435186</c:v>
                </c:pt>
                <c:pt idx="156">
                  <c:v>36.611979542284836</c:v>
                </c:pt>
                <c:pt idx="157">
                  <c:v>36.180306663217266</c:v>
                </c:pt>
                <c:pt idx="158">
                  <c:v>35.72796030791887</c:v>
                </c:pt>
                <c:pt idx="159">
                  <c:v>35.301024494704301</c:v>
                </c:pt>
                <c:pt idx="160">
                  <c:v>34.960223157586057</c:v>
                </c:pt>
                <c:pt idx="161">
                  <c:v>34.59501935916542</c:v>
                </c:pt>
                <c:pt idx="162">
                  <c:v>34.280444029367956</c:v>
                </c:pt>
                <c:pt idx="163">
                  <c:v>33.991137027595563</c:v>
                </c:pt>
                <c:pt idx="164">
                  <c:v>33.676936698554435</c:v>
                </c:pt>
                <c:pt idx="165">
                  <c:v>33.379072864129625</c:v>
                </c:pt>
                <c:pt idx="166">
                  <c:v>33.087146059513259</c:v>
                </c:pt>
                <c:pt idx="167">
                  <c:v>32.792755335653546</c:v>
                </c:pt>
                <c:pt idx="168">
                  <c:v>32.494573736788759</c:v>
                </c:pt>
                <c:pt idx="169">
                  <c:v>32.126869393204728</c:v>
                </c:pt>
                <c:pt idx="170">
                  <c:v>31.792422912987643</c:v>
                </c:pt>
                <c:pt idx="171">
                  <c:v>31.650458672735066</c:v>
                </c:pt>
                <c:pt idx="172">
                  <c:v>31.380720994961898</c:v>
                </c:pt>
                <c:pt idx="173">
                  <c:v>31.197464674276148</c:v>
                </c:pt>
                <c:pt idx="174">
                  <c:v>32.229387245274339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6A-45E2-A902-9D785949E1EE}"/>
            </c:ext>
          </c:extLst>
        </c:ser>
        <c:ser>
          <c:idx val="11"/>
          <c:order val="11"/>
          <c:tx>
            <c:strRef>
              <c:f>data_ghg_excLUC!$O$2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data_ghg_excLUC!$O$3:$O$177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48.45055088279495</c:v>
                </c:pt>
                <c:pt idx="121">
                  <c:v>48.210617497089217</c:v>
                </c:pt>
                <c:pt idx="122">
                  <c:v>47.969874810765049</c:v>
                </c:pt>
                <c:pt idx="123">
                  <c:v>47.713913756232401</c:v>
                </c:pt>
                <c:pt idx="124">
                  <c:v>47.441019843104705</c:v>
                </c:pt>
                <c:pt idx="125">
                  <c:v>47.168434152213564</c:v>
                </c:pt>
                <c:pt idx="126">
                  <c:v>46.903017062363951</c:v>
                </c:pt>
                <c:pt idx="127">
                  <c:v>46.617706652347096</c:v>
                </c:pt>
                <c:pt idx="128">
                  <c:v>46.325454250258474</c:v>
                </c:pt>
                <c:pt idx="129">
                  <c:v>46.02392143728251</c:v>
                </c:pt>
                <c:pt idx="130">
                  <c:v>45.710574401482269</c:v>
                </c:pt>
                <c:pt idx="131">
                  <c:v>45.39761017865559</c:v>
                </c:pt>
                <c:pt idx="132">
                  <c:v>45.082980154168148</c:v>
                </c:pt>
                <c:pt idx="133">
                  <c:v>44.777244446482428</c:v>
                </c:pt>
                <c:pt idx="134">
                  <c:v>44.468823110523815</c:v>
                </c:pt>
                <c:pt idx="135">
                  <c:v>44.146288054871732</c:v>
                </c:pt>
                <c:pt idx="136">
                  <c:v>43.813953232991786</c:v>
                </c:pt>
                <c:pt idx="137">
                  <c:v>43.477255905843307</c:v>
                </c:pt>
                <c:pt idx="138">
                  <c:v>43.126848244365043</c:v>
                </c:pt>
                <c:pt idx="139">
                  <c:v>42.762709080344145</c:v>
                </c:pt>
                <c:pt idx="140">
                  <c:v>42.390667987407014</c:v>
                </c:pt>
                <c:pt idx="141">
                  <c:v>42.006710311216871</c:v>
                </c:pt>
                <c:pt idx="142">
                  <c:v>41.625352900677392</c:v>
                </c:pt>
                <c:pt idx="143">
                  <c:v>41.253302865652238</c:v>
                </c:pt>
                <c:pt idx="144">
                  <c:v>40.89005777364423</c:v>
                </c:pt>
                <c:pt idx="145">
                  <c:v>40.533927496744312</c:v>
                </c:pt>
                <c:pt idx="146">
                  <c:v>40.178611341813095</c:v>
                </c:pt>
                <c:pt idx="147">
                  <c:v>39.80607160893004</c:v>
                </c:pt>
                <c:pt idx="148">
                  <c:v>39.421467315673873</c:v>
                </c:pt>
                <c:pt idx="149">
                  <c:v>39.022900497271394</c:v>
                </c:pt>
                <c:pt idx="150">
                  <c:v>38.605636141872736</c:v>
                </c:pt>
                <c:pt idx="151">
                  <c:v>38.168566585698912</c:v>
                </c:pt>
                <c:pt idx="152">
                  <c:v>37.720065191998962</c:v>
                </c:pt>
                <c:pt idx="153">
                  <c:v>37.268956533979306</c:v>
                </c:pt>
                <c:pt idx="154">
                  <c:v>36.810657764508669</c:v>
                </c:pt>
                <c:pt idx="155">
                  <c:v>36.362577509973285</c:v>
                </c:pt>
                <c:pt idx="156">
                  <c:v>35.926266686412809</c:v>
                </c:pt>
                <c:pt idx="157">
                  <c:v>35.504727906775372</c:v>
                </c:pt>
                <c:pt idx="158">
                  <c:v>35.073698615410059</c:v>
                </c:pt>
                <c:pt idx="159">
                  <c:v>34.664698800081922</c:v>
                </c:pt>
                <c:pt idx="160">
                  <c:v>34.339157828922424</c:v>
                </c:pt>
                <c:pt idx="161">
                  <c:v>33.989604331744204</c:v>
                </c:pt>
                <c:pt idx="162">
                  <c:v>33.686520826139201</c:v>
                </c:pt>
                <c:pt idx="163">
                  <c:v>33.411287970770914</c:v>
                </c:pt>
                <c:pt idx="164">
                  <c:v>33.137595917301184</c:v>
                </c:pt>
                <c:pt idx="165">
                  <c:v>32.880202088192036</c:v>
                </c:pt>
                <c:pt idx="166">
                  <c:v>32.593933828780337</c:v>
                </c:pt>
                <c:pt idx="167">
                  <c:v>32.28658423909301</c:v>
                </c:pt>
                <c:pt idx="168">
                  <c:v>31.952542075988173</c:v>
                </c:pt>
                <c:pt idx="169">
                  <c:v>31.565944669229513</c:v>
                </c:pt>
                <c:pt idx="170">
                  <c:v>31.191833318191094</c:v>
                </c:pt>
                <c:pt idx="171">
                  <c:v>30.96792195280182</c:v>
                </c:pt>
                <c:pt idx="172">
                  <c:v>30.565124215200179</c:v>
                </c:pt>
                <c:pt idx="173">
                  <c:v>30.082933794566237</c:v>
                </c:pt>
                <c:pt idx="174">
                  <c:v>29.90605485455259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6A-45E2-A902-9D785949E1EE}"/>
            </c:ext>
          </c:extLst>
        </c:ser>
        <c:ser>
          <c:idx val="12"/>
          <c:order val="12"/>
          <c:tx>
            <c:strRef>
              <c:f>data_ghg_excLUC!$P$2</c:f>
              <c:strCache>
                <c:ptCount val="1"/>
                <c:pt idx="0">
                  <c:v>pct_annex1_ClimateWatch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data_ghg_excLUC!$P$3:$P$177</c:f>
              <c:numCache>
                <c:formatCode>0.0</c:formatCode>
                <c:ptCount val="1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42.81938837945394</c:v>
                </c:pt>
                <c:pt idx="141">
                  <c:v>42.441671396579373</c:v>
                </c:pt>
                <c:pt idx="142">
                  <c:v>42.067251067324293</c:v>
                </c:pt>
                <c:pt idx="143">
                  <c:v>41.703888947431459</c:v>
                </c:pt>
                <c:pt idx="144">
                  <c:v>41.351720861427019</c:v>
                </c:pt>
                <c:pt idx="145">
                  <c:v>41.004981667507622</c:v>
                </c:pt>
                <c:pt idx="146">
                  <c:v>40.661565008479258</c:v>
                </c:pt>
                <c:pt idx="147">
                  <c:v>40.299544514714761</c:v>
                </c:pt>
                <c:pt idx="148">
                  <c:v>39.925675951798148</c:v>
                </c:pt>
                <c:pt idx="149">
                  <c:v>39.538197075573727</c:v>
                </c:pt>
                <c:pt idx="150">
                  <c:v>39.131763493075681</c:v>
                </c:pt>
                <c:pt idx="151">
                  <c:v>38.699897135707673</c:v>
                </c:pt>
                <c:pt idx="152">
                  <c:v>38.254100445615506</c:v>
                </c:pt>
                <c:pt idx="153">
                  <c:v>37.80756483020172</c:v>
                </c:pt>
                <c:pt idx="154">
                  <c:v>37.355172088137316</c:v>
                </c:pt>
                <c:pt idx="155">
                  <c:v>36.913910790883776</c:v>
                </c:pt>
                <c:pt idx="156">
                  <c:v>36.484656602564236</c:v>
                </c:pt>
                <c:pt idx="157">
                  <c:v>36.063883402172806</c:v>
                </c:pt>
                <c:pt idx="158">
                  <c:v>35.635063577897355</c:v>
                </c:pt>
                <c:pt idx="159">
                  <c:v>35.235472011043093</c:v>
                </c:pt>
                <c:pt idx="160">
                  <c:v>34.921299725023957</c:v>
                </c:pt>
                <c:pt idx="161">
                  <c:v>34.592058782764553</c:v>
                </c:pt>
                <c:pt idx="162">
                  <c:v>34.297346465362722</c:v>
                </c:pt>
                <c:pt idx="163">
                  <c:v>34.031526866774847</c:v>
                </c:pt>
                <c:pt idx="164">
                  <c:v>33.780147284396051</c:v>
                </c:pt>
                <c:pt idx="165">
                  <c:v>33.541341737788045</c:v>
                </c:pt>
                <c:pt idx="166">
                  <c:v>33.279421023226057</c:v>
                </c:pt>
                <c:pt idx="167">
                  <c:v>32.998351403989226</c:v>
                </c:pt>
                <c:pt idx="168">
                  <c:v>32.687747331316849</c:v>
                </c:pt>
                <c:pt idx="169">
                  <c:v>32.284541582431345</c:v>
                </c:pt>
                <c:pt idx="170">
                  <c:v>31.904653795049505</c:v>
                </c:pt>
                <c:pt idx="171">
                  <c:v>31.738204553785536</c:v>
                </c:pt>
                <c:pt idx="172">
                  <c:v>31.36107059802724</c:v>
                </c:pt>
                <c:pt idx="173">
                  <c:v>30.770028681063938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6A-45E2-A902-9D785949E1EE}"/>
            </c:ext>
          </c:extLst>
        </c:ser>
        <c:ser>
          <c:idx val="13"/>
          <c:order val="13"/>
          <c:tx>
            <c:strRef>
              <c:f>data_ghg_excLUC!$R$2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data_ghg_excLUC!$R$3:$R$177</c:f>
              <c:numCache>
                <c:formatCode>0.0</c:formatCode>
                <c:ptCount val="175"/>
                <c:pt idx="0">
                  <c:v>42.798000000000002</c:v>
                </c:pt>
                <c:pt idx="1">
                  <c:v>42.798000000000002</c:v>
                </c:pt>
                <c:pt idx="2">
                  <c:v>42.790999999999997</c:v>
                </c:pt>
                <c:pt idx="3">
                  <c:v>42.783999999999999</c:v>
                </c:pt>
                <c:pt idx="4">
                  <c:v>42.776000000000003</c:v>
                </c:pt>
                <c:pt idx="5">
                  <c:v>42.765999999999998</c:v>
                </c:pt>
                <c:pt idx="6">
                  <c:v>42.756999999999998</c:v>
                </c:pt>
                <c:pt idx="7">
                  <c:v>42.747</c:v>
                </c:pt>
                <c:pt idx="8">
                  <c:v>42.737000000000002</c:v>
                </c:pt>
                <c:pt idx="9">
                  <c:v>42.725999999999999</c:v>
                </c:pt>
                <c:pt idx="10">
                  <c:v>42.715000000000003</c:v>
                </c:pt>
                <c:pt idx="11">
                  <c:v>42.703000000000003</c:v>
                </c:pt>
                <c:pt idx="12">
                  <c:v>42.691000000000003</c:v>
                </c:pt>
                <c:pt idx="13">
                  <c:v>42.677999999999997</c:v>
                </c:pt>
                <c:pt idx="14">
                  <c:v>42.664999999999999</c:v>
                </c:pt>
                <c:pt idx="15">
                  <c:v>42.651000000000003</c:v>
                </c:pt>
                <c:pt idx="16">
                  <c:v>42.637</c:v>
                </c:pt>
                <c:pt idx="17">
                  <c:v>42.621000000000002</c:v>
                </c:pt>
                <c:pt idx="18">
                  <c:v>42.606000000000002</c:v>
                </c:pt>
                <c:pt idx="19">
                  <c:v>42.59</c:v>
                </c:pt>
                <c:pt idx="20">
                  <c:v>42.573</c:v>
                </c:pt>
                <c:pt idx="21">
                  <c:v>42.555999999999997</c:v>
                </c:pt>
                <c:pt idx="22">
                  <c:v>42.539000000000001</c:v>
                </c:pt>
                <c:pt idx="23">
                  <c:v>42.518999999999998</c:v>
                </c:pt>
                <c:pt idx="24">
                  <c:v>42.499000000000002</c:v>
                </c:pt>
                <c:pt idx="25">
                  <c:v>42.481000000000002</c:v>
                </c:pt>
                <c:pt idx="26">
                  <c:v>42.460999999999999</c:v>
                </c:pt>
                <c:pt idx="27">
                  <c:v>42.442999999999998</c:v>
                </c:pt>
                <c:pt idx="28">
                  <c:v>42.423999999999999</c:v>
                </c:pt>
                <c:pt idx="29">
                  <c:v>42.405000000000001</c:v>
                </c:pt>
                <c:pt idx="30">
                  <c:v>42.384999999999998</c:v>
                </c:pt>
                <c:pt idx="31">
                  <c:v>42.363</c:v>
                </c:pt>
                <c:pt idx="32">
                  <c:v>42.338999999999999</c:v>
                </c:pt>
                <c:pt idx="33">
                  <c:v>42.314999999999998</c:v>
                </c:pt>
                <c:pt idx="34">
                  <c:v>42.287999999999997</c:v>
                </c:pt>
                <c:pt idx="35">
                  <c:v>42.262999999999998</c:v>
                </c:pt>
                <c:pt idx="36">
                  <c:v>42.238</c:v>
                </c:pt>
                <c:pt idx="37">
                  <c:v>42.213000000000001</c:v>
                </c:pt>
                <c:pt idx="38">
                  <c:v>42.188000000000002</c:v>
                </c:pt>
                <c:pt idx="39">
                  <c:v>42.158000000000001</c:v>
                </c:pt>
                <c:pt idx="40">
                  <c:v>42.13</c:v>
                </c:pt>
                <c:pt idx="41">
                  <c:v>42.097999999999999</c:v>
                </c:pt>
                <c:pt idx="42">
                  <c:v>42.064</c:v>
                </c:pt>
                <c:pt idx="43">
                  <c:v>42.031999999999996</c:v>
                </c:pt>
                <c:pt idx="44">
                  <c:v>42.002000000000002</c:v>
                </c:pt>
                <c:pt idx="45">
                  <c:v>41.969000000000001</c:v>
                </c:pt>
                <c:pt idx="46">
                  <c:v>41.935000000000002</c:v>
                </c:pt>
                <c:pt idx="47">
                  <c:v>41.899000000000001</c:v>
                </c:pt>
                <c:pt idx="48">
                  <c:v>41.862000000000002</c:v>
                </c:pt>
                <c:pt idx="49">
                  <c:v>41.823</c:v>
                </c:pt>
                <c:pt idx="50">
                  <c:v>41.779000000000003</c:v>
                </c:pt>
                <c:pt idx="51">
                  <c:v>41.732999999999997</c:v>
                </c:pt>
                <c:pt idx="52">
                  <c:v>41.686999999999998</c:v>
                </c:pt>
                <c:pt idx="53">
                  <c:v>41.637999999999998</c:v>
                </c:pt>
                <c:pt idx="54">
                  <c:v>41.584000000000003</c:v>
                </c:pt>
                <c:pt idx="55">
                  <c:v>41.529000000000003</c:v>
                </c:pt>
                <c:pt idx="56">
                  <c:v>41.469000000000001</c:v>
                </c:pt>
                <c:pt idx="57">
                  <c:v>41.405999999999999</c:v>
                </c:pt>
                <c:pt idx="58">
                  <c:v>41.332000000000001</c:v>
                </c:pt>
                <c:pt idx="59">
                  <c:v>41.265999999999998</c:v>
                </c:pt>
                <c:pt idx="60">
                  <c:v>41.195</c:v>
                </c:pt>
                <c:pt idx="61">
                  <c:v>41.12</c:v>
                </c:pt>
                <c:pt idx="62">
                  <c:v>41.043999999999997</c:v>
                </c:pt>
                <c:pt idx="63">
                  <c:v>40.963999999999999</c:v>
                </c:pt>
                <c:pt idx="64">
                  <c:v>40.875</c:v>
                </c:pt>
                <c:pt idx="65">
                  <c:v>40.796999999999997</c:v>
                </c:pt>
                <c:pt idx="66">
                  <c:v>40.720999999999997</c:v>
                </c:pt>
                <c:pt idx="67">
                  <c:v>40.637</c:v>
                </c:pt>
                <c:pt idx="68">
                  <c:v>40.548000000000002</c:v>
                </c:pt>
                <c:pt idx="69">
                  <c:v>40.454999999999998</c:v>
                </c:pt>
                <c:pt idx="70">
                  <c:v>40.377000000000002</c:v>
                </c:pt>
                <c:pt idx="71">
                  <c:v>40.284999999999997</c:v>
                </c:pt>
                <c:pt idx="72">
                  <c:v>40.213999999999999</c:v>
                </c:pt>
                <c:pt idx="73">
                  <c:v>40.137</c:v>
                </c:pt>
                <c:pt idx="74">
                  <c:v>40.042999999999999</c:v>
                </c:pt>
                <c:pt idx="75">
                  <c:v>39.948999999999998</c:v>
                </c:pt>
                <c:pt idx="76">
                  <c:v>39.856999999999999</c:v>
                </c:pt>
                <c:pt idx="77">
                  <c:v>39.771000000000001</c:v>
                </c:pt>
                <c:pt idx="78">
                  <c:v>39.677</c:v>
                </c:pt>
                <c:pt idx="79">
                  <c:v>39.582999999999998</c:v>
                </c:pt>
                <c:pt idx="80">
                  <c:v>39.481000000000002</c:v>
                </c:pt>
                <c:pt idx="81">
                  <c:v>39.396000000000001</c:v>
                </c:pt>
                <c:pt idx="82">
                  <c:v>39.331000000000003</c:v>
                </c:pt>
                <c:pt idx="83">
                  <c:v>39.283000000000001</c:v>
                </c:pt>
                <c:pt idx="84">
                  <c:v>39.234000000000002</c:v>
                </c:pt>
                <c:pt idx="85">
                  <c:v>39.176000000000002</c:v>
                </c:pt>
                <c:pt idx="86">
                  <c:v>39.115000000000002</c:v>
                </c:pt>
                <c:pt idx="87">
                  <c:v>39.046999999999997</c:v>
                </c:pt>
                <c:pt idx="88">
                  <c:v>38.973999999999997</c:v>
                </c:pt>
                <c:pt idx="89">
                  <c:v>38.915999999999997</c:v>
                </c:pt>
                <c:pt idx="90">
                  <c:v>38.844999999999999</c:v>
                </c:pt>
                <c:pt idx="91">
                  <c:v>38.779000000000003</c:v>
                </c:pt>
                <c:pt idx="92">
                  <c:v>38.695999999999998</c:v>
                </c:pt>
                <c:pt idx="93">
                  <c:v>38.601999999999997</c:v>
                </c:pt>
                <c:pt idx="94">
                  <c:v>38.511000000000003</c:v>
                </c:pt>
                <c:pt idx="95">
                  <c:v>38.423000000000002</c:v>
                </c:pt>
                <c:pt idx="96">
                  <c:v>38.353999999999999</c:v>
                </c:pt>
                <c:pt idx="97">
                  <c:v>38.280999999999999</c:v>
                </c:pt>
                <c:pt idx="98">
                  <c:v>38.192</c:v>
                </c:pt>
                <c:pt idx="99">
                  <c:v>38.088000000000001</c:v>
                </c:pt>
                <c:pt idx="100">
                  <c:v>38.003</c:v>
                </c:pt>
                <c:pt idx="101">
                  <c:v>37.895000000000003</c:v>
                </c:pt>
                <c:pt idx="102">
                  <c:v>37.768000000000001</c:v>
                </c:pt>
                <c:pt idx="103">
                  <c:v>37.637999999999998</c:v>
                </c:pt>
                <c:pt idx="104">
                  <c:v>37.506</c:v>
                </c:pt>
                <c:pt idx="105">
                  <c:v>37.378</c:v>
                </c:pt>
                <c:pt idx="106">
                  <c:v>37.241</c:v>
                </c:pt>
                <c:pt idx="107">
                  <c:v>37.097000000000001</c:v>
                </c:pt>
                <c:pt idx="108">
                  <c:v>36.959000000000003</c:v>
                </c:pt>
                <c:pt idx="109">
                  <c:v>36.829000000000001</c:v>
                </c:pt>
                <c:pt idx="110">
                  <c:v>36.709000000000003</c:v>
                </c:pt>
                <c:pt idx="111">
                  <c:v>36.579000000000001</c:v>
                </c:pt>
                <c:pt idx="112">
                  <c:v>36.441000000000003</c:v>
                </c:pt>
                <c:pt idx="113">
                  <c:v>36.29</c:v>
                </c:pt>
                <c:pt idx="114">
                  <c:v>36.128999999999998</c:v>
                </c:pt>
                <c:pt idx="115">
                  <c:v>35.954000000000001</c:v>
                </c:pt>
                <c:pt idx="116">
                  <c:v>35.768000000000001</c:v>
                </c:pt>
                <c:pt idx="117">
                  <c:v>35.573999999999998</c:v>
                </c:pt>
                <c:pt idx="118">
                  <c:v>35.372</c:v>
                </c:pt>
                <c:pt idx="119">
                  <c:v>35.155999999999999</c:v>
                </c:pt>
                <c:pt idx="120">
                  <c:v>34.918999999999997</c:v>
                </c:pt>
                <c:pt idx="121">
                  <c:v>34.685000000000002</c:v>
                </c:pt>
                <c:pt idx="122">
                  <c:v>34.454999999999998</c:v>
                </c:pt>
                <c:pt idx="123">
                  <c:v>34.215000000000003</c:v>
                </c:pt>
                <c:pt idx="124">
                  <c:v>33.968000000000004</c:v>
                </c:pt>
                <c:pt idx="125">
                  <c:v>33.732999999999997</c:v>
                </c:pt>
                <c:pt idx="126">
                  <c:v>33.521000000000001</c:v>
                </c:pt>
                <c:pt idx="127">
                  <c:v>33.301000000000002</c:v>
                </c:pt>
                <c:pt idx="128">
                  <c:v>33.081000000000003</c:v>
                </c:pt>
                <c:pt idx="129">
                  <c:v>32.854999999999997</c:v>
                </c:pt>
                <c:pt idx="130">
                  <c:v>32.606999999999999</c:v>
                </c:pt>
                <c:pt idx="131">
                  <c:v>32.363999999999997</c:v>
                </c:pt>
                <c:pt idx="132">
                  <c:v>32.119999999999997</c:v>
                </c:pt>
                <c:pt idx="133">
                  <c:v>31.908000000000001</c:v>
                </c:pt>
                <c:pt idx="134">
                  <c:v>31.707999999999998</c:v>
                </c:pt>
                <c:pt idx="135">
                  <c:v>31.515999999999998</c:v>
                </c:pt>
                <c:pt idx="136">
                  <c:v>31.33</c:v>
                </c:pt>
                <c:pt idx="137">
                  <c:v>31.146999999999998</c:v>
                </c:pt>
                <c:pt idx="138">
                  <c:v>30.968</c:v>
                </c:pt>
                <c:pt idx="139">
                  <c:v>30.797999999999998</c:v>
                </c:pt>
                <c:pt idx="140">
                  <c:v>30.62</c:v>
                </c:pt>
                <c:pt idx="141">
                  <c:v>30.398</c:v>
                </c:pt>
                <c:pt idx="142">
                  <c:v>30.17</c:v>
                </c:pt>
                <c:pt idx="143">
                  <c:v>29.904</c:v>
                </c:pt>
                <c:pt idx="144">
                  <c:v>29.62</c:v>
                </c:pt>
                <c:pt idx="145">
                  <c:v>29.312000000000001</c:v>
                </c:pt>
                <c:pt idx="146">
                  <c:v>28.998999999999999</c:v>
                </c:pt>
                <c:pt idx="147">
                  <c:v>28.667000000000002</c:v>
                </c:pt>
                <c:pt idx="148">
                  <c:v>28.315000000000001</c:v>
                </c:pt>
                <c:pt idx="149">
                  <c:v>27.928000000000001</c:v>
                </c:pt>
                <c:pt idx="150">
                  <c:v>27.535</c:v>
                </c:pt>
                <c:pt idx="151">
                  <c:v>27.138999999999999</c:v>
                </c:pt>
                <c:pt idx="152">
                  <c:v>26.759</c:v>
                </c:pt>
                <c:pt idx="153">
                  <c:v>26.356999999999999</c:v>
                </c:pt>
                <c:pt idx="154">
                  <c:v>25.962</c:v>
                </c:pt>
                <c:pt idx="155">
                  <c:v>25.553000000000001</c:v>
                </c:pt>
                <c:pt idx="156">
                  <c:v>25.157</c:v>
                </c:pt>
                <c:pt idx="157">
                  <c:v>24.771999999999998</c:v>
                </c:pt>
                <c:pt idx="158">
                  <c:v>24.36</c:v>
                </c:pt>
                <c:pt idx="159">
                  <c:v>23.969000000000001</c:v>
                </c:pt>
                <c:pt idx="160">
                  <c:v>23.66</c:v>
                </c:pt>
                <c:pt idx="161">
                  <c:v>23.353000000000002</c:v>
                </c:pt>
                <c:pt idx="162">
                  <c:v>23.137</c:v>
                </c:pt>
                <c:pt idx="163">
                  <c:v>22.966000000000001</c:v>
                </c:pt>
                <c:pt idx="164">
                  <c:v>22.753</c:v>
                </c:pt>
                <c:pt idx="165">
                  <c:v>22.530999999999999</c:v>
                </c:pt>
                <c:pt idx="166">
                  <c:v>22.285</c:v>
                </c:pt>
                <c:pt idx="167">
                  <c:v>22.045000000000002</c:v>
                </c:pt>
                <c:pt idx="168">
                  <c:v>21.794</c:v>
                </c:pt>
                <c:pt idx="169">
                  <c:v>21.491</c:v>
                </c:pt>
                <c:pt idx="170">
                  <c:v>21.195</c:v>
                </c:pt>
                <c:pt idx="171">
                  <c:v>21.122</c:v>
                </c:pt>
                <c:pt idx="172">
                  <c:v>20.824000000000002</c:v>
                </c:pt>
                <c:pt idx="173">
                  <c:v>20.52</c:v>
                </c:pt>
                <c:pt idx="174">
                  <c:v>20.373999999999999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6A-45E2-A902-9D785949E1EE}"/>
            </c:ext>
          </c:extLst>
        </c:ser>
        <c:ser>
          <c:idx val="14"/>
          <c:order val="14"/>
          <c:tx>
            <c:strRef>
              <c:f>data_ghg_excLUC!$S$2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data_ghg_excLUC!$S$3:$S$177</c:f>
              <c:numCache>
                <c:formatCode>0.0</c:formatCode>
                <c:ptCount val="175"/>
                <c:pt idx="0">
                  <c:v>55.890999999999998</c:v>
                </c:pt>
                <c:pt idx="1">
                  <c:v>55.890999999999998</c:v>
                </c:pt>
                <c:pt idx="2">
                  <c:v>55.884</c:v>
                </c:pt>
                <c:pt idx="3">
                  <c:v>55.877000000000002</c:v>
                </c:pt>
                <c:pt idx="4">
                  <c:v>55.869</c:v>
                </c:pt>
                <c:pt idx="5">
                  <c:v>55.86</c:v>
                </c:pt>
                <c:pt idx="6">
                  <c:v>55.850999999999999</c:v>
                </c:pt>
                <c:pt idx="7">
                  <c:v>55.841999999999999</c:v>
                </c:pt>
                <c:pt idx="8">
                  <c:v>55.832000000000001</c:v>
                </c:pt>
                <c:pt idx="9">
                  <c:v>55.822000000000003</c:v>
                </c:pt>
                <c:pt idx="10">
                  <c:v>55.811999999999998</c:v>
                </c:pt>
                <c:pt idx="11">
                  <c:v>55.801000000000002</c:v>
                </c:pt>
                <c:pt idx="12">
                  <c:v>55.789000000000001</c:v>
                </c:pt>
                <c:pt idx="13">
                  <c:v>55.777000000000001</c:v>
                </c:pt>
                <c:pt idx="14">
                  <c:v>55.765000000000001</c:v>
                </c:pt>
                <c:pt idx="15">
                  <c:v>55.752000000000002</c:v>
                </c:pt>
                <c:pt idx="16">
                  <c:v>55.738</c:v>
                </c:pt>
                <c:pt idx="17">
                  <c:v>55.722999999999999</c:v>
                </c:pt>
                <c:pt idx="18">
                  <c:v>55.707999999999998</c:v>
                </c:pt>
                <c:pt idx="19">
                  <c:v>55.692999999999998</c:v>
                </c:pt>
                <c:pt idx="20">
                  <c:v>55.676000000000002</c:v>
                </c:pt>
                <c:pt idx="21">
                  <c:v>55.66</c:v>
                </c:pt>
                <c:pt idx="22">
                  <c:v>55.643000000000001</c:v>
                </c:pt>
                <c:pt idx="23">
                  <c:v>55.624000000000002</c:v>
                </c:pt>
                <c:pt idx="24">
                  <c:v>55.604999999999997</c:v>
                </c:pt>
                <c:pt idx="25">
                  <c:v>55.587000000000003</c:v>
                </c:pt>
                <c:pt idx="26">
                  <c:v>55.567999999999998</c:v>
                </c:pt>
                <c:pt idx="27">
                  <c:v>55.548999999999999</c:v>
                </c:pt>
                <c:pt idx="28">
                  <c:v>55.53</c:v>
                </c:pt>
                <c:pt idx="29">
                  <c:v>55.511000000000003</c:v>
                </c:pt>
                <c:pt idx="30">
                  <c:v>55.491</c:v>
                </c:pt>
                <c:pt idx="31">
                  <c:v>55.469000000000001</c:v>
                </c:pt>
                <c:pt idx="32">
                  <c:v>55.445999999999998</c:v>
                </c:pt>
                <c:pt idx="33">
                  <c:v>55.421999999999997</c:v>
                </c:pt>
                <c:pt idx="34">
                  <c:v>55.396999999999998</c:v>
                </c:pt>
                <c:pt idx="35">
                  <c:v>55.371000000000002</c:v>
                </c:pt>
                <c:pt idx="36">
                  <c:v>55.347000000000001</c:v>
                </c:pt>
                <c:pt idx="37">
                  <c:v>55.322000000000003</c:v>
                </c:pt>
                <c:pt idx="38">
                  <c:v>55.295999999999999</c:v>
                </c:pt>
                <c:pt idx="39">
                  <c:v>55.267000000000003</c:v>
                </c:pt>
                <c:pt idx="40">
                  <c:v>55.238999999999997</c:v>
                </c:pt>
                <c:pt idx="41">
                  <c:v>55.207999999999998</c:v>
                </c:pt>
                <c:pt idx="42">
                  <c:v>55.174999999999997</c:v>
                </c:pt>
                <c:pt idx="43">
                  <c:v>55.142000000000003</c:v>
                </c:pt>
                <c:pt idx="44">
                  <c:v>55.110999999999997</c:v>
                </c:pt>
                <c:pt idx="45">
                  <c:v>55.079000000000001</c:v>
                </c:pt>
                <c:pt idx="46">
                  <c:v>55.043999999999997</c:v>
                </c:pt>
                <c:pt idx="47">
                  <c:v>55.008000000000003</c:v>
                </c:pt>
                <c:pt idx="48">
                  <c:v>54.970999999999997</c:v>
                </c:pt>
                <c:pt idx="49">
                  <c:v>54.930999999999997</c:v>
                </c:pt>
                <c:pt idx="50">
                  <c:v>54.886000000000003</c:v>
                </c:pt>
                <c:pt idx="51">
                  <c:v>54.84</c:v>
                </c:pt>
                <c:pt idx="52">
                  <c:v>54.792000000000002</c:v>
                </c:pt>
                <c:pt idx="53">
                  <c:v>54.744</c:v>
                </c:pt>
                <c:pt idx="54">
                  <c:v>54.691000000000003</c:v>
                </c:pt>
                <c:pt idx="55">
                  <c:v>54.637</c:v>
                </c:pt>
                <c:pt idx="56">
                  <c:v>54.579000000000001</c:v>
                </c:pt>
                <c:pt idx="57">
                  <c:v>54.518999999999998</c:v>
                </c:pt>
                <c:pt idx="58">
                  <c:v>54.448999999999998</c:v>
                </c:pt>
                <c:pt idx="59">
                  <c:v>54.384999999999998</c:v>
                </c:pt>
                <c:pt idx="60">
                  <c:v>54.317</c:v>
                </c:pt>
                <c:pt idx="61">
                  <c:v>54.246000000000002</c:v>
                </c:pt>
                <c:pt idx="62">
                  <c:v>54.173999999999999</c:v>
                </c:pt>
                <c:pt idx="63">
                  <c:v>54.097999999999999</c:v>
                </c:pt>
                <c:pt idx="64">
                  <c:v>54.014000000000003</c:v>
                </c:pt>
                <c:pt idx="65">
                  <c:v>53.942</c:v>
                </c:pt>
                <c:pt idx="66">
                  <c:v>53.872</c:v>
                </c:pt>
                <c:pt idx="67">
                  <c:v>53.795999999999999</c:v>
                </c:pt>
                <c:pt idx="68">
                  <c:v>53.716000000000001</c:v>
                </c:pt>
                <c:pt idx="69">
                  <c:v>53.642000000000003</c:v>
                </c:pt>
                <c:pt idx="70">
                  <c:v>53.585000000000001</c:v>
                </c:pt>
                <c:pt idx="71">
                  <c:v>53.515000000000001</c:v>
                </c:pt>
                <c:pt idx="72">
                  <c:v>53.463000000000001</c:v>
                </c:pt>
                <c:pt idx="73">
                  <c:v>53.405000000000001</c:v>
                </c:pt>
                <c:pt idx="74">
                  <c:v>53.335000000000001</c:v>
                </c:pt>
                <c:pt idx="75">
                  <c:v>53.265999999999998</c:v>
                </c:pt>
                <c:pt idx="76">
                  <c:v>53.197000000000003</c:v>
                </c:pt>
                <c:pt idx="77">
                  <c:v>53.131999999999998</c:v>
                </c:pt>
                <c:pt idx="78">
                  <c:v>53.058</c:v>
                </c:pt>
                <c:pt idx="79">
                  <c:v>52.984999999999999</c:v>
                </c:pt>
                <c:pt idx="80">
                  <c:v>52.904000000000003</c:v>
                </c:pt>
                <c:pt idx="81">
                  <c:v>52.832999999999998</c:v>
                </c:pt>
                <c:pt idx="82">
                  <c:v>52.776000000000003</c:v>
                </c:pt>
                <c:pt idx="83">
                  <c:v>52.732999999999997</c:v>
                </c:pt>
                <c:pt idx="84">
                  <c:v>52.688000000000002</c:v>
                </c:pt>
                <c:pt idx="85">
                  <c:v>52.631999999999998</c:v>
                </c:pt>
                <c:pt idx="86">
                  <c:v>52.573</c:v>
                </c:pt>
                <c:pt idx="87">
                  <c:v>52.503999999999998</c:v>
                </c:pt>
                <c:pt idx="88">
                  <c:v>52.429000000000002</c:v>
                </c:pt>
                <c:pt idx="89">
                  <c:v>52.360999999999997</c:v>
                </c:pt>
                <c:pt idx="90">
                  <c:v>52.281999999999996</c:v>
                </c:pt>
                <c:pt idx="91">
                  <c:v>52.195999999999998</c:v>
                </c:pt>
                <c:pt idx="92">
                  <c:v>52.1</c:v>
                </c:pt>
                <c:pt idx="93">
                  <c:v>52.003999999999998</c:v>
                </c:pt>
                <c:pt idx="94">
                  <c:v>51.908000000000001</c:v>
                </c:pt>
                <c:pt idx="95">
                  <c:v>51.811999999999998</c:v>
                </c:pt>
                <c:pt idx="96">
                  <c:v>51.741999999999997</c:v>
                </c:pt>
                <c:pt idx="97">
                  <c:v>51.665999999999997</c:v>
                </c:pt>
                <c:pt idx="98">
                  <c:v>51.573999999999998</c:v>
                </c:pt>
                <c:pt idx="99">
                  <c:v>51.466000000000001</c:v>
                </c:pt>
                <c:pt idx="100">
                  <c:v>51.368000000000002</c:v>
                </c:pt>
                <c:pt idx="101">
                  <c:v>51.25</c:v>
                </c:pt>
                <c:pt idx="102">
                  <c:v>51.116999999999997</c:v>
                </c:pt>
                <c:pt idx="103">
                  <c:v>50.975999999999999</c:v>
                </c:pt>
                <c:pt idx="104">
                  <c:v>50.83</c:v>
                </c:pt>
                <c:pt idx="105">
                  <c:v>50.685000000000002</c:v>
                </c:pt>
                <c:pt idx="106">
                  <c:v>50.529000000000003</c:v>
                </c:pt>
                <c:pt idx="107">
                  <c:v>50.362000000000002</c:v>
                </c:pt>
                <c:pt idx="108">
                  <c:v>50.194000000000003</c:v>
                </c:pt>
                <c:pt idx="109">
                  <c:v>50.029000000000003</c:v>
                </c:pt>
                <c:pt idx="110">
                  <c:v>49.877000000000002</c:v>
                </c:pt>
                <c:pt idx="111">
                  <c:v>49.716999999999999</c:v>
                </c:pt>
                <c:pt idx="112">
                  <c:v>49.54</c:v>
                </c:pt>
                <c:pt idx="113">
                  <c:v>49.341999999999999</c:v>
                </c:pt>
                <c:pt idx="114">
                  <c:v>49.13</c:v>
                </c:pt>
                <c:pt idx="115">
                  <c:v>48.899000000000001</c:v>
                </c:pt>
                <c:pt idx="116">
                  <c:v>48.652000000000001</c:v>
                </c:pt>
                <c:pt idx="117">
                  <c:v>48.4</c:v>
                </c:pt>
                <c:pt idx="118">
                  <c:v>48.137</c:v>
                </c:pt>
                <c:pt idx="119">
                  <c:v>47.862000000000002</c:v>
                </c:pt>
                <c:pt idx="120">
                  <c:v>47.575000000000003</c:v>
                </c:pt>
                <c:pt idx="121">
                  <c:v>47.289000000000001</c:v>
                </c:pt>
                <c:pt idx="122">
                  <c:v>46.999000000000002</c:v>
                </c:pt>
                <c:pt idx="123">
                  <c:v>46.695999999999998</c:v>
                </c:pt>
                <c:pt idx="124">
                  <c:v>46.384</c:v>
                </c:pt>
                <c:pt idx="125">
                  <c:v>46.072000000000003</c:v>
                </c:pt>
                <c:pt idx="126">
                  <c:v>45.765999999999998</c:v>
                </c:pt>
                <c:pt idx="127">
                  <c:v>45.444000000000003</c:v>
                </c:pt>
                <c:pt idx="128">
                  <c:v>45.116</c:v>
                </c:pt>
                <c:pt idx="129">
                  <c:v>44.773000000000003</c:v>
                </c:pt>
                <c:pt idx="130">
                  <c:v>44.405999999999999</c:v>
                </c:pt>
                <c:pt idx="131">
                  <c:v>44.024999999999999</c:v>
                </c:pt>
                <c:pt idx="132">
                  <c:v>43.640999999999998</c:v>
                </c:pt>
                <c:pt idx="133">
                  <c:v>43.274000000000001</c:v>
                </c:pt>
                <c:pt idx="134">
                  <c:v>42.91</c:v>
                </c:pt>
                <c:pt idx="135">
                  <c:v>42.548999999999999</c:v>
                </c:pt>
                <c:pt idx="136">
                  <c:v>42.173000000000002</c:v>
                </c:pt>
                <c:pt idx="137">
                  <c:v>41.786000000000001</c:v>
                </c:pt>
                <c:pt idx="138">
                  <c:v>41.393999999999998</c:v>
                </c:pt>
                <c:pt idx="139">
                  <c:v>41.005000000000003</c:v>
                </c:pt>
                <c:pt idx="140">
                  <c:v>40.609000000000002</c:v>
                </c:pt>
                <c:pt idx="141">
                  <c:v>40.158999999999999</c:v>
                </c:pt>
                <c:pt idx="142">
                  <c:v>39.735999999999997</c:v>
                </c:pt>
                <c:pt idx="143">
                  <c:v>39.320999999999998</c:v>
                </c:pt>
                <c:pt idx="144">
                  <c:v>38.912999999999997</c:v>
                </c:pt>
                <c:pt idx="145">
                  <c:v>38.527999999999999</c:v>
                </c:pt>
                <c:pt idx="146">
                  <c:v>38.152000000000001</c:v>
                </c:pt>
                <c:pt idx="147">
                  <c:v>37.774000000000001</c:v>
                </c:pt>
                <c:pt idx="148">
                  <c:v>37.393000000000001</c:v>
                </c:pt>
                <c:pt idx="149">
                  <c:v>36.988</c:v>
                </c:pt>
                <c:pt idx="150">
                  <c:v>36.582000000000001</c:v>
                </c:pt>
                <c:pt idx="151">
                  <c:v>36.183999999999997</c:v>
                </c:pt>
                <c:pt idx="152">
                  <c:v>35.792999999999999</c:v>
                </c:pt>
                <c:pt idx="153">
                  <c:v>35.392000000000003</c:v>
                </c:pt>
                <c:pt idx="154">
                  <c:v>35.01</c:v>
                </c:pt>
                <c:pt idx="155">
                  <c:v>34.619999999999997</c:v>
                </c:pt>
                <c:pt idx="156">
                  <c:v>34.246000000000002</c:v>
                </c:pt>
                <c:pt idx="157">
                  <c:v>33.880000000000003</c:v>
                </c:pt>
                <c:pt idx="158">
                  <c:v>33.488</c:v>
                </c:pt>
                <c:pt idx="159">
                  <c:v>33.125999999999998</c:v>
                </c:pt>
                <c:pt idx="160">
                  <c:v>32.866999999999997</c:v>
                </c:pt>
                <c:pt idx="161">
                  <c:v>32.613</c:v>
                </c:pt>
                <c:pt idx="162">
                  <c:v>32.435000000000002</c:v>
                </c:pt>
                <c:pt idx="163">
                  <c:v>32.29</c:v>
                </c:pt>
                <c:pt idx="164">
                  <c:v>32.110999999999997</c:v>
                </c:pt>
                <c:pt idx="165">
                  <c:v>31.92</c:v>
                </c:pt>
                <c:pt idx="166">
                  <c:v>31.701000000000001</c:v>
                </c:pt>
                <c:pt idx="167">
                  <c:v>31.442</c:v>
                </c:pt>
                <c:pt idx="168">
                  <c:v>31.152999999999999</c:v>
                </c:pt>
                <c:pt idx="169">
                  <c:v>30.786999999999999</c:v>
                </c:pt>
                <c:pt idx="170">
                  <c:v>30.446999999999999</c:v>
                </c:pt>
                <c:pt idx="171">
                  <c:v>30.274000000000001</c:v>
                </c:pt>
                <c:pt idx="172">
                  <c:v>29.821000000000002</c:v>
                </c:pt>
                <c:pt idx="173">
                  <c:v>29.513999999999999</c:v>
                </c:pt>
                <c:pt idx="174">
                  <c:v>29.414999999999999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6A-45E2-A902-9D785949E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0.0</c:formatCode>
                <c:ptCount val="175"/>
                <c:pt idx="0">
                  <c:v>37.734536444647119</c:v>
                </c:pt>
                <c:pt idx="1">
                  <c:v>37.737335495599268</c:v>
                </c:pt>
                <c:pt idx="2">
                  <c:v>37.740149178931503</c:v>
                </c:pt>
                <c:pt idx="3">
                  <c:v>37.743555314247018</c:v>
                </c:pt>
                <c:pt idx="4">
                  <c:v>37.745850439476648</c:v>
                </c:pt>
                <c:pt idx="5">
                  <c:v>37.747003460436687</c:v>
                </c:pt>
                <c:pt idx="6">
                  <c:v>37.748436931346269</c:v>
                </c:pt>
                <c:pt idx="7">
                  <c:v>37.749442450935788</c:v>
                </c:pt>
                <c:pt idx="8">
                  <c:v>37.750257367208903</c:v>
                </c:pt>
                <c:pt idx="9">
                  <c:v>37.750436583947824</c:v>
                </c:pt>
                <c:pt idx="10">
                  <c:v>37.749863809408325</c:v>
                </c:pt>
                <c:pt idx="11">
                  <c:v>37.746177075645818</c:v>
                </c:pt>
                <c:pt idx="12">
                  <c:v>37.742316631602939</c:v>
                </c:pt>
                <c:pt idx="13">
                  <c:v>37.736884537774053</c:v>
                </c:pt>
                <c:pt idx="14">
                  <c:v>37.730243291572592</c:v>
                </c:pt>
                <c:pt idx="15">
                  <c:v>37.723900708801132</c:v>
                </c:pt>
                <c:pt idx="16">
                  <c:v>37.71667217080563</c:v>
                </c:pt>
                <c:pt idx="17">
                  <c:v>37.709700433245331</c:v>
                </c:pt>
                <c:pt idx="18">
                  <c:v>37.700870878159456</c:v>
                </c:pt>
                <c:pt idx="19">
                  <c:v>37.691994344965742</c:v>
                </c:pt>
                <c:pt idx="20">
                  <c:v>37.683108248181561</c:v>
                </c:pt>
                <c:pt idx="21">
                  <c:v>37.66866762920727</c:v>
                </c:pt>
                <c:pt idx="22">
                  <c:v>37.6503347992128</c:v>
                </c:pt>
                <c:pt idx="23">
                  <c:v>37.630457242401683</c:v>
                </c:pt>
                <c:pt idx="24">
                  <c:v>37.607588772069015</c:v>
                </c:pt>
                <c:pt idx="25">
                  <c:v>37.584866028008101</c:v>
                </c:pt>
                <c:pt idx="26">
                  <c:v>37.559593524944766</c:v>
                </c:pt>
                <c:pt idx="27">
                  <c:v>37.533452780173079</c:v>
                </c:pt>
                <c:pt idx="28">
                  <c:v>37.506252382082437</c:v>
                </c:pt>
                <c:pt idx="29">
                  <c:v>37.478108700699991</c:v>
                </c:pt>
                <c:pt idx="30">
                  <c:v>37.447758550397999</c:v>
                </c:pt>
                <c:pt idx="31">
                  <c:v>37.420812028513872</c:v>
                </c:pt>
                <c:pt idx="32">
                  <c:v>37.396272351587136</c:v>
                </c:pt>
                <c:pt idx="33">
                  <c:v>37.371539155861285</c:v>
                </c:pt>
                <c:pt idx="34">
                  <c:v>37.345818508800541</c:v>
                </c:pt>
                <c:pt idx="35">
                  <c:v>37.320854254059626</c:v>
                </c:pt>
                <c:pt idx="36">
                  <c:v>37.296751390227875</c:v>
                </c:pt>
                <c:pt idx="37">
                  <c:v>37.272375699923629</c:v>
                </c:pt>
                <c:pt idx="38">
                  <c:v>37.246527134762111</c:v>
                </c:pt>
                <c:pt idx="39">
                  <c:v>37.21851288130155</c:v>
                </c:pt>
                <c:pt idx="40">
                  <c:v>37.192086887304662</c:v>
                </c:pt>
                <c:pt idx="41">
                  <c:v>37.163960857838177</c:v>
                </c:pt>
                <c:pt idx="42">
                  <c:v>37.134775097510406</c:v>
                </c:pt>
                <c:pt idx="43">
                  <c:v>37.105139909073635</c:v>
                </c:pt>
                <c:pt idx="44">
                  <c:v>37.07515204854495</c:v>
                </c:pt>
                <c:pt idx="45">
                  <c:v>37.04482801063476</c:v>
                </c:pt>
                <c:pt idx="46">
                  <c:v>37.012613406109331</c:v>
                </c:pt>
                <c:pt idx="47">
                  <c:v>36.97887247350031</c:v>
                </c:pt>
                <c:pt idx="48">
                  <c:v>36.944055033391699</c:v>
                </c:pt>
                <c:pt idx="49">
                  <c:v>36.907003826111954</c:v>
                </c:pt>
                <c:pt idx="50">
                  <c:v>36.866124010665317</c:v>
                </c:pt>
                <c:pt idx="51">
                  <c:v>36.824781548652304</c:v>
                </c:pt>
                <c:pt idx="52">
                  <c:v>36.785465080596481</c:v>
                </c:pt>
                <c:pt idx="53">
                  <c:v>36.74526463946107</c:v>
                </c:pt>
                <c:pt idx="54">
                  <c:v>36.701686283483099</c:v>
                </c:pt>
                <c:pt idx="55">
                  <c:v>36.658015654676504</c:v>
                </c:pt>
                <c:pt idx="56">
                  <c:v>36.611269830803487</c:v>
                </c:pt>
                <c:pt idx="57">
                  <c:v>36.563800034997954</c:v>
                </c:pt>
                <c:pt idx="58">
                  <c:v>36.50881531632966</c:v>
                </c:pt>
                <c:pt idx="59">
                  <c:v>36.457143186589988</c:v>
                </c:pt>
                <c:pt idx="60">
                  <c:v>36.403097620195147</c:v>
                </c:pt>
                <c:pt idx="61">
                  <c:v>36.343637579767559</c:v>
                </c:pt>
                <c:pt idx="62">
                  <c:v>36.282925420246528</c:v>
                </c:pt>
                <c:pt idx="63">
                  <c:v>36.219564521998038</c:v>
                </c:pt>
                <c:pt idx="64">
                  <c:v>36.149594630599481</c:v>
                </c:pt>
                <c:pt idx="65">
                  <c:v>36.085093734914537</c:v>
                </c:pt>
                <c:pt idx="66">
                  <c:v>36.020995173519097</c:v>
                </c:pt>
                <c:pt idx="67">
                  <c:v>35.951292010544428</c:v>
                </c:pt>
                <c:pt idx="68">
                  <c:v>35.876756492633397</c:v>
                </c:pt>
                <c:pt idx="69">
                  <c:v>35.79815451243347</c:v>
                </c:pt>
                <c:pt idx="70">
                  <c:v>35.728165425615011</c:v>
                </c:pt>
                <c:pt idx="71">
                  <c:v>35.656746033293913</c:v>
                </c:pt>
                <c:pt idx="72">
                  <c:v>35.599767261224471</c:v>
                </c:pt>
                <c:pt idx="73">
                  <c:v>35.539976800719337</c:v>
                </c:pt>
                <c:pt idx="74">
                  <c:v>35.471950162395764</c:v>
                </c:pt>
                <c:pt idx="75">
                  <c:v>35.404568766903196</c:v>
                </c:pt>
                <c:pt idx="76">
                  <c:v>35.337541542377394</c:v>
                </c:pt>
                <c:pt idx="77">
                  <c:v>35.274383413877835</c:v>
                </c:pt>
                <c:pt idx="78">
                  <c:v>35.205182216690559</c:v>
                </c:pt>
                <c:pt idx="79">
                  <c:v>35.138457130574139</c:v>
                </c:pt>
                <c:pt idx="80">
                  <c:v>35.066740952829996</c:v>
                </c:pt>
                <c:pt idx="81">
                  <c:v>35.012352970059119</c:v>
                </c:pt>
                <c:pt idx="82">
                  <c:v>34.973682297051511</c:v>
                </c:pt>
                <c:pt idx="83">
                  <c:v>34.948489697695152</c:v>
                </c:pt>
                <c:pt idx="84">
                  <c:v>34.921524828715171</c:v>
                </c:pt>
                <c:pt idx="85">
                  <c:v>34.891844398546695</c:v>
                </c:pt>
                <c:pt idx="86">
                  <c:v>34.861531602912592</c:v>
                </c:pt>
                <c:pt idx="87">
                  <c:v>34.826549072767357</c:v>
                </c:pt>
                <c:pt idx="88">
                  <c:v>34.787434347803107</c:v>
                </c:pt>
                <c:pt idx="89">
                  <c:v>34.758423864908323</c:v>
                </c:pt>
                <c:pt idx="90">
                  <c:v>34.724683700176911</c:v>
                </c:pt>
                <c:pt idx="91">
                  <c:v>34.690686110595855</c:v>
                </c:pt>
                <c:pt idx="92">
                  <c:v>34.652604590971613</c:v>
                </c:pt>
                <c:pt idx="93">
                  <c:v>34.606521476790959</c:v>
                </c:pt>
                <c:pt idx="94">
                  <c:v>34.558546164425039</c:v>
                </c:pt>
                <c:pt idx="95">
                  <c:v>34.510450905202823</c:v>
                </c:pt>
                <c:pt idx="96">
                  <c:v>34.479363885344014</c:v>
                </c:pt>
                <c:pt idx="97">
                  <c:v>34.443193369534278</c:v>
                </c:pt>
                <c:pt idx="98">
                  <c:v>34.395019124767281</c:v>
                </c:pt>
                <c:pt idx="99">
                  <c:v>34.338764036197119</c:v>
                </c:pt>
                <c:pt idx="100">
                  <c:v>34.294253553987375</c:v>
                </c:pt>
                <c:pt idx="101">
                  <c:v>34.257703333250419</c:v>
                </c:pt>
                <c:pt idx="102">
                  <c:v>34.22736376409776</c:v>
                </c:pt>
                <c:pt idx="103">
                  <c:v>34.200295600480466</c:v>
                </c:pt>
                <c:pt idx="104">
                  <c:v>34.17493675308431</c:v>
                </c:pt>
                <c:pt idx="105">
                  <c:v>34.163021061792463</c:v>
                </c:pt>
                <c:pt idx="106">
                  <c:v>34.145682176339569</c:v>
                </c:pt>
                <c:pt idx="107">
                  <c:v>34.124470864009616</c:v>
                </c:pt>
                <c:pt idx="108">
                  <c:v>34.109864780083257</c:v>
                </c:pt>
                <c:pt idx="109">
                  <c:v>34.106458329900526</c:v>
                </c:pt>
                <c:pt idx="110">
                  <c:v>34.120083091103027</c:v>
                </c:pt>
                <c:pt idx="111">
                  <c:v>34.103294052130622</c:v>
                </c:pt>
                <c:pt idx="112">
                  <c:v>34.088398427337665</c:v>
                </c:pt>
                <c:pt idx="113">
                  <c:v>34.05277437573254</c:v>
                </c:pt>
                <c:pt idx="114">
                  <c:v>34.010209804268939</c:v>
                </c:pt>
                <c:pt idx="115">
                  <c:v>33.952169747836805</c:v>
                </c:pt>
                <c:pt idx="116">
                  <c:v>33.883677326155365</c:v>
                </c:pt>
                <c:pt idx="117">
                  <c:v>33.80362773057356</c:v>
                </c:pt>
                <c:pt idx="118">
                  <c:v>33.687345999279842</c:v>
                </c:pt>
                <c:pt idx="119">
                  <c:v>33.552673540394338</c:v>
                </c:pt>
                <c:pt idx="120">
                  <c:v>33.44621785355222</c:v>
                </c:pt>
                <c:pt idx="121">
                  <c:v>33.328789756605978</c:v>
                </c:pt>
                <c:pt idx="122">
                  <c:v>33.203316859159607</c:v>
                </c:pt>
                <c:pt idx="123">
                  <c:v>33.086904314514612</c:v>
                </c:pt>
                <c:pt idx="124">
                  <c:v>32.9528987934575</c:v>
                </c:pt>
                <c:pt idx="125">
                  <c:v>32.828668109101649</c:v>
                </c:pt>
                <c:pt idx="126">
                  <c:v>32.716013381223327</c:v>
                </c:pt>
                <c:pt idx="127">
                  <c:v>32.584731957039779</c:v>
                </c:pt>
                <c:pt idx="128">
                  <c:v>32.454913392966859</c:v>
                </c:pt>
                <c:pt idx="129">
                  <c:v>32.327220773303075</c:v>
                </c:pt>
                <c:pt idx="130">
                  <c:v>32.169300080968952</c:v>
                </c:pt>
                <c:pt idx="131">
                  <c:v>32.025353147682274</c:v>
                </c:pt>
                <c:pt idx="132">
                  <c:v>31.888211126547656</c:v>
                </c:pt>
                <c:pt idx="133">
                  <c:v>31.767187294359445</c:v>
                </c:pt>
                <c:pt idx="134">
                  <c:v>31.648633007822006</c:v>
                </c:pt>
                <c:pt idx="135">
                  <c:v>31.543811358439434</c:v>
                </c:pt>
                <c:pt idx="136">
                  <c:v>31.458240197468061</c:v>
                </c:pt>
                <c:pt idx="137">
                  <c:v>31.389259841058891</c:v>
                </c:pt>
                <c:pt idx="138">
                  <c:v>31.296543013190814</c:v>
                </c:pt>
                <c:pt idx="139">
                  <c:v>31.184945216985305</c:v>
                </c:pt>
                <c:pt idx="140">
                  <c:v>31.052867974667421</c:v>
                </c:pt>
                <c:pt idx="141">
                  <c:v>30.880852101726685</c:v>
                </c:pt>
                <c:pt idx="142">
                  <c:v>30.716103181067279</c:v>
                </c:pt>
                <c:pt idx="143">
                  <c:v>30.528076451789882</c:v>
                </c:pt>
                <c:pt idx="144">
                  <c:v>30.324423879822511</c:v>
                </c:pt>
                <c:pt idx="145">
                  <c:v>30.133912544564478</c:v>
                </c:pt>
                <c:pt idx="146">
                  <c:v>29.912513388444957</c:v>
                </c:pt>
                <c:pt idx="147">
                  <c:v>29.675334776059437</c:v>
                </c:pt>
                <c:pt idx="148">
                  <c:v>29.474288099490675</c:v>
                </c:pt>
                <c:pt idx="149">
                  <c:v>29.20810938012588</c:v>
                </c:pt>
                <c:pt idx="150">
                  <c:v>28.919861544689439</c:v>
                </c:pt>
                <c:pt idx="151">
                  <c:v>28.578601891407839</c:v>
                </c:pt>
                <c:pt idx="152">
                  <c:v>28.221661575956634</c:v>
                </c:pt>
                <c:pt idx="153">
                  <c:v>27.872692373232518</c:v>
                </c:pt>
                <c:pt idx="154">
                  <c:v>27.536860949508345</c:v>
                </c:pt>
                <c:pt idx="155">
                  <c:v>27.163263024261852</c:v>
                </c:pt>
                <c:pt idx="156">
                  <c:v>26.762976412415235</c:v>
                </c:pt>
                <c:pt idx="157">
                  <c:v>26.438686512322562</c:v>
                </c:pt>
                <c:pt idx="158">
                  <c:v>26.069762722257206</c:v>
                </c:pt>
                <c:pt idx="159">
                  <c:v>25.710279732739572</c:v>
                </c:pt>
                <c:pt idx="160">
                  <c:v>25.488630396642193</c:v>
                </c:pt>
                <c:pt idx="161">
                  <c:v>25.170366440815062</c:v>
                </c:pt>
                <c:pt idx="162">
                  <c:v>24.959043079523298</c:v>
                </c:pt>
                <c:pt idx="163">
                  <c:v>24.798386706762972</c:v>
                </c:pt>
                <c:pt idx="164">
                  <c:v>24.57659826189979</c:v>
                </c:pt>
                <c:pt idx="165">
                  <c:v>24.362925447182938</c:v>
                </c:pt>
                <c:pt idx="166">
                  <c:v>24.172586129022719</c:v>
                </c:pt>
                <c:pt idx="167">
                  <c:v>23.89648893190207</c:v>
                </c:pt>
                <c:pt idx="168">
                  <c:v>23.589357318824966</c:v>
                </c:pt>
                <c:pt idx="169">
                  <c:v>23.227155859235886</c:v>
                </c:pt>
                <c:pt idx="170">
                  <c:v>22.906560361826831</c:v>
                </c:pt>
                <c:pt idx="171">
                  <c:v>22.747009664836209</c:v>
                </c:pt>
                <c:pt idx="172">
                  <c:v>22.387911496811206</c:v>
                </c:pt>
                <c:pt idx="173">
                  <c:v>21.965089458153631</c:v>
                </c:pt>
                <c:pt idx="174">
                  <c:v>21.805425820005762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434-AA4A-78B9DF0AB4B3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0.0</c:formatCode>
                <c:ptCount val="175"/>
                <c:pt idx="0">
                  <c:v>4.5659000153019704</c:v>
                </c:pt>
                <c:pt idx="1">
                  <c:v>4.5617148433539683</c:v>
                </c:pt>
                <c:pt idx="2">
                  <c:v>4.5566822379318239</c:v>
                </c:pt>
                <c:pt idx="3">
                  <c:v>4.5440919626883698</c:v>
                </c:pt>
                <c:pt idx="4">
                  <c:v>4.5309372520195268</c:v>
                </c:pt>
                <c:pt idx="5">
                  <c:v>4.5165200848274907</c:v>
                </c:pt>
                <c:pt idx="6">
                  <c:v>4.5003045423597072</c:v>
                </c:pt>
                <c:pt idx="7">
                  <c:v>4.4832949205248127</c:v>
                </c:pt>
                <c:pt idx="8">
                  <c:v>4.465677026358378</c:v>
                </c:pt>
                <c:pt idx="9">
                  <c:v>4.4479342049933877</c:v>
                </c:pt>
                <c:pt idx="10">
                  <c:v>4.4298208672203714</c:v>
                </c:pt>
                <c:pt idx="11">
                  <c:v>4.4134075800806869</c:v>
                </c:pt>
                <c:pt idx="12">
                  <c:v>4.3965867788968254</c:v>
                </c:pt>
                <c:pt idx="13">
                  <c:v>4.3855744691873539</c:v>
                </c:pt>
                <c:pt idx="14">
                  <c:v>4.3752334090839113</c:v>
                </c:pt>
                <c:pt idx="15">
                  <c:v>4.3639091222241788</c:v>
                </c:pt>
                <c:pt idx="16">
                  <c:v>4.3528984372261164</c:v>
                </c:pt>
                <c:pt idx="17">
                  <c:v>4.3413105559596659</c:v>
                </c:pt>
                <c:pt idx="18">
                  <c:v>4.3308943032061578</c:v>
                </c:pt>
                <c:pt idx="19">
                  <c:v>4.3203088202997222</c:v>
                </c:pt>
                <c:pt idx="20">
                  <c:v>4.3090645841985307</c:v>
                </c:pt>
                <c:pt idx="21">
                  <c:v>4.3032039058333567</c:v>
                </c:pt>
                <c:pt idx="22">
                  <c:v>4.3017098818062607</c:v>
                </c:pt>
                <c:pt idx="23">
                  <c:v>4.2925946877811256</c:v>
                </c:pt>
                <c:pt idx="24">
                  <c:v>4.2850138011576391</c:v>
                </c:pt>
                <c:pt idx="25">
                  <c:v>4.278074987275005</c:v>
                </c:pt>
                <c:pt idx="26">
                  <c:v>4.2717459801031623</c:v>
                </c:pt>
                <c:pt idx="27">
                  <c:v>4.2659579719968264</c:v>
                </c:pt>
                <c:pt idx="28">
                  <c:v>4.2602702273328177</c:v>
                </c:pt>
                <c:pt idx="29">
                  <c:v>4.2551033814771344</c:v>
                </c:pt>
                <c:pt idx="30">
                  <c:v>4.2503401113572039</c:v>
                </c:pt>
                <c:pt idx="31">
                  <c:v>4.2389385000288087</c:v>
                </c:pt>
                <c:pt idx="32">
                  <c:v>4.2262214656335217</c:v>
                </c:pt>
                <c:pt idx="33">
                  <c:v>4.2183511795261737</c:v>
                </c:pt>
                <c:pt idx="34">
                  <c:v>4.2106864268950019</c:v>
                </c:pt>
                <c:pt idx="35">
                  <c:v>4.202541949331092</c:v>
                </c:pt>
                <c:pt idx="36">
                  <c:v>4.193871820638293</c:v>
                </c:pt>
                <c:pt idx="37">
                  <c:v>4.1854168551468334</c:v>
                </c:pt>
                <c:pt idx="38">
                  <c:v>4.1775839182093435</c:v>
                </c:pt>
                <c:pt idx="39">
                  <c:v>4.1693046330885437</c:v>
                </c:pt>
                <c:pt idx="40">
                  <c:v>4.1601288886701653</c:v>
                </c:pt>
                <c:pt idx="41">
                  <c:v>4.1502827111370735</c:v>
                </c:pt>
                <c:pt idx="42">
                  <c:v>4.1403400811370332</c:v>
                </c:pt>
                <c:pt idx="43">
                  <c:v>4.1292389471705064</c:v>
                </c:pt>
                <c:pt idx="44">
                  <c:v>4.1192791069471539</c:v>
                </c:pt>
                <c:pt idx="45">
                  <c:v>4.1092183822877502</c:v>
                </c:pt>
                <c:pt idx="46">
                  <c:v>4.0990908671202391</c:v>
                </c:pt>
                <c:pt idx="47">
                  <c:v>4.0894430917404847</c:v>
                </c:pt>
                <c:pt idx="48">
                  <c:v>4.0792265904247529</c:v>
                </c:pt>
                <c:pt idx="49">
                  <c:v>4.0695337921823835</c:v>
                </c:pt>
                <c:pt idx="50">
                  <c:v>4.0596620510707808</c:v>
                </c:pt>
                <c:pt idx="51">
                  <c:v>4.0476714936862876</c:v>
                </c:pt>
                <c:pt idx="52">
                  <c:v>4.0370950805366022</c:v>
                </c:pt>
                <c:pt idx="53">
                  <c:v>4.0315912455468066</c:v>
                </c:pt>
                <c:pt idx="54">
                  <c:v>4.027088765827088</c:v>
                </c:pt>
                <c:pt idx="55">
                  <c:v>4.0254997927361629</c:v>
                </c:pt>
                <c:pt idx="56">
                  <c:v>4.0253601607371579</c:v>
                </c:pt>
                <c:pt idx="57">
                  <c:v>4.0269998021810522</c:v>
                </c:pt>
                <c:pt idx="58">
                  <c:v>4.0284511778821468</c:v>
                </c:pt>
                <c:pt idx="59">
                  <c:v>4.0315244567312334</c:v>
                </c:pt>
                <c:pt idx="60">
                  <c:v>4.0348013663307896</c:v>
                </c:pt>
                <c:pt idx="61">
                  <c:v>4.0396731142928104</c:v>
                </c:pt>
                <c:pt idx="62">
                  <c:v>4.0412663605953085</c:v>
                </c:pt>
                <c:pt idx="63">
                  <c:v>4.0426398760761231</c:v>
                </c:pt>
                <c:pt idx="64">
                  <c:v>4.0420539460445397</c:v>
                </c:pt>
                <c:pt idx="65">
                  <c:v>4.043136162513342</c:v>
                </c:pt>
                <c:pt idx="66">
                  <c:v>4.0439615342636017</c:v>
                </c:pt>
                <c:pt idx="67">
                  <c:v>4.0446500429421093</c:v>
                </c:pt>
                <c:pt idx="68">
                  <c:v>4.0469127303428607</c:v>
                </c:pt>
                <c:pt idx="69">
                  <c:v>4.0508095766157837</c:v>
                </c:pt>
                <c:pt idx="70">
                  <c:v>4.0564091121295291</c:v>
                </c:pt>
                <c:pt idx="71">
                  <c:v>4.0538486220878553</c:v>
                </c:pt>
                <c:pt idx="72">
                  <c:v>4.0557962748740124</c:v>
                </c:pt>
                <c:pt idx="73">
                  <c:v>4.0595141398227739</c:v>
                </c:pt>
                <c:pt idx="74">
                  <c:v>4.0590903640216567</c:v>
                </c:pt>
                <c:pt idx="75">
                  <c:v>4.0604273417328471</c:v>
                </c:pt>
                <c:pt idx="76">
                  <c:v>4.0610205549904848</c:v>
                </c:pt>
                <c:pt idx="77">
                  <c:v>4.0622466240124879</c:v>
                </c:pt>
                <c:pt idx="78">
                  <c:v>4.0562519216898565</c:v>
                </c:pt>
                <c:pt idx="79">
                  <c:v>4.0502601949492458</c:v>
                </c:pt>
                <c:pt idx="80">
                  <c:v>4.0387491747273288</c:v>
                </c:pt>
                <c:pt idx="81">
                  <c:v>4.0132585339078233</c:v>
                </c:pt>
                <c:pt idx="82">
                  <c:v>3.9879635381203187</c:v>
                </c:pt>
                <c:pt idx="83">
                  <c:v>3.9734986100625918</c:v>
                </c:pt>
                <c:pt idx="84">
                  <c:v>3.9584030150617053</c:v>
                </c:pt>
                <c:pt idx="85">
                  <c:v>3.9414559922477395</c:v>
                </c:pt>
                <c:pt idx="86">
                  <c:v>3.9231850260322076</c:v>
                </c:pt>
                <c:pt idx="87">
                  <c:v>3.9031760597953138</c:v>
                </c:pt>
                <c:pt idx="88">
                  <c:v>3.8835075528234526</c:v>
                </c:pt>
                <c:pt idx="89">
                  <c:v>3.8652573544278468</c:v>
                </c:pt>
                <c:pt idx="90">
                  <c:v>3.8452891506959688</c:v>
                </c:pt>
                <c:pt idx="91">
                  <c:v>3.8265511161478614</c:v>
                </c:pt>
                <c:pt idx="92">
                  <c:v>3.8042319203561092</c:v>
                </c:pt>
                <c:pt idx="93">
                  <c:v>3.7800272905300574</c:v>
                </c:pt>
                <c:pt idx="94">
                  <c:v>3.7605432681591893</c:v>
                </c:pt>
                <c:pt idx="95">
                  <c:v>3.7430706980591211</c:v>
                </c:pt>
                <c:pt idx="96">
                  <c:v>3.7310532966520285</c:v>
                </c:pt>
                <c:pt idx="97">
                  <c:v>3.7266752537019059</c:v>
                </c:pt>
                <c:pt idx="98">
                  <c:v>3.7199058250744841</c:v>
                </c:pt>
                <c:pt idx="99">
                  <c:v>3.7151721079893392</c:v>
                </c:pt>
                <c:pt idx="100">
                  <c:v>3.7150397723714832</c:v>
                </c:pt>
                <c:pt idx="101">
                  <c:v>3.6901777786153431</c:v>
                </c:pt>
                <c:pt idx="102">
                  <c:v>3.6593121242144449</c:v>
                </c:pt>
                <c:pt idx="103">
                  <c:v>3.6391784871974409</c:v>
                </c:pt>
                <c:pt idx="104">
                  <c:v>3.6189749287560105</c:v>
                </c:pt>
                <c:pt idx="105">
                  <c:v>3.5933805865192809</c:v>
                </c:pt>
                <c:pt idx="106">
                  <c:v>3.5685880263487135</c:v>
                </c:pt>
                <c:pt idx="107">
                  <c:v>3.543878039840699</c:v>
                </c:pt>
                <c:pt idx="108">
                  <c:v>3.5197875625298849</c:v>
                </c:pt>
                <c:pt idx="109">
                  <c:v>3.4959577516255607</c:v>
                </c:pt>
                <c:pt idx="110">
                  <c:v>3.4568321914344509</c:v>
                </c:pt>
                <c:pt idx="111">
                  <c:v>3.4418031785853884</c:v>
                </c:pt>
                <c:pt idx="112">
                  <c:v>3.4272845802093173</c:v>
                </c:pt>
                <c:pt idx="113">
                  <c:v>3.4223563098454974</c:v>
                </c:pt>
                <c:pt idx="114">
                  <c:v>3.4168909154922034</c:v>
                </c:pt>
                <c:pt idx="115">
                  <c:v>3.4208214678013604</c:v>
                </c:pt>
                <c:pt idx="116">
                  <c:v>3.4325048422068747</c:v>
                </c:pt>
                <c:pt idx="117">
                  <c:v>3.4456738062356465</c:v>
                </c:pt>
                <c:pt idx="118">
                  <c:v>3.483995710889161</c:v>
                </c:pt>
                <c:pt idx="119">
                  <c:v>3.5223681214975429</c:v>
                </c:pt>
                <c:pt idx="120">
                  <c:v>3.5158876071962126</c:v>
                </c:pt>
                <c:pt idx="121">
                  <c:v>3.5035133093681523</c:v>
                </c:pt>
                <c:pt idx="122">
                  <c:v>3.504159684642282</c:v>
                </c:pt>
                <c:pt idx="123">
                  <c:v>3.4794029071919255</c:v>
                </c:pt>
                <c:pt idx="124">
                  <c:v>3.4606499729404021</c:v>
                </c:pt>
                <c:pt idx="125">
                  <c:v>3.4479565161651777</c:v>
                </c:pt>
                <c:pt idx="126">
                  <c:v>3.4491304063417445</c:v>
                </c:pt>
                <c:pt idx="127">
                  <c:v>3.4533852208517715</c:v>
                </c:pt>
                <c:pt idx="128">
                  <c:v>3.4573769664527632</c:v>
                </c:pt>
                <c:pt idx="129">
                  <c:v>3.4527749581858274</c:v>
                </c:pt>
                <c:pt idx="130">
                  <c:v>3.4638077004328593</c:v>
                </c:pt>
                <c:pt idx="131">
                  <c:v>3.4764546602878212</c:v>
                </c:pt>
                <c:pt idx="132">
                  <c:v>3.4968314735200643</c:v>
                </c:pt>
                <c:pt idx="133">
                  <c:v>3.5510220286233434</c:v>
                </c:pt>
                <c:pt idx="134">
                  <c:v>3.6156941001113481</c:v>
                </c:pt>
                <c:pt idx="135">
                  <c:v>3.6681991432518615</c:v>
                </c:pt>
                <c:pt idx="136">
                  <c:v>3.718589443211112</c:v>
                </c:pt>
                <c:pt idx="137">
                  <c:v>3.7641143795631358</c:v>
                </c:pt>
                <c:pt idx="138">
                  <c:v>3.8269020675077243</c:v>
                </c:pt>
                <c:pt idx="139">
                  <c:v>3.9003659040425731</c:v>
                </c:pt>
                <c:pt idx="140">
                  <c:v>3.9837487214696594</c:v>
                </c:pt>
                <c:pt idx="141">
                  <c:v>4.0162081916675554</c:v>
                </c:pt>
                <c:pt idx="142">
                  <c:v>4.0535221847888643</c:v>
                </c:pt>
                <c:pt idx="143">
                  <c:v>4.0842687222584821</c:v>
                </c:pt>
                <c:pt idx="144">
                  <c:v>4.1216738123198837</c:v>
                </c:pt>
                <c:pt idx="145">
                  <c:v>4.0211932175243312</c:v>
                </c:pt>
                <c:pt idx="146">
                  <c:v>3.9625990794589683</c:v>
                </c:pt>
                <c:pt idx="147">
                  <c:v>3.8834659657021788</c:v>
                </c:pt>
                <c:pt idx="148">
                  <c:v>3.7232608472267295</c:v>
                </c:pt>
                <c:pt idx="149">
                  <c:v>3.6225430344899472</c:v>
                </c:pt>
                <c:pt idx="150">
                  <c:v>3.5000240825052913</c:v>
                </c:pt>
                <c:pt idx="151">
                  <c:v>3.3656102708660818</c:v>
                </c:pt>
                <c:pt idx="152">
                  <c:v>3.2436539845050625</c:v>
                </c:pt>
                <c:pt idx="153">
                  <c:v>3.1116007525583242</c:v>
                </c:pt>
                <c:pt idx="154">
                  <c:v>3.0256669374640452</c:v>
                </c:pt>
                <c:pt idx="155">
                  <c:v>2.983697931504576</c:v>
                </c:pt>
                <c:pt idx="156">
                  <c:v>2.935766894257263</c:v>
                </c:pt>
                <c:pt idx="157">
                  <c:v>2.806732648143214</c:v>
                </c:pt>
                <c:pt idx="158">
                  <c:v>2.6686779244283692</c:v>
                </c:pt>
                <c:pt idx="159">
                  <c:v>2.5655537260649339</c:v>
                </c:pt>
                <c:pt idx="160">
                  <c:v>2.3692133533008786</c:v>
                </c:pt>
                <c:pt idx="161">
                  <c:v>2.2120666048286921</c:v>
                </c:pt>
                <c:pt idx="162">
                  <c:v>2.0964270649374619</c:v>
                </c:pt>
                <c:pt idx="163">
                  <c:v>1.9918594881321887</c:v>
                </c:pt>
                <c:pt idx="164">
                  <c:v>1.8512158082886145</c:v>
                </c:pt>
                <c:pt idx="165">
                  <c:v>1.7293007754391674</c:v>
                </c:pt>
                <c:pt idx="166">
                  <c:v>1.6372433501624357</c:v>
                </c:pt>
                <c:pt idx="167">
                  <c:v>1.6100984070245907</c:v>
                </c:pt>
                <c:pt idx="168">
                  <c:v>1.5634895263785076</c:v>
                </c:pt>
                <c:pt idx="169">
                  <c:v>1.4601748382730939</c:v>
                </c:pt>
                <c:pt idx="170">
                  <c:v>1.3745974439421644</c:v>
                </c:pt>
                <c:pt idx="171">
                  <c:v>1.264133104234201</c:v>
                </c:pt>
                <c:pt idx="172">
                  <c:v>1.3582942422948499</c:v>
                </c:pt>
                <c:pt idx="173">
                  <c:v>1.5900775110789951</c:v>
                </c:pt>
                <c:pt idx="174">
                  <c:v>2.5195441318200373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B-4434-AA4A-78B9DF0AB4B3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B-4434-AA4A-78B9DF0AB4B3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0.0</c:formatCode>
                <c:ptCount val="175"/>
                <c:pt idx="0">
                  <c:v>8.9108249421008523</c:v>
                </c:pt>
                <c:pt idx="1">
                  <c:v>8.9039919452289098</c:v>
                </c:pt>
                <c:pt idx="2">
                  <c:v>8.8984861780871469</c:v>
                </c:pt>
                <c:pt idx="3">
                  <c:v>8.8997071206526925</c:v>
                </c:pt>
                <c:pt idx="4">
                  <c:v>8.9025685792038871</c:v>
                </c:pt>
                <c:pt idx="5">
                  <c:v>8.9061312335116298</c:v>
                </c:pt>
                <c:pt idx="6">
                  <c:v>8.9116244342266171</c:v>
                </c:pt>
                <c:pt idx="7">
                  <c:v>8.9178676903605165</c:v>
                </c:pt>
                <c:pt idx="8">
                  <c:v>8.9245458465813954</c:v>
                </c:pt>
                <c:pt idx="9">
                  <c:v>8.9313984159752948</c:v>
                </c:pt>
                <c:pt idx="10">
                  <c:v>8.9386826783330946</c:v>
                </c:pt>
                <c:pt idx="11">
                  <c:v>8.9439386151602065</c:v>
                </c:pt>
                <c:pt idx="12">
                  <c:v>8.9487871130030925</c:v>
                </c:pt>
                <c:pt idx="13">
                  <c:v>8.9476042262608431</c:v>
                </c:pt>
                <c:pt idx="14">
                  <c:v>8.9460697720985323</c:v>
                </c:pt>
                <c:pt idx="15">
                  <c:v>8.9443391154568346</c:v>
                </c:pt>
                <c:pt idx="16">
                  <c:v>8.9426139026065599</c:v>
                </c:pt>
                <c:pt idx="17">
                  <c:v>8.9401722775279993</c:v>
                </c:pt>
                <c:pt idx="18">
                  <c:v>8.9381271420561177</c:v>
                </c:pt>
                <c:pt idx="19">
                  <c:v>8.9356081287419116</c:v>
                </c:pt>
                <c:pt idx="20">
                  <c:v>8.9335605655029866</c:v>
                </c:pt>
                <c:pt idx="21">
                  <c:v>8.9251586911697558</c:v>
                </c:pt>
                <c:pt idx="22">
                  <c:v>8.9135067585451893</c:v>
                </c:pt>
                <c:pt idx="23">
                  <c:v>8.9087676055893752</c:v>
                </c:pt>
                <c:pt idx="24">
                  <c:v>8.903306368780143</c:v>
                </c:pt>
                <c:pt idx="25">
                  <c:v>8.8959693779032918</c:v>
                </c:pt>
                <c:pt idx="26">
                  <c:v>8.8887189358698393</c:v>
                </c:pt>
                <c:pt idx="27">
                  <c:v>8.8803658615194152</c:v>
                </c:pt>
                <c:pt idx="28">
                  <c:v>8.8719323789425317</c:v>
                </c:pt>
                <c:pt idx="29">
                  <c:v>8.8624744349394078</c:v>
                </c:pt>
                <c:pt idx="30">
                  <c:v>8.8524864501407237</c:v>
                </c:pt>
                <c:pt idx="31">
                  <c:v>8.8484786857653361</c:v>
                </c:pt>
                <c:pt idx="32">
                  <c:v>8.8453835276026496</c:v>
                </c:pt>
                <c:pt idx="33">
                  <c:v>8.8372420785400934</c:v>
                </c:pt>
                <c:pt idx="34">
                  <c:v>8.8286703068058898</c:v>
                </c:pt>
                <c:pt idx="35">
                  <c:v>8.8196003439645168</c:v>
                </c:pt>
                <c:pt idx="36">
                  <c:v>8.8103031700429497</c:v>
                </c:pt>
                <c:pt idx="37">
                  <c:v>8.8012031631103511</c:v>
                </c:pt>
                <c:pt idx="38">
                  <c:v>8.7922706039158101</c:v>
                </c:pt>
                <c:pt idx="39">
                  <c:v>8.7834339102458259</c:v>
                </c:pt>
                <c:pt idx="40">
                  <c:v>8.7748267418668533</c:v>
                </c:pt>
                <c:pt idx="41">
                  <c:v>8.7636551837093108</c:v>
                </c:pt>
                <c:pt idx="42">
                  <c:v>8.7520722999696261</c:v>
                </c:pt>
                <c:pt idx="43">
                  <c:v>8.7409028045790578</c:v>
                </c:pt>
                <c:pt idx="44">
                  <c:v>8.7284013013638031</c:v>
                </c:pt>
                <c:pt idx="45">
                  <c:v>8.7145284757881569</c:v>
                </c:pt>
                <c:pt idx="46">
                  <c:v>8.7014034951898438</c:v>
                </c:pt>
                <c:pt idx="47">
                  <c:v>8.6876948675168535</c:v>
                </c:pt>
                <c:pt idx="48">
                  <c:v>8.6739834052223372</c:v>
                </c:pt>
                <c:pt idx="49">
                  <c:v>8.6589742038833464</c:v>
                </c:pt>
                <c:pt idx="50">
                  <c:v>8.6445668166517038</c:v>
                </c:pt>
                <c:pt idx="51">
                  <c:v>8.6297746312994335</c:v>
                </c:pt>
                <c:pt idx="52">
                  <c:v>8.6109820572249944</c:v>
                </c:pt>
                <c:pt idx="53">
                  <c:v>8.5866335747305129</c:v>
                </c:pt>
                <c:pt idx="54">
                  <c:v>8.5599556053418127</c:v>
                </c:pt>
                <c:pt idx="55">
                  <c:v>8.5289538811080661</c:v>
                </c:pt>
                <c:pt idx="56">
                  <c:v>8.4949958892638833</c:v>
                </c:pt>
                <c:pt idx="57">
                  <c:v>8.4581382869574284</c:v>
                </c:pt>
                <c:pt idx="58">
                  <c:v>8.4206523478434221</c:v>
                </c:pt>
                <c:pt idx="59">
                  <c:v>8.3792969895942164</c:v>
                </c:pt>
                <c:pt idx="60">
                  <c:v>8.3364686818042202</c:v>
                </c:pt>
                <c:pt idx="61">
                  <c:v>8.3078075305158308</c:v>
                </c:pt>
                <c:pt idx="62">
                  <c:v>8.2871340947114476</c:v>
                </c:pt>
                <c:pt idx="63">
                  <c:v>8.2685662340622557</c:v>
                </c:pt>
                <c:pt idx="64">
                  <c:v>8.2565451519157236</c:v>
                </c:pt>
                <c:pt idx="65">
                  <c:v>8.2459806556360675</c:v>
                </c:pt>
                <c:pt idx="66">
                  <c:v>8.2386075298461847</c:v>
                </c:pt>
                <c:pt idx="67">
                  <c:v>8.2320269670403903</c:v>
                </c:pt>
                <c:pt idx="68">
                  <c:v>8.2281379602057214</c:v>
                </c:pt>
                <c:pt idx="69">
                  <c:v>8.2290581513329002</c:v>
                </c:pt>
                <c:pt idx="70">
                  <c:v>8.2318266268010092</c:v>
                </c:pt>
                <c:pt idx="71">
                  <c:v>8.2376843983654382</c:v>
                </c:pt>
                <c:pt idx="72">
                  <c:v>8.2353259430604737</c:v>
                </c:pt>
                <c:pt idx="73">
                  <c:v>8.2316492776882342</c:v>
                </c:pt>
                <c:pt idx="74">
                  <c:v>8.2328199520054852</c:v>
                </c:pt>
                <c:pt idx="75">
                  <c:v>8.2340463512236468</c:v>
                </c:pt>
                <c:pt idx="76">
                  <c:v>8.2333805459439944</c:v>
                </c:pt>
                <c:pt idx="77">
                  <c:v>8.2299247906007693</c:v>
                </c:pt>
                <c:pt idx="78">
                  <c:v>8.2334020814750559</c:v>
                </c:pt>
                <c:pt idx="79">
                  <c:v>8.236000140476456</c:v>
                </c:pt>
                <c:pt idx="80">
                  <c:v>8.2419383236380241</c:v>
                </c:pt>
                <c:pt idx="81">
                  <c:v>8.2501524922877323</c:v>
                </c:pt>
                <c:pt idx="82">
                  <c:v>8.2512743556873076</c:v>
                </c:pt>
                <c:pt idx="83">
                  <c:v>8.2366890980426462</c:v>
                </c:pt>
                <c:pt idx="84">
                  <c:v>8.2221159251042977</c:v>
                </c:pt>
                <c:pt idx="85">
                  <c:v>8.2071968572198912</c:v>
                </c:pt>
                <c:pt idx="86">
                  <c:v>8.1900934877450666</c:v>
                </c:pt>
                <c:pt idx="87">
                  <c:v>8.1714618679585271</c:v>
                </c:pt>
                <c:pt idx="88">
                  <c:v>8.152078594542381</c:v>
                </c:pt>
                <c:pt idx="89">
                  <c:v>8.1265985159076379</c:v>
                </c:pt>
                <c:pt idx="90">
                  <c:v>8.1031436871950362</c:v>
                </c:pt>
                <c:pt idx="91">
                  <c:v>8.0919164095607101</c:v>
                </c:pt>
                <c:pt idx="92">
                  <c:v>8.0966461006062218</c:v>
                </c:pt>
                <c:pt idx="93">
                  <c:v>8.1175796762441905</c:v>
                </c:pt>
                <c:pt idx="94">
                  <c:v>8.13863811094933</c:v>
                </c:pt>
                <c:pt idx="95">
                  <c:v>8.1616803781533278</c:v>
                </c:pt>
                <c:pt idx="96">
                  <c:v>8.1850429520436379</c:v>
                </c:pt>
                <c:pt idx="97">
                  <c:v>8.2029841473538951</c:v>
                </c:pt>
                <c:pt idx="98">
                  <c:v>8.22787653468054</c:v>
                </c:pt>
                <c:pt idx="99">
                  <c:v>8.2547095010740676</c:v>
                </c:pt>
                <c:pt idx="100">
                  <c:v>8.2762993884231548</c:v>
                </c:pt>
                <c:pt idx="101">
                  <c:v>8.317173935715779</c:v>
                </c:pt>
                <c:pt idx="102">
                  <c:v>8.3597654667823846</c:v>
                </c:pt>
                <c:pt idx="103">
                  <c:v>8.3857676549516285</c:v>
                </c:pt>
                <c:pt idx="104">
                  <c:v>8.4063022328128483</c:v>
                </c:pt>
                <c:pt idx="105">
                  <c:v>8.4278176990441906</c:v>
                </c:pt>
                <c:pt idx="106">
                  <c:v>8.4436715427960252</c:v>
                </c:pt>
                <c:pt idx="107">
                  <c:v>8.454618782908419</c:v>
                </c:pt>
                <c:pt idx="108">
                  <c:v>8.4592086958913129</c:v>
                </c:pt>
                <c:pt idx="109">
                  <c:v>8.4579220567942031</c:v>
                </c:pt>
                <c:pt idx="110">
                  <c:v>8.4483104624756393</c:v>
                </c:pt>
                <c:pt idx="111">
                  <c:v>8.4264848646330108</c:v>
                </c:pt>
                <c:pt idx="112">
                  <c:v>8.3992784287515079</c:v>
                </c:pt>
                <c:pt idx="113">
                  <c:v>8.3730866496013832</c:v>
                </c:pt>
                <c:pt idx="114">
                  <c:v>8.3446038484549092</c:v>
                </c:pt>
                <c:pt idx="115">
                  <c:v>8.3041452231167128</c:v>
                </c:pt>
                <c:pt idx="116">
                  <c:v>8.2537603925516265</c:v>
                </c:pt>
                <c:pt idx="117">
                  <c:v>8.1991525391395399</c:v>
                </c:pt>
                <c:pt idx="118">
                  <c:v>8.1162276473321242</c:v>
                </c:pt>
                <c:pt idx="119">
                  <c:v>8.0251402343420821</c:v>
                </c:pt>
                <c:pt idx="120">
                  <c:v>7.9859824476668493</c:v>
                </c:pt>
                <c:pt idx="121">
                  <c:v>7.9389379070531803</c:v>
                </c:pt>
                <c:pt idx="122">
                  <c:v>7.8782949238209667</c:v>
                </c:pt>
                <c:pt idx="123">
                  <c:v>7.8445455887261772</c:v>
                </c:pt>
                <c:pt idx="124">
                  <c:v>7.7963282039359356</c:v>
                </c:pt>
                <c:pt idx="125">
                  <c:v>7.7343599064016146</c:v>
                </c:pt>
                <c:pt idx="126">
                  <c:v>7.6450229322096774</c:v>
                </c:pt>
                <c:pt idx="127">
                  <c:v>7.5438608207383382</c:v>
                </c:pt>
                <c:pt idx="128">
                  <c:v>7.4432718910259794</c:v>
                </c:pt>
                <c:pt idx="129">
                  <c:v>7.3415266583549581</c:v>
                </c:pt>
                <c:pt idx="130">
                  <c:v>7.2199277944257148</c:v>
                </c:pt>
                <c:pt idx="131">
                  <c:v>7.074800747584959</c:v>
                </c:pt>
                <c:pt idx="132">
                  <c:v>6.9313730259872557</c:v>
                </c:pt>
                <c:pt idx="133">
                  <c:v>6.7396353775015783</c:v>
                </c:pt>
                <c:pt idx="134">
                  <c:v>6.5314477426262627</c:v>
                </c:pt>
                <c:pt idx="135">
                  <c:v>6.3356863115918216</c:v>
                </c:pt>
                <c:pt idx="136">
                  <c:v>6.1223472098299894</c:v>
                </c:pt>
                <c:pt idx="137">
                  <c:v>5.9073414213884519</c:v>
                </c:pt>
                <c:pt idx="138">
                  <c:v>5.6705997443114313</c:v>
                </c:pt>
                <c:pt idx="139">
                  <c:v>5.4152575313189359</c:v>
                </c:pt>
                <c:pt idx="140">
                  <c:v>5.1540874307599083</c:v>
                </c:pt>
                <c:pt idx="141">
                  <c:v>4.9321691815268167</c:v>
                </c:pt>
                <c:pt idx="142">
                  <c:v>4.7227600263201026</c:v>
                </c:pt>
                <c:pt idx="143">
                  <c:v>4.5671776929655508</c:v>
                </c:pt>
                <c:pt idx="144">
                  <c:v>4.4200183540848244</c:v>
                </c:pt>
                <c:pt idx="145">
                  <c:v>4.4507452257067968</c:v>
                </c:pt>
                <c:pt idx="146">
                  <c:v>4.4511135234176891</c:v>
                </c:pt>
                <c:pt idx="147">
                  <c:v>4.4392727453771244</c:v>
                </c:pt>
                <c:pt idx="148">
                  <c:v>4.5691233846106769</c:v>
                </c:pt>
                <c:pt idx="149">
                  <c:v>4.6320208092051232</c:v>
                </c:pt>
                <c:pt idx="150">
                  <c:v>4.7195091323697085</c:v>
                </c:pt>
                <c:pt idx="151">
                  <c:v>4.8346268473897211</c:v>
                </c:pt>
                <c:pt idx="152">
                  <c:v>4.9293206213467897</c:v>
                </c:pt>
                <c:pt idx="153">
                  <c:v>5.0537287112468618</c:v>
                </c:pt>
                <c:pt idx="154">
                  <c:v>5.0871766334298343</c:v>
                </c:pt>
                <c:pt idx="155">
                  <c:v>5.1518961654297151</c:v>
                </c:pt>
                <c:pt idx="156">
                  <c:v>5.2079699275980147</c:v>
                </c:pt>
                <c:pt idx="157">
                  <c:v>5.2561792086182528</c:v>
                </c:pt>
                <c:pt idx="158">
                  <c:v>5.3109022391623597</c:v>
                </c:pt>
                <c:pt idx="159">
                  <c:v>5.3582804914606044</c:v>
                </c:pt>
                <c:pt idx="160">
                  <c:v>5.4565243215275885</c:v>
                </c:pt>
                <c:pt idx="161">
                  <c:v>5.5478431911245103</c:v>
                </c:pt>
                <c:pt idx="162">
                  <c:v>5.5686893724461406</c:v>
                </c:pt>
                <c:pt idx="163">
                  <c:v>5.5067727232786794</c:v>
                </c:pt>
                <c:pt idx="164">
                  <c:v>5.5855534960631203</c:v>
                </c:pt>
                <c:pt idx="165">
                  <c:v>5.6417099341945658</c:v>
                </c:pt>
                <c:pt idx="166">
                  <c:v>5.714861725293666</c:v>
                </c:pt>
                <c:pt idx="167">
                  <c:v>5.7348868120792069</c:v>
                </c:pt>
                <c:pt idx="168">
                  <c:v>5.7853380043148448</c:v>
                </c:pt>
                <c:pt idx="169">
                  <c:v>5.7776144797926605</c:v>
                </c:pt>
                <c:pt idx="170">
                  <c:v>5.7476448415118</c:v>
                </c:pt>
                <c:pt idx="171">
                  <c:v>5.8373791232766408</c:v>
                </c:pt>
                <c:pt idx="172">
                  <c:v>5.6726463663175544</c:v>
                </c:pt>
                <c:pt idx="173">
                  <c:v>6.0309726986723788</c:v>
                </c:pt>
                <c:pt idx="174">
                  <c:v>5.1414362914729317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B-4434-AA4A-78B9DF0AB4B3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data_co2_incLUC!$Q$3:$Q$177</c:f>
              <c:numCache>
                <c:formatCode>0.0</c:formatCode>
                <c:ptCount val="175"/>
                <c:pt idx="0">
                  <c:v>2.4596245255517744</c:v>
                </c:pt>
                <c:pt idx="1">
                  <c:v>2.4625334100960217</c:v>
                </c:pt>
                <c:pt idx="2">
                  <c:v>2.4639552019346667</c:v>
                </c:pt>
                <c:pt idx="3">
                  <c:v>2.4596449806274165</c:v>
                </c:pt>
                <c:pt idx="4">
                  <c:v>2.4536479858265352</c:v>
                </c:pt>
                <c:pt idx="5">
                  <c:v>2.4470264946611877</c:v>
                </c:pt>
                <c:pt idx="6">
                  <c:v>2.4383480801883763</c:v>
                </c:pt>
                <c:pt idx="7">
                  <c:v>2.4290210728125459</c:v>
                </c:pt>
                <c:pt idx="8">
                  <c:v>2.4192950364969619</c:v>
                </c:pt>
                <c:pt idx="9">
                  <c:v>2.4094126011865455</c:v>
                </c:pt>
                <c:pt idx="10">
                  <c:v>2.3992355927710776</c:v>
                </c:pt>
                <c:pt idx="11">
                  <c:v>2.3912302850341689</c:v>
                </c:pt>
                <c:pt idx="12">
                  <c:v>2.383235381344754</c:v>
                </c:pt>
                <c:pt idx="13">
                  <c:v>2.3813035384656729</c:v>
                </c:pt>
                <c:pt idx="14">
                  <c:v>2.3796364105717984</c:v>
                </c:pt>
                <c:pt idx="15">
                  <c:v>2.3781696532500547</c:v>
                </c:pt>
                <c:pt idx="16">
                  <c:v>2.3766846075084231</c:v>
                </c:pt>
                <c:pt idx="17">
                  <c:v>2.3758449654526146</c:v>
                </c:pt>
                <c:pt idx="18">
                  <c:v>2.3746048857525821</c:v>
                </c:pt>
                <c:pt idx="19">
                  <c:v>2.3737498194937103</c:v>
                </c:pt>
                <c:pt idx="20">
                  <c:v>2.37241170001748</c:v>
                </c:pt>
                <c:pt idx="21">
                  <c:v>2.3773378863519952</c:v>
                </c:pt>
                <c:pt idx="22">
                  <c:v>2.3862663216682307</c:v>
                </c:pt>
                <c:pt idx="23">
                  <c:v>2.3901144923846118</c:v>
                </c:pt>
                <c:pt idx="24">
                  <c:v>2.3949980598230738</c:v>
                </c:pt>
                <c:pt idx="25">
                  <c:v>2.4014904803960491</c:v>
                </c:pt>
                <c:pt idx="26">
                  <c:v>2.4082675343058426</c:v>
                </c:pt>
                <c:pt idx="27">
                  <c:v>2.4158160027854976</c:v>
                </c:pt>
                <c:pt idx="28">
                  <c:v>2.4236670600005965</c:v>
                </c:pt>
                <c:pt idx="29">
                  <c:v>2.4324965865653283</c:v>
                </c:pt>
                <c:pt idx="30">
                  <c:v>2.4421019803196131</c:v>
                </c:pt>
                <c:pt idx="31">
                  <c:v>2.4462538927331678</c:v>
                </c:pt>
                <c:pt idx="32">
                  <c:v>2.4502300166362829</c:v>
                </c:pt>
                <c:pt idx="33">
                  <c:v>2.4585339251323717</c:v>
                </c:pt>
                <c:pt idx="34">
                  <c:v>2.4673728998076427</c:v>
                </c:pt>
                <c:pt idx="35">
                  <c:v>2.4767390985485633</c:v>
                </c:pt>
                <c:pt idx="36">
                  <c:v>2.4862561607161666</c:v>
                </c:pt>
                <c:pt idx="37">
                  <c:v>2.4955478589375701</c:v>
                </c:pt>
                <c:pt idx="38">
                  <c:v>2.5047537834551292</c:v>
                </c:pt>
                <c:pt idx="39">
                  <c:v>2.5140841236289475</c:v>
                </c:pt>
                <c:pt idx="40">
                  <c:v>2.5227845932405231</c:v>
                </c:pt>
                <c:pt idx="41">
                  <c:v>2.5342157287398521</c:v>
                </c:pt>
                <c:pt idx="42">
                  <c:v>2.545886566490438</c:v>
                </c:pt>
                <c:pt idx="43">
                  <c:v>2.5574135288890787</c:v>
                </c:pt>
                <c:pt idx="44">
                  <c:v>2.5697542137528444</c:v>
                </c:pt>
                <c:pt idx="45">
                  <c:v>2.5838999491901191</c:v>
                </c:pt>
                <c:pt idx="46">
                  <c:v>2.5973234976684623</c:v>
                </c:pt>
                <c:pt idx="47">
                  <c:v>2.6112991280314262</c:v>
                </c:pt>
                <c:pt idx="48">
                  <c:v>2.625175523420296</c:v>
                </c:pt>
                <c:pt idx="49">
                  <c:v>2.6402012224301785</c:v>
                </c:pt>
                <c:pt idx="50">
                  <c:v>2.6549530015463318</c:v>
                </c:pt>
                <c:pt idx="51">
                  <c:v>2.6701500829557858</c:v>
                </c:pt>
                <c:pt idx="52">
                  <c:v>2.6902835073350317</c:v>
                </c:pt>
                <c:pt idx="53">
                  <c:v>2.7164274111861033</c:v>
                </c:pt>
                <c:pt idx="54">
                  <c:v>2.7463095980235153</c:v>
                </c:pt>
                <c:pt idx="55">
                  <c:v>2.7806581226240183</c:v>
                </c:pt>
                <c:pt idx="56">
                  <c:v>2.8192863295870225</c:v>
                </c:pt>
                <c:pt idx="57">
                  <c:v>2.8612698041421396</c:v>
                </c:pt>
                <c:pt idx="58">
                  <c:v>2.9049200873718988</c:v>
                </c:pt>
                <c:pt idx="59">
                  <c:v>2.9516350403789744</c:v>
                </c:pt>
                <c:pt idx="60">
                  <c:v>3.0001438666876368</c:v>
                </c:pt>
                <c:pt idx="61">
                  <c:v>3.0356183593646691</c:v>
                </c:pt>
                <c:pt idx="62">
                  <c:v>3.0616855568036101</c:v>
                </c:pt>
                <c:pt idx="63">
                  <c:v>3.0844152071255593</c:v>
                </c:pt>
                <c:pt idx="64">
                  <c:v>3.099687700442729</c:v>
                </c:pt>
                <c:pt idx="65">
                  <c:v>3.1130392155948385</c:v>
                </c:pt>
                <c:pt idx="66">
                  <c:v>3.1230343025148599</c:v>
                </c:pt>
                <c:pt idx="67">
                  <c:v>3.1323485239133788</c:v>
                </c:pt>
                <c:pt idx="68">
                  <c:v>3.1395528457335331</c:v>
                </c:pt>
                <c:pt idx="69">
                  <c:v>3.1457735585992239</c:v>
                </c:pt>
                <c:pt idx="70">
                  <c:v>3.152970316261154</c:v>
                </c:pt>
                <c:pt idx="71">
                  <c:v>3.1561101996644112</c:v>
                </c:pt>
                <c:pt idx="72">
                  <c:v>3.1655174212506552</c:v>
                </c:pt>
                <c:pt idx="73">
                  <c:v>3.1767290258283083</c:v>
                </c:pt>
                <c:pt idx="74">
                  <c:v>3.1862462779631429</c:v>
                </c:pt>
                <c:pt idx="75">
                  <c:v>3.19496247663416</c:v>
                </c:pt>
                <c:pt idx="76">
                  <c:v>3.2058859287158228</c:v>
                </c:pt>
                <c:pt idx="77">
                  <c:v>3.2166510980630747</c:v>
                </c:pt>
                <c:pt idx="78">
                  <c:v>3.2210658118651239</c:v>
                </c:pt>
                <c:pt idx="79">
                  <c:v>3.225272416680582</c:v>
                </c:pt>
                <c:pt idx="80">
                  <c:v>3.2271133899101798</c:v>
                </c:pt>
                <c:pt idx="81">
                  <c:v>3.2255346858226943</c:v>
                </c:pt>
                <c:pt idx="82">
                  <c:v>3.2272196422125177</c:v>
                </c:pt>
                <c:pt idx="83">
                  <c:v>3.2399937345234378</c:v>
                </c:pt>
                <c:pt idx="84">
                  <c:v>3.2526320861557281</c:v>
                </c:pt>
                <c:pt idx="85">
                  <c:v>3.2647247589409716</c:v>
                </c:pt>
                <c:pt idx="86">
                  <c:v>3.2785378018759275</c:v>
                </c:pt>
                <c:pt idx="87">
                  <c:v>3.2940147918639937</c:v>
                </c:pt>
                <c:pt idx="88">
                  <c:v>3.3110240235088355</c:v>
                </c:pt>
                <c:pt idx="89">
                  <c:v>3.3312048973888935</c:v>
                </c:pt>
                <c:pt idx="90">
                  <c:v>3.3514126596128833</c:v>
                </c:pt>
                <c:pt idx="91">
                  <c:v>3.3510529650861187</c:v>
                </c:pt>
                <c:pt idx="92">
                  <c:v>3.3412520289089613</c:v>
                </c:pt>
                <c:pt idx="93">
                  <c:v>3.3223827545043534</c:v>
                </c:pt>
                <c:pt idx="94">
                  <c:v>3.3002152701227914</c:v>
                </c:pt>
                <c:pt idx="95">
                  <c:v>3.2797418415071533</c:v>
                </c:pt>
                <c:pt idx="96">
                  <c:v>3.2636776966899959</c:v>
                </c:pt>
                <c:pt idx="97">
                  <c:v>3.2528611667653564</c:v>
                </c:pt>
                <c:pt idx="98">
                  <c:v>3.235855799477477</c:v>
                </c:pt>
                <c:pt idx="99">
                  <c:v>3.2171784725142558</c:v>
                </c:pt>
                <c:pt idx="100">
                  <c:v>3.1977940715448838</c:v>
                </c:pt>
                <c:pt idx="101">
                  <c:v>3.1581667484781022</c:v>
                </c:pt>
                <c:pt idx="102">
                  <c:v>3.0995715836518158</c:v>
                </c:pt>
                <c:pt idx="103">
                  <c:v>3.0499343427589167</c:v>
                </c:pt>
                <c:pt idx="104">
                  <c:v>2.9982030548323948</c:v>
                </c:pt>
                <c:pt idx="105">
                  <c:v>2.9376455725805286</c:v>
                </c:pt>
                <c:pt idx="106">
                  <c:v>2.8754891637008555</c:v>
                </c:pt>
                <c:pt idx="107">
                  <c:v>2.8104173763943265</c:v>
                </c:pt>
                <c:pt idx="108">
                  <c:v>2.7404383567519019</c:v>
                </c:pt>
                <c:pt idx="109">
                  <c:v>2.6678712998564933</c:v>
                </c:pt>
                <c:pt idx="110">
                  <c:v>2.6117175228075737</c:v>
                </c:pt>
                <c:pt idx="111">
                  <c:v>2.5639297702740862</c:v>
                </c:pt>
                <c:pt idx="112">
                  <c:v>2.519063316860084</c:v>
                </c:pt>
                <c:pt idx="113">
                  <c:v>2.4678815856835783</c:v>
                </c:pt>
                <c:pt idx="114">
                  <c:v>2.4127950275584951</c:v>
                </c:pt>
                <c:pt idx="115">
                  <c:v>2.3629097756599293</c:v>
                </c:pt>
                <c:pt idx="116">
                  <c:v>2.317831085829269</c:v>
                </c:pt>
                <c:pt idx="117">
                  <c:v>2.2734852287076706</c:v>
                </c:pt>
                <c:pt idx="118">
                  <c:v>2.2527095837680946</c:v>
                </c:pt>
                <c:pt idx="119">
                  <c:v>2.2362891375560423</c:v>
                </c:pt>
                <c:pt idx="120">
                  <c:v>2.1641485706712373</c:v>
                </c:pt>
                <c:pt idx="121">
                  <c:v>2.1006949845651732</c:v>
                </c:pt>
                <c:pt idx="122">
                  <c:v>2.0422651351663035</c:v>
                </c:pt>
                <c:pt idx="123">
                  <c:v>1.949308625441347</c:v>
                </c:pt>
                <c:pt idx="124">
                  <c:v>1.8655168945625817</c:v>
                </c:pt>
                <c:pt idx="125">
                  <c:v>1.7857536322816472</c:v>
                </c:pt>
                <c:pt idx="126">
                  <c:v>1.7165979633875992</c:v>
                </c:pt>
                <c:pt idx="127">
                  <c:v>1.6502131402260076</c:v>
                </c:pt>
                <c:pt idx="128">
                  <c:v>1.5723614139746331</c:v>
                </c:pt>
                <c:pt idx="129">
                  <c:v>1.4842514013160226</c:v>
                </c:pt>
                <c:pt idx="130">
                  <c:v>1.4101762073356454</c:v>
                </c:pt>
                <c:pt idx="131">
                  <c:v>1.3397071469858517</c:v>
                </c:pt>
                <c:pt idx="132">
                  <c:v>1.2674790518810966</c:v>
                </c:pt>
                <c:pt idx="133">
                  <c:v>1.2324756666783969</c:v>
                </c:pt>
                <c:pt idx="134">
                  <c:v>1.2024032239444367</c:v>
                </c:pt>
                <c:pt idx="135">
                  <c:v>1.149944877854729</c:v>
                </c:pt>
                <c:pt idx="136">
                  <c:v>1.0845662530743638</c:v>
                </c:pt>
                <c:pt idx="137">
                  <c:v>1.0049115748355959</c:v>
                </c:pt>
                <c:pt idx="138">
                  <c:v>0.93364346638839635</c:v>
                </c:pt>
                <c:pt idx="139">
                  <c:v>0.86864525589124497</c:v>
                </c:pt>
                <c:pt idx="140">
                  <c:v>0.80731354462189131</c:v>
                </c:pt>
                <c:pt idx="141">
                  <c:v>0.793824236327481</c:v>
                </c:pt>
                <c:pt idx="142">
                  <c:v>0.81251260528178193</c:v>
                </c:pt>
                <c:pt idx="143">
                  <c:v>0.83280900712907169</c:v>
                </c:pt>
                <c:pt idx="144">
                  <c:v>0.87888884808169365</c:v>
                </c:pt>
                <c:pt idx="145">
                  <c:v>0.792225415145559</c:v>
                </c:pt>
                <c:pt idx="146">
                  <c:v>0.75683781577520648</c:v>
                </c:pt>
                <c:pt idx="147">
                  <c:v>0.70513480709718834</c:v>
                </c:pt>
                <c:pt idx="148">
                  <c:v>0.55449032475037541</c:v>
                </c:pt>
                <c:pt idx="149">
                  <c:v>0.4456564047532936</c:v>
                </c:pt>
                <c:pt idx="150">
                  <c:v>0.36788125412768125</c:v>
                </c:pt>
                <c:pt idx="151">
                  <c:v>0.24900329786020592</c:v>
                </c:pt>
                <c:pt idx="152">
                  <c:v>0.17727220799077514</c:v>
                </c:pt>
                <c:pt idx="153">
                  <c:v>0.14158149357455585</c:v>
                </c:pt>
                <c:pt idx="154">
                  <c:v>0.13634428883543137</c:v>
                </c:pt>
                <c:pt idx="155">
                  <c:v>7.7756626248344674E-2</c:v>
                </c:pt>
                <c:pt idx="156">
                  <c:v>3.5157652670847028E-2</c:v>
                </c:pt>
                <c:pt idx="157">
                  <c:v>8.4373272038760661E-2</c:v>
                </c:pt>
                <c:pt idx="158">
                  <c:v>0.14022910992692061</c:v>
                </c:pt>
                <c:pt idx="159">
                  <c:v>0.18839163566416062</c:v>
                </c:pt>
                <c:pt idx="160">
                  <c:v>0.27181565395549256</c:v>
                </c:pt>
                <c:pt idx="161">
                  <c:v>0.30210808768958231</c:v>
                </c:pt>
                <c:pt idx="162">
                  <c:v>0.40673872663253263</c:v>
                </c:pt>
                <c:pt idx="163">
                  <c:v>0.53681490697550771</c:v>
                </c:pt>
                <c:pt idx="164">
                  <c:v>0.63745378305619482</c:v>
                </c:pt>
                <c:pt idx="165">
                  <c:v>0.80230886495404619</c:v>
                </c:pt>
                <c:pt idx="166">
                  <c:v>0.8417061329736768</c:v>
                </c:pt>
                <c:pt idx="167">
                  <c:v>0.82263785817871593</c:v>
                </c:pt>
                <c:pt idx="168">
                  <c:v>0.77291410573864638</c:v>
                </c:pt>
                <c:pt idx="169">
                  <c:v>0.82604298602691273</c:v>
                </c:pt>
                <c:pt idx="170">
                  <c:v>0.96040441905919494</c:v>
                </c:pt>
                <c:pt idx="171">
                  <c:v>0.98989397810211344</c:v>
                </c:pt>
                <c:pt idx="172">
                  <c:v>1.0263857961350631</c:v>
                </c:pt>
                <c:pt idx="173">
                  <c:v>0.44423306723978229</c:v>
                </c:pt>
                <c:pt idx="174">
                  <c:v>2.762996425431222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AB-4434-AA4A-78B9DF0A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0.0</c:formatCode>
                <c:ptCount val="175"/>
                <c:pt idx="0">
                  <c:v>37.734536444647119</c:v>
                </c:pt>
                <c:pt idx="1">
                  <c:v>37.737335495599268</c:v>
                </c:pt>
                <c:pt idx="2">
                  <c:v>37.740149178931503</c:v>
                </c:pt>
                <c:pt idx="3">
                  <c:v>37.743555314247018</c:v>
                </c:pt>
                <c:pt idx="4">
                  <c:v>37.745850439476648</c:v>
                </c:pt>
                <c:pt idx="5">
                  <c:v>37.747003460436687</c:v>
                </c:pt>
                <c:pt idx="6">
                  <c:v>37.748436931346269</c:v>
                </c:pt>
                <c:pt idx="7">
                  <c:v>37.749442450935788</c:v>
                </c:pt>
                <c:pt idx="8">
                  <c:v>37.750257367208903</c:v>
                </c:pt>
                <c:pt idx="9">
                  <c:v>37.750436583947824</c:v>
                </c:pt>
                <c:pt idx="10">
                  <c:v>37.749863809408325</c:v>
                </c:pt>
                <c:pt idx="11">
                  <c:v>37.746177075645818</c:v>
                </c:pt>
                <c:pt idx="12">
                  <c:v>37.742316631602939</c:v>
                </c:pt>
                <c:pt idx="13">
                  <c:v>37.736884537774053</c:v>
                </c:pt>
                <c:pt idx="14">
                  <c:v>37.730243291572592</c:v>
                </c:pt>
                <c:pt idx="15">
                  <c:v>37.723900708801132</c:v>
                </c:pt>
                <c:pt idx="16">
                  <c:v>37.71667217080563</c:v>
                </c:pt>
                <c:pt idx="17">
                  <c:v>37.709700433245331</c:v>
                </c:pt>
                <c:pt idx="18">
                  <c:v>37.700870878159456</c:v>
                </c:pt>
                <c:pt idx="19">
                  <c:v>37.691994344965742</c:v>
                </c:pt>
                <c:pt idx="20">
                  <c:v>37.683108248181561</c:v>
                </c:pt>
                <c:pt idx="21">
                  <c:v>37.66866762920727</c:v>
                </c:pt>
                <c:pt idx="22">
                  <c:v>37.6503347992128</c:v>
                </c:pt>
                <c:pt idx="23">
                  <c:v>37.630457242401683</c:v>
                </c:pt>
                <c:pt idx="24">
                  <c:v>37.607588772069015</c:v>
                </c:pt>
                <c:pt idx="25">
                  <c:v>37.584866028008101</c:v>
                </c:pt>
                <c:pt idx="26">
                  <c:v>37.559593524944766</c:v>
                </c:pt>
                <c:pt idx="27">
                  <c:v>37.533452780173079</c:v>
                </c:pt>
                <c:pt idx="28">
                  <c:v>37.506252382082437</c:v>
                </c:pt>
                <c:pt idx="29">
                  <c:v>37.478108700699991</c:v>
                </c:pt>
                <c:pt idx="30">
                  <c:v>37.447758550397999</c:v>
                </c:pt>
                <c:pt idx="31">
                  <c:v>37.420812028513872</c:v>
                </c:pt>
                <c:pt idx="32">
                  <c:v>37.396272351587136</c:v>
                </c:pt>
                <c:pt idx="33">
                  <c:v>37.371539155861285</c:v>
                </c:pt>
                <c:pt idx="34">
                  <c:v>37.345818508800541</c:v>
                </c:pt>
                <c:pt idx="35">
                  <c:v>37.320854254059626</c:v>
                </c:pt>
                <c:pt idx="36">
                  <c:v>37.296751390227875</c:v>
                </c:pt>
                <c:pt idx="37">
                  <c:v>37.272375699923629</c:v>
                </c:pt>
                <c:pt idx="38">
                  <c:v>37.246527134762111</c:v>
                </c:pt>
                <c:pt idx="39">
                  <c:v>37.21851288130155</c:v>
                </c:pt>
                <c:pt idx="40">
                  <c:v>37.192086887304662</c:v>
                </c:pt>
                <c:pt idx="41">
                  <c:v>37.163960857838177</c:v>
                </c:pt>
                <c:pt idx="42">
                  <c:v>37.134775097510406</c:v>
                </c:pt>
                <c:pt idx="43">
                  <c:v>37.105139909073635</c:v>
                </c:pt>
                <c:pt idx="44">
                  <c:v>37.07515204854495</c:v>
                </c:pt>
                <c:pt idx="45">
                  <c:v>37.04482801063476</c:v>
                </c:pt>
                <c:pt idx="46">
                  <c:v>37.012613406109331</c:v>
                </c:pt>
                <c:pt idx="47">
                  <c:v>36.97887247350031</c:v>
                </c:pt>
                <c:pt idx="48">
                  <c:v>36.944055033391699</c:v>
                </c:pt>
                <c:pt idx="49">
                  <c:v>36.907003826111954</c:v>
                </c:pt>
                <c:pt idx="50">
                  <c:v>36.866124010665317</c:v>
                </c:pt>
                <c:pt idx="51">
                  <c:v>36.824781548652304</c:v>
                </c:pt>
                <c:pt idx="52">
                  <c:v>36.785465080596481</c:v>
                </c:pt>
                <c:pt idx="53">
                  <c:v>36.74526463946107</c:v>
                </c:pt>
                <c:pt idx="54">
                  <c:v>36.701686283483099</c:v>
                </c:pt>
                <c:pt idx="55">
                  <c:v>36.658015654676504</c:v>
                </c:pt>
                <c:pt idx="56">
                  <c:v>36.611269830803487</c:v>
                </c:pt>
                <c:pt idx="57">
                  <c:v>36.563800034997954</c:v>
                </c:pt>
                <c:pt idx="58">
                  <c:v>36.50881531632966</c:v>
                </c:pt>
                <c:pt idx="59">
                  <c:v>36.457143186589988</c:v>
                </c:pt>
                <c:pt idx="60">
                  <c:v>36.403097620195147</c:v>
                </c:pt>
                <c:pt idx="61">
                  <c:v>36.343637579767559</c:v>
                </c:pt>
                <c:pt idx="62">
                  <c:v>36.282925420246528</c:v>
                </c:pt>
                <c:pt idx="63">
                  <c:v>36.219564521998038</c:v>
                </c:pt>
                <c:pt idx="64">
                  <c:v>36.149594630599481</c:v>
                </c:pt>
                <c:pt idx="65">
                  <c:v>36.085093734914537</c:v>
                </c:pt>
                <c:pt idx="66">
                  <c:v>36.020995173519097</c:v>
                </c:pt>
                <c:pt idx="67">
                  <c:v>35.951292010544428</c:v>
                </c:pt>
                <c:pt idx="68">
                  <c:v>35.876756492633397</c:v>
                </c:pt>
                <c:pt idx="69">
                  <c:v>35.79815451243347</c:v>
                </c:pt>
                <c:pt idx="70">
                  <c:v>35.728165425615011</c:v>
                </c:pt>
                <c:pt idx="71">
                  <c:v>35.656746033293913</c:v>
                </c:pt>
                <c:pt idx="72">
                  <c:v>35.599767261224471</c:v>
                </c:pt>
                <c:pt idx="73">
                  <c:v>35.539976800719337</c:v>
                </c:pt>
                <c:pt idx="74">
                  <c:v>35.471950162395764</c:v>
                </c:pt>
                <c:pt idx="75">
                  <c:v>35.404568766903196</c:v>
                </c:pt>
                <c:pt idx="76">
                  <c:v>35.337541542377394</c:v>
                </c:pt>
                <c:pt idx="77">
                  <c:v>35.274383413877835</c:v>
                </c:pt>
                <c:pt idx="78">
                  <c:v>35.205182216690559</c:v>
                </c:pt>
                <c:pt idx="79">
                  <c:v>35.138457130574139</c:v>
                </c:pt>
                <c:pt idx="80">
                  <c:v>35.066740952829996</c:v>
                </c:pt>
                <c:pt idx="81">
                  <c:v>35.012352970059119</c:v>
                </c:pt>
                <c:pt idx="82">
                  <c:v>34.973682297051511</c:v>
                </c:pt>
                <c:pt idx="83">
                  <c:v>34.948489697695152</c:v>
                </c:pt>
                <c:pt idx="84">
                  <c:v>34.921524828715171</c:v>
                </c:pt>
                <c:pt idx="85">
                  <c:v>34.891844398546695</c:v>
                </c:pt>
                <c:pt idx="86">
                  <c:v>34.861531602912592</c:v>
                </c:pt>
                <c:pt idx="87">
                  <c:v>34.826549072767357</c:v>
                </c:pt>
                <c:pt idx="88">
                  <c:v>34.787434347803107</c:v>
                </c:pt>
                <c:pt idx="89">
                  <c:v>34.758423864908323</c:v>
                </c:pt>
                <c:pt idx="90">
                  <c:v>34.724683700176911</c:v>
                </c:pt>
                <c:pt idx="91">
                  <c:v>34.690686110595855</c:v>
                </c:pt>
                <c:pt idx="92">
                  <c:v>34.652604590971613</c:v>
                </c:pt>
                <c:pt idx="93">
                  <c:v>34.606521476790959</c:v>
                </c:pt>
                <c:pt idx="94">
                  <c:v>34.558546164425039</c:v>
                </c:pt>
                <c:pt idx="95">
                  <c:v>34.510450905202823</c:v>
                </c:pt>
                <c:pt idx="96">
                  <c:v>34.479363885344014</c:v>
                </c:pt>
                <c:pt idx="97">
                  <c:v>34.443193369534278</c:v>
                </c:pt>
                <c:pt idx="98">
                  <c:v>34.395019124767281</c:v>
                </c:pt>
                <c:pt idx="99">
                  <c:v>34.338764036197119</c:v>
                </c:pt>
                <c:pt idx="100">
                  <c:v>34.294253553987375</c:v>
                </c:pt>
                <c:pt idx="101">
                  <c:v>34.257703333250419</c:v>
                </c:pt>
                <c:pt idx="102">
                  <c:v>34.22736376409776</c:v>
                </c:pt>
                <c:pt idx="103">
                  <c:v>34.200295600480466</c:v>
                </c:pt>
                <c:pt idx="104">
                  <c:v>34.17493675308431</c:v>
                </c:pt>
                <c:pt idx="105">
                  <c:v>34.163021061792463</c:v>
                </c:pt>
                <c:pt idx="106">
                  <c:v>34.145682176339569</c:v>
                </c:pt>
                <c:pt idx="107">
                  <c:v>34.124470864009616</c:v>
                </c:pt>
                <c:pt idx="108">
                  <c:v>34.109864780083257</c:v>
                </c:pt>
                <c:pt idx="109">
                  <c:v>34.106458329900526</c:v>
                </c:pt>
                <c:pt idx="110">
                  <c:v>34.120083091103027</c:v>
                </c:pt>
                <c:pt idx="111">
                  <c:v>34.103294052130622</c:v>
                </c:pt>
                <c:pt idx="112">
                  <c:v>34.088398427337665</c:v>
                </c:pt>
                <c:pt idx="113">
                  <c:v>34.05277437573254</c:v>
                </c:pt>
                <c:pt idx="114">
                  <c:v>34.010209804268939</c:v>
                </c:pt>
                <c:pt idx="115">
                  <c:v>33.952169747836805</c:v>
                </c:pt>
                <c:pt idx="116">
                  <c:v>33.883677326155365</c:v>
                </c:pt>
                <c:pt idx="117">
                  <c:v>33.80362773057356</c:v>
                </c:pt>
                <c:pt idx="118">
                  <c:v>33.687345999279842</c:v>
                </c:pt>
                <c:pt idx="119">
                  <c:v>33.552673540394338</c:v>
                </c:pt>
                <c:pt idx="120">
                  <c:v>33.44621785355222</c:v>
                </c:pt>
                <c:pt idx="121">
                  <c:v>33.328789756605978</c:v>
                </c:pt>
                <c:pt idx="122">
                  <c:v>33.203316859159607</c:v>
                </c:pt>
                <c:pt idx="123">
                  <c:v>33.086904314514612</c:v>
                </c:pt>
                <c:pt idx="124">
                  <c:v>32.9528987934575</c:v>
                </c:pt>
                <c:pt idx="125">
                  <c:v>32.828668109101649</c:v>
                </c:pt>
                <c:pt idx="126">
                  <c:v>32.716013381223327</c:v>
                </c:pt>
                <c:pt idx="127">
                  <c:v>32.584731957039779</c:v>
                </c:pt>
                <c:pt idx="128">
                  <c:v>32.454913392966859</c:v>
                </c:pt>
                <c:pt idx="129">
                  <c:v>32.327220773303075</c:v>
                </c:pt>
                <c:pt idx="130">
                  <c:v>32.169300080968952</c:v>
                </c:pt>
                <c:pt idx="131">
                  <c:v>32.025353147682274</c:v>
                </c:pt>
                <c:pt idx="132">
                  <c:v>31.888211126547656</c:v>
                </c:pt>
                <c:pt idx="133">
                  <c:v>31.767187294359445</c:v>
                </c:pt>
                <c:pt idx="134">
                  <c:v>31.648633007822006</c:v>
                </c:pt>
                <c:pt idx="135">
                  <c:v>31.543811358439434</c:v>
                </c:pt>
                <c:pt idx="136">
                  <c:v>31.458240197468061</c:v>
                </c:pt>
                <c:pt idx="137">
                  <c:v>31.389259841058891</c:v>
                </c:pt>
                <c:pt idx="138">
                  <c:v>31.296543013190814</c:v>
                </c:pt>
                <c:pt idx="139">
                  <c:v>31.184945216985305</c:v>
                </c:pt>
                <c:pt idx="140">
                  <c:v>31.052867974667421</c:v>
                </c:pt>
                <c:pt idx="141">
                  <c:v>30.880852101726685</c:v>
                </c:pt>
                <c:pt idx="142">
                  <c:v>30.716103181067279</c:v>
                </c:pt>
                <c:pt idx="143">
                  <c:v>30.528076451789882</c:v>
                </c:pt>
                <c:pt idx="144">
                  <c:v>30.324423879822511</c:v>
                </c:pt>
                <c:pt idx="145">
                  <c:v>30.133912544564478</c:v>
                </c:pt>
                <c:pt idx="146">
                  <c:v>29.912513388444957</c:v>
                </c:pt>
                <c:pt idx="147">
                  <c:v>29.675334776059437</c:v>
                </c:pt>
                <c:pt idx="148">
                  <c:v>29.474288099490675</c:v>
                </c:pt>
                <c:pt idx="149">
                  <c:v>29.20810938012588</c:v>
                </c:pt>
                <c:pt idx="150">
                  <c:v>28.919861544689439</c:v>
                </c:pt>
                <c:pt idx="151">
                  <c:v>28.578601891407839</c:v>
                </c:pt>
                <c:pt idx="152">
                  <c:v>28.221661575956634</c:v>
                </c:pt>
                <c:pt idx="153">
                  <c:v>27.872692373232518</c:v>
                </c:pt>
                <c:pt idx="154">
                  <c:v>27.536860949508345</c:v>
                </c:pt>
                <c:pt idx="155">
                  <c:v>27.163263024261852</c:v>
                </c:pt>
                <c:pt idx="156">
                  <c:v>26.762976412415235</c:v>
                </c:pt>
                <c:pt idx="157">
                  <c:v>26.438686512322562</c:v>
                </c:pt>
                <c:pt idx="158">
                  <c:v>26.069762722257206</c:v>
                </c:pt>
                <c:pt idx="159">
                  <c:v>25.710279732739572</c:v>
                </c:pt>
                <c:pt idx="160">
                  <c:v>25.488630396642193</c:v>
                </c:pt>
                <c:pt idx="161">
                  <c:v>25.170366440815062</c:v>
                </c:pt>
                <c:pt idx="162">
                  <c:v>24.959043079523298</c:v>
                </c:pt>
                <c:pt idx="163">
                  <c:v>24.798386706762972</c:v>
                </c:pt>
                <c:pt idx="164">
                  <c:v>24.603965445510976</c:v>
                </c:pt>
                <c:pt idx="165">
                  <c:v>24.426951843022813</c:v>
                </c:pt>
                <c:pt idx="166">
                  <c:v>24.266808217998523</c:v>
                </c:pt>
                <c:pt idx="167">
                  <c:v>24.012088601028925</c:v>
                </c:pt>
                <c:pt idx="168">
                  <c:v>23.722462780522573</c:v>
                </c:pt>
                <c:pt idx="169">
                  <c:v>23.360947358219445</c:v>
                </c:pt>
                <c:pt idx="170">
                  <c:v>23.061424255855162</c:v>
                </c:pt>
                <c:pt idx="171">
                  <c:v>22.907117743249916</c:v>
                </c:pt>
                <c:pt idx="172">
                  <c:v>22.539002597379074</c:v>
                </c:pt>
                <c:pt idx="173">
                  <c:v>22.114438124317843</c:v>
                </c:pt>
                <c:pt idx="174">
                  <c:v>21.925255817135675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AB-4434-AA4A-78B9DF0AB4B3}"/>
            </c:ext>
          </c:extLst>
        </c:ser>
        <c:ser>
          <c:idx val="6"/>
          <c:order val="6"/>
          <c:tx>
            <c:strRef>
              <c:f>data_co2_incLUC!$J$2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data_co2_incLUC!$J$3:$J$177</c:f>
              <c:numCache>
                <c:formatCode>0.0</c:formatCode>
                <c:ptCount val="175"/>
                <c:pt idx="0">
                  <c:v>42.30043645994909</c:v>
                </c:pt>
                <c:pt idx="1">
                  <c:v>42.299050338953236</c:v>
                </c:pt>
                <c:pt idx="2">
                  <c:v>42.296831416863327</c:v>
                </c:pt>
                <c:pt idx="3">
                  <c:v>42.287647276935388</c:v>
                </c:pt>
                <c:pt idx="4">
                  <c:v>42.276787691496175</c:v>
                </c:pt>
                <c:pt idx="5">
                  <c:v>42.263523545264178</c:v>
                </c:pt>
                <c:pt idx="6">
                  <c:v>42.248741473705977</c:v>
                </c:pt>
                <c:pt idx="7">
                  <c:v>42.232737371460601</c:v>
                </c:pt>
                <c:pt idx="8">
                  <c:v>42.215934393567281</c:v>
                </c:pt>
                <c:pt idx="9">
                  <c:v>42.198370788941212</c:v>
                </c:pt>
                <c:pt idx="10">
                  <c:v>42.179684676628696</c:v>
                </c:pt>
                <c:pt idx="11">
                  <c:v>42.159584655726505</c:v>
                </c:pt>
                <c:pt idx="12">
                  <c:v>42.138903410499765</c:v>
                </c:pt>
                <c:pt idx="13">
                  <c:v>42.122459006961407</c:v>
                </c:pt>
                <c:pt idx="14">
                  <c:v>42.105476700656503</c:v>
                </c:pt>
                <c:pt idx="15">
                  <c:v>42.087809831025311</c:v>
                </c:pt>
                <c:pt idx="16">
                  <c:v>42.069570608031746</c:v>
                </c:pt>
                <c:pt idx="17">
                  <c:v>42.051010989204997</c:v>
                </c:pt>
                <c:pt idx="18">
                  <c:v>42.031765181365614</c:v>
                </c:pt>
                <c:pt idx="19">
                  <c:v>42.012303165265465</c:v>
                </c:pt>
                <c:pt idx="20">
                  <c:v>41.992172832380092</c:v>
                </c:pt>
                <c:pt idx="21">
                  <c:v>41.971871535040627</c:v>
                </c:pt>
                <c:pt idx="22">
                  <c:v>41.952044681019061</c:v>
                </c:pt>
                <c:pt idx="23">
                  <c:v>41.923051930182808</c:v>
                </c:pt>
                <c:pt idx="24">
                  <c:v>41.892602573226654</c:v>
                </c:pt>
                <c:pt idx="25">
                  <c:v>41.862941015283106</c:v>
                </c:pt>
                <c:pt idx="26">
                  <c:v>41.831339505047929</c:v>
                </c:pt>
                <c:pt idx="27">
                  <c:v>41.799410752169905</c:v>
                </c:pt>
                <c:pt idx="28">
                  <c:v>41.766522609415254</c:v>
                </c:pt>
                <c:pt idx="29">
                  <c:v>41.733212082177126</c:v>
                </c:pt>
                <c:pt idx="30">
                  <c:v>41.698098661755203</c:v>
                </c:pt>
                <c:pt idx="31">
                  <c:v>41.659750528542681</c:v>
                </c:pt>
                <c:pt idx="32">
                  <c:v>41.622493817220658</c:v>
                </c:pt>
                <c:pt idx="33">
                  <c:v>41.589890335387459</c:v>
                </c:pt>
                <c:pt idx="34">
                  <c:v>41.556504935695543</c:v>
                </c:pt>
                <c:pt idx="35">
                  <c:v>41.523396203390718</c:v>
                </c:pt>
                <c:pt idx="36">
                  <c:v>41.490623210866168</c:v>
                </c:pt>
                <c:pt idx="37">
                  <c:v>41.457792555070462</c:v>
                </c:pt>
                <c:pt idx="38">
                  <c:v>41.424111052971455</c:v>
                </c:pt>
                <c:pt idx="39">
                  <c:v>41.387817514390093</c:v>
                </c:pt>
                <c:pt idx="40">
                  <c:v>41.352215775974827</c:v>
                </c:pt>
                <c:pt idx="41">
                  <c:v>41.31424356897525</c:v>
                </c:pt>
                <c:pt idx="42">
                  <c:v>41.27511517864744</c:v>
                </c:pt>
                <c:pt idx="43">
                  <c:v>41.234378856244142</c:v>
                </c:pt>
                <c:pt idx="44">
                  <c:v>41.194431155492104</c:v>
                </c:pt>
                <c:pt idx="45">
                  <c:v>41.15404639292251</c:v>
                </c:pt>
                <c:pt idx="46">
                  <c:v>41.11170427322957</c:v>
                </c:pt>
                <c:pt idx="47">
                  <c:v>41.068315565240795</c:v>
                </c:pt>
                <c:pt idx="48">
                  <c:v>41.023281623816452</c:v>
                </c:pt>
                <c:pt idx="49">
                  <c:v>40.976537618294337</c:v>
                </c:pt>
                <c:pt idx="50">
                  <c:v>40.925786061736098</c:v>
                </c:pt>
                <c:pt idx="51">
                  <c:v>40.872453042338591</c:v>
                </c:pt>
                <c:pt idx="52">
                  <c:v>40.822560161133083</c:v>
                </c:pt>
                <c:pt idx="53">
                  <c:v>40.776855885007876</c:v>
                </c:pt>
                <c:pt idx="54">
                  <c:v>40.728775049310187</c:v>
                </c:pt>
                <c:pt idx="55">
                  <c:v>40.683515447412667</c:v>
                </c:pt>
                <c:pt idx="56">
                  <c:v>40.636629991540644</c:v>
                </c:pt>
                <c:pt idx="57">
                  <c:v>40.590799837179006</c:v>
                </c:pt>
                <c:pt idx="58">
                  <c:v>40.537266494211806</c:v>
                </c:pt>
                <c:pt idx="59">
                  <c:v>40.488667643321222</c:v>
                </c:pt>
                <c:pt idx="60">
                  <c:v>40.437898986525937</c:v>
                </c:pt>
                <c:pt idx="61">
                  <c:v>40.38331069406037</c:v>
                </c:pt>
                <c:pt idx="62">
                  <c:v>40.324191780841836</c:v>
                </c:pt>
                <c:pt idx="63">
                  <c:v>40.262204398074161</c:v>
                </c:pt>
                <c:pt idx="64">
                  <c:v>40.19164857664402</c:v>
                </c:pt>
                <c:pt idx="65">
                  <c:v>40.128229897427879</c:v>
                </c:pt>
                <c:pt idx="66">
                  <c:v>40.064956707782699</c:v>
                </c:pt>
                <c:pt idx="67">
                  <c:v>39.995942053486537</c:v>
                </c:pt>
                <c:pt idx="68">
                  <c:v>39.923669222976258</c:v>
                </c:pt>
                <c:pt idx="69">
                  <c:v>39.848964089049254</c:v>
                </c:pt>
                <c:pt idx="70">
                  <c:v>39.78457453774454</c:v>
                </c:pt>
                <c:pt idx="71">
                  <c:v>39.710594655381769</c:v>
                </c:pt>
                <c:pt idx="72">
                  <c:v>39.655563536098484</c:v>
                </c:pt>
                <c:pt idx="73">
                  <c:v>39.599490940542111</c:v>
                </c:pt>
                <c:pt idx="74">
                  <c:v>39.531040526417421</c:v>
                </c:pt>
                <c:pt idx="75">
                  <c:v>39.464996108636043</c:v>
                </c:pt>
                <c:pt idx="76">
                  <c:v>39.398562097367879</c:v>
                </c:pt>
                <c:pt idx="77">
                  <c:v>39.336630037890323</c:v>
                </c:pt>
                <c:pt idx="78">
                  <c:v>39.261434138380416</c:v>
                </c:pt>
                <c:pt idx="79">
                  <c:v>39.188717325523385</c:v>
                </c:pt>
                <c:pt idx="80">
                  <c:v>39.105490127557324</c:v>
                </c:pt>
                <c:pt idx="81">
                  <c:v>39.025611503966942</c:v>
                </c:pt>
                <c:pt idx="82">
                  <c:v>38.961645835171829</c:v>
                </c:pt>
                <c:pt idx="83">
                  <c:v>38.921988307757744</c:v>
                </c:pt>
                <c:pt idx="84">
                  <c:v>38.879927843776876</c:v>
                </c:pt>
                <c:pt idx="85">
                  <c:v>38.833300390794435</c:v>
                </c:pt>
                <c:pt idx="86">
                  <c:v>38.7847166289448</c:v>
                </c:pt>
                <c:pt idx="87">
                  <c:v>38.72972513256267</c:v>
                </c:pt>
                <c:pt idx="88">
                  <c:v>38.670941900626559</c:v>
                </c:pt>
                <c:pt idx="89">
                  <c:v>38.62368121933617</c:v>
                </c:pt>
                <c:pt idx="90">
                  <c:v>38.56997285087288</c:v>
                </c:pt>
                <c:pt idx="91">
                  <c:v>38.517237226743717</c:v>
                </c:pt>
                <c:pt idx="92">
                  <c:v>38.456836511327722</c:v>
                </c:pt>
                <c:pt idx="93">
                  <c:v>38.386548767321017</c:v>
                </c:pt>
                <c:pt idx="94">
                  <c:v>38.319089432584228</c:v>
                </c:pt>
                <c:pt idx="95">
                  <c:v>38.253521603261945</c:v>
                </c:pt>
                <c:pt idx="96">
                  <c:v>38.210417181996043</c:v>
                </c:pt>
                <c:pt idx="97">
                  <c:v>38.169868623236184</c:v>
                </c:pt>
                <c:pt idx="98">
                  <c:v>38.114924949841765</c:v>
                </c:pt>
                <c:pt idx="99">
                  <c:v>38.053936144186459</c:v>
                </c:pt>
                <c:pt idx="100">
                  <c:v>38.009293326358858</c:v>
                </c:pt>
                <c:pt idx="101">
                  <c:v>37.947881111865762</c:v>
                </c:pt>
                <c:pt idx="102">
                  <c:v>37.886675888312205</c:v>
                </c:pt>
                <c:pt idx="103">
                  <c:v>37.839474087677907</c:v>
                </c:pt>
                <c:pt idx="104">
                  <c:v>37.793911681840321</c:v>
                </c:pt>
                <c:pt idx="105">
                  <c:v>37.756401648311744</c:v>
                </c:pt>
                <c:pt idx="106">
                  <c:v>37.714270202688283</c:v>
                </c:pt>
                <c:pt idx="107">
                  <c:v>37.668348903850315</c:v>
                </c:pt>
                <c:pt idx="108">
                  <c:v>37.629652342613142</c:v>
                </c:pt>
                <c:pt idx="109">
                  <c:v>37.602416081526087</c:v>
                </c:pt>
                <c:pt idx="110">
                  <c:v>37.576915282537477</c:v>
                </c:pt>
                <c:pt idx="111">
                  <c:v>37.54509723071601</c:v>
                </c:pt>
                <c:pt idx="112">
                  <c:v>37.515683007546983</c:v>
                </c:pt>
                <c:pt idx="113">
                  <c:v>37.475130685578037</c:v>
                </c:pt>
                <c:pt idx="114">
                  <c:v>37.427100719761142</c:v>
                </c:pt>
                <c:pt idx="115">
                  <c:v>37.372991215638166</c:v>
                </c:pt>
                <c:pt idx="116">
                  <c:v>37.316182168362239</c:v>
                </c:pt>
                <c:pt idx="117">
                  <c:v>37.249301536809206</c:v>
                </c:pt>
                <c:pt idx="118">
                  <c:v>37.171341710169003</c:v>
                </c:pt>
                <c:pt idx="119">
                  <c:v>37.075041661891881</c:v>
                </c:pt>
                <c:pt idx="120">
                  <c:v>36.962105460748433</c:v>
                </c:pt>
                <c:pt idx="121">
                  <c:v>36.832303065974131</c:v>
                </c:pt>
                <c:pt idx="122">
                  <c:v>36.707476543801889</c:v>
                </c:pt>
                <c:pt idx="123">
                  <c:v>36.566307221706538</c:v>
                </c:pt>
                <c:pt idx="124">
                  <c:v>36.413548766397902</c:v>
                </c:pt>
                <c:pt idx="125">
                  <c:v>36.276624625266827</c:v>
                </c:pt>
                <c:pt idx="126">
                  <c:v>36.165143787565071</c:v>
                </c:pt>
                <c:pt idx="127">
                  <c:v>36.03811717789155</c:v>
                </c:pt>
                <c:pt idx="128">
                  <c:v>35.912290359419622</c:v>
                </c:pt>
                <c:pt idx="129">
                  <c:v>35.779995731488903</c:v>
                </c:pt>
                <c:pt idx="130">
                  <c:v>35.633107781401812</c:v>
                </c:pt>
                <c:pt idx="131">
                  <c:v>35.501807807970096</c:v>
                </c:pt>
                <c:pt idx="132">
                  <c:v>35.38504260006772</c:v>
                </c:pt>
                <c:pt idx="133">
                  <c:v>35.318209322982788</c:v>
                </c:pt>
                <c:pt idx="134">
                  <c:v>35.264327107933354</c:v>
                </c:pt>
                <c:pt idx="135">
                  <c:v>35.212010501691296</c:v>
                </c:pt>
                <c:pt idx="136">
                  <c:v>35.176829640679173</c:v>
                </c:pt>
                <c:pt idx="137">
                  <c:v>35.153374220622027</c:v>
                </c:pt>
                <c:pt idx="138">
                  <c:v>35.123445080698538</c:v>
                </c:pt>
                <c:pt idx="139">
                  <c:v>35.085311121027878</c:v>
                </c:pt>
                <c:pt idx="140">
                  <c:v>35.036616696137081</c:v>
                </c:pt>
                <c:pt idx="141">
                  <c:v>34.89706029339424</c:v>
                </c:pt>
                <c:pt idx="142">
                  <c:v>34.769625365856143</c:v>
                </c:pt>
                <c:pt idx="143">
                  <c:v>34.612345174048365</c:v>
                </c:pt>
                <c:pt idx="144">
                  <c:v>34.446097692142395</c:v>
                </c:pt>
                <c:pt idx="145">
                  <c:v>34.155105762088809</c:v>
                </c:pt>
                <c:pt idx="146">
                  <c:v>33.875112467903925</c:v>
                </c:pt>
                <c:pt idx="147">
                  <c:v>33.558800741761615</c:v>
                </c:pt>
                <c:pt idx="148">
                  <c:v>33.197548946717404</c:v>
                </c:pt>
                <c:pt idx="149">
                  <c:v>32.830652414615827</c:v>
                </c:pt>
                <c:pt idx="150">
                  <c:v>32.419885627194731</c:v>
                </c:pt>
                <c:pt idx="151">
                  <c:v>31.944212162273921</c:v>
                </c:pt>
                <c:pt idx="152">
                  <c:v>31.465315560461697</c:v>
                </c:pt>
                <c:pt idx="153">
                  <c:v>30.984293125790842</c:v>
                </c:pt>
                <c:pt idx="154">
                  <c:v>30.56252788697239</c:v>
                </c:pt>
                <c:pt idx="155">
                  <c:v>30.146960955766428</c:v>
                </c:pt>
                <c:pt idx="156">
                  <c:v>29.698743306672498</c:v>
                </c:pt>
                <c:pt idx="157">
                  <c:v>29.245419160465776</c:v>
                </c:pt>
                <c:pt idx="158">
                  <c:v>28.738440646685575</c:v>
                </c:pt>
                <c:pt idx="159">
                  <c:v>28.275833458804506</c:v>
                </c:pt>
                <c:pt idx="160">
                  <c:v>27.857843749943072</c:v>
                </c:pt>
                <c:pt idx="161">
                  <c:v>27.382433045643754</c:v>
                </c:pt>
                <c:pt idx="162">
                  <c:v>27.055470144460759</c:v>
                </c:pt>
                <c:pt idx="163">
                  <c:v>26.790246194895161</c:v>
                </c:pt>
                <c:pt idx="164">
                  <c:v>26.427814070188404</c:v>
                </c:pt>
                <c:pt idx="165">
                  <c:v>26.092226222622106</c:v>
                </c:pt>
                <c:pt idx="166">
                  <c:v>25.809829479185154</c:v>
                </c:pt>
                <c:pt idx="167">
                  <c:v>25.506587338926661</c:v>
                </c:pt>
                <c:pt idx="168">
                  <c:v>25.152846845203474</c:v>
                </c:pt>
                <c:pt idx="169">
                  <c:v>24.68733069750898</c:v>
                </c:pt>
                <c:pt idx="170">
                  <c:v>24.281157805768995</c:v>
                </c:pt>
                <c:pt idx="171">
                  <c:v>24.01114276907041</c:v>
                </c:pt>
                <c:pt idx="172">
                  <c:v>23.746205739106056</c:v>
                </c:pt>
                <c:pt idx="173">
                  <c:v>23.555166969232626</c:v>
                </c:pt>
                <c:pt idx="174">
                  <c:v>24.3249699518258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AB-4434-AA4A-78B9DF0AB4B3}"/>
            </c:ext>
          </c:extLst>
        </c:ser>
        <c:ser>
          <c:idx val="7"/>
          <c:order val="7"/>
          <c:tx>
            <c:strRef>
              <c:f>data_co2_incLUC!$K$2</c:f>
              <c:strCache>
                <c:ptCount val="1"/>
                <c:pt idx="0">
                  <c:v>pct_annex2_GCP_BLUE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data_co2_incLUC!$K$3:$K$177</c:f>
              <c:numCache>
                <c:formatCode>0.0</c:formatCode>
                <c:ptCount val="175"/>
                <c:pt idx="0">
                  <c:v>37.740928293666151</c:v>
                </c:pt>
                <c:pt idx="1">
                  <c:v>37.743735958907685</c:v>
                </c:pt>
                <c:pt idx="2">
                  <c:v>37.746558621118773</c:v>
                </c:pt>
                <c:pt idx="3">
                  <c:v>37.749974153221977</c:v>
                </c:pt>
                <c:pt idx="4">
                  <c:v>37.752278637744155</c:v>
                </c:pt>
                <c:pt idx="5">
                  <c:v>37.75344105016444</c:v>
                </c:pt>
                <c:pt idx="6">
                  <c:v>37.75488415486506</c:v>
                </c:pt>
                <c:pt idx="7">
                  <c:v>37.755899393936318</c:v>
                </c:pt>
                <c:pt idx="8">
                  <c:v>37.756724104164299</c:v>
                </c:pt>
                <c:pt idx="9">
                  <c:v>37.756913102345521</c:v>
                </c:pt>
                <c:pt idx="10">
                  <c:v>37.756350155410168</c:v>
                </c:pt>
                <c:pt idx="11">
                  <c:v>37.752671835861989</c:v>
                </c:pt>
                <c:pt idx="12">
                  <c:v>37.748819390075148</c:v>
                </c:pt>
                <c:pt idx="13">
                  <c:v>37.743394780317409</c:v>
                </c:pt>
                <c:pt idx="14">
                  <c:v>37.736760749584491</c:v>
                </c:pt>
                <c:pt idx="15">
                  <c:v>37.730425542677111</c:v>
                </c:pt>
                <c:pt idx="16">
                  <c:v>37.723204079228204</c:v>
                </c:pt>
                <c:pt idx="17">
                  <c:v>37.716239512648855</c:v>
                </c:pt>
                <c:pt idx="18">
                  <c:v>37.707416762341261</c:v>
                </c:pt>
                <c:pt idx="19">
                  <c:v>37.698547019102627</c:v>
                </c:pt>
                <c:pt idx="20">
                  <c:v>37.689667764635928</c:v>
                </c:pt>
                <c:pt idx="21">
                  <c:v>37.675234214405158</c:v>
                </c:pt>
                <c:pt idx="22">
                  <c:v>37.65690817127512</c:v>
                </c:pt>
                <c:pt idx="23">
                  <c:v>37.637037750166272</c:v>
                </c:pt>
                <c:pt idx="24">
                  <c:v>37.614176198885083</c:v>
                </c:pt>
                <c:pt idx="25">
                  <c:v>37.591460590873801</c:v>
                </c:pt>
                <c:pt idx="26">
                  <c:v>37.566194996143622</c:v>
                </c:pt>
                <c:pt idx="27">
                  <c:v>37.54006119709878</c:v>
                </c:pt>
                <c:pt idx="28">
                  <c:v>37.512867852488782</c:v>
                </c:pt>
                <c:pt idx="29">
                  <c:v>37.484731245348598</c:v>
                </c:pt>
                <c:pt idx="30">
                  <c:v>37.454388056947316</c:v>
                </c:pt>
                <c:pt idx="31">
                  <c:v>37.427449430851716</c:v>
                </c:pt>
                <c:pt idx="32">
                  <c:v>37.402918131932303</c:v>
                </c:pt>
                <c:pt idx="33">
                  <c:v>37.378193647753612</c:v>
                </c:pt>
                <c:pt idx="34">
                  <c:v>37.352481855591428</c:v>
                </c:pt>
                <c:pt idx="35">
                  <c:v>37.327526703025278</c:v>
                </c:pt>
                <c:pt idx="36">
                  <c:v>37.303433123327331</c:v>
                </c:pt>
                <c:pt idx="37">
                  <c:v>37.279066733061605</c:v>
                </c:pt>
                <c:pt idx="38">
                  <c:v>37.253227511359512</c:v>
                </c:pt>
                <c:pt idx="39">
                  <c:v>37.225222503525224</c:v>
                </c:pt>
                <c:pt idx="40">
                  <c:v>37.198806177032566</c:v>
                </c:pt>
                <c:pt idx="41">
                  <c:v>37.170690584040742</c:v>
                </c:pt>
                <c:pt idx="42">
                  <c:v>37.141515487954919</c:v>
                </c:pt>
                <c:pt idx="43">
                  <c:v>37.111890889033958</c:v>
                </c:pt>
                <c:pt idx="44">
                  <c:v>37.081913639880788</c:v>
                </c:pt>
                <c:pt idx="45">
                  <c:v>37.051600545268478</c:v>
                </c:pt>
                <c:pt idx="46">
                  <c:v>37.019396773508873</c:v>
                </c:pt>
                <c:pt idx="47">
                  <c:v>36.985666538632387</c:v>
                </c:pt>
                <c:pt idx="48">
                  <c:v>36.950860081913419</c:v>
                </c:pt>
                <c:pt idx="49">
                  <c:v>36.913819761077619</c:v>
                </c:pt>
                <c:pt idx="50">
                  <c:v>36.872950687281943</c:v>
                </c:pt>
                <c:pt idx="51">
                  <c:v>36.831619458630406</c:v>
                </c:pt>
                <c:pt idx="52">
                  <c:v>36.792315290467307</c:v>
                </c:pt>
                <c:pt idx="53">
                  <c:v>36.752127400877711</c:v>
                </c:pt>
                <c:pt idx="54">
                  <c:v>36.70856170428268</c:v>
                </c:pt>
                <c:pt idx="55">
                  <c:v>36.664904177215632</c:v>
                </c:pt>
                <c:pt idx="56">
                  <c:v>36.618171470837154</c:v>
                </c:pt>
                <c:pt idx="57">
                  <c:v>36.570715234316587</c:v>
                </c:pt>
                <c:pt idx="58">
                  <c:v>36.51574373429478</c:v>
                </c:pt>
                <c:pt idx="59">
                  <c:v>36.464085353471795</c:v>
                </c:pt>
                <c:pt idx="60">
                  <c:v>36.410053717215249</c:v>
                </c:pt>
                <c:pt idx="61">
                  <c:v>36.350606143883532</c:v>
                </c:pt>
                <c:pt idx="62">
                  <c:v>36.289906192818854</c:v>
                </c:pt>
                <c:pt idx="63">
                  <c:v>36.22655714321818</c:v>
                </c:pt>
                <c:pt idx="64">
                  <c:v>36.156598448831964</c:v>
                </c:pt>
                <c:pt idx="65">
                  <c:v>36.092108899028496</c:v>
                </c:pt>
                <c:pt idx="66">
                  <c:v>36.028021459146842</c:v>
                </c:pt>
                <c:pt idx="67">
                  <c:v>35.958329045483254</c:v>
                </c:pt>
                <c:pt idx="68">
                  <c:v>35.883803537785873</c:v>
                </c:pt>
                <c:pt idx="69">
                  <c:v>35.805210548797021</c:v>
                </c:pt>
                <c:pt idx="70">
                  <c:v>35.73523072094207</c:v>
                </c:pt>
                <c:pt idx="71">
                  <c:v>35.663823629709121</c:v>
                </c:pt>
                <c:pt idx="72">
                  <c:v>35.606859729046498</c:v>
                </c:pt>
                <c:pt idx="73">
                  <c:v>35.547084462759159</c:v>
                </c:pt>
                <c:pt idx="74">
                  <c:v>35.479073264562807</c:v>
                </c:pt>
                <c:pt idx="75">
                  <c:v>35.411707541637114</c:v>
                </c:pt>
                <c:pt idx="76">
                  <c:v>35.344696706741054</c:v>
                </c:pt>
                <c:pt idx="77">
                  <c:v>35.28155580970698</c:v>
                </c:pt>
                <c:pt idx="78">
                  <c:v>35.21237180590385</c:v>
                </c:pt>
                <c:pt idx="79">
                  <c:v>35.14566472638235</c:v>
                </c:pt>
                <c:pt idx="80">
                  <c:v>35.07396677147991</c:v>
                </c:pt>
                <c:pt idx="81">
                  <c:v>35.019599894502392</c:v>
                </c:pt>
                <c:pt idx="82">
                  <c:v>34.98095270852491</c:v>
                </c:pt>
                <c:pt idx="83">
                  <c:v>34.955785623859171</c:v>
                </c:pt>
                <c:pt idx="84">
                  <c:v>34.928846467280515</c:v>
                </c:pt>
                <c:pt idx="85">
                  <c:v>34.89919251080746</c:v>
                </c:pt>
                <c:pt idx="86">
                  <c:v>34.868906646807986</c:v>
                </c:pt>
                <c:pt idx="87">
                  <c:v>34.833951989525403</c:v>
                </c:pt>
                <c:pt idx="88">
                  <c:v>34.794865377191755</c:v>
                </c:pt>
                <c:pt idx="89">
                  <c:v>34.765884671856227</c:v>
                </c:pt>
                <c:pt idx="90">
                  <c:v>34.732174245109</c:v>
                </c:pt>
                <c:pt idx="91">
                  <c:v>34.698208658023837</c:v>
                </c:pt>
                <c:pt idx="92">
                  <c:v>34.660159457703784</c:v>
                </c:pt>
                <c:pt idx="93">
                  <c:v>34.614107254893682</c:v>
                </c:pt>
                <c:pt idx="94">
                  <c:v>34.566163138771614</c:v>
                </c:pt>
                <c:pt idx="95">
                  <c:v>34.518099423031821</c:v>
                </c:pt>
                <c:pt idx="96">
                  <c:v>34.48704506421516</c:v>
                </c:pt>
                <c:pt idx="97">
                  <c:v>34.450907360521988</c:v>
                </c:pt>
                <c:pt idx="98">
                  <c:v>34.402765300336362</c:v>
                </c:pt>
                <c:pt idx="99">
                  <c:v>34.34654174064363</c:v>
                </c:pt>
                <c:pt idx="100">
                  <c:v>34.302064537375543</c:v>
                </c:pt>
                <c:pt idx="101">
                  <c:v>34.265556884942256</c:v>
                </c:pt>
                <c:pt idx="102">
                  <c:v>34.235266075874328</c:v>
                </c:pt>
                <c:pt idx="103">
                  <c:v>34.208248814332102</c:v>
                </c:pt>
                <c:pt idx="104">
                  <c:v>34.182943435985635</c:v>
                </c:pt>
                <c:pt idx="105">
                  <c:v>34.171088098975552</c:v>
                </c:pt>
                <c:pt idx="106">
                  <c:v>34.153812423136714</c:v>
                </c:pt>
                <c:pt idx="107">
                  <c:v>34.132666661357675</c:v>
                </c:pt>
                <c:pt idx="108">
                  <c:v>34.11813098631113</c:v>
                </c:pt>
                <c:pt idx="109">
                  <c:v>34.114799587033197</c:v>
                </c:pt>
                <c:pt idx="110">
                  <c:v>34.128509596782472</c:v>
                </c:pt>
                <c:pt idx="111">
                  <c:v>34.11179471655376</c:v>
                </c:pt>
                <c:pt idx="112">
                  <c:v>34.09697493274129</c:v>
                </c:pt>
                <c:pt idx="113">
                  <c:v>34.061421584313422</c:v>
                </c:pt>
                <c:pt idx="114">
                  <c:v>34.018928409301289</c:v>
                </c:pt>
                <c:pt idx="115">
                  <c:v>33.960957466345491</c:v>
                </c:pt>
                <c:pt idx="116">
                  <c:v>33.892533361845082</c:v>
                </c:pt>
                <c:pt idx="117">
                  <c:v>33.812550088532291</c:v>
                </c:pt>
                <c:pt idx="118">
                  <c:v>33.696330387697401</c:v>
                </c:pt>
                <c:pt idx="119">
                  <c:v>33.561719687119094</c:v>
                </c:pt>
                <c:pt idx="120">
                  <c:v>33.455341874703663</c:v>
                </c:pt>
                <c:pt idx="121">
                  <c:v>33.337992536767779</c:v>
                </c:pt>
                <c:pt idx="122">
                  <c:v>33.21259739140249</c:v>
                </c:pt>
                <c:pt idx="123">
                  <c:v>33.096274248223914</c:v>
                </c:pt>
                <c:pt idx="124">
                  <c:v>32.96235847875144</c:v>
                </c:pt>
                <c:pt idx="125">
                  <c:v>32.838221129695114</c:v>
                </c:pt>
                <c:pt idx="126">
                  <c:v>32.725664232904265</c:v>
                </c:pt>
                <c:pt idx="127">
                  <c:v>32.594484133135396</c:v>
                </c:pt>
                <c:pt idx="128">
                  <c:v>32.464778647153281</c:v>
                </c:pt>
                <c:pt idx="129">
                  <c:v>32.337208556997403</c:v>
                </c:pt>
                <c:pt idx="130">
                  <c:v>32.179401185181106</c:v>
                </c:pt>
                <c:pt idx="131">
                  <c:v>32.035576094655944</c:v>
                </c:pt>
                <c:pt idx="132">
                  <c:v>31.898557853405901</c:v>
                </c:pt>
                <c:pt idx="133">
                  <c:v>31.777663782144781</c:v>
                </c:pt>
                <c:pt idx="134">
                  <c:v>31.659249758984515</c:v>
                </c:pt>
                <c:pt idx="135">
                  <c:v>31.554589587418402</c:v>
                </c:pt>
                <c:pt idx="136">
                  <c:v>31.469200552956174</c:v>
                </c:pt>
                <c:pt idx="137">
                  <c:v>31.400420120574523</c:v>
                </c:pt>
                <c:pt idx="138">
                  <c:v>31.30790196300336</c:v>
                </c:pt>
                <c:pt idx="139">
                  <c:v>31.196507043037585</c:v>
                </c:pt>
                <c:pt idx="140">
                  <c:v>31.064632742323152</c:v>
                </c:pt>
                <c:pt idx="141">
                  <c:v>30.892815873539618</c:v>
                </c:pt>
                <c:pt idx="142">
                  <c:v>30.71610614184333</c:v>
                </c:pt>
                <c:pt idx="143">
                  <c:v>30.528079079368496</c:v>
                </c:pt>
                <c:pt idx="144">
                  <c:v>30.324426100823555</c:v>
                </c:pt>
                <c:pt idx="145">
                  <c:v>30.133914435811459</c:v>
                </c:pt>
                <c:pt idx="146">
                  <c:v>29.912515210124784</c:v>
                </c:pt>
                <c:pt idx="147">
                  <c:v>29.675336526661074</c:v>
                </c:pt>
                <c:pt idx="148">
                  <c:v>29.474289683405573</c:v>
                </c:pt>
                <c:pt idx="149">
                  <c:v>29.208110942986863</c:v>
                </c:pt>
                <c:pt idx="150">
                  <c:v>28.919862951854054</c:v>
                </c:pt>
                <c:pt idx="151">
                  <c:v>28.578603239675065</c:v>
                </c:pt>
                <c:pt idx="152">
                  <c:v>28.221662861825425</c:v>
                </c:pt>
                <c:pt idx="153">
                  <c:v>27.872693564774963</c:v>
                </c:pt>
                <c:pt idx="154">
                  <c:v>27.536862080032538</c:v>
                </c:pt>
                <c:pt idx="155">
                  <c:v>27.163263953685668</c:v>
                </c:pt>
                <c:pt idx="156">
                  <c:v>26.762977129113313</c:v>
                </c:pt>
                <c:pt idx="157">
                  <c:v>26.43868696838857</c:v>
                </c:pt>
                <c:pt idx="158">
                  <c:v>26.069762822930372</c:v>
                </c:pt>
                <c:pt idx="159">
                  <c:v>25.710279994749431</c:v>
                </c:pt>
                <c:pt idx="160">
                  <c:v>25.488630759162266</c:v>
                </c:pt>
                <c:pt idx="161">
                  <c:v>25.170366829776512</c:v>
                </c:pt>
                <c:pt idx="162">
                  <c:v>24.959043498836913</c:v>
                </c:pt>
                <c:pt idx="163">
                  <c:v>24.798387060172512</c:v>
                </c:pt>
                <c:pt idx="164">
                  <c:v>24.603965831393303</c:v>
                </c:pt>
                <c:pt idx="165">
                  <c:v>24.426952268105538</c:v>
                </c:pt>
                <c:pt idx="166">
                  <c:v>24.266808487168927</c:v>
                </c:pt>
                <c:pt idx="167">
                  <c:v>24.012088903037373</c:v>
                </c:pt>
                <c:pt idx="168">
                  <c:v>23.722463125191329</c:v>
                </c:pt>
                <c:pt idx="169">
                  <c:v>23.360947759907397</c:v>
                </c:pt>
                <c:pt idx="170">
                  <c:v>23.061424255855162</c:v>
                </c:pt>
                <c:pt idx="171">
                  <c:v>22.907117743249916</c:v>
                </c:pt>
                <c:pt idx="172">
                  <c:v>22.539002597379074</c:v>
                </c:pt>
                <c:pt idx="173">
                  <c:v>22.114438124317843</c:v>
                </c:pt>
                <c:pt idx="174">
                  <c:v>21.925255817135675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AB-4434-AA4A-78B9DF0AB4B3}"/>
            </c:ext>
          </c:extLst>
        </c:ser>
        <c:ser>
          <c:idx val="8"/>
          <c:order val="8"/>
          <c:tx>
            <c:strRef>
              <c:f>data_co2_incLUC!$L$2</c:f>
              <c:strCache>
                <c:ptCount val="1"/>
                <c:pt idx="0">
                  <c:v>pct_annex2_GCP_OSCAR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data_co2_incLUC!$L$3:$L$177</c:f>
              <c:numCache>
                <c:formatCode>0.0</c:formatCode>
                <c:ptCount val="175"/>
                <c:pt idx="0">
                  <c:v>40.194727015845629</c:v>
                </c:pt>
                <c:pt idx="1">
                  <c:v>40.190415342288013</c:v>
                </c:pt>
                <c:pt idx="2">
                  <c:v>40.185732259972376</c:v>
                </c:pt>
                <c:pt idx="3">
                  <c:v>40.181518800812505</c:v>
                </c:pt>
                <c:pt idx="4">
                  <c:v>40.175826970816011</c:v>
                </c:pt>
                <c:pt idx="5">
                  <c:v>40.169207375247012</c:v>
                </c:pt>
                <c:pt idx="6">
                  <c:v>40.162529691681733</c:v>
                </c:pt>
                <c:pt idx="7">
                  <c:v>40.15557361093105</c:v>
                </c:pt>
                <c:pt idx="8">
                  <c:v>40.148578130267268</c:v>
                </c:pt>
                <c:pt idx="9">
                  <c:v>40.140763302930573</c:v>
                </c:pt>
                <c:pt idx="10">
                  <c:v>40.132079498979159</c:v>
                </c:pt>
                <c:pt idx="11">
                  <c:v>40.121753158742436</c:v>
                </c:pt>
                <c:pt idx="12">
                  <c:v>40.111810927910916</c:v>
                </c:pt>
                <c:pt idx="13">
                  <c:v>40.101003817733599</c:v>
                </c:pt>
                <c:pt idx="14">
                  <c:v>40.089065525264097</c:v>
                </c:pt>
                <c:pt idx="15">
                  <c:v>40.077311153247905</c:v>
                </c:pt>
                <c:pt idx="16">
                  <c:v>40.064652625692148</c:v>
                </c:pt>
                <c:pt idx="17">
                  <c:v>40.052230163171323</c:v>
                </c:pt>
                <c:pt idx="18">
                  <c:v>40.037656477695712</c:v>
                </c:pt>
                <c:pt idx="19">
                  <c:v>40.022855898234816</c:v>
                </c:pt>
                <c:pt idx="20">
                  <c:v>40.007903429092266</c:v>
                </c:pt>
                <c:pt idx="21">
                  <c:v>39.991351731357554</c:v>
                </c:pt>
                <c:pt idx="22">
                  <c:v>39.971457628167407</c:v>
                </c:pt>
                <c:pt idx="23">
                  <c:v>39.950448558387933</c:v>
                </c:pt>
                <c:pt idx="24">
                  <c:v>39.9267956143634</c:v>
                </c:pt>
                <c:pt idx="25">
                  <c:v>39.903919951655865</c:v>
                </c:pt>
                <c:pt idx="26">
                  <c:v>39.878857721557566</c:v>
                </c:pt>
                <c:pt idx="27">
                  <c:v>39.853490427730343</c:v>
                </c:pt>
                <c:pt idx="28">
                  <c:v>39.827248812512792</c:v>
                </c:pt>
                <c:pt idx="29">
                  <c:v>39.800461491327113</c:v>
                </c:pt>
                <c:pt idx="30">
                  <c:v>39.771820175277675</c:v>
                </c:pt>
                <c:pt idx="31">
                  <c:v>39.741926298840916</c:v>
                </c:pt>
                <c:pt idx="32">
                  <c:v>39.713829865180948</c:v>
                </c:pt>
                <c:pt idx="33">
                  <c:v>39.684676069166223</c:v>
                </c:pt>
                <c:pt idx="34">
                  <c:v>39.653985612527713</c:v>
                </c:pt>
                <c:pt idx="35">
                  <c:v>39.623568409038811</c:v>
                </c:pt>
                <c:pt idx="36">
                  <c:v>39.593577543404493</c:v>
                </c:pt>
                <c:pt idx="37">
                  <c:v>39.563036613085487</c:v>
                </c:pt>
                <c:pt idx="38">
                  <c:v>39.53058995914482</c:v>
                </c:pt>
                <c:pt idx="39">
                  <c:v>39.495973854063706</c:v>
                </c:pt>
                <c:pt idx="40">
                  <c:v>39.462772729512785</c:v>
                </c:pt>
                <c:pt idx="41">
                  <c:v>39.427978061744547</c:v>
                </c:pt>
                <c:pt idx="42">
                  <c:v>39.391312559033516</c:v>
                </c:pt>
                <c:pt idx="43">
                  <c:v>39.35403827423621</c:v>
                </c:pt>
                <c:pt idx="44">
                  <c:v>39.316759947408805</c:v>
                </c:pt>
                <c:pt idx="45">
                  <c:v>39.278996530935444</c:v>
                </c:pt>
                <c:pt idx="46">
                  <c:v>39.239226048566451</c:v>
                </c:pt>
                <c:pt idx="47">
                  <c:v>39.198071177600809</c:v>
                </c:pt>
                <c:pt idx="48">
                  <c:v>39.155765953962998</c:v>
                </c:pt>
                <c:pt idx="49">
                  <c:v>39.111512921624467</c:v>
                </c:pt>
                <c:pt idx="50">
                  <c:v>39.063431099241377</c:v>
                </c:pt>
                <c:pt idx="51">
                  <c:v>39.012638623261111</c:v>
                </c:pt>
                <c:pt idx="52">
                  <c:v>38.963298342426228</c:v>
                </c:pt>
                <c:pt idx="53">
                  <c:v>38.912694711843692</c:v>
                </c:pt>
                <c:pt idx="54">
                  <c:v>38.858668835264233</c:v>
                </c:pt>
                <c:pt idx="55">
                  <c:v>38.805231698793641</c:v>
                </c:pt>
                <c:pt idx="56">
                  <c:v>38.748019964855537</c:v>
                </c:pt>
                <c:pt idx="57">
                  <c:v>38.690027815982802</c:v>
                </c:pt>
                <c:pt idx="58">
                  <c:v>38.624560548956978</c:v>
                </c:pt>
                <c:pt idx="59">
                  <c:v>38.563215557307288</c:v>
                </c:pt>
                <c:pt idx="60">
                  <c:v>38.500174404030233</c:v>
                </c:pt>
                <c:pt idx="61">
                  <c:v>38.432562529833724</c:v>
                </c:pt>
                <c:pt idx="62">
                  <c:v>38.365151867667571</c:v>
                </c:pt>
                <c:pt idx="63">
                  <c:v>38.296229392151012</c:v>
                </c:pt>
                <c:pt idx="64">
                  <c:v>38.221940686032553</c:v>
                </c:pt>
                <c:pt idx="65">
                  <c:v>38.154222665193757</c:v>
                </c:pt>
                <c:pt idx="66">
                  <c:v>38.088502764430416</c:v>
                </c:pt>
                <c:pt idx="67">
                  <c:v>38.019137791174053</c:v>
                </c:pt>
                <c:pt idx="68">
                  <c:v>37.946808349603813</c:v>
                </c:pt>
                <c:pt idx="69">
                  <c:v>37.870670660095094</c:v>
                </c:pt>
                <c:pt idx="70">
                  <c:v>37.804457304163968</c:v>
                </c:pt>
                <c:pt idx="71">
                  <c:v>37.731820875804956</c:v>
                </c:pt>
                <c:pt idx="72">
                  <c:v>37.672462206475409</c:v>
                </c:pt>
                <c:pt idx="73">
                  <c:v>37.608640298971906</c:v>
                </c:pt>
                <c:pt idx="74">
                  <c:v>37.535098862170869</c:v>
                </c:pt>
                <c:pt idx="75">
                  <c:v>37.461424832480461</c:v>
                </c:pt>
                <c:pt idx="76">
                  <c:v>37.387532637108208</c:v>
                </c:pt>
                <c:pt idx="77">
                  <c:v>37.316588716982544</c:v>
                </c:pt>
                <c:pt idx="78">
                  <c:v>37.238837084476643</c:v>
                </c:pt>
                <c:pt idx="79">
                  <c:v>37.16300907883064</c:v>
                </c:pt>
                <c:pt idx="80">
                  <c:v>37.081759335541129</c:v>
                </c:pt>
                <c:pt idx="81">
                  <c:v>37.011532423083779</c:v>
                </c:pt>
                <c:pt idx="82">
                  <c:v>36.953647669055542</c:v>
                </c:pt>
                <c:pt idx="83">
                  <c:v>36.907879280243385</c:v>
                </c:pt>
                <c:pt idx="84">
                  <c:v>36.858307753216096</c:v>
                </c:pt>
                <c:pt idx="85">
                  <c:v>36.804115015728748</c:v>
                </c:pt>
                <c:pt idx="86">
                  <c:v>36.747423014120642</c:v>
                </c:pt>
                <c:pt idx="87">
                  <c:v>36.684481330957226</c:v>
                </c:pt>
                <c:pt idx="88">
                  <c:v>36.615691852432569</c:v>
                </c:pt>
                <c:pt idx="89">
                  <c:v>36.556283241307455</c:v>
                </c:pt>
                <c:pt idx="90">
                  <c:v>36.490635135326805</c:v>
                </c:pt>
                <c:pt idx="91">
                  <c:v>36.423417115681147</c:v>
                </c:pt>
                <c:pt idx="92">
                  <c:v>36.352352213138168</c:v>
                </c:pt>
                <c:pt idx="93">
                  <c:v>36.273386208550527</c:v>
                </c:pt>
                <c:pt idx="94">
                  <c:v>36.193545823225826</c:v>
                </c:pt>
                <c:pt idx="95">
                  <c:v>36.114897908637936</c:v>
                </c:pt>
                <c:pt idx="96">
                  <c:v>36.055183979408682</c:v>
                </c:pt>
                <c:pt idx="97">
                  <c:v>35.991309932033168</c:v>
                </c:pt>
                <c:pt idx="98">
                  <c:v>35.91623941832659</c:v>
                </c:pt>
                <c:pt idx="99">
                  <c:v>35.833809010088878</c:v>
                </c:pt>
                <c:pt idx="100">
                  <c:v>35.76332191939629</c:v>
                </c:pt>
                <c:pt idx="101">
                  <c:v>35.68974779322339</c:v>
                </c:pt>
                <c:pt idx="102">
                  <c:v>35.617965133571239</c:v>
                </c:pt>
                <c:pt idx="103">
                  <c:v>35.550149511803198</c:v>
                </c:pt>
                <c:pt idx="104">
                  <c:v>35.482024365443408</c:v>
                </c:pt>
                <c:pt idx="105">
                  <c:v>35.421663244467076</c:v>
                </c:pt>
                <c:pt idx="106">
                  <c:v>35.356019070929882</c:v>
                </c:pt>
                <c:pt idx="107">
                  <c:v>35.286477411333891</c:v>
                </c:pt>
                <c:pt idx="108">
                  <c:v>35.222237874103861</c:v>
                </c:pt>
                <c:pt idx="109">
                  <c:v>35.172090180410599</c:v>
                </c:pt>
                <c:pt idx="110">
                  <c:v>35.129637394686114</c:v>
                </c:pt>
                <c:pt idx="111">
                  <c:v>35.079308247397037</c:v>
                </c:pt>
                <c:pt idx="112">
                  <c:v>35.023550838163999</c:v>
                </c:pt>
                <c:pt idx="113">
                  <c:v>34.95327715560623</c:v>
                </c:pt>
                <c:pt idx="114">
                  <c:v>34.877516757544946</c:v>
                </c:pt>
                <c:pt idx="115">
                  <c:v>34.793433203167716</c:v>
                </c:pt>
                <c:pt idx="116">
                  <c:v>34.700564832656511</c:v>
                </c:pt>
                <c:pt idx="117">
                  <c:v>34.598100443576314</c:v>
                </c:pt>
                <c:pt idx="118">
                  <c:v>34.47937249432762</c:v>
                </c:pt>
                <c:pt idx="119">
                  <c:v>34.347148444881491</c:v>
                </c:pt>
                <c:pt idx="120">
                  <c:v>34.211279054190697</c:v>
                </c:pt>
                <c:pt idx="121">
                  <c:v>34.071133149310548</c:v>
                </c:pt>
                <c:pt idx="122">
                  <c:v>33.921118247616754</c:v>
                </c:pt>
                <c:pt idx="123">
                  <c:v>33.761864110171189</c:v>
                </c:pt>
                <c:pt idx="124">
                  <c:v>33.591097753563169</c:v>
                </c:pt>
                <c:pt idx="125">
                  <c:v>33.431647125038452</c:v>
                </c:pt>
                <c:pt idx="126">
                  <c:v>33.290800155578118</c:v>
                </c:pt>
                <c:pt idx="127">
                  <c:v>33.136531449452008</c:v>
                </c:pt>
                <c:pt idx="128">
                  <c:v>32.982985756457246</c:v>
                </c:pt>
                <c:pt idx="129">
                  <c:v>32.827573106998457</c:v>
                </c:pt>
                <c:pt idx="130">
                  <c:v>32.655432775131409</c:v>
                </c:pt>
                <c:pt idx="131">
                  <c:v>32.493822999649375</c:v>
                </c:pt>
                <c:pt idx="132">
                  <c:v>32.341103847599825</c:v>
                </c:pt>
                <c:pt idx="133">
                  <c:v>32.209672390093914</c:v>
                </c:pt>
                <c:pt idx="134">
                  <c:v>32.08670251235889</c:v>
                </c:pt>
                <c:pt idx="135">
                  <c:v>31.960246249974496</c:v>
                </c:pt>
                <c:pt idx="136">
                  <c:v>31.851150497218661</c:v>
                </c:pt>
                <c:pt idx="137">
                  <c:v>31.750527207867862</c:v>
                </c:pt>
                <c:pt idx="138">
                  <c:v>31.636943057770505</c:v>
                </c:pt>
                <c:pt idx="139">
                  <c:v>31.511367247852064</c:v>
                </c:pt>
                <c:pt idx="140">
                  <c:v>31.369357683235659</c:v>
                </c:pt>
                <c:pt idx="141">
                  <c:v>31.192717880355008</c:v>
                </c:pt>
                <c:pt idx="142">
                  <c:v>31.007328801224897</c:v>
                </c:pt>
                <c:pt idx="143">
                  <c:v>30.804347418662186</c:v>
                </c:pt>
                <c:pt idx="144">
                  <c:v>30.594112929132027</c:v>
                </c:pt>
                <c:pt idx="145">
                  <c:v>30.375423367975507</c:v>
                </c:pt>
                <c:pt idx="146">
                  <c:v>30.145950907666087</c:v>
                </c:pt>
                <c:pt idx="147">
                  <c:v>29.901851899423004</c:v>
                </c:pt>
                <c:pt idx="148">
                  <c:v>29.695161191747548</c:v>
                </c:pt>
                <c:pt idx="149">
                  <c:v>29.413395630800103</c:v>
                </c:pt>
                <c:pt idx="150">
                  <c:v>29.120856674392449</c:v>
                </c:pt>
                <c:pt idx="151">
                  <c:v>28.779013886981115</c:v>
                </c:pt>
                <c:pt idx="152">
                  <c:v>28.418915042831038</c:v>
                </c:pt>
                <c:pt idx="153">
                  <c:v>28.056036749234693</c:v>
                </c:pt>
                <c:pt idx="154">
                  <c:v>27.693553061801467</c:v>
                </c:pt>
                <c:pt idx="155">
                  <c:v>27.309642178921262</c:v>
                </c:pt>
                <c:pt idx="156">
                  <c:v>26.90533875240358</c:v>
                </c:pt>
                <c:pt idx="157">
                  <c:v>26.534569794871469</c:v>
                </c:pt>
                <c:pt idx="158">
                  <c:v>26.133228947167193</c:v>
                </c:pt>
                <c:pt idx="159">
                  <c:v>25.767046916033031</c:v>
                </c:pt>
                <c:pt idx="160">
                  <c:v>25.505885619635528</c:v>
                </c:pt>
                <c:pt idx="161">
                  <c:v>25.226322806955316</c:v>
                </c:pt>
                <c:pt idx="162">
                  <c:v>25.000402239718195</c:v>
                </c:pt>
                <c:pt idx="163">
                  <c:v>24.807456617146112</c:v>
                </c:pt>
                <c:pt idx="164">
                  <c:v>24.57659826189979</c:v>
                </c:pt>
                <c:pt idx="165">
                  <c:v>24.362925447182938</c:v>
                </c:pt>
                <c:pt idx="166">
                  <c:v>24.172586129022719</c:v>
                </c:pt>
                <c:pt idx="167">
                  <c:v>23.89648893190207</c:v>
                </c:pt>
                <c:pt idx="168">
                  <c:v>23.589357318824966</c:v>
                </c:pt>
                <c:pt idx="169">
                  <c:v>23.227155859235886</c:v>
                </c:pt>
                <c:pt idx="170">
                  <c:v>22.906560361826831</c:v>
                </c:pt>
                <c:pt idx="171">
                  <c:v>22.747009664836209</c:v>
                </c:pt>
                <c:pt idx="172">
                  <c:v>22.387911496811206</c:v>
                </c:pt>
                <c:pt idx="173">
                  <c:v>21.965089458153631</c:v>
                </c:pt>
                <c:pt idx="174">
                  <c:v>21.805425820005762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AB-4434-AA4A-78B9DF0AB4B3}"/>
            </c:ext>
          </c:extLst>
        </c:ser>
        <c:ser>
          <c:idx val="9"/>
          <c:order val="9"/>
          <c:tx>
            <c:strRef>
              <c:f>data_co2_incLUC!$M$2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data_co2_incLUC!$M$3:$M$177</c:f>
              <c:numCache>
                <c:formatCode>0.0</c:formatCode>
                <c:ptCount val="175"/>
                <c:pt idx="0">
                  <c:v>51.211261402049942</c:v>
                </c:pt>
                <c:pt idx="1">
                  <c:v>51.203042284182146</c:v>
                </c:pt>
                <c:pt idx="2">
                  <c:v>51.195317594950474</c:v>
                </c:pt>
                <c:pt idx="3">
                  <c:v>51.187354397588081</c:v>
                </c:pt>
                <c:pt idx="4">
                  <c:v>51.179356270700062</c:v>
                </c:pt>
                <c:pt idx="5">
                  <c:v>51.169654778775808</c:v>
                </c:pt>
                <c:pt idx="6">
                  <c:v>51.160365907932594</c:v>
                </c:pt>
                <c:pt idx="7">
                  <c:v>51.150605061821118</c:v>
                </c:pt>
                <c:pt idx="8">
                  <c:v>51.140480240148676</c:v>
                </c:pt>
                <c:pt idx="9">
                  <c:v>51.129769204916506</c:v>
                </c:pt>
                <c:pt idx="10">
                  <c:v>51.118367354961791</c:v>
                </c:pt>
                <c:pt idx="11">
                  <c:v>51.103523270886711</c:v>
                </c:pt>
                <c:pt idx="12">
                  <c:v>51.087690523502857</c:v>
                </c:pt>
                <c:pt idx="13">
                  <c:v>51.07006323322225</c:v>
                </c:pt>
                <c:pt idx="14">
                  <c:v>51.051546472755035</c:v>
                </c:pt>
                <c:pt idx="15">
                  <c:v>51.032148946482145</c:v>
                </c:pt>
                <c:pt idx="16">
                  <c:v>51.012184510638306</c:v>
                </c:pt>
                <c:pt idx="17">
                  <c:v>50.991183266732996</c:v>
                </c:pt>
                <c:pt idx="18">
                  <c:v>50.969892323421732</c:v>
                </c:pt>
                <c:pt idx="19">
                  <c:v>50.947911294007376</c:v>
                </c:pt>
                <c:pt idx="20">
                  <c:v>50.925733397883079</c:v>
                </c:pt>
                <c:pt idx="21">
                  <c:v>50.897030226210383</c:v>
                </c:pt>
                <c:pt idx="22">
                  <c:v>50.86555143956425</c:v>
                </c:pt>
                <c:pt idx="23">
                  <c:v>50.831819535772183</c:v>
                </c:pt>
                <c:pt idx="24">
                  <c:v>50.795908942006797</c:v>
                </c:pt>
                <c:pt idx="25">
                  <c:v>50.758910393186397</c:v>
                </c:pt>
                <c:pt idx="26">
                  <c:v>50.720058440917768</c:v>
                </c:pt>
                <c:pt idx="27">
                  <c:v>50.67977661368932</c:v>
                </c:pt>
                <c:pt idx="28">
                  <c:v>50.638454988357786</c:v>
                </c:pt>
                <c:pt idx="29">
                  <c:v>50.595686517116533</c:v>
                </c:pt>
                <c:pt idx="30">
                  <c:v>50.550585111895927</c:v>
                </c:pt>
                <c:pt idx="31">
                  <c:v>50.508229214308017</c:v>
                </c:pt>
                <c:pt idx="32">
                  <c:v>50.467877344823307</c:v>
                </c:pt>
                <c:pt idx="33">
                  <c:v>50.427132413927552</c:v>
                </c:pt>
                <c:pt idx="34">
                  <c:v>50.385175242501433</c:v>
                </c:pt>
                <c:pt idx="35">
                  <c:v>50.342996547355234</c:v>
                </c:pt>
                <c:pt idx="36">
                  <c:v>50.300926380909118</c:v>
                </c:pt>
                <c:pt idx="37">
                  <c:v>50.258995718180813</c:v>
                </c:pt>
                <c:pt idx="38">
                  <c:v>50.216381656887265</c:v>
                </c:pt>
                <c:pt idx="39">
                  <c:v>50.171251424635919</c:v>
                </c:pt>
                <c:pt idx="40">
                  <c:v>50.12704251784168</c:v>
                </c:pt>
                <c:pt idx="41">
                  <c:v>50.077898752684561</c:v>
                </c:pt>
                <c:pt idx="42">
                  <c:v>50.027187478617066</c:v>
                </c:pt>
                <c:pt idx="43">
                  <c:v>49.9752816608232</c:v>
                </c:pt>
                <c:pt idx="44">
                  <c:v>49.922832456855907</c:v>
                </c:pt>
                <c:pt idx="45">
                  <c:v>49.868574868710667</c:v>
                </c:pt>
                <c:pt idx="46">
                  <c:v>49.813107768419414</c:v>
                </c:pt>
                <c:pt idx="47">
                  <c:v>49.756010432757648</c:v>
                </c:pt>
                <c:pt idx="48">
                  <c:v>49.697265029038789</c:v>
                </c:pt>
                <c:pt idx="49">
                  <c:v>49.635511822177683</c:v>
                </c:pt>
                <c:pt idx="50">
                  <c:v>49.570352878387801</c:v>
                </c:pt>
                <c:pt idx="51">
                  <c:v>49.502227673638025</c:v>
                </c:pt>
                <c:pt idx="52">
                  <c:v>49.433542218358077</c:v>
                </c:pt>
                <c:pt idx="53">
                  <c:v>49.363489459738389</c:v>
                </c:pt>
                <c:pt idx="54">
                  <c:v>49.288730654651999</c:v>
                </c:pt>
                <c:pt idx="55">
                  <c:v>49.212469328520733</c:v>
                </c:pt>
                <c:pt idx="56">
                  <c:v>49.131625880804528</c:v>
                </c:pt>
                <c:pt idx="57">
                  <c:v>49.048938124136434</c:v>
                </c:pt>
                <c:pt idx="58">
                  <c:v>48.957918842055228</c:v>
                </c:pt>
                <c:pt idx="59">
                  <c:v>48.867964632915438</c:v>
                </c:pt>
                <c:pt idx="60">
                  <c:v>48.774367668330157</c:v>
                </c:pt>
                <c:pt idx="61">
                  <c:v>48.691118224576201</c:v>
                </c:pt>
                <c:pt idx="62">
                  <c:v>48.611325875553284</c:v>
                </c:pt>
                <c:pt idx="63">
                  <c:v>48.530770632136417</c:v>
                </c:pt>
                <c:pt idx="64">
                  <c:v>48.448193728559744</c:v>
                </c:pt>
                <c:pt idx="65">
                  <c:v>48.374210553063946</c:v>
                </c:pt>
                <c:pt idx="66">
                  <c:v>48.303564237628883</c:v>
                </c:pt>
                <c:pt idx="67">
                  <c:v>48.227969020526928</c:v>
                </c:pt>
                <c:pt idx="68">
                  <c:v>48.15180718318198</c:v>
                </c:pt>
                <c:pt idx="69">
                  <c:v>48.078022240382154</c:v>
                </c:pt>
                <c:pt idx="70">
                  <c:v>48.016401164545549</c:v>
                </c:pt>
                <c:pt idx="71">
                  <c:v>47.948279053747207</c:v>
                </c:pt>
                <c:pt idx="72">
                  <c:v>47.890889479158957</c:v>
                </c:pt>
                <c:pt idx="73">
                  <c:v>47.831140218230345</c:v>
                </c:pt>
                <c:pt idx="74">
                  <c:v>47.763860478422906</c:v>
                </c:pt>
                <c:pt idx="75">
                  <c:v>47.69904245985969</c:v>
                </c:pt>
                <c:pt idx="76">
                  <c:v>47.631942643311874</c:v>
                </c:pt>
                <c:pt idx="77">
                  <c:v>47.566554828491093</c:v>
                </c:pt>
                <c:pt idx="78">
                  <c:v>47.494836219855472</c:v>
                </c:pt>
                <c:pt idx="79">
                  <c:v>47.424717465999841</c:v>
                </c:pt>
                <c:pt idx="80">
                  <c:v>47.347428451195348</c:v>
                </c:pt>
                <c:pt idx="81">
                  <c:v>47.275763996254675</c:v>
                </c:pt>
                <c:pt idx="82">
                  <c:v>47.212920190859137</c:v>
                </c:pt>
                <c:pt idx="83">
                  <c:v>47.15867740580039</c:v>
                </c:pt>
                <c:pt idx="84">
                  <c:v>47.102043768881174</c:v>
                </c:pt>
                <c:pt idx="85">
                  <c:v>47.040497248014326</c:v>
                </c:pt>
                <c:pt idx="86">
                  <c:v>46.974810116689866</c:v>
                </c:pt>
                <c:pt idx="87">
                  <c:v>46.901187000521197</c:v>
                </c:pt>
                <c:pt idx="88">
                  <c:v>46.82302049516894</c:v>
                </c:pt>
                <c:pt idx="89">
                  <c:v>46.750279735243808</c:v>
                </c:pt>
                <c:pt idx="90">
                  <c:v>46.673116538067916</c:v>
                </c:pt>
                <c:pt idx="91">
                  <c:v>46.609153636304427</c:v>
                </c:pt>
                <c:pt idx="92">
                  <c:v>46.553482611933944</c:v>
                </c:pt>
                <c:pt idx="93">
                  <c:v>46.504128443565207</c:v>
                </c:pt>
                <c:pt idx="94">
                  <c:v>46.457727543533558</c:v>
                </c:pt>
                <c:pt idx="95">
                  <c:v>46.415201981415272</c:v>
                </c:pt>
                <c:pt idx="96">
                  <c:v>46.395460134039681</c:v>
                </c:pt>
                <c:pt idx="97">
                  <c:v>46.372852770590079</c:v>
                </c:pt>
                <c:pt idx="98">
                  <c:v>46.342801484522305</c:v>
                </c:pt>
                <c:pt idx="99">
                  <c:v>46.308645645260526</c:v>
                </c:pt>
                <c:pt idx="100">
                  <c:v>46.285592714782013</c:v>
                </c:pt>
                <c:pt idx="101">
                  <c:v>46.265055047581541</c:v>
                </c:pt>
                <c:pt idx="102">
                  <c:v>46.246441355094589</c:v>
                </c:pt>
                <c:pt idx="103">
                  <c:v>46.225241742629535</c:v>
                </c:pt>
                <c:pt idx="104">
                  <c:v>46.200213914653169</c:v>
                </c:pt>
                <c:pt idx="105">
                  <c:v>46.184219347355935</c:v>
                </c:pt>
                <c:pt idx="106">
                  <c:v>46.157941745484308</c:v>
                </c:pt>
                <c:pt idx="107">
                  <c:v>46.122967686758734</c:v>
                </c:pt>
                <c:pt idx="108">
                  <c:v>46.088861038504454</c:v>
                </c:pt>
                <c:pt idx="109">
                  <c:v>46.06033813832029</c:v>
                </c:pt>
                <c:pt idx="110">
                  <c:v>46.025225745013117</c:v>
                </c:pt>
                <c:pt idx="111">
                  <c:v>45.971582095349021</c:v>
                </c:pt>
                <c:pt idx="112">
                  <c:v>45.914961436298491</c:v>
                </c:pt>
                <c:pt idx="113">
                  <c:v>45.84821733517942</c:v>
                </c:pt>
                <c:pt idx="114">
                  <c:v>45.771704568216052</c:v>
                </c:pt>
                <c:pt idx="115">
                  <c:v>45.677136438754879</c:v>
                </c:pt>
                <c:pt idx="116">
                  <c:v>45.569942560913866</c:v>
                </c:pt>
                <c:pt idx="117">
                  <c:v>45.448454075948746</c:v>
                </c:pt>
                <c:pt idx="118">
                  <c:v>45.287569357501127</c:v>
                </c:pt>
                <c:pt idx="119">
                  <c:v>45.100181896233963</c:v>
                </c:pt>
                <c:pt idx="120">
                  <c:v>44.948087908415282</c:v>
                </c:pt>
                <c:pt idx="121">
                  <c:v>44.771240973027311</c:v>
                </c:pt>
                <c:pt idx="122">
                  <c:v>44.585771467622855</c:v>
                </c:pt>
                <c:pt idx="123">
                  <c:v>44.410852810432715</c:v>
                </c:pt>
                <c:pt idx="124">
                  <c:v>44.209876970333838</c:v>
                </c:pt>
                <c:pt idx="125">
                  <c:v>44.010984531668441</c:v>
                </c:pt>
                <c:pt idx="126">
                  <c:v>43.810166719774749</c:v>
                </c:pt>
                <c:pt idx="127">
                  <c:v>43.581977998629888</c:v>
                </c:pt>
                <c:pt idx="128">
                  <c:v>43.355562250445601</c:v>
                </c:pt>
                <c:pt idx="129">
                  <c:v>43.121522389843861</c:v>
                </c:pt>
                <c:pt idx="130">
                  <c:v>42.853035575827526</c:v>
                </c:pt>
                <c:pt idx="131">
                  <c:v>42.576608555555055</c:v>
                </c:pt>
                <c:pt idx="132">
                  <c:v>42.316415626054976</c:v>
                </c:pt>
                <c:pt idx="133">
                  <c:v>42.057844700484367</c:v>
                </c:pt>
                <c:pt idx="134">
                  <c:v>41.795774850559617</c:v>
                </c:pt>
                <c:pt idx="135">
                  <c:v>41.547696813283117</c:v>
                </c:pt>
                <c:pt idx="136">
                  <c:v>41.299176850509163</c:v>
                </c:pt>
                <c:pt idx="137">
                  <c:v>41.060715642010479</c:v>
                </c:pt>
                <c:pt idx="138">
                  <c:v>40.794044825009969</c:v>
                </c:pt>
                <c:pt idx="139">
                  <c:v>40.500568652346814</c:v>
                </c:pt>
                <c:pt idx="140">
                  <c:v>40.190704126896989</c:v>
                </c:pt>
                <c:pt idx="141">
                  <c:v>39.829229474921057</c:v>
                </c:pt>
                <c:pt idx="142">
                  <c:v>39.492385392176246</c:v>
                </c:pt>
                <c:pt idx="143">
                  <c:v>39.179522867013915</c:v>
                </c:pt>
                <c:pt idx="144">
                  <c:v>38.866116046227219</c:v>
                </c:pt>
                <c:pt idx="145">
                  <c:v>38.605850987795606</c:v>
                </c:pt>
                <c:pt idx="146">
                  <c:v>38.326225991321614</c:v>
                </c:pt>
                <c:pt idx="147">
                  <c:v>37.99807348713874</c:v>
                </c:pt>
                <c:pt idx="148">
                  <c:v>37.766672331328081</c:v>
                </c:pt>
                <c:pt idx="149">
                  <c:v>37.46267322382095</c:v>
                </c:pt>
                <c:pt idx="150">
                  <c:v>37.139394759564439</c:v>
                </c:pt>
                <c:pt idx="151">
                  <c:v>36.778839009663642</c:v>
                </c:pt>
                <c:pt idx="152">
                  <c:v>36.394636181808487</c:v>
                </c:pt>
                <c:pt idx="153">
                  <c:v>36.038021837037704</c:v>
                </c:pt>
                <c:pt idx="154">
                  <c:v>35.700301559100104</c:v>
                </c:pt>
                <c:pt idx="155">
                  <c:v>35.325865535319437</c:v>
                </c:pt>
                <c:pt idx="156">
                  <c:v>34.920848624855715</c:v>
                </c:pt>
                <c:pt idx="157">
                  <c:v>34.58597112913003</c:v>
                </c:pt>
                <c:pt idx="158">
                  <c:v>34.189571953783165</c:v>
                </c:pt>
                <c:pt idx="159">
                  <c:v>33.822505538726652</c:v>
                </c:pt>
                <c:pt idx="160">
                  <c:v>33.586183725426153</c:v>
                </c:pt>
                <c:pt idx="161">
                  <c:v>33.232384323933118</c:v>
                </c:pt>
                <c:pt idx="162">
                  <c:v>33.030898241849478</c:v>
                </c:pt>
                <c:pt idx="163">
                  <c:v>32.833833825149348</c:v>
                </c:pt>
                <c:pt idx="164">
                  <c:v>32.650821349307719</c:v>
                </c:pt>
                <c:pt idx="165">
                  <c:v>32.536244858433129</c:v>
                </c:pt>
                <c:pt idx="166">
                  <c:v>32.366397337452497</c:v>
                </c:pt>
                <c:pt idx="167">
                  <c:v>32.064112009184583</c:v>
                </c:pt>
                <c:pt idx="168">
                  <c:v>31.711098955256965</c:v>
                </c:pt>
                <c:pt idx="169">
                  <c:v>31.290988163328553</c:v>
                </c:pt>
                <c:pt idx="170">
                  <c:v>30.98920706633999</c:v>
                </c:pt>
                <c:pt idx="171">
                  <c:v>30.838415870449165</c:v>
                </c:pt>
                <c:pt idx="172">
                  <c:v>30.445237901558674</c:v>
                </c:pt>
                <c:pt idx="173">
                  <c:v>30.030372735144788</c:v>
                </c:pt>
                <c:pt idx="174">
                  <c:v>29.876931803382977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BAB-4434-AA4A-78B9DF0AB4B3}"/>
            </c:ext>
          </c:extLst>
        </c:ser>
        <c:ser>
          <c:idx val="10"/>
          <c:order val="10"/>
          <c:tx>
            <c:strRef>
              <c:f>data_co2_incLUC!$N$2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data_co2_incLUC!$N$3:$N$177</c:f>
              <c:numCache>
                <c:formatCode>0.0</c:formatCode>
                <c:ptCount val="175"/>
                <c:pt idx="0">
                  <c:v>53.670885927601717</c:v>
                </c:pt>
                <c:pt idx="1">
                  <c:v>53.665575694278168</c:v>
                </c:pt>
                <c:pt idx="2">
                  <c:v>53.659272796885141</c:v>
                </c:pt>
                <c:pt idx="3">
                  <c:v>53.646999378215497</c:v>
                </c:pt>
                <c:pt idx="4">
                  <c:v>53.633004256526597</c:v>
                </c:pt>
                <c:pt idx="5">
                  <c:v>53.616681273436996</c:v>
                </c:pt>
                <c:pt idx="6">
                  <c:v>53.59871398812097</c:v>
                </c:pt>
                <c:pt idx="7">
                  <c:v>53.579626134633664</c:v>
                </c:pt>
                <c:pt idx="8">
                  <c:v>53.559775276645638</c:v>
                </c:pt>
                <c:pt idx="9">
                  <c:v>53.539181806103052</c:v>
                </c:pt>
                <c:pt idx="10">
                  <c:v>53.517602947732868</c:v>
                </c:pt>
                <c:pt idx="11">
                  <c:v>53.49475355592088</c:v>
                </c:pt>
                <c:pt idx="12">
                  <c:v>53.470925904847611</c:v>
                </c:pt>
                <c:pt idx="13">
                  <c:v>53.451366771687923</c:v>
                </c:pt>
                <c:pt idx="14">
                  <c:v>53.431182883326834</c:v>
                </c:pt>
                <c:pt idx="15">
                  <c:v>53.4103185997322</c:v>
                </c:pt>
                <c:pt idx="16">
                  <c:v>53.388869118146729</c:v>
                </c:pt>
                <c:pt idx="17">
                  <c:v>53.367028232185611</c:v>
                </c:pt>
                <c:pt idx="18">
                  <c:v>53.344497209174314</c:v>
                </c:pt>
                <c:pt idx="19">
                  <c:v>53.321661113501087</c:v>
                </c:pt>
                <c:pt idx="20">
                  <c:v>53.298145097900559</c:v>
                </c:pt>
                <c:pt idx="21">
                  <c:v>53.274368112562378</c:v>
                </c:pt>
                <c:pt idx="22">
                  <c:v>53.251817761232481</c:v>
                </c:pt>
                <c:pt idx="23">
                  <c:v>53.221934028156795</c:v>
                </c:pt>
                <c:pt idx="24">
                  <c:v>53.190907001829871</c:v>
                </c:pt>
                <c:pt idx="25">
                  <c:v>53.160400873582446</c:v>
                </c:pt>
                <c:pt idx="26">
                  <c:v>53.128325975223611</c:v>
                </c:pt>
                <c:pt idx="27">
                  <c:v>53.095592616474818</c:v>
                </c:pt>
                <c:pt idx="28">
                  <c:v>53.062122048358383</c:v>
                </c:pt>
                <c:pt idx="29">
                  <c:v>53.028183103681862</c:v>
                </c:pt>
                <c:pt idx="30">
                  <c:v>52.99268709221554</c:v>
                </c:pt>
                <c:pt idx="31">
                  <c:v>52.954483107041185</c:v>
                </c:pt>
                <c:pt idx="32">
                  <c:v>52.91810736145959</c:v>
                </c:pt>
                <c:pt idx="33">
                  <c:v>52.885666339059924</c:v>
                </c:pt>
                <c:pt idx="34">
                  <c:v>52.852548142309075</c:v>
                </c:pt>
                <c:pt idx="35">
                  <c:v>52.819735645903798</c:v>
                </c:pt>
                <c:pt idx="36">
                  <c:v>52.787182541625285</c:v>
                </c:pt>
                <c:pt idx="37">
                  <c:v>52.754543577118383</c:v>
                </c:pt>
                <c:pt idx="38">
                  <c:v>52.721135440342394</c:v>
                </c:pt>
                <c:pt idx="39">
                  <c:v>52.685335548264867</c:v>
                </c:pt>
                <c:pt idx="40">
                  <c:v>52.649827111082203</c:v>
                </c:pt>
                <c:pt idx="41">
                  <c:v>52.612114481424413</c:v>
                </c:pt>
                <c:pt idx="42">
                  <c:v>52.573074045107504</c:v>
                </c:pt>
                <c:pt idx="43">
                  <c:v>52.532695189712278</c:v>
                </c:pt>
                <c:pt idx="44">
                  <c:v>52.492586670608752</c:v>
                </c:pt>
                <c:pt idx="45">
                  <c:v>52.452474817900786</c:v>
                </c:pt>
                <c:pt idx="46">
                  <c:v>52.410431266087876</c:v>
                </c:pt>
                <c:pt idx="47">
                  <c:v>52.367309560789074</c:v>
                </c:pt>
                <c:pt idx="48">
                  <c:v>52.322440552459085</c:v>
                </c:pt>
                <c:pt idx="49">
                  <c:v>52.275713044607862</c:v>
                </c:pt>
                <c:pt idx="50">
                  <c:v>52.225305879934133</c:v>
                </c:pt>
                <c:pt idx="51">
                  <c:v>52.172377756593811</c:v>
                </c:pt>
                <c:pt idx="52">
                  <c:v>52.123825725693109</c:v>
                </c:pt>
                <c:pt idx="53">
                  <c:v>52.079916870924492</c:v>
                </c:pt>
                <c:pt idx="54">
                  <c:v>52.035040252675515</c:v>
                </c:pt>
                <c:pt idx="55">
                  <c:v>51.993127451144751</c:v>
                </c:pt>
                <c:pt idx="56">
                  <c:v>51.95091221039155</c:v>
                </c:pt>
                <c:pt idx="57">
                  <c:v>51.910207928278574</c:v>
                </c:pt>
                <c:pt idx="58">
                  <c:v>51.862838929427127</c:v>
                </c:pt>
                <c:pt idx="59">
                  <c:v>51.819599673294412</c:v>
                </c:pt>
                <c:pt idx="60">
                  <c:v>51.774511535017794</c:v>
                </c:pt>
                <c:pt idx="61">
                  <c:v>51.72673658394087</c:v>
                </c:pt>
                <c:pt idx="62">
                  <c:v>51.673011432356894</c:v>
                </c:pt>
                <c:pt idx="63">
                  <c:v>51.615185839261976</c:v>
                </c:pt>
                <c:pt idx="64">
                  <c:v>51.547881429002473</c:v>
                </c:pt>
                <c:pt idx="65">
                  <c:v>51.487249768658785</c:v>
                </c:pt>
                <c:pt idx="66">
                  <c:v>51.426598540143743</c:v>
                </c:pt>
                <c:pt idx="67">
                  <c:v>51.360317544440306</c:v>
                </c:pt>
                <c:pt idx="68">
                  <c:v>51.291360028915513</c:v>
                </c:pt>
                <c:pt idx="69">
                  <c:v>51.223795798981378</c:v>
                </c:pt>
                <c:pt idx="70">
                  <c:v>51.169371480806703</c:v>
                </c:pt>
                <c:pt idx="71">
                  <c:v>51.104389253411618</c:v>
                </c:pt>
                <c:pt idx="72">
                  <c:v>51.056406900409613</c:v>
                </c:pt>
                <c:pt idx="73">
                  <c:v>51.007869244058654</c:v>
                </c:pt>
                <c:pt idx="74">
                  <c:v>50.950106756386049</c:v>
                </c:pt>
                <c:pt idx="75">
                  <c:v>50.89400493649385</c:v>
                </c:pt>
                <c:pt idx="76">
                  <c:v>50.837828572027696</c:v>
                </c:pt>
                <c:pt idx="77">
                  <c:v>50.783205926554167</c:v>
                </c:pt>
                <c:pt idx="78">
                  <c:v>50.715902031720596</c:v>
                </c:pt>
                <c:pt idx="79">
                  <c:v>50.649989882680423</c:v>
                </c:pt>
                <c:pt idx="80">
                  <c:v>50.574541841105528</c:v>
                </c:pt>
                <c:pt idx="81">
                  <c:v>50.501298682077369</c:v>
                </c:pt>
                <c:pt idx="82">
                  <c:v>50.440139833071655</c:v>
                </c:pt>
                <c:pt idx="83">
                  <c:v>50.398671140323827</c:v>
                </c:pt>
                <c:pt idx="84">
                  <c:v>50.354675855036902</c:v>
                </c:pt>
                <c:pt idx="85">
                  <c:v>50.305222006955297</c:v>
                </c:pt>
                <c:pt idx="86">
                  <c:v>50.253347918565794</c:v>
                </c:pt>
                <c:pt idx="87">
                  <c:v>50.195201792385191</c:v>
                </c:pt>
                <c:pt idx="88">
                  <c:v>50.134044518677776</c:v>
                </c:pt>
                <c:pt idx="89">
                  <c:v>50.081484632632701</c:v>
                </c:pt>
                <c:pt idx="90">
                  <c:v>50.024529197680799</c:v>
                </c:pt>
                <c:pt idx="91">
                  <c:v>49.960206601390546</c:v>
                </c:pt>
                <c:pt idx="92">
                  <c:v>49.894734640842906</c:v>
                </c:pt>
                <c:pt idx="93">
                  <c:v>49.826511198069561</c:v>
                </c:pt>
                <c:pt idx="94">
                  <c:v>49.757942813656349</c:v>
                </c:pt>
                <c:pt idx="95">
                  <c:v>49.694943822922426</c:v>
                </c:pt>
                <c:pt idx="96">
                  <c:v>49.659137830729676</c:v>
                </c:pt>
                <c:pt idx="97">
                  <c:v>49.625713937355435</c:v>
                </c:pt>
                <c:pt idx="98">
                  <c:v>49.578657283999782</c:v>
                </c:pt>
                <c:pt idx="99">
                  <c:v>49.525824117774782</c:v>
                </c:pt>
                <c:pt idx="100">
                  <c:v>49.483386786326896</c:v>
                </c:pt>
                <c:pt idx="101">
                  <c:v>49.423221796059643</c:v>
                </c:pt>
                <c:pt idx="102">
                  <c:v>49.346012938746405</c:v>
                </c:pt>
                <c:pt idx="103">
                  <c:v>49.275176085388452</c:v>
                </c:pt>
                <c:pt idx="104">
                  <c:v>49.198416969485564</c:v>
                </c:pt>
                <c:pt idx="105">
                  <c:v>49.121864919936463</c:v>
                </c:pt>
                <c:pt idx="106">
                  <c:v>49.033430909185164</c:v>
                </c:pt>
                <c:pt idx="107">
                  <c:v>48.933385063153061</c:v>
                </c:pt>
                <c:pt idx="108">
                  <c:v>48.829299395256356</c:v>
                </c:pt>
                <c:pt idx="109">
                  <c:v>48.728209438176783</c:v>
                </c:pt>
                <c:pt idx="110">
                  <c:v>48.636943267820691</c:v>
                </c:pt>
                <c:pt idx="111">
                  <c:v>48.535511865623107</c:v>
                </c:pt>
                <c:pt idx="112">
                  <c:v>48.434024753158575</c:v>
                </c:pt>
                <c:pt idx="113">
                  <c:v>48.316098920862999</c:v>
                </c:pt>
                <c:pt idx="114">
                  <c:v>48.184499595774547</c:v>
                </c:pt>
                <c:pt idx="115">
                  <c:v>48.040046214414808</c:v>
                </c:pt>
                <c:pt idx="116">
                  <c:v>47.887773646743135</c:v>
                </c:pt>
                <c:pt idx="117">
                  <c:v>47.721939304656416</c:v>
                </c:pt>
                <c:pt idx="118">
                  <c:v>47.540278941269221</c:v>
                </c:pt>
                <c:pt idx="119">
                  <c:v>47.336471033790005</c:v>
                </c:pt>
                <c:pt idx="120">
                  <c:v>47.112236479086519</c:v>
                </c:pt>
                <c:pt idx="121">
                  <c:v>46.871935957592484</c:v>
                </c:pt>
                <c:pt idx="122">
                  <c:v>46.628036602789159</c:v>
                </c:pt>
                <c:pt idx="123">
                  <c:v>46.360161435874062</c:v>
                </c:pt>
                <c:pt idx="124">
                  <c:v>46.075393864896419</c:v>
                </c:pt>
                <c:pt idx="125">
                  <c:v>45.796738163950089</c:v>
                </c:pt>
                <c:pt idx="126">
                  <c:v>45.526764683162348</c:v>
                </c:pt>
                <c:pt idx="127">
                  <c:v>45.232191138855896</c:v>
                </c:pt>
                <c:pt idx="128">
                  <c:v>44.927923664420234</c:v>
                </c:pt>
                <c:pt idx="129">
                  <c:v>44.605773791159884</c:v>
                </c:pt>
                <c:pt idx="130">
                  <c:v>44.263211783163172</c:v>
                </c:pt>
                <c:pt idx="131">
                  <c:v>43.916315702540906</c:v>
                </c:pt>
                <c:pt idx="132">
                  <c:v>43.583894677936073</c:v>
                </c:pt>
                <c:pt idx="133">
                  <c:v>43.290320367162764</c:v>
                </c:pt>
                <c:pt idx="134">
                  <c:v>42.998178074504054</c:v>
                </c:pt>
                <c:pt idx="135">
                  <c:v>42.697641691137846</c:v>
                </c:pt>
                <c:pt idx="136">
                  <c:v>42.383743103583527</c:v>
                </c:pt>
                <c:pt idx="137">
                  <c:v>42.065627216846075</c:v>
                </c:pt>
                <c:pt idx="138">
                  <c:v>41.727688291398366</c:v>
                </c:pt>
                <c:pt idx="139">
                  <c:v>41.369213908238059</c:v>
                </c:pt>
                <c:pt idx="140">
                  <c:v>40.99801767151888</c:v>
                </c:pt>
                <c:pt idx="141">
                  <c:v>40.623053711248538</c:v>
                </c:pt>
                <c:pt idx="142">
                  <c:v>40.304897997458028</c:v>
                </c:pt>
                <c:pt idx="143">
                  <c:v>40.012331874142987</c:v>
                </c:pt>
                <c:pt idx="144">
                  <c:v>39.745004894308913</c:v>
                </c:pt>
                <c:pt idx="145">
                  <c:v>39.398076402941165</c:v>
                </c:pt>
                <c:pt idx="146">
                  <c:v>39.083063807096821</c:v>
                </c:pt>
                <c:pt idx="147">
                  <c:v>38.703208294235928</c:v>
                </c:pt>
                <c:pt idx="148">
                  <c:v>38.321162656078457</c:v>
                </c:pt>
                <c:pt idx="149">
                  <c:v>37.908329628574243</c:v>
                </c:pt>
                <c:pt idx="150">
                  <c:v>37.50727601369212</c:v>
                </c:pt>
                <c:pt idx="151">
                  <c:v>37.027842307523848</c:v>
                </c:pt>
                <c:pt idx="152">
                  <c:v>36.552040838417369</c:v>
                </c:pt>
                <c:pt idx="153">
                  <c:v>36.077522185057717</c:v>
                </c:pt>
                <c:pt idx="154">
                  <c:v>35.649704520402224</c:v>
                </c:pt>
                <c:pt idx="155">
                  <c:v>35.298857121196143</c:v>
                </c:pt>
                <c:pt idx="156">
                  <c:v>34.906713234270512</c:v>
                </c:pt>
                <c:pt idx="157">
                  <c:v>34.501598369084029</c:v>
                </c:pt>
                <c:pt idx="158">
                  <c:v>34.049342885847935</c:v>
                </c:pt>
                <c:pt idx="159">
                  <c:v>33.63411395026511</c:v>
                </c:pt>
                <c:pt idx="160">
                  <c:v>33.31436807147066</c:v>
                </c:pt>
                <c:pt idx="161">
                  <c:v>32.930276236768265</c:v>
                </c:pt>
                <c:pt idx="162">
                  <c:v>32.6241595169069</c:v>
                </c:pt>
                <c:pt idx="163">
                  <c:v>32.297018918173841</c:v>
                </c:pt>
                <c:pt idx="164">
                  <c:v>32.013367566251524</c:v>
                </c:pt>
                <c:pt idx="165">
                  <c:v>31.733936156816672</c:v>
                </c:pt>
                <c:pt idx="166">
                  <c:v>31.52469120447882</c:v>
                </c:pt>
                <c:pt idx="167">
                  <c:v>31.241474151005868</c:v>
                </c:pt>
                <c:pt idx="168">
                  <c:v>30.938184849518318</c:v>
                </c:pt>
                <c:pt idx="169">
                  <c:v>30.46494517730164</c:v>
                </c:pt>
                <c:pt idx="170">
                  <c:v>30.028802647280795</c:v>
                </c:pt>
                <c:pt idx="171">
                  <c:v>29.848521892347051</c:v>
                </c:pt>
                <c:pt idx="172">
                  <c:v>29.418852105423611</c:v>
                </c:pt>
                <c:pt idx="173">
                  <c:v>29.77482006647233</c:v>
                </c:pt>
                <c:pt idx="174">
                  <c:v>32.229402668729954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AB-4434-AA4A-78B9DF0AB4B3}"/>
            </c:ext>
          </c:extLst>
        </c:ser>
        <c:ser>
          <c:idx val="11"/>
          <c:order val="11"/>
          <c:tx>
            <c:strRef>
              <c:f>data_co2_incLUC!$O$2</c:f>
              <c:strCache>
                <c:ptCount val="1"/>
                <c:pt idx="0">
                  <c:v>pct_annex1_GCP_BLUE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data_co2_incLUC!$O$3:$O$177</c:f>
              <c:numCache>
                <c:formatCode>0.0</c:formatCode>
                <c:ptCount val="175"/>
                <c:pt idx="0">
                  <c:v>51.219936102049566</c:v>
                </c:pt>
                <c:pt idx="1">
                  <c:v>51.211726636839686</c:v>
                </c:pt>
                <c:pt idx="2">
                  <c:v>51.204012170248348</c:v>
                </c:pt>
                <c:pt idx="3">
                  <c:v>51.196059579901402</c:v>
                </c:pt>
                <c:pt idx="4">
                  <c:v>51.188072253893644</c:v>
                </c:pt>
                <c:pt idx="5">
                  <c:v>51.178381574722131</c:v>
                </c:pt>
                <c:pt idx="6">
                  <c:v>51.169103845130451</c:v>
                </c:pt>
                <c:pt idx="7">
                  <c:v>51.15935422134811</c:v>
                </c:pt>
                <c:pt idx="8">
                  <c:v>51.149240746992419</c:v>
                </c:pt>
                <c:pt idx="9">
                  <c:v>51.138541083526832</c:v>
                </c:pt>
                <c:pt idx="10">
                  <c:v>51.127150718454914</c:v>
                </c:pt>
                <c:pt idx="11">
                  <c:v>51.112316297698655</c:v>
                </c:pt>
                <c:pt idx="12">
                  <c:v>51.096492551556693</c:v>
                </c:pt>
                <c:pt idx="13">
                  <c:v>51.078873619138797</c:v>
                </c:pt>
                <c:pt idx="14">
                  <c:v>51.060364977473007</c:v>
                </c:pt>
                <c:pt idx="15">
                  <c:v>51.04097556054684</c:v>
                </c:pt>
                <c:pt idx="16">
                  <c:v>51.02101893099529</c:v>
                </c:pt>
                <c:pt idx="17">
                  <c:v>51.000025379290847</c:v>
                </c:pt>
                <c:pt idx="18">
                  <c:v>50.978742013731726</c:v>
                </c:pt>
                <c:pt idx="19">
                  <c:v>50.956768428969411</c:v>
                </c:pt>
                <c:pt idx="20">
                  <c:v>50.934598011829038</c:v>
                </c:pt>
                <c:pt idx="21">
                  <c:v>50.905902791322163</c:v>
                </c:pt>
                <c:pt idx="22">
                  <c:v>50.874432003764106</c:v>
                </c:pt>
                <c:pt idx="23">
                  <c:v>50.840708537602353</c:v>
                </c:pt>
                <c:pt idx="24">
                  <c:v>50.8048064109216</c:v>
                </c:pt>
                <c:pt idx="25">
                  <c:v>50.767816393919176</c:v>
                </c:pt>
                <c:pt idx="26">
                  <c:v>50.728972941622075</c:v>
                </c:pt>
                <c:pt idx="27">
                  <c:v>50.688699616660536</c:v>
                </c:pt>
                <c:pt idx="28">
                  <c:v>50.647386704946129</c:v>
                </c:pt>
                <c:pt idx="29">
                  <c:v>50.604626941803652</c:v>
                </c:pt>
                <c:pt idx="30">
                  <c:v>50.559534204239029</c:v>
                </c:pt>
                <c:pt idx="31">
                  <c:v>50.51718790424291</c:v>
                </c:pt>
                <c:pt idx="32">
                  <c:v>50.476846057986137</c:v>
                </c:pt>
                <c:pt idx="33">
                  <c:v>50.436111571956175</c:v>
                </c:pt>
                <c:pt idx="34">
                  <c:v>50.394165055027827</c:v>
                </c:pt>
                <c:pt idx="35">
                  <c:v>50.351997070856036</c:v>
                </c:pt>
                <c:pt idx="36">
                  <c:v>50.309937715682871</c:v>
                </c:pt>
                <c:pt idx="37">
                  <c:v>50.268017969777659</c:v>
                </c:pt>
                <c:pt idx="38">
                  <c:v>50.225415111456407</c:v>
                </c:pt>
                <c:pt idx="39">
                  <c:v>50.180296017141892</c:v>
                </c:pt>
                <c:pt idx="40">
                  <c:v>50.13609859095326</c:v>
                </c:pt>
                <c:pt idx="41">
                  <c:v>50.08696685719044</c:v>
                </c:pt>
                <c:pt idx="42">
                  <c:v>50.036267886573128</c:v>
                </c:pt>
                <c:pt idx="43">
                  <c:v>49.984374154589624</c:v>
                </c:pt>
                <c:pt idx="44">
                  <c:v>49.931937043044286</c:v>
                </c:pt>
                <c:pt idx="45">
                  <c:v>49.877691735820875</c:v>
                </c:pt>
                <c:pt idx="46">
                  <c:v>49.82223700035788</c:v>
                </c:pt>
                <c:pt idx="47">
                  <c:v>49.765151965770613</c:v>
                </c:pt>
                <c:pt idx="48">
                  <c:v>49.706419148895684</c:v>
                </c:pt>
                <c:pt idx="49">
                  <c:v>49.644678386605761</c:v>
                </c:pt>
                <c:pt idx="50">
                  <c:v>49.579531965543559</c:v>
                </c:pt>
                <c:pt idx="51">
                  <c:v>49.511419537285164</c:v>
                </c:pt>
                <c:pt idx="52">
                  <c:v>49.442747706077846</c:v>
                </c:pt>
                <c:pt idx="53">
                  <c:v>49.372708859338829</c:v>
                </c:pt>
                <c:pt idx="54">
                  <c:v>49.29796402316618</c:v>
                </c:pt>
                <c:pt idx="55">
                  <c:v>49.221716982340631</c:v>
                </c:pt>
                <c:pt idx="56">
                  <c:v>49.140887734759424</c:v>
                </c:pt>
                <c:pt idx="57">
                  <c:v>49.058214584062377</c:v>
                </c:pt>
                <c:pt idx="58">
                  <c:v>48.967209758987011</c:v>
                </c:pt>
                <c:pt idx="59">
                  <c:v>48.877270052554451</c:v>
                </c:pt>
                <c:pt idx="60">
                  <c:v>48.78368771829993</c:v>
                </c:pt>
                <c:pt idx="61">
                  <c:v>48.700454291550201</c:v>
                </c:pt>
                <c:pt idx="62">
                  <c:v>48.620678596161035</c:v>
                </c:pt>
                <c:pt idx="63">
                  <c:v>48.540140064176931</c:v>
                </c:pt>
                <c:pt idx="64">
                  <c:v>48.457580328708303</c:v>
                </c:pt>
                <c:pt idx="65">
                  <c:v>48.383614835492708</c:v>
                </c:pt>
                <c:pt idx="66">
                  <c:v>48.31298640997808</c:v>
                </c:pt>
                <c:pt idx="67">
                  <c:v>48.237409106470153</c:v>
                </c:pt>
                <c:pt idx="68">
                  <c:v>48.161265377624702</c:v>
                </c:pt>
                <c:pt idx="69">
                  <c:v>48.0874987525469</c:v>
                </c:pt>
                <c:pt idx="70">
                  <c:v>48.025896514169254</c:v>
                </c:pt>
                <c:pt idx="71">
                  <c:v>47.957796479559839</c:v>
                </c:pt>
                <c:pt idx="72">
                  <c:v>47.900430693047504</c:v>
                </c:pt>
                <c:pt idx="73">
                  <c:v>47.840706008871237</c:v>
                </c:pt>
                <c:pt idx="74">
                  <c:v>47.773451923216797</c:v>
                </c:pt>
                <c:pt idx="75">
                  <c:v>47.708660232935465</c:v>
                </c:pt>
                <c:pt idx="76">
                  <c:v>47.641587195503035</c:v>
                </c:pt>
                <c:pt idx="77">
                  <c:v>47.576226621683723</c:v>
                </c:pt>
                <c:pt idx="78">
                  <c:v>47.504535608381474</c:v>
                </c:pt>
                <c:pt idx="79">
                  <c:v>47.434445228620376</c:v>
                </c:pt>
                <c:pt idx="80">
                  <c:v>47.35718482700991</c:v>
                </c:pt>
                <c:pt idx="81">
                  <c:v>47.285549235837955</c:v>
                </c:pt>
                <c:pt idx="82">
                  <c:v>47.222734934692248</c:v>
                </c:pt>
                <c:pt idx="83">
                  <c:v>47.168522369431273</c:v>
                </c:pt>
                <c:pt idx="84">
                  <c:v>47.11191918323582</c:v>
                </c:pt>
                <c:pt idx="85">
                  <c:v>47.050403839483948</c:v>
                </c:pt>
                <c:pt idx="86">
                  <c:v>46.984747766329029</c:v>
                </c:pt>
                <c:pt idx="87">
                  <c:v>46.911156519168465</c:v>
                </c:pt>
                <c:pt idx="88">
                  <c:v>46.833022428210178</c:v>
                </c:pt>
                <c:pt idx="89">
                  <c:v>46.760314515969952</c:v>
                </c:pt>
                <c:pt idx="90">
                  <c:v>46.6831844606874</c:v>
                </c:pt>
                <c:pt idx="91">
                  <c:v>46.619260551705061</c:v>
                </c:pt>
                <c:pt idx="92">
                  <c:v>46.563631967443072</c:v>
                </c:pt>
                <c:pt idx="93">
                  <c:v>46.514322077917889</c:v>
                </c:pt>
                <c:pt idx="94">
                  <c:v>46.467967080893047</c:v>
                </c:pt>
                <c:pt idx="95">
                  <c:v>46.425488827092806</c:v>
                </c:pt>
                <c:pt idx="96">
                  <c:v>46.405795823198673</c:v>
                </c:pt>
                <c:pt idx="97">
                  <c:v>46.383238448221007</c:v>
                </c:pt>
                <c:pt idx="98">
                  <c:v>46.353238332440903</c:v>
                </c:pt>
                <c:pt idx="99">
                  <c:v>46.319134404739046</c:v>
                </c:pt>
                <c:pt idx="100">
                  <c:v>46.296134837319229</c:v>
                </c:pt>
                <c:pt idx="101">
                  <c:v>46.275661222999794</c:v>
                </c:pt>
                <c:pt idx="102">
                  <c:v>46.257118542878686</c:v>
                </c:pt>
                <c:pt idx="103">
                  <c:v>46.235991281559187</c:v>
                </c:pt>
                <c:pt idx="104">
                  <c:v>46.211037888565748</c:v>
                </c:pt>
                <c:pt idx="105">
                  <c:v>46.195124939143881</c:v>
                </c:pt>
                <c:pt idx="106">
                  <c:v>46.168932112862976</c:v>
                </c:pt>
                <c:pt idx="107">
                  <c:v>46.134045151315405</c:v>
                </c:pt>
                <c:pt idx="108">
                  <c:v>46.100030186813221</c:v>
                </c:pt>
                <c:pt idx="109">
                  <c:v>46.071602844221673</c:v>
                </c:pt>
                <c:pt idx="110">
                  <c:v>46.036592362157556</c:v>
                </c:pt>
                <c:pt idx="111">
                  <c:v>45.983041020104267</c:v>
                </c:pt>
                <c:pt idx="112">
                  <c:v>45.926513401636591</c:v>
                </c:pt>
                <c:pt idx="113">
                  <c:v>45.859859768952326</c:v>
                </c:pt>
                <c:pt idx="114">
                  <c:v>45.78343820579569</c:v>
                </c:pt>
                <c:pt idx="115">
                  <c:v>45.688958831021409</c:v>
                </c:pt>
                <c:pt idx="116">
                  <c:v>45.581852929290712</c:v>
                </c:pt>
                <c:pt idx="117">
                  <c:v>45.46044993521835</c:v>
                </c:pt>
                <c:pt idx="118">
                  <c:v>45.299647402269642</c:v>
                </c:pt>
                <c:pt idx="119">
                  <c:v>45.112341255066582</c:v>
                </c:pt>
                <c:pt idx="120">
                  <c:v>44.960349486388687</c:v>
                </c:pt>
                <c:pt idx="121">
                  <c:v>44.783603136964686</c:v>
                </c:pt>
                <c:pt idx="122">
                  <c:v>44.598233424917701</c:v>
                </c:pt>
                <c:pt idx="123">
                  <c:v>44.423429490896474</c:v>
                </c:pt>
                <c:pt idx="124">
                  <c:v>44.222568059353897</c:v>
                </c:pt>
                <c:pt idx="125">
                  <c:v>44.023791461990243</c:v>
                </c:pt>
                <c:pt idx="126">
                  <c:v>43.823090116583472</c:v>
                </c:pt>
                <c:pt idx="127">
                  <c:v>43.595021398996266</c:v>
                </c:pt>
                <c:pt idx="128">
                  <c:v>43.368740846628548</c:v>
                </c:pt>
                <c:pt idx="129">
                  <c:v>43.134845147900272</c:v>
                </c:pt>
                <c:pt idx="130">
                  <c:v>42.866491332923395</c:v>
                </c:pt>
                <c:pt idx="131">
                  <c:v>42.590199591789968</c:v>
                </c:pt>
                <c:pt idx="132">
                  <c:v>42.330145868503308</c:v>
                </c:pt>
                <c:pt idx="133">
                  <c:v>42.071714828672306</c:v>
                </c:pt>
                <c:pt idx="134">
                  <c:v>41.809795325600739</c:v>
                </c:pt>
                <c:pt idx="135">
                  <c:v>41.561893070638881</c:v>
                </c:pt>
                <c:pt idx="136">
                  <c:v>41.313565697218699</c:v>
                </c:pt>
                <c:pt idx="137">
                  <c:v>41.07531436616695</c:v>
                </c:pt>
                <c:pt idx="138">
                  <c:v>40.808850662750821</c:v>
                </c:pt>
                <c:pt idx="139">
                  <c:v>40.515584054960883</c:v>
                </c:pt>
                <c:pt idx="140">
                  <c:v>40.205930682478431</c:v>
                </c:pt>
                <c:pt idx="141">
                  <c:v>39.844659803263426</c:v>
                </c:pt>
                <c:pt idx="142">
                  <c:v>39.492388914689222</c:v>
                </c:pt>
                <c:pt idx="143">
                  <c:v>39.179526034028264</c:v>
                </c:pt>
                <c:pt idx="144">
                  <c:v>38.866118707821059</c:v>
                </c:pt>
                <c:pt idx="145">
                  <c:v>38.605853221009021</c:v>
                </c:pt>
                <c:pt idx="146">
                  <c:v>38.326228130408246</c:v>
                </c:pt>
                <c:pt idx="147">
                  <c:v>37.998075528373327</c:v>
                </c:pt>
                <c:pt idx="148">
                  <c:v>37.766674278665349</c:v>
                </c:pt>
                <c:pt idx="149">
                  <c:v>37.462675042760772</c:v>
                </c:pt>
                <c:pt idx="150">
                  <c:v>37.139396507716185</c:v>
                </c:pt>
                <c:pt idx="151">
                  <c:v>36.778840683263631</c:v>
                </c:pt>
                <c:pt idx="152">
                  <c:v>36.394637775833758</c:v>
                </c:pt>
                <c:pt idx="153">
                  <c:v>36.038023310268542</c:v>
                </c:pt>
                <c:pt idx="154">
                  <c:v>35.700302953729604</c:v>
                </c:pt>
                <c:pt idx="155">
                  <c:v>35.325866668883485</c:v>
                </c:pt>
                <c:pt idx="156">
                  <c:v>34.920849480274207</c:v>
                </c:pt>
                <c:pt idx="157">
                  <c:v>34.585971641122789</c:v>
                </c:pt>
                <c:pt idx="158">
                  <c:v>34.189571995774855</c:v>
                </c:pt>
                <c:pt idx="159">
                  <c:v>33.822505585929271</c:v>
                </c:pt>
                <c:pt idx="160">
                  <c:v>33.586183724195948</c:v>
                </c:pt>
                <c:pt idx="161">
                  <c:v>33.232384324457847</c:v>
                </c:pt>
                <c:pt idx="162">
                  <c:v>33.030898243539433</c:v>
                </c:pt>
                <c:pt idx="163">
                  <c:v>32.833833758918281</c:v>
                </c:pt>
                <c:pt idx="164">
                  <c:v>32.650821277473845</c:v>
                </c:pt>
                <c:pt idx="165">
                  <c:v>32.536245021770718</c:v>
                </c:pt>
                <c:pt idx="166">
                  <c:v>32.366397337452497</c:v>
                </c:pt>
                <c:pt idx="167">
                  <c:v>32.064112009184583</c:v>
                </c:pt>
                <c:pt idx="168">
                  <c:v>31.711098955256965</c:v>
                </c:pt>
                <c:pt idx="169">
                  <c:v>31.290988163328553</c:v>
                </c:pt>
                <c:pt idx="170">
                  <c:v>30.98920706633999</c:v>
                </c:pt>
                <c:pt idx="171">
                  <c:v>30.838415870449165</c:v>
                </c:pt>
                <c:pt idx="172">
                  <c:v>30.445237901558674</c:v>
                </c:pt>
                <c:pt idx="173">
                  <c:v>30.030372735144788</c:v>
                </c:pt>
                <c:pt idx="174">
                  <c:v>29.876931803382977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BAB-4434-AA4A-78B9DF0AB4B3}"/>
            </c:ext>
          </c:extLst>
        </c:ser>
        <c:ser>
          <c:idx val="12"/>
          <c:order val="12"/>
          <c:tx>
            <c:strRef>
              <c:f>data_co2_incLUC!$P$2</c:f>
              <c:strCache>
                <c:ptCount val="1"/>
                <c:pt idx="0">
                  <c:v>pct_annex1_GCP_OSCAR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data_co2_incLUC!$P$3:$P$177</c:f>
              <c:numCache>
                <c:formatCode>0.0</c:formatCode>
                <c:ptCount val="175"/>
                <c:pt idx="0">
                  <c:v>52.00917706374404</c:v>
                </c:pt>
                <c:pt idx="1">
                  <c:v>52.002190170736327</c:v>
                </c:pt>
                <c:pt idx="2">
                  <c:v>51.995445754561466</c:v>
                </c:pt>
                <c:pt idx="3">
                  <c:v>51.98827305070882</c:v>
                </c:pt>
                <c:pt idx="4">
                  <c:v>51.980852488649234</c:v>
                </c:pt>
                <c:pt idx="5">
                  <c:v>51.972042981292773</c:v>
                </c:pt>
                <c:pt idx="6">
                  <c:v>51.963276412546968</c:v>
                </c:pt>
                <c:pt idx="7">
                  <c:v>51.954315626807521</c:v>
                </c:pt>
                <c:pt idx="8">
                  <c:v>51.945237359037769</c:v>
                </c:pt>
                <c:pt idx="9">
                  <c:v>51.93543884137403</c:v>
                </c:pt>
                <c:pt idx="10">
                  <c:v>51.924870652241836</c:v>
                </c:pt>
                <c:pt idx="11">
                  <c:v>51.913460270515998</c:v>
                </c:pt>
                <c:pt idx="12">
                  <c:v>51.90192254049024</c:v>
                </c:pt>
                <c:pt idx="13">
                  <c:v>51.889736602393555</c:v>
                </c:pt>
                <c:pt idx="14">
                  <c:v>51.876983708505065</c:v>
                </c:pt>
                <c:pt idx="15">
                  <c:v>51.863157257731359</c:v>
                </c:pt>
                <c:pt idx="16">
                  <c:v>51.84897650719742</c:v>
                </c:pt>
                <c:pt idx="17">
                  <c:v>51.83368426353254</c:v>
                </c:pt>
                <c:pt idx="18">
                  <c:v>51.818083357994546</c:v>
                </c:pt>
                <c:pt idx="19">
                  <c:v>51.801620307197346</c:v>
                </c:pt>
                <c:pt idx="20">
                  <c:v>51.784847209717533</c:v>
                </c:pt>
                <c:pt idx="21">
                  <c:v>51.765576788627563</c:v>
                </c:pt>
                <c:pt idx="22">
                  <c:v>51.744633243420616</c:v>
                </c:pt>
                <c:pt idx="23">
                  <c:v>51.721863766907582</c:v>
                </c:pt>
                <c:pt idx="24">
                  <c:v>51.697534978705406</c:v>
                </c:pt>
                <c:pt idx="25">
                  <c:v>51.672831934680566</c:v>
                </c:pt>
                <c:pt idx="26">
                  <c:v>51.646919192457609</c:v>
                </c:pt>
                <c:pt idx="27">
                  <c:v>51.620314028698601</c:v>
                </c:pt>
                <c:pt idx="28">
                  <c:v>51.592944430363566</c:v>
                </c:pt>
                <c:pt idx="29">
                  <c:v>51.564653384251066</c:v>
                </c:pt>
                <c:pt idx="30">
                  <c:v>51.53453875145405</c:v>
                </c:pt>
                <c:pt idx="31">
                  <c:v>51.503407139297423</c:v>
                </c:pt>
                <c:pt idx="32">
                  <c:v>51.474236804311182</c:v>
                </c:pt>
                <c:pt idx="33">
                  <c:v>51.444123067516031</c:v>
                </c:pt>
                <c:pt idx="34">
                  <c:v>51.412620629157601</c:v>
                </c:pt>
                <c:pt idx="35">
                  <c:v>51.38070656308399</c:v>
                </c:pt>
                <c:pt idx="36">
                  <c:v>51.348737246694554</c:v>
                </c:pt>
                <c:pt idx="37">
                  <c:v>51.317042840700736</c:v>
                </c:pt>
                <c:pt idx="38">
                  <c:v>51.28453700014839</c:v>
                </c:pt>
                <c:pt idx="39">
                  <c:v>51.249801828723605</c:v>
                </c:pt>
                <c:pt idx="40">
                  <c:v>51.215918189956277</c:v>
                </c:pt>
                <c:pt idx="41">
                  <c:v>51.178354327552213</c:v>
                </c:pt>
                <c:pt idx="42">
                  <c:v>51.138835463171247</c:v>
                </c:pt>
                <c:pt idx="43">
                  <c:v>51.09823907841983</c:v>
                </c:pt>
                <c:pt idx="44">
                  <c:v>51.057830048704247</c:v>
                </c:pt>
                <c:pt idx="45">
                  <c:v>51.015488587265935</c:v>
                </c:pt>
                <c:pt idx="46">
                  <c:v>50.972135852095654</c:v>
                </c:pt>
                <c:pt idx="47">
                  <c:v>50.927600831538889</c:v>
                </c:pt>
                <c:pt idx="48">
                  <c:v>50.881444629940056</c:v>
                </c:pt>
                <c:pt idx="49">
                  <c:v>50.832802647699914</c:v>
                </c:pt>
                <c:pt idx="50">
                  <c:v>50.780976042616253</c:v>
                </c:pt>
                <c:pt idx="51">
                  <c:v>50.727485018132477</c:v>
                </c:pt>
                <c:pt idx="52">
                  <c:v>50.674444489787838</c:v>
                </c:pt>
                <c:pt idx="53">
                  <c:v>50.620739970179848</c:v>
                </c:pt>
                <c:pt idx="54">
                  <c:v>50.564008420474991</c:v>
                </c:pt>
                <c:pt idx="55">
                  <c:v>50.507844101112084</c:v>
                </c:pt>
                <c:pt idx="56">
                  <c:v>50.447368521949301</c:v>
                </c:pt>
                <c:pt idx="57">
                  <c:v>50.386119681565454</c:v>
                </c:pt>
                <c:pt idx="58">
                  <c:v>50.317312443333883</c:v>
                </c:pt>
                <c:pt idx="59">
                  <c:v>50.25138831263699</c:v>
                </c:pt>
                <c:pt idx="60">
                  <c:v>50.183467055090183</c:v>
                </c:pt>
                <c:pt idx="61">
                  <c:v>50.11760344004076</c:v>
                </c:pt>
                <c:pt idx="62">
                  <c:v>50.053160665270866</c:v>
                </c:pt>
                <c:pt idx="63">
                  <c:v>49.985763847427307</c:v>
                </c:pt>
                <c:pt idx="64">
                  <c:v>49.915603985165966</c:v>
                </c:pt>
                <c:pt idx="65">
                  <c:v>49.852904074761163</c:v>
                </c:pt>
                <c:pt idx="66">
                  <c:v>49.792869003296389</c:v>
                </c:pt>
                <c:pt idx="67">
                  <c:v>49.727912260654641</c:v>
                </c:pt>
                <c:pt idx="68">
                  <c:v>49.662979905137462</c:v>
                </c:pt>
                <c:pt idx="69">
                  <c:v>49.599264322803464</c:v>
                </c:pt>
                <c:pt idx="70">
                  <c:v>49.547582116607167</c:v>
                </c:pt>
                <c:pt idx="71">
                  <c:v>49.486731355693927</c:v>
                </c:pt>
                <c:pt idx="72">
                  <c:v>49.436334526125655</c:v>
                </c:pt>
                <c:pt idx="73">
                  <c:v>49.382328894120349</c:v>
                </c:pt>
                <c:pt idx="74">
                  <c:v>49.320338434231452</c:v>
                </c:pt>
                <c:pt idx="75">
                  <c:v>49.260966729133521</c:v>
                </c:pt>
                <c:pt idx="76">
                  <c:v>49.199612171219279</c:v>
                </c:pt>
                <c:pt idx="77">
                  <c:v>49.139539937371538</c:v>
                </c:pt>
                <c:pt idx="78">
                  <c:v>49.072955810399804</c:v>
                </c:pt>
                <c:pt idx="79">
                  <c:v>49.007990601775951</c:v>
                </c:pt>
                <c:pt idx="80">
                  <c:v>48.935693561669659</c:v>
                </c:pt>
                <c:pt idx="81">
                  <c:v>48.869872299364218</c:v>
                </c:pt>
                <c:pt idx="82">
                  <c:v>48.81205381501298</c:v>
                </c:pt>
                <c:pt idx="83">
                  <c:v>48.764376625147229</c:v>
                </c:pt>
                <c:pt idx="84">
                  <c:v>48.713732283791728</c:v>
                </c:pt>
                <c:pt idx="85">
                  <c:v>48.659205965497691</c:v>
                </c:pt>
                <c:pt idx="86">
                  <c:v>48.599988705678143</c:v>
                </c:pt>
                <c:pt idx="87">
                  <c:v>48.53297642853596</c:v>
                </c:pt>
                <c:pt idx="88">
                  <c:v>48.461325297541819</c:v>
                </c:pt>
                <c:pt idx="89">
                  <c:v>48.396181070938773</c:v>
                </c:pt>
                <c:pt idx="90">
                  <c:v>48.326799626085254</c:v>
                </c:pt>
                <c:pt idx="91">
                  <c:v>48.254373974128001</c:v>
                </c:pt>
                <c:pt idx="92">
                  <c:v>48.183979851734392</c:v>
                </c:pt>
                <c:pt idx="93">
                  <c:v>48.115452082329668</c:v>
                </c:pt>
                <c:pt idx="94">
                  <c:v>48.046563204206898</c:v>
                </c:pt>
                <c:pt idx="95">
                  <c:v>47.97824312171047</c:v>
                </c:pt>
                <c:pt idx="96">
                  <c:v>47.930160673562661</c:v>
                </c:pt>
                <c:pt idx="97">
                  <c:v>47.876024370960003</c:v>
                </c:pt>
                <c:pt idx="98">
                  <c:v>47.811950388763194</c:v>
                </c:pt>
                <c:pt idx="99">
                  <c:v>47.741651220484982</c:v>
                </c:pt>
                <c:pt idx="100">
                  <c:v>47.679288106749873</c:v>
                </c:pt>
                <c:pt idx="101">
                  <c:v>47.611625411057318</c:v>
                </c:pt>
                <c:pt idx="102">
                  <c:v>47.543931208667594</c:v>
                </c:pt>
                <c:pt idx="103">
                  <c:v>47.476666175152424</c:v>
                </c:pt>
                <c:pt idx="104">
                  <c:v>47.407047218755196</c:v>
                </c:pt>
                <c:pt idx="105">
                  <c:v>47.340546858574037</c:v>
                </c:pt>
                <c:pt idx="106">
                  <c:v>47.266133193083618</c:v>
                </c:pt>
                <c:pt idx="107">
                  <c:v>47.184994300395559</c:v>
                </c:pt>
                <c:pt idx="108">
                  <c:v>47.104961650820769</c:v>
                </c:pt>
                <c:pt idx="109">
                  <c:v>47.034133599222876</c:v>
                </c:pt>
                <c:pt idx="110">
                  <c:v>46.967586319156752</c:v>
                </c:pt>
                <c:pt idx="111">
                  <c:v>46.88944410930506</c:v>
                </c:pt>
                <c:pt idx="112">
                  <c:v>46.803023055867321</c:v>
                </c:pt>
                <c:pt idx="113">
                  <c:v>46.707825842853609</c:v>
                </c:pt>
                <c:pt idx="114">
                  <c:v>46.600881131194477</c:v>
                </c:pt>
                <c:pt idx="115">
                  <c:v>46.482602967741798</c:v>
                </c:pt>
                <c:pt idx="116">
                  <c:v>46.351262025303782</c:v>
                </c:pt>
                <c:pt idx="117">
                  <c:v>46.20788977747786</c:v>
                </c:pt>
                <c:pt idx="118">
                  <c:v>46.044312552550714</c:v>
                </c:pt>
                <c:pt idx="119">
                  <c:v>45.863113742532761</c:v>
                </c:pt>
                <c:pt idx="120">
                  <c:v>45.676544572954562</c:v>
                </c:pt>
                <c:pt idx="121">
                  <c:v>45.480531085827053</c:v>
                </c:pt>
                <c:pt idx="122">
                  <c:v>45.274564028872042</c:v>
                </c:pt>
                <c:pt idx="123">
                  <c:v>45.05380148018147</c:v>
                </c:pt>
                <c:pt idx="124">
                  <c:v>44.817000741207345</c:v>
                </c:pt>
                <c:pt idx="125">
                  <c:v>44.581556513161338</c:v>
                </c:pt>
                <c:pt idx="126">
                  <c:v>44.355173686353652</c:v>
                </c:pt>
                <c:pt idx="127">
                  <c:v>44.106374456165405</c:v>
                </c:pt>
                <c:pt idx="128">
                  <c:v>43.851621747473558</c:v>
                </c:pt>
                <c:pt idx="129">
                  <c:v>43.588775253193504</c:v>
                </c:pt>
                <c:pt idx="130">
                  <c:v>43.307264800416398</c:v>
                </c:pt>
                <c:pt idx="131">
                  <c:v>43.016143567564647</c:v>
                </c:pt>
                <c:pt idx="132">
                  <c:v>42.740165683683706</c:v>
                </c:pt>
                <c:pt idx="133">
                  <c:v>42.473071410387156</c:v>
                </c:pt>
                <c:pt idx="134">
                  <c:v>42.211212292108414</c:v>
                </c:pt>
                <c:pt idx="135">
                  <c:v>41.942637058179507</c:v>
                </c:pt>
                <c:pt idx="136">
                  <c:v>41.670728008014521</c:v>
                </c:pt>
                <c:pt idx="137">
                  <c:v>41.405058328553395</c:v>
                </c:pt>
                <c:pt idx="138">
                  <c:v>41.12079914324412</c:v>
                </c:pt>
                <c:pt idx="139">
                  <c:v>40.820488022556084</c:v>
                </c:pt>
                <c:pt idx="140">
                  <c:v>40.50834215155438</c:v>
                </c:pt>
                <c:pt idx="141">
                  <c:v>40.153196171392068</c:v>
                </c:pt>
                <c:pt idx="142">
                  <c:v>39.804773150474162</c:v>
                </c:pt>
                <c:pt idx="143">
                  <c:v>39.478084270208505</c:v>
                </c:pt>
                <c:pt idx="144">
                  <c:v>39.162930212746772</c:v>
                </c:pt>
                <c:pt idx="145">
                  <c:v>38.873405141824449</c:v>
                </c:pt>
                <c:pt idx="146">
                  <c:v>38.581000463733936</c:v>
                </c:pt>
                <c:pt idx="147">
                  <c:v>38.251428835547827</c:v>
                </c:pt>
                <c:pt idx="148">
                  <c:v>38.01154242404391</c:v>
                </c:pt>
                <c:pt idx="149">
                  <c:v>37.682271012898212</c:v>
                </c:pt>
                <c:pt idx="150">
                  <c:v>37.347881222126396</c:v>
                </c:pt>
                <c:pt idx="151">
                  <c:v>36.973088399396133</c:v>
                </c:pt>
                <c:pt idx="152">
                  <c:v>36.571908389799262</c:v>
                </c:pt>
                <c:pt idx="153">
                  <c:v>36.17960333061226</c:v>
                </c:pt>
                <c:pt idx="154">
                  <c:v>35.786048809237656</c:v>
                </c:pt>
                <c:pt idx="155">
                  <c:v>35.376613747444488</c:v>
                </c:pt>
                <c:pt idx="156">
                  <c:v>34.941870886941359</c:v>
                </c:pt>
                <c:pt idx="157">
                  <c:v>34.537247433973882</c:v>
                </c:pt>
                <c:pt idx="158">
                  <c:v>34.089974155485443</c:v>
                </c:pt>
                <c:pt idx="159">
                  <c:v>33.692989189298757</c:v>
                </c:pt>
                <c:pt idx="160">
                  <c:v>33.406012858160764</c:v>
                </c:pt>
                <c:pt idx="161">
                  <c:v>33.076038199347771</c:v>
                </c:pt>
                <c:pt idx="162">
                  <c:v>32.835723741784498</c:v>
                </c:pt>
                <c:pt idx="163">
                  <c:v>32.594590776437805</c:v>
                </c:pt>
                <c:pt idx="164">
                  <c:v>32.353766212912824</c:v>
                </c:pt>
                <c:pt idx="165">
                  <c:v>32.170840298916161</c:v>
                </c:pt>
                <c:pt idx="166">
                  <c:v>31.977504520747413</c:v>
                </c:pt>
                <c:pt idx="167">
                  <c:v>31.662286013329886</c:v>
                </c:pt>
                <c:pt idx="168">
                  <c:v>31.306019379637682</c:v>
                </c:pt>
                <c:pt idx="169">
                  <c:v>30.889519521140958</c:v>
                </c:pt>
                <c:pt idx="170">
                  <c:v>30.549240545326541</c:v>
                </c:pt>
                <c:pt idx="171">
                  <c:v>30.390968784989848</c:v>
                </c:pt>
                <c:pt idx="172">
                  <c:v>29.992352323293492</c:v>
                </c:pt>
                <c:pt idx="173">
                  <c:v>29.586139667905005</c:v>
                </c:pt>
                <c:pt idx="174">
                  <c:v>29.466406243298731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BAB-4434-AA4A-78B9DF0AB4B3}"/>
            </c:ext>
          </c:extLst>
        </c:ser>
        <c:ser>
          <c:idx val="13"/>
          <c:order val="13"/>
          <c:tx>
            <c:strRef>
              <c:f>data_co2_incLUC!$R$2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data_co2_incLUC!$R$3:$R$177</c:f>
              <c:numCache>
                <c:formatCode>0.0</c:formatCode>
                <c:ptCount val="175"/>
                <c:pt idx="0">
                  <c:v>39.109000000000002</c:v>
                </c:pt>
                <c:pt idx="1">
                  <c:v>39.109000000000002</c:v>
                </c:pt>
                <c:pt idx="2">
                  <c:v>39.109000000000002</c:v>
                </c:pt>
                <c:pt idx="3">
                  <c:v>39.109000000000002</c:v>
                </c:pt>
                <c:pt idx="4">
                  <c:v>39.107999999999997</c:v>
                </c:pt>
                <c:pt idx="5">
                  <c:v>39.106000000000002</c:v>
                </c:pt>
                <c:pt idx="6">
                  <c:v>39.103999999999999</c:v>
                </c:pt>
                <c:pt idx="7">
                  <c:v>39.101999999999997</c:v>
                </c:pt>
                <c:pt idx="8">
                  <c:v>39.098999999999997</c:v>
                </c:pt>
                <c:pt idx="9">
                  <c:v>39.095999999999997</c:v>
                </c:pt>
                <c:pt idx="10">
                  <c:v>39.091999999999999</c:v>
                </c:pt>
                <c:pt idx="11">
                  <c:v>39.085999999999999</c:v>
                </c:pt>
                <c:pt idx="12">
                  <c:v>39.08</c:v>
                </c:pt>
                <c:pt idx="13">
                  <c:v>39.073</c:v>
                </c:pt>
                <c:pt idx="14">
                  <c:v>39.064999999999998</c:v>
                </c:pt>
                <c:pt idx="15">
                  <c:v>39.057000000000002</c:v>
                </c:pt>
                <c:pt idx="16">
                  <c:v>39.048000000000002</c:v>
                </c:pt>
                <c:pt idx="17">
                  <c:v>39.04</c:v>
                </c:pt>
                <c:pt idx="18">
                  <c:v>39.03</c:v>
                </c:pt>
                <c:pt idx="19">
                  <c:v>39.020000000000003</c:v>
                </c:pt>
                <c:pt idx="20">
                  <c:v>39.01</c:v>
                </c:pt>
                <c:pt idx="21">
                  <c:v>38.996000000000002</c:v>
                </c:pt>
                <c:pt idx="22">
                  <c:v>38.978000000000002</c:v>
                </c:pt>
                <c:pt idx="23">
                  <c:v>38.959000000000003</c:v>
                </c:pt>
                <c:pt idx="24">
                  <c:v>38.936999999999998</c:v>
                </c:pt>
                <c:pt idx="25">
                  <c:v>38.914999999999999</c:v>
                </c:pt>
                <c:pt idx="26">
                  <c:v>38.890999999999998</c:v>
                </c:pt>
                <c:pt idx="27">
                  <c:v>38.866999999999997</c:v>
                </c:pt>
                <c:pt idx="28">
                  <c:v>38.841000000000001</c:v>
                </c:pt>
                <c:pt idx="29">
                  <c:v>38.814999999999998</c:v>
                </c:pt>
                <c:pt idx="30">
                  <c:v>38.786000000000001</c:v>
                </c:pt>
                <c:pt idx="31">
                  <c:v>38.759</c:v>
                </c:pt>
                <c:pt idx="32">
                  <c:v>38.734000000000002</c:v>
                </c:pt>
                <c:pt idx="33">
                  <c:v>38.707999999999998</c:v>
                </c:pt>
                <c:pt idx="34">
                  <c:v>38.680999999999997</c:v>
                </c:pt>
                <c:pt idx="35">
                  <c:v>38.655000000000001</c:v>
                </c:pt>
                <c:pt idx="36">
                  <c:v>38.628999999999998</c:v>
                </c:pt>
                <c:pt idx="37">
                  <c:v>38.603000000000002</c:v>
                </c:pt>
                <c:pt idx="38">
                  <c:v>38.575000000000003</c:v>
                </c:pt>
                <c:pt idx="39">
                  <c:v>38.545000000000002</c:v>
                </c:pt>
                <c:pt idx="40">
                  <c:v>38.517000000000003</c:v>
                </c:pt>
                <c:pt idx="41">
                  <c:v>38.487000000000002</c:v>
                </c:pt>
                <c:pt idx="42">
                  <c:v>38.456000000000003</c:v>
                </c:pt>
                <c:pt idx="43">
                  <c:v>38.423999999999999</c:v>
                </c:pt>
                <c:pt idx="44">
                  <c:v>38.393000000000001</c:v>
                </c:pt>
                <c:pt idx="45">
                  <c:v>38.360999999999997</c:v>
                </c:pt>
                <c:pt idx="46">
                  <c:v>38.326999999999998</c:v>
                </c:pt>
                <c:pt idx="47">
                  <c:v>38.292000000000002</c:v>
                </c:pt>
                <c:pt idx="48">
                  <c:v>38.256</c:v>
                </c:pt>
                <c:pt idx="49">
                  <c:v>38.218000000000004</c:v>
                </c:pt>
                <c:pt idx="50">
                  <c:v>38.176000000000002</c:v>
                </c:pt>
                <c:pt idx="51">
                  <c:v>38.133000000000003</c:v>
                </c:pt>
                <c:pt idx="52">
                  <c:v>38.091999999999999</c:v>
                </c:pt>
                <c:pt idx="53">
                  <c:v>38.048999999999999</c:v>
                </c:pt>
                <c:pt idx="54">
                  <c:v>38.003</c:v>
                </c:pt>
                <c:pt idx="55">
                  <c:v>37.957000000000001</c:v>
                </c:pt>
                <c:pt idx="56">
                  <c:v>37.908000000000001</c:v>
                </c:pt>
                <c:pt idx="57">
                  <c:v>37.857999999999997</c:v>
                </c:pt>
                <c:pt idx="58">
                  <c:v>37.799999999999997</c:v>
                </c:pt>
                <c:pt idx="59">
                  <c:v>37.746000000000002</c:v>
                </c:pt>
                <c:pt idx="60">
                  <c:v>37.689</c:v>
                </c:pt>
                <c:pt idx="61">
                  <c:v>37.628</c:v>
                </c:pt>
                <c:pt idx="62">
                  <c:v>37.566000000000003</c:v>
                </c:pt>
                <c:pt idx="63">
                  <c:v>37.500999999999998</c:v>
                </c:pt>
                <c:pt idx="64">
                  <c:v>37.43</c:v>
                </c:pt>
                <c:pt idx="65">
                  <c:v>37.365000000000002</c:v>
                </c:pt>
                <c:pt idx="66">
                  <c:v>37.301000000000002</c:v>
                </c:pt>
                <c:pt idx="67">
                  <c:v>37.231999999999999</c:v>
                </c:pt>
                <c:pt idx="68">
                  <c:v>37.158000000000001</c:v>
                </c:pt>
                <c:pt idx="69">
                  <c:v>37.081000000000003</c:v>
                </c:pt>
                <c:pt idx="70">
                  <c:v>37.012</c:v>
                </c:pt>
                <c:pt idx="71">
                  <c:v>36.94</c:v>
                </c:pt>
                <c:pt idx="72">
                  <c:v>36.881</c:v>
                </c:pt>
                <c:pt idx="73">
                  <c:v>36.819000000000003</c:v>
                </c:pt>
                <c:pt idx="74">
                  <c:v>36.747999999999998</c:v>
                </c:pt>
                <c:pt idx="75">
                  <c:v>36.677</c:v>
                </c:pt>
                <c:pt idx="76">
                  <c:v>36.604999999999997</c:v>
                </c:pt>
                <c:pt idx="77">
                  <c:v>36.537999999999997</c:v>
                </c:pt>
                <c:pt idx="78">
                  <c:v>36.463000000000001</c:v>
                </c:pt>
                <c:pt idx="79">
                  <c:v>36.390999999999998</c:v>
                </c:pt>
                <c:pt idx="80">
                  <c:v>36.314</c:v>
                </c:pt>
                <c:pt idx="81">
                  <c:v>36.250999999999998</c:v>
                </c:pt>
                <c:pt idx="82">
                  <c:v>36.201999999999998</c:v>
                </c:pt>
                <c:pt idx="83">
                  <c:v>36.167000000000002</c:v>
                </c:pt>
                <c:pt idx="84">
                  <c:v>36.128</c:v>
                </c:pt>
                <c:pt idx="85">
                  <c:v>36.085999999999999</c:v>
                </c:pt>
                <c:pt idx="86">
                  <c:v>36.042999999999999</c:v>
                </c:pt>
                <c:pt idx="87">
                  <c:v>35.994</c:v>
                </c:pt>
                <c:pt idx="88">
                  <c:v>35.941000000000003</c:v>
                </c:pt>
                <c:pt idx="89">
                  <c:v>35.898000000000003</c:v>
                </c:pt>
                <c:pt idx="90">
                  <c:v>35.848999999999997</c:v>
                </c:pt>
                <c:pt idx="91">
                  <c:v>35.799999999999997</c:v>
                </c:pt>
                <c:pt idx="92">
                  <c:v>35.746000000000002</c:v>
                </c:pt>
                <c:pt idx="93">
                  <c:v>35.685000000000002</c:v>
                </c:pt>
                <c:pt idx="94">
                  <c:v>35.622</c:v>
                </c:pt>
                <c:pt idx="95">
                  <c:v>35.558</c:v>
                </c:pt>
                <c:pt idx="96">
                  <c:v>35.512999999999998</c:v>
                </c:pt>
                <c:pt idx="97">
                  <c:v>35.462000000000003</c:v>
                </c:pt>
                <c:pt idx="98">
                  <c:v>35.4</c:v>
                </c:pt>
                <c:pt idx="99">
                  <c:v>35.33</c:v>
                </c:pt>
                <c:pt idx="100">
                  <c:v>35.271999999999998</c:v>
                </c:pt>
                <c:pt idx="101">
                  <c:v>35.216999999999999</c:v>
                </c:pt>
                <c:pt idx="102">
                  <c:v>35.167000000000002</c:v>
                </c:pt>
                <c:pt idx="103">
                  <c:v>35.119999999999997</c:v>
                </c:pt>
                <c:pt idx="104">
                  <c:v>35.073999999999998</c:v>
                </c:pt>
                <c:pt idx="105">
                  <c:v>35.04</c:v>
                </c:pt>
                <c:pt idx="106">
                  <c:v>35</c:v>
                </c:pt>
                <c:pt idx="107">
                  <c:v>34.956000000000003</c:v>
                </c:pt>
                <c:pt idx="108">
                  <c:v>34.918999999999997</c:v>
                </c:pt>
                <c:pt idx="109">
                  <c:v>34.893999999999998</c:v>
                </c:pt>
                <c:pt idx="110">
                  <c:v>34.883000000000003</c:v>
                </c:pt>
                <c:pt idx="111">
                  <c:v>34.85</c:v>
                </c:pt>
                <c:pt idx="112">
                  <c:v>34.816000000000003</c:v>
                </c:pt>
                <c:pt idx="113">
                  <c:v>34.762</c:v>
                </c:pt>
                <c:pt idx="114">
                  <c:v>34.703000000000003</c:v>
                </c:pt>
                <c:pt idx="115">
                  <c:v>34.631</c:v>
                </c:pt>
                <c:pt idx="116">
                  <c:v>34.549999999999997</c:v>
                </c:pt>
                <c:pt idx="117">
                  <c:v>34.457000000000001</c:v>
                </c:pt>
                <c:pt idx="118">
                  <c:v>34.334000000000003</c:v>
                </c:pt>
                <c:pt idx="119">
                  <c:v>34.195999999999998</c:v>
                </c:pt>
                <c:pt idx="120">
                  <c:v>34.075000000000003</c:v>
                </c:pt>
                <c:pt idx="121">
                  <c:v>33.944000000000003</c:v>
                </c:pt>
                <c:pt idx="122">
                  <c:v>33.802999999999997</c:v>
                </c:pt>
                <c:pt idx="123">
                  <c:v>33.661999999999999</c:v>
                </c:pt>
                <c:pt idx="124">
                  <c:v>33.506</c:v>
                </c:pt>
                <c:pt idx="125">
                  <c:v>33.360999999999997</c:v>
                </c:pt>
                <c:pt idx="126">
                  <c:v>33.229999999999997</c:v>
                </c:pt>
                <c:pt idx="127">
                  <c:v>33.082999999999998</c:v>
                </c:pt>
                <c:pt idx="128">
                  <c:v>32.936999999999998</c:v>
                </c:pt>
                <c:pt idx="129">
                  <c:v>32.792000000000002</c:v>
                </c:pt>
                <c:pt idx="130">
                  <c:v>32.622</c:v>
                </c:pt>
                <c:pt idx="131">
                  <c:v>32.466000000000001</c:v>
                </c:pt>
                <c:pt idx="132">
                  <c:v>32.317</c:v>
                </c:pt>
                <c:pt idx="133">
                  <c:v>32.186999999999998</c:v>
                </c:pt>
                <c:pt idx="134">
                  <c:v>32.063000000000002</c:v>
                </c:pt>
                <c:pt idx="135">
                  <c:v>31.945</c:v>
                </c:pt>
                <c:pt idx="136">
                  <c:v>31.847000000000001</c:v>
                </c:pt>
                <c:pt idx="137">
                  <c:v>31.760999999999999</c:v>
                </c:pt>
                <c:pt idx="138">
                  <c:v>31.655999999999999</c:v>
                </c:pt>
                <c:pt idx="139">
                  <c:v>31.532</c:v>
                </c:pt>
                <c:pt idx="140">
                  <c:v>31.388000000000002</c:v>
                </c:pt>
                <c:pt idx="141">
                  <c:v>31.204999999999998</c:v>
                </c:pt>
                <c:pt idx="142">
                  <c:v>31.027999999999999</c:v>
                </c:pt>
                <c:pt idx="143">
                  <c:v>30.827999999999999</c:v>
                </c:pt>
                <c:pt idx="144">
                  <c:v>30.616</c:v>
                </c:pt>
                <c:pt idx="145">
                  <c:v>30.413</c:v>
                </c:pt>
                <c:pt idx="146">
                  <c:v>30.184999999999999</c:v>
                </c:pt>
                <c:pt idx="147">
                  <c:v>29.942</c:v>
                </c:pt>
                <c:pt idx="148">
                  <c:v>29.736999999999998</c:v>
                </c:pt>
                <c:pt idx="149">
                  <c:v>29.463000000000001</c:v>
                </c:pt>
                <c:pt idx="150">
                  <c:v>29.17</c:v>
                </c:pt>
                <c:pt idx="151">
                  <c:v>28.826000000000001</c:v>
                </c:pt>
                <c:pt idx="152">
                  <c:v>28.466999999999999</c:v>
                </c:pt>
                <c:pt idx="153">
                  <c:v>28.113</c:v>
                </c:pt>
                <c:pt idx="154">
                  <c:v>27.771999999999998</c:v>
                </c:pt>
                <c:pt idx="155">
                  <c:v>27.396000000000001</c:v>
                </c:pt>
                <c:pt idx="156">
                  <c:v>26.998000000000001</c:v>
                </c:pt>
                <c:pt idx="157">
                  <c:v>26.664000000000001</c:v>
                </c:pt>
                <c:pt idx="158">
                  <c:v>26.289000000000001</c:v>
                </c:pt>
                <c:pt idx="159">
                  <c:v>25.931999999999999</c:v>
                </c:pt>
                <c:pt idx="160">
                  <c:v>25.699000000000002</c:v>
                </c:pt>
                <c:pt idx="161">
                  <c:v>25.405000000000001</c:v>
                </c:pt>
                <c:pt idx="162">
                  <c:v>25.204999999999998</c:v>
                </c:pt>
                <c:pt idx="163">
                  <c:v>25.047999999999998</c:v>
                </c:pt>
                <c:pt idx="164">
                  <c:v>24.853000000000002</c:v>
                </c:pt>
                <c:pt idx="165">
                  <c:v>24.672000000000001</c:v>
                </c:pt>
                <c:pt idx="166">
                  <c:v>24.509</c:v>
                </c:pt>
                <c:pt idx="167">
                  <c:v>24.244</c:v>
                </c:pt>
                <c:pt idx="168">
                  <c:v>23.946000000000002</c:v>
                </c:pt>
                <c:pt idx="169">
                  <c:v>23.582999999999998</c:v>
                </c:pt>
                <c:pt idx="170">
                  <c:v>23.265999999999998</c:v>
                </c:pt>
                <c:pt idx="171">
                  <c:v>23.103000000000002</c:v>
                </c:pt>
                <c:pt idx="172">
                  <c:v>22.744</c:v>
                </c:pt>
                <c:pt idx="173">
                  <c:v>22.321000000000002</c:v>
                </c:pt>
                <c:pt idx="174">
                  <c:v>22.143999999999998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BAB-4434-AA4A-78B9DF0AB4B3}"/>
            </c:ext>
          </c:extLst>
        </c:ser>
        <c:ser>
          <c:idx val="14"/>
          <c:order val="14"/>
          <c:tx>
            <c:strRef>
              <c:f>data_co2_incLUC!$S$2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data_co2_incLUC!$S$3:$S$177</c:f>
              <c:numCache>
                <c:formatCode>0.0</c:formatCode>
                <c:ptCount val="175"/>
                <c:pt idx="0">
                  <c:v>52.337000000000003</c:v>
                </c:pt>
                <c:pt idx="1">
                  <c:v>52.337000000000003</c:v>
                </c:pt>
                <c:pt idx="2">
                  <c:v>52.33</c:v>
                </c:pt>
                <c:pt idx="3">
                  <c:v>52.323</c:v>
                </c:pt>
                <c:pt idx="4">
                  <c:v>52.314999999999998</c:v>
                </c:pt>
                <c:pt idx="5">
                  <c:v>52.305999999999997</c:v>
                </c:pt>
                <c:pt idx="6">
                  <c:v>52.296999999999997</c:v>
                </c:pt>
                <c:pt idx="7">
                  <c:v>52.287999999999997</c:v>
                </c:pt>
                <c:pt idx="8">
                  <c:v>52.277999999999999</c:v>
                </c:pt>
                <c:pt idx="9">
                  <c:v>52.268000000000001</c:v>
                </c:pt>
                <c:pt idx="10">
                  <c:v>52.256999999999998</c:v>
                </c:pt>
                <c:pt idx="11">
                  <c:v>52.244</c:v>
                </c:pt>
                <c:pt idx="12">
                  <c:v>52.231000000000002</c:v>
                </c:pt>
                <c:pt idx="13">
                  <c:v>52.216000000000001</c:v>
                </c:pt>
                <c:pt idx="14">
                  <c:v>52.201000000000001</c:v>
                </c:pt>
                <c:pt idx="15">
                  <c:v>52.185000000000002</c:v>
                </c:pt>
                <c:pt idx="16">
                  <c:v>52.167999999999999</c:v>
                </c:pt>
                <c:pt idx="17">
                  <c:v>52.151000000000003</c:v>
                </c:pt>
                <c:pt idx="18">
                  <c:v>52.133000000000003</c:v>
                </c:pt>
                <c:pt idx="19">
                  <c:v>52.113999999999997</c:v>
                </c:pt>
                <c:pt idx="20">
                  <c:v>52.095999999999997</c:v>
                </c:pt>
                <c:pt idx="21">
                  <c:v>52.072000000000003</c:v>
                </c:pt>
                <c:pt idx="22">
                  <c:v>52.045999999999999</c:v>
                </c:pt>
                <c:pt idx="23">
                  <c:v>52.018000000000001</c:v>
                </c:pt>
                <c:pt idx="24">
                  <c:v>51.988999999999997</c:v>
                </c:pt>
                <c:pt idx="25">
                  <c:v>51.957999999999998</c:v>
                </c:pt>
                <c:pt idx="26">
                  <c:v>51.926000000000002</c:v>
                </c:pt>
                <c:pt idx="27">
                  <c:v>51.892000000000003</c:v>
                </c:pt>
                <c:pt idx="28">
                  <c:v>51.857999999999997</c:v>
                </c:pt>
                <c:pt idx="29">
                  <c:v>51.822000000000003</c:v>
                </c:pt>
                <c:pt idx="30">
                  <c:v>51.783999999999999</c:v>
                </c:pt>
                <c:pt idx="31">
                  <c:v>51.747999999999998</c:v>
                </c:pt>
                <c:pt idx="32">
                  <c:v>51.713000000000001</c:v>
                </c:pt>
                <c:pt idx="33">
                  <c:v>51.677999999999997</c:v>
                </c:pt>
                <c:pt idx="34">
                  <c:v>51.640999999999998</c:v>
                </c:pt>
                <c:pt idx="35">
                  <c:v>51.603999999999999</c:v>
                </c:pt>
                <c:pt idx="36">
                  <c:v>51.566000000000003</c:v>
                </c:pt>
                <c:pt idx="37">
                  <c:v>51.529000000000003</c:v>
                </c:pt>
                <c:pt idx="38">
                  <c:v>51.491999999999997</c:v>
                </c:pt>
                <c:pt idx="39">
                  <c:v>51.451999999999998</c:v>
                </c:pt>
                <c:pt idx="40">
                  <c:v>51.412999999999997</c:v>
                </c:pt>
                <c:pt idx="41">
                  <c:v>51.369</c:v>
                </c:pt>
                <c:pt idx="42">
                  <c:v>51.325000000000003</c:v>
                </c:pt>
                <c:pt idx="43">
                  <c:v>51.279000000000003</c:v>
                </c:pt>
                <c:pt idx="44">
                  <c:v>51.232999999999997</c:v>
                </c:pt>
                <c:pt idx="45">
                  <c:v>51.185000000000002</c:v>
                </c:pt>
                <c:pt idx="46">
                  <c:v>51.137</c:v>
                </c:pt>
                <c:pt idx="47">
                  <c:v>51.087000000000003</c:v>
                </c:pt>
                <c:pt idx="48">
                  <c:v>51.034999999999997</c:v>
                </c:pt>
                <c:pt idx="49">
                  <c:v>50.98</c:v>
                </c:pt>
                <c:pt idx="50">
                  <c:v>50.923000000000002</c:v>
                </c:pt>
                <c:pt idx="51">
                  <c:v>50.863</c:v>
                </c:pt>
                <c:pt idx="52">
                  <c:v>50.802</c:v>
                </c:pt>
                <c:pt idx="53">
                  <c:v>50.741</c:v>
                </c:pt>
                <c:pt idx="54">
                  <c:v>50.674999999999997</c:v>
                </c:pt>
                <c:pt idx="55">
                  <c:v>50.607999999999997</c:v>
                </c:pt>
                <c:pt idx="56">
                  <c:v>50.536999999999999</c:v>
                </c:pt>
                <c:pt idx="57">
                  <c:v>50.465000000000003</c:v>
                </c:pt>
                <c:pt idx="58">
                  <c:v>50.384</c:v>
                </c:pt>
                <c:pt idx="59">
                  <c:v>50.305</c:v>
                </c:pt>
                <c:pt idx="60">
                  <c:v>50.222999999999999</c:v>
                </c:pt>
                <c:pt idx="61">
                  <c:v>50.148000000000003</c:v>
                </c:pt>
                <c:pt idx="62">
                  <c:v>50.075000000000003</c:v>
                </c:pt>
                <c:pt idx="63">
                  <c:v>50.000999999999998</c:v>
                </c:pt>
                <c:pt idx="64">
                  <c:v>49.923999999999999</c:v>
                </c:pt>
                <c:pt idx="65">
                  <c:v>49.854999999999997</c:v>
                </c:pt>
                <c:pt idx="66">
                  <c:v>49.79</c:v>
                </c:pt>
                <c:pt idx="67">
                  <c:v>49.719000000000001</c:v>
                </c:pt>
                <c:pt idx="68">
                  <c:v>49.648000000000003</c:v>
                </c:pt>
                <c:pt idx="69">
                  <c:v>49.578000000000003</c:v>
                </c:pt>
                <c:pt idx="70">
                  <c:v>49.521000000000001</c:v>
                </c:pt>
                <c:pt idx="71">
                  <c:v>49.456000000000003</c:v>
                </c:pt>
                <c:pt idx="72">
                  <c:v>49.401000000000003</c:v>
                </c:pt>
                <c:pt idx="73">
                  <c:v>49.343000000000004</c:v>
                </c:pt>
                <c:pt idx="74">
                  <c:v>49.277999999999999</c:v>
                </c:pt>
                <c:pt idx="75">
                  <c:v>49.213999999999999</c:v>
                </c:pt>
                <c:pt idx="76">
                  <c:v>49.148000000000003</c:v>
                </c:pt>
                <c:pt idx="77">
                  <c:v>49.082999999999998</c:v>
                </c:pt>
                <c:pt idx="78">
                  <c:v>49.011000000000003</c:v>
                </c:pt>
                <c:pt idx="79">
                  <c:v>48.941000000000003</c:v>
                </c:pt>
                <c:pt idx="80">
                  <c:v>48.863999999999997</c:v>
                </c:pt>
                <c:pt idx="81">
                  <c:v>48.792000000000002</c:v>
                </c:pt>
                <c:pt idx="82">
                  <c:v>48.728000000000002</c:v>
                </c:pt>
                <c:pt idx="83">
                  <c:v>48.673000000000002</c:v>
                </c:pt>
                <c:pt idx="84">
                  <c:v>48.615000000000002</c:v>
                </c:pt>
                <c:pt idx="85">
                  <c:v>48.552</c:v>
                </c:pt>
                <c:pt idx="86">
                  <c:v>48.484999999999999</c:v>
                </c:pt>
                <c:pt idx="87">
                  <c:v>48.411000000000001</c:v>
                </c:pt>
                <c:pt idx="88">
                  <c:v>48.331000000000003</c:v>
                </c:pt>
                <c:pt idx="89">
                  <c:v>48.258000000000003</c:v>
                </c:pt>
                <c:pt idx="90">
                  <c:v>48.18</c:v>
                </c:pt>
                <c:pt idx="91">
                  <c:v>48.109000000000002</c:v>
                </c:pt>
                <c:pt idx="92">
                  <c:v>48.043999999999997</c:v>
                </c:pt>
                <c:pt idx="93">
                  <c:v>47.982999999999997</c:v>
                </c:pt>
                <c:pt idx="94">
                  <c:v>47.923999999999999</c:v>
                </c:pt>
                <c:pt idx="95">
                  <c:v>47.866999999999997</c:v>
                </c:pt>
                <c:pt idx="96">
                  <c:v>47.832000000000001</c:v>
                </c:pt>
                <c:pt idx="97">
                  <c:v>47.792000000000002</c:v>
                </c:pt>
                <c:pt idx="98">
                  <c:v>47.744999999999997</c:v>
                </c:pt>
                <c:pt idx="99">
                  <c:v>47.692</c:v>
                </c:pt>
                <c:pt idx="100">
                  <c:v>47.649000000000001</c:v>
                </c:pt>
                <c:pt idx="101">
                  <c:v>47.606000000000002</c:v>
                </c:pt>
                <c:pt idx="102">
                  <c:v>47.564</c:v>
                </c:pt>
                <c:pt idx="103">
                  <c:v>47.518999999999998</c:v>
                </c:pt>
                <c:pt idx="104">
                  <c:v>47.472000000000001</c:v>
                </c:pt>
                <c:pt idx="105">
                  <c:v>47.430999999999997</c:v>
                </c:pt>
                <c:pt idx="106">
                  <c:v>47.381</c:v>
                </c:pt>
                <c:pt idx="107">
                  <c:v>47.323</c:v>
                </c:pt>
                <c:pt idx="108">
                  <c:v>47.265999999999998</c:v>
                </c:pt>
                <c:pt idx="109">
                  <c:v>47.216000000000001</c:v>
                </c:pt>
                <c:pt idx="110">
                  <c:v>47.164999999999999</c:v>
                </c:pt>
                <c:pt idx="111">
                  <c:v>47.097000000000001</c:v>
                </c:pt>
                <c:pt idx="112">
                  <c:v>47.024000000000001</c:v>
                </c:pt>
                <c:pt idx="113">
                  <c:v>46.94</c:v>
                </c:pt>
                <c:pt idx="114">
                  <c:v>46.844999999999999</c:v>
                </c:pt>
                <c:pt idx="115">
                  <c:v>46.734999999999999</c:v>
                </c:pt>
                <c:pt idx="116">
                  <c:v>46.613</c:v>
                </c:pt>
                <c:pt idx="117">
                  <c:v>46.476999999999997</c:v>
                </c:pt>
                <c:pt idx="118">
                  <c:v>46.308999999999997</c:v>
                </c:pt>
                <c:pt idx="119">
                  <c:v>46.118000000000002</c:v>
                </c:pt>
                <c:pt idx="120">
                  <c:v>45.948999999999998</c:v>
                </c:pt>
                <c:pt idx="121">
                  <c:v>45.76</c:v>
                </c:pt>
                <c:pt idx="122">
                  <c:v>45.56</c:v>
                </c:pt>
                <c:pt idx="123">
                  <c:v>45.359000000000002</c:v>
                </c:pt>
                <c:pt idx="124">
                  <c:v>45.136000000000003</c:v>
                </c:pt>
                <c:pt idx="125">
                  <c:v>44.914000000000001</c:v>
                </c:pt>
                <c:pt idx="126">
                  <c:v>44.695</c:v>
                </c:pt>
                <c:pt idx="127">
                  <c:v>44.451000000000001</c:v>
                </c:pt>
                <c:pt idx="128">
                  <c:v>44.206000000000003</c:v>
                </c:pt>
                <c:pt idx="129">
                  <c:v>43.953000000000003</c:v>
                </c:pt>
                <c:pt idx="130">
                  <c:v>43.671999999999997</c:v>
                </c:pt>
                <c:pt idx="131">
                  <c:v>43.383000000000003</c:v>
                </c:pt>
                <c:pt idx="132">
                  <c:v>43.109000000000002</c:v>
                </c:pt>
                <c:pt idx="133">
                  <c:v>42.84</c:v>
                </c:pt>
                <c:pt idx="134">
                  <c:v>42.572000000000003</c:v>
                </c:pt>
                <c:pt idx="135">
                  <c:v>42.308999999999997</c:v>
                </c:pt>
                <c:pt idx="136">
                  <c:v>42.046999999999997</c:v>
                </c:pt>
                <c:pt idx="137">
                  <c:v>41.790999999999997</c:v>
                </c:pt>
                <c:pt idx="138">
                  <c:v>41.51</c:v>
                </c:pt>
                <c:pt idx="139">
                  <c:v>41.204999999999998</c:v>
                </c:pt>
                <c:pt idx="140">
                  <c:v>40.884</c:v>
                </c:pt>
                <c:pt idx="141">
                  <c:v>40.512999999999998</c:v>
                </c:pt>
                <c:pt idx="142">
                  <c:v>40.167999999999999</c:v>
                </c:pt>
                <c:pt idx="143">
                  <c:v>39.841999999999999</c:v>
                </c:pt>
                <c:pt idx="144">
                  <c:v>39.521999999999998</c:v>
                </c:pt>
                <c:pt idx="145">
                  <c:v>39.249000000000002</c:v>
                </c:pt>
                <c:pt idx="146">
                  <c:v>38.962000000000003</c:v>
                </c:pt>
                <c:pt idx="147">
                  <c:v>38.628999999999998</c:v>
                </c:pt>
                <c:pt idx="148">
                  <c:v>38.393999999999998</c:v>
                </c:pt>
                <c:pt idx="149">
                  <c:v>38.081000000000003</c:v>
                </c:pt>
                <c:pt idx="150">
                  <c:v>37.750999999999998</c:v>
                </c:pt>
                <c:pt idx="151">
                  <c:v>37.384999999999998</c:v>
                </c:pt>
                <c:pt idx="152">
                  <c:v>36.993000000000002</c:v>
                </c:pt>
                <c:pt idx="153">
                  <c:v>36.625</c:v>
                </c:pt>
                <c:pt idx="154">
                  <c:v>36.276000000000003</c:v>
                </c:pt>
                <c:pt idx="155">
                  <c:v>35.892000000000003</c:v>
                </c:pt>
                <c:pt idx="156">
                  <c:v>35.479999999999997</c:v>
                </c:pt>
                <c:pt idx="157">
                  <c:v>35.128999999999998</c:v>
                </c:pt>
                <c:pt idx="158">
                  <c:v>34.720999999999997</c:v>
                </c:pt>
                <c:pt idx="159">
                  <c:v>34.347999999999999</c:v>
                </c:pt>
                <c:pt idx="160">
                  <c:v>34.100999999999999</c:v>
                </c:pt>
                <c:pt idx="161">
                  <c:v>33.771999999999998</c:v>
                </c:pt>
                <c:pt idx="162">
                  <c:v>33.575000000000003</c:v>
                </c:pt>
                <c:pt idx="163">
                  <c:v>33.384</c:v>
                </c:pt>
                <c:pt idx="164">
                  <c:v>33.192999999999998</c:v>
                </c:pt>
                <c:pt idx="165">
                  <c:v>33.061</c:v>
                </c:pt>
                <c:pt idx="166">
                  <c:v>32.884999999999998</c:v>
                </c:pt>
                <c:pt idx="167">
                  <c:v>32.567</c:v>
                </c:pt>
                <c:pt idx="168">
                  <c:v>32.201999999999998</c:v>
                </c:pt>
                <c:pt idx="169">
                  <c:v>31.783999999999999</c:v>
                </c:pt>
                <c:pt idx="170">
                  <c:v>31.456</c:v>
                </c:pt>
                <c:pt idx="171">
                  <c:v>31.286999999999999</c:v>
                </c:pt>
                <c:pt idx="172">
                  <c:v>30.89</c:v>
                </c:pt>
                <c:pt idx="173">
                  <c:v>30.475999999999999</c:v>
                </c:pt>
                <c:pt idx="174">
                  <c:v>30.327999999999999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AB-4434-AA4A-78B9DF0A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0.0</c:formatCode>
                <c:ptCount val="175"/>
                <c:pt idx="0">
                  <c:v>48.501612141772895</c:v>
                </c:pt>
                <c:pt idx="1">
                  <c:v>48.496162864785717</c:v>
                </c:pt>
                <c:pt idx="2">
                  <c:v>48.490661635183308</c:v>
                </c:pt>
                <c:pt idx="3">
                  <c:v>48.484939261005685</c:v>
                </c:pt>
                <c:pt idx="4">
                  <c:v>48.478939614799579</c:v>
                </c:pt>
                <c:pt idx="5">
                  <c:v>48.471878208879225</c:v>
                </c:pt>
                <c:pt idx="6">
                  <c:v>48.464714471940731</c:v>
                </c:pt>
                <c:pt idx="7">
                  <c:v>48.457079057286954</c:v>
                </c:pt>
                <c:pt idx="8">
                  <c:v>48.44938150997816</c:v>
                </c:pt>
                <c:pt idx="9">
                  <c:v>48.441629209052763</c:v>
                </c:pt>
                <c:pt idx="10">
                  <c:v>48.433392881258982</c:v>
                </c:pt>
                <c:pt idx="11">
                  <c:v>48.424364983907545</c:v>
                </c:pt>
                <c:pt idx="12">
                  <c:v>48.414869993224393</c:v>
                </c:pt>
                <c:pt idx="13">
                  <c:v>48.405281911605428</c:v>
                </c:pt>
                <c:pt idx="14">
                  <c:v>48.395127364908781</c:v>
                </c:pt>
                <c:pt idx="15">
                  <c:v>48.384222996400339</c:v>
                </c:pt>
                <c:pt idx="16">
                  <c:v>48.372690963053095</c:v>
                </c:pt>
                <c:pt idx="17">
                  <c:v>48.360908490006452</c:v>
                </c:pt>
                <c:pt idx="18">
                  <c:v>48.348298915667954</c:v>
                </c:pt>
                <c:pt idx="19">
                  <c:v>48.335397234575858</c:v>
                </c:pt>
                <c:pt idx="20">
                  <c:v>48.321749880091843</c:v>
                </c:pt>
                <c:pt idx="21">
                  <c:v>48.30786034641509</c:v>
                </c:pt>
                <c:pt idx="22">
                  <c:v>48.293247009330464</c:v>
                </c:pt>
                <c:pt idx="23">
                  <c:v>48.27700014284526</c:v>
                </c:pt>
                <c:pt idx="24">
                  <c:v>48.259720478424882</c:v>
                </c:pt>
                <c:pt idx="25">
                  <c:v>48.24388966645337</c:v>
                </c:pt>
                <c:pt idx="26">
                  <c:v>48.226527585633441</c:v>
                </c:pt>
                <c:pt idx="27">
                  <c:v>48.209386816578267</c:v>
                </c:pt>
                <c:pt idx="28">
                  <c:v>48.191827895504687</c:v>
                </c:pt>
                <c:pt idx="29">
                  <c:v>48.174431181906677</c:v>
                </c:pt>
                <c:pt idx="30">
                  <c:v>48.155720621742759</c:v>
                </c:pt>
                <c:pt idx="31">
                  <c:v>48.134211574835298</c:v>
                </c:pt>
                <c:pt idx="32">
                  <c:v>48.112032569583839</c:v>
                </c:pt>
                <c:pt idx="33">
                  <c:v>48.088490225912665</c:v>
                </c:pt>
                <c:pt idx="34">
                  <c:v>48.063572844200415</c:v>
                </c:pt>
                <c:pt idx="35">
                  <c:v>48.038447055964156</c:v>
                </c:pt>
                <c:pt idx="36">
                  <c:v>48.013262351726546</c:v>
                </c:pt>
                <c:pt idx="37">
                  <c:v>47.987748424494619</c:v>
                </c:pt>
                <c:pt idx="38">
                  <c:v>47.960931987773684</c:v>
                </c:pt>
                <c:pt idx="39">
                  <c:v>47.931056959052086</c:v>
                </c:pt>
                <c:pt idx="40">
                  <c:v>47.901577951085152</c:v>
                </c:pt>
                <c:pt idx="41">
                  <c:v>47.869334554917984</c:v>
                </c:pt>
                <c:pt idx="42">
                  <c:v>47.83569097985032</c:v>
                </c:pt>
                <c:pt idx="43">
                  <c:v>47.801778138157786</c:v>
                </c:pt>
                <c:pt idx="44">
                  <c:v>47.768897169632382</c:v>
                </c:pt>
                <c:pt idx="45">
                  <c:v>47.734727511783639</c:v>
                </c:pt>
                <c:pt idx="46">
                  <c:v>47.69875111395622</c:v>
                </c:pt>
                <c:pt idx="47">
                  <c:v>47.661697880120826</c:v>
                </c:pt>
                <c:pt idx="48">
                  <c:v>47.623098180542186</c:v>
                </c:pt>
                <c:pt idx="49">
                  <c:v>47.582714938970227</c:v>
                </c:pt>
                <c:pt idx="50">
                  <c:v>47.538203995252609</c:v>
                </c:pt>
                <c:pt idx="51">
                  <c:v>47.491030618934602</c:v>
                </c:pt>
                <c:pt idx="52">
                  <c:v>47.442789048330638</c:v>
                </c:pt>
                <c:pt idx="53">
                  <c:v>47.392865517444996</c:v>
                </c:pt>
                <c:pt idx="54">
                  <c:v>47.337593755153087</c:v>
                </c:pt>
                <c:pt idx="55">
                  <c:v>47.28229004810288</c:v>
                </c:pt>
                <c:pt idx="56">
                  <c:v>47.222434369726123</c:v>
                </c:pt>
                <c:pt idx="57">
                  <c:v>47.160964532708874</c:v>
                </c:pt>
                <c:pt idx="58">
                  <c:v>47.090483565010715</c:v>
                </c:pt>
                <c:pt idx="59">
                  <c:v>47.024122890992935</c:v>
                </c:pt>
                <c:pt idx="60">
                  <c:v>46.95474264159666</c:v>
                </c:pt>
                <c:pt idx="61">
                  <c:v>46.880730359673976</c:v>
                </c:pt>
                <c:pt idx="62">
                  <c:v>46.806398301919131</c:v>
                </c:pt>
                <c:pt idx="63">
                  <c:v>46.727945644771459</c:v>
                </c:pt>
                <c:pt idx="64">
                  <c:v>46.642810312579826</c:v>
                </c:pt>
                <c:pt idx="65">
                  <c:v>46.565140051004107</c:v>
                </c:pt>
                <c:pt idx="66">
                  <c:v>46.488152729834454</c:v>
                </c:pt>
                <c:pt idx="67">
                  <c:v>46.405107966593675</c:v>
                </c:pt>
                <c:pt idx="68">
                  <c:v>46.318283804951434</c:v>
                </c:pt>
                <c:pt idx="69">
                  <c:v>46.227868368340694</c:v>
                </c:pt>
                <c:pt idx="70">
                  <c:v>46.14680777975483</c:v>
                </c:pt>
                <c:pt idx="71">
                  <c:v>46.055860748105054</c:v>
                </c:pt>
                <c:pt idx="72">
                  <c:v>45.979599499130579</c:v>
                </c:pt>
                <c:pt idx="73">
                  <c:v>45.898087832772497</c:v>
                </c:pt>
                <c:pt idx="74">
                  <c:v>45.802146125794032</c:v>
                </c:pt>
                <c:pt idx="75">
                  <c:v>45.706852941275493</c:v>
                </c:pt>
                <c:pt idx="76">
                  <c:v>45.609095037121435</c:v>
                </c:pt>
                <c:pt idx="77">
                  <c:v>45.514533187103787</c:v>
                </c:pt>
                <c:pt idx="78">
                  <c:v>45.410487980853624</c:v>
                </c:pt>
                <c:pt idx="79">
                  <c:v>45.308601442835453</c:v>
                </c:pt>
                <c:pt idx="80">
                  <c:v>45.198883434622203</c:v>
                </c:pt>
                <c:pt idx="81">
                  <c:v>45.100928679115491</c:v>
                </c:pt>
                <c:pt idx="82">
                  <c:v>45.017075876325805</c:v>
                </c:pt>
                <c:pt idx="83">
                  <c:v>44.944644961231255</c:v>
                </c:pt>
                <c:pt idx="84">
                  <c:v>44.868531045303413</c:v>
                </c:pt>
                <c:pt idx="85">
                  <c:v>44.787648010794484</c:v>
                </c:pt>
                <c:pt idx="86">
                  <c:v>44.704619972644991</c:v>
                </c:pt>
                <c:pt idx="87">
                  <c:v>44.613128241540373</c:v>
                </c:pt>
                <c:pt idx="88">
                  <c:v>44.514417539732229</c:v>
                </c:pt>
                <c:pt idx="89">
                  <c:v>44.426797638094925</c:v>
                </c:pt>
                <c:pt idx="90">
                  <c:v>44.332026392311782</c:v>
                </c:pt>
                <c:pt idx="91">
                  <c:v>44.237459074976556</c:v>
                </c:pt>
                <c:pt idx="92">
                  <c:v>44.135696196157674</c:v>
                </c:pt>
                <c:pt idx="93">
                  <c:v>44.024151660406233</c:v>
                </c:pt>
                <c:pt idx="94">
                  <c:v>43.913424824505626</c:v>
                </c:pt>
                <c:pt idx="95">
                  <c:v>43.802991317301519</c:v>
                </c:pt>
                <c:pt idx="96">
                  <c:v>43.711548716140427</c:v>
                </c:pt>
                <c:pt idx="97">
                  <c:v>43.616011653453093</c:v>
                </c:pt>
                <c:pt idx="98">
                  <c:v>43.506341146570684</c:v>
                </c:pt>
                <c:pt idx="99">
                  <c:v>43.387839962155915</c:v>
                </c:pt>
                <c:pt idx="100">
                  <c:v>43.283913025230383</c:v>
                </c:pt>
                <c:pt idx="101">
                  <c:v>43.161920956794035</c:v>
                </c:pt>
                <c:pt idx="102">
                  <c:v>43.032180455430478</c:v>
                </c:pt>
                <c:pt idx="103">
                  <c:v>42.906683242526015</c:v>
                </c:pt>
                <c:pt idx="104">
                  <c:v>42.779315646409181</c:v>
                </c:pt>
                <c:pt idx="105">
                  <c:v>42.656594750757897</c:v>
                </c:pt>
                <c:pt idx="106">
                  <c:v>42.524681419906784</c:v>
                </c:pt>
                <c:pt idx="107">
                  <c:v>42.386466910670165</c:v>
                </c:pt>
                <c:pt idx="108">
                  <c:v>42.252774140738858</c:v>
                </c:pt>
                <c:pt idx="109">
                  <c:v>42.13474690588329</c:v>
                </c:pt>
                <c:pt idx="110">
                  <c:v>42.020783184609392</c:v>
                </c:pt>
                <c:pt idx="111">
                  <c:v>41.901140064071051</c:v>
                </c:pt>
                <c:pt idx="112">
                  <c:v>41.772508541568079</c:v>
                </c:pt>
                <c:pt idx="113">
                  <c:v>41.63320984636615</c:v>
                </c:pt>
                <c:pt idx="114">
                  <c:v>41.483941870923871</c:v>
                </c:pt>
                <c:pt idx="115">
                  <c:v>41.326851547275893</c:v>
                </c:pt>
                <c:pt idx="116">
                  <c:v>41.16440409700818</c:v>
                </c:pt>
                <c:pt idx="117">
                  <c:v>40.996610975379696</c:v>
                </c:pt>
                <c:pt idx="118">
                  <c:v>40.817576438980481</c:v>
                </c:pt>
                <c:pt idx="119">
                  <c:v>40.627135141785907</c:v>
                </c:pt>
                <c:pt idx="120">
                  <c:v>40.423280684251814</c:v>
                </c:pt>
                <c:pt idx="121">
                  <c:v>40.207674217595141</c:v>
                </c:pt>
                <c:pt idx="122">
                  <c:v>39.993605263597253</c:v>
                </c:pt>
                <c:pt idx="123">
                  <c:v>39.765552164114979</c:v>
                </c:pt>
                <c:pt idx="124">
                  <c:v>39.522640506022533</c:v>
                </c:pt>
                <c:pt idx="125">
                  <c:v>39.292266576974924</c:v>
                </c:pt>
                <c:pt idx="126">
                  <c:v>39.088129254238531</c:v>
                </c:pt>
                <c:pt idx="127">
                  <c:v>38.866063418810022</c:v>
                </c:pt>
                <c:pt idx="128">
                  <c:v>38.644444595121428</c:v>
                </c:pt>
                <c:pt idx="129">
                  <c:v>38.41718917573084</c:v>
                </c:pt>
                <c:pt idx="130">
                  <c:v>38.177802439841876</c:v>
                </c:pt>
                <c:pt idx="131">
                  <c:v>37.954516632708781</c:v>
                </c:pt>
                <c:pt idx="132">
                  <c:v>37.741136796733329</c:v>
                </c:pt>
                <c:pt idx="133">
                  <c:v>37.553607946269999</c:v>
                </c:pt>
                <c:pt idx="134">
                  <c:v>37.369060396742519</c:v>
                </c:pt>
                <c:pt idx="135">
                  <c:v>37.176024562881345</c:v>
                </c:pt>
                <c:pt idx="136">
                  <c:v>36.99334470524564</c:v>
                </c:pt>
                <c:pt idx="137">
                  <c:v>36.815881376262354</c:v>
                </c:pt>
                <c:pt idx="138">
                  <c:v>36.626738175566871</c:v>
                </c:pt>
                <c:pt idx="139">
                  <c:v>36.425106565476476</c:v>
                </c:pt>
                <c:pt idx="140">
                  <c:v>36.206994077139726</c:v>
                </c:pt>
                <c:pt idx="141">
                  <c:v>35.96991985921094</c:v>
                </c:pt>
                <c:pt idx="142">
                  <c:v>35.734388492227673</c:v>
                </c:pt>
                <c:pt idx="143">
                  <c:v>35.461601883426255</c:v>
                </c:pt>
                <c:pt idx="144">
                  <c:v>35.178740068687929</c:v>
                </c:pt>
                <c:pt idx="145">
                  <c:v>34.870391629159897</c:v>
                </c:pt>
                <c:pt idx="146">
                  <c:v>34.552539262818605</c:v>
                </c:pt>
                <c:pt idx="147">
                  <c:v>34.212941320571872</c:v>
                </c:pt>
                <c:pt idx="148">
                  <c:v>33.858059622805328</c:v>
                </c:pt>
                <c:pt idx="149">
                  <c:v>33.468855573633668</c:v>
                </c:pt>
                <c:pt idx="150">
                  <c:v>33.065705954571726</c:v>
                </c:pt>
                <c:pt idx="151">
                  <c:v>32.628727351992744</c:v>
                </c:pt>
                <c:pt idx="152">
                  <c:v>32.184145526827898</c:v>
                </c:pt>
                <c:pt idx="153">
                  <c:v>31.725902179597227</c:v>
                </c:pt>
                <c:pt idx="154">
                  <c:v>31.272767859479039</c:v>
                </c:pt>
                <c:pt idx="155">
                  <c:v>30.812448091713495</c:v>
                </c:pt>
                <c:pt idx="156">
                  <c:v>30.360318171642199</c:v>
                </c:pt>
                <c:pt idx="157">
                  <c:v>29.921763343616846</c:v>
                </c:pt>
                <c:pt idx="158">
                  <c:v>29.465852878774392</c:v>
                </c:pt>
                <c:pt idx="159">
                  <c:v>29.042652956553898</c:v>
                </c:pt>
                <c:pt idx="160">
                  <c:v>28.693716835078824</c:v>
                </c:pt>
                <c:pt idx="161">
                  <c:v>28.318980786999791</c:v>
                </c:pt>
                <c:pt idx="162">
                  <c:v>28.012018233340179</c:v>
                </c:pt>
                <c:pt idx="163">
                  <c:v>27.732196787909917</c:v>
                </c:pt>
                <c:pt idx="164">
                  <c:v>27.406304026497285</c:v>
                </c:pt>
                <c:pt idx="165">
                  <c:v>27.090867353471531</c:v>
                </c:pt>
                <c:pt idx="166">
                  <c:v>26.77192807241855</c:v>
                </c:pt>
                <c:pt idx="167">
                  <c:v>26.447744355314782</c:v>
                </c:pt>
                <c:pt idx="168">
                  <c:v>26.13269873012592</c:v>
                </c:pt>
                <c:pt idx="169">
                  <c:v>25.760273818815193</c:v>
                </c:pt>
                <c:pt idx="170">
                  <c:v>25.400105344438444</c:v>
                </c:pt>
                <c:pt idx="171">
                  <c:v>25.250557904175118</c:v>
                </c:pt>
                <c:pt idx="172">
                  <c:v>24.928989779387692</c:v>
                </c:pt>
                <c:pt idx="173">
                  <c:v>24.418972953974951</c:v>
                </c:pt>
                <c:pt idx="174">
                  <c:v>24.181466698198054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D-47F7-A427-80C475EEA81D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0.0</c:formatCode>
                <c:ptCount val="175"/>
                <c:pt idx="0">
                  <c:v>0.13291763889239405</c:v>
                </c:pt>
                <c:pt idx="1">
                  <c:v>0.13293297025524708</c:v>
                </c:pt>
                <c:pt idx="2">
                  <c:v>0.13296805049681382</c:v>
                </c:pt>
                <c:pt idx="3">
                  <c:v>0.13301615906421915</c:v>
                </c:pt>
                <c:pt idx="4">
                  <c:v>0.13307134668248466</c:v>
                </c:pt>
                <c:pt idx="5">
                  <c:v>0.13313041699073125</c:v>
                </c:pt>
                <c:pt idx="6">
                  <c:v>0.13321563348898025</c:v>
                </c:pt>
                <c:pt idx="7">
                  <c:v>0.13332106969423307</c:v>
                </c:pt>
                <c:pt idx="8">
                  <c:v>0.13344507604695366</c:v>
                </c:pt>
                <c:pt idx="9">
                  <c:v>0.1335952268082039</c:v>
                </c:pt>
                <c:pt idx="10">
                  <c:v>0.133730060320147</c:v>
                </c:pt>
                <c:pt idx="11">
                  <c:v>0.13386886270564702</c:v>
                </c:pt>
                <c:pt idx="12">
                  <c:v>0.13404080121336648</c:v>
                </c:pt>
                <c:pt idx="13">
                  <c:v>0.13421966326528434</c:v>
                </c:pt>
                <c:pt idx="14">
                  <c:v>0.13438988401976815</c:v>
                </c:pt>
                <c:pt idx="15">
                  <c:v>0.13457293256448821</c:v>
                </c:pt>
                <c:pt idx="16">
                  <c:v>0.1347719640252123</c:v>
                </c:pt>
                <c:pt idx="17">
                  <c:v>0.13497821985028935</c:v>
                </c:pt>
                <c:pt idx="18">
                  <c:v>0.13520167229141578</c:v>
                </c:pt>
                <c:pt idx="19">
                  <c:v>0.13544369962742309</c:v>
                </c:pt>
                <c:pt idx="20">
                  <c:v>0.13567351836675812</c:v>
                </c:pt>
                <c:pt idx="21">
                  <c:v>0.13592353540495594</c:v>
                </c:pt>
                <c:pt idx="22">
                  <c:v>0.13619532669386558</c:v>
                </c:pt>
                <c:pt idx="23">
                  <c:v>0.13651791198415708</c:v>
                </c:pt>
                <c:pt idx="24">
                  <c:v>0.13685942653867755</c:v>
                </c:pt>
                <c:pt idx="25">
                  <c:v>0.13716642144790114</c:v>
                </c:pt>
                <c:pt idx="26">
                  <c:v>0.13752438850990245</c:v>
                </c:pt>
                <c:pt idx="27">
                  <c:v>0.13787971220600781</c:v>
                </c:pt>
                <c:pt idx="28">
                  <c:v>0.13823329474035972</c:v>
                </c:pt>
                <c:pt idx="29">
                  <c:v>0.13860964130937248</c:v>
                </c:pt>
                <c:pt idx="30">
                  <c:v>0.13903792213260147</c:v>
                </c:pt>
                <c:pt idx="31">
                  <c:v>0.13962403030026849</c:v>
                </c:pt>
                <c:pt idx="32">
                  <c:v>0.14012042160261728</c:v>
                </c:pt>
                <c:pt idx="33">
                  <c:v>0.14067119095010128</c:v>
                </c:pt>
                <c:pt idx="34">
                  <c:v>0.141258491683665</c:v>
                </c:pt>
                <c:pt idx="35">
                  <c:v>0.14187784090618294</c:v>
                </c:pt>
                <c:pt idx="36">
                  <c:v>0.14254200357049029</c:v>
                </c:pt>
                <c:pt idx="37">
                  <c:v>0.14318640138253613</c:v>
                </c:pt>
                <c:pt idx="38">
                  <c:v>0.14383644970737208</c:v>
                </c:pt>
                <c:pt idx="39">
                  <c:v>0.14459233298994434</c:v>
                </c:pt>
                <c:pt idx="40">
                  <c:v>0.14539960329608448</c:v>
                </c:pt>
                <c:pt idx="41">
                  <c:v>0.1462464189167676</c:v>
                </c:pt>
                <c:pt idx="42">
                  <c:v>0.14715563021786693</c:v>
                </c:pt>
                <c:pt idx="43">
                  <c:v>0.1480790935261922</c:v>
                </c:pt>
                <c:pt idx="44">
                  <c:v>0.14904614216515455</c:v>
                </c:pt>
                <c:pt idx="45">
                  <c:v>0.1501045828587948</c:v>
                </c:pt>
                <c:pt idx="46">
                  <c:v>0.15118101657726157</c:v>
                </c:pt>
                <c:pt idx="47">
                  <c:v>0.15229825609157643</c:v>
                </c:pt>
                <c:pt idx="48">
                  <c:v>0.15348749018168917</c:v>
                </c:pt>
                <c:pt idx="49">
                  <c:v>0.1547500822889063</c:v>
                </c:pt>
                <c:pt idx="50">
                  <c:v>0.15616311351443812</c:v>
                </c:pt>
                <c:pt idx="51">
                  <c:v>0.15775711326121922</c:v>
                </c:pt>
                <c:pt idx="52">
                  <c:v>0.15920896272627516</c:v>
                </c:pt>
                <c:pt idx="53">
                  <c:v>0.16066164747797984</c:v>
                </c:pt>
                <c:pt idx="54">
                  <c:v>0.16219468215209787</c:v>
                </c:pt>
                <c:pt idx="55">
                  <c:v>0.16368665719588193</c:v>
                </c:pt>
                <c:pt idx="56">
                  <c:v>0.16530201770404318</c:v>
                </c:pt>
                <c:pt idx="57">
                  <c:v>0.16657780297759928</c:v>
                </c:pt>
                <c:pt idx="58">
                  <c:v>0.16876930571165616</c:v>
                </c:pt>
                <c:pt idx="59">
                  <c:v>0.17099047305927684</c:v>
                </c:pt>
                <c:pt idx="60">
                  <c:v>0.17320416628773216</c:v>
                </c:pt>
                <c:pt idx="61">
                  <c:v>0.17556233333425553</c:v>
                </c:pt>
                <c:pt idx="62">
                  <c:v>0.17768683000024765</c:v>
                </c:pt>
                <c:pt idx="63">
                  <c:v>0.18036539077930058</c:v>
                </c:pt>
                <c:pt idx="64">
                  <c:v>0.18334002638399483</c:v>
                </c:pt>
                <c:pt idx="65">
                  <c:v>0.18596588319993401</c:v>
                </c:pt>
                <c:pt idx="66">
                  <c:v>0.18835242420445297</c:v>
                </c:pt>
                <c:pt idx="67">
                  <c:v>0.19069628179887843</c:v>
                </c:pt>
                <c:pt idx="68">
                  <c:v>0.19241673544482296</c:v>
                </c:pt>
                <c:pt idx="69">
                  <c:v>0.19448376338918649</c:v>
                </c:pt>
                <c:pt idx="70">
                  <c:v>0.19631052547969574</c:v>
                </c:pt>
                <c:pt idx="71">
                  <c:v>0.19833526771191856</c:v>
                </c:pt>
                <c:pt idx="72">
                  <c:v>0.20009454938267623</c:v>
                </c:pt>
                <c:pt idx="73">
                  <c:v>0.20215421860458349</c:v>
                </c:pt>
                <c:pt idx="74">
                  <c:v>0.20420674292710572</c:v>
                </c:pt>
                <c:pt idx="75">
                  <c:v>0.20635137217323773</c:v>
                </c:pt>
                <c:pt idx="76">
                  <c:v>0.20913265597378228</c:v>
                </c:pt>
                <c:pt idx="77">
                  <c:v>0.21149767046856027</c:v>
                </c:pt>
                <c:pt idx="78">
                  <c:v>0.21427478228631003</c:v>
                </c:pt>
                <c:pt idx="79">
                  <c:v>0.21627616011369355</c:v>
                </c:pt>
                <c:pt idx="80">
                  <c:v>0.21831754085713584</c:v>
                </c:pt>
                <c:pt idx="81">
                  <c:v>0.21962102680308249</c:v>
                </c:pt>
                <c:pt idx="82">
                  <c:v>0.22080355612666835</c:v>
                </c:pt>
                <c:pt idx="83">
                  <c:v>0.22179436921845053</c:v>
                </c:pt>
                <c:pt idx="84">
                  <c:v>0.22277009345003762</c:v>
                </c:pt>
                <c:pt idx="85">
                  <c:v>0.22371953664443112</c:v>
                </c:pt>
                <c:pt idx="86">
                  <c:v>0.22454881447497854</c:v>
                </c:pt>
                <c:pt idx="87">
                  <c:v>0.22529151533917968</c:v>
                </c:pt>
                <c:pt idx="88">
                  <c:v>0.22619672741941343</c:v>
                </c:pt>
                <c:pt idx="89">
                  <c:v>0.22644098740737206</c:v>
                </c:pt>
                <c:pt idx="90">
                  <c:v>0.22705697156467153</c:v>
                </c:pt>
                <c:pt idx="91">
                  <c:v>0.22712126994206017</c:v>
                </c:pt>
                <c:pt idx="92">
                  <c:v>0.22652041738582085</c:v>
                </c:pt>
                <c:pt idx="93">
                  <c:v>0.22514905563489407</c:v>
                </c:pt>
                <c:pt idx="94">
                  <c:v>0.2205726987975325</c:v>
                </c:pt>
                <c:pt idx="95">
                  <c:v>0.21784886857119545</c:v>
                </c:pt>
                <c:pt idx="96">
                  <c:v>0.21376684109236521</c:v>
                </c:pt>
                <c:pt idx="97">
                  <c:v>0.20957280153321278</c:v>
                </c:pt>
                <c:pt idx="98">
                  <c:v>0.2076210361683053</c:v>
                </c:pt>
                <c:pt idx="99">
                  <c:v>0.20624932393838691</c:v>
                </c:pt>
                <c:pt idx="100">
                  <c:v>0.2036736573701674</c:v>
                </c:pt>
                <c:pt idx="101">
                  <c:v>0.20607182859159678</c:v>
                </c:pt>
                <c:pt idx="102">
                  <c:v>0.20875519929858655</c:v>
                </c:pt>
                <c:pt idx="103">
                  <c:v>0.21135637879476832</c:v>
                </c:pt>
                <c:pt idx="104">
                  <c:v>0.2138146913399126</c:v>
                </c:pt>
                <c:pt idx="105">
                  <c:v>0.2164174567999666</c:v>
                </c:pt>
                <c:pt idx="106">
                  <c:v>0.21947458173064405</c:v>
                </c:pt>
                <c:pt idx="107">
                  <c:v>0.22274183304854489</c:v>
                </c:pt>
                <c:pt idx="108">
                  <c:v>0.22541203816559374</c:v>
                </c:pt>
                <c:pt idx="109">
                  <c:v>0.22730656709679664</c:v>
                </c:pt>
                <c:pt idx="110">
                  <c:v>0.22926511049209353</c:v>
                </c:pt>
                <c:pt idx="111">
                  <c:v>0.23041633267925477</c:v>
                </c:pt>
                <c:pt idx="112">
                  <c:v>0.23136401345698943</c:v>
                </c:pt>
                <c:pt idx="113">
                  <c:v>0.23280920080514278</c:v>
                </c:pt>
                <c:pt idx="114">
                  <c:v>0.23590171584064734</c:v>
                </c:pt>
                <c:pt idx="115">
                  <c:v>0.23915908928400142</c:v>
                </c:pt>
                <c:pt idx="116">
                  <c:v>0.24359634742597081</c:v>
                </c:pt>
                <c:pt idx="117">
                  <c:v>0.2465131020371345</c:v>
                </c:pt>
                <c:pt idx="118">
                  <c:v>0.25062412964901171</c:v>
                </c:pt>
                <c:pt idx="119">
                  <c:v>0.25446897713869276</c:v>
                </c:pt>
                <c:pt idx="120">
                  <c:v>0.25908679189975459</c:v>
                </c:pt>
                <c:pt idx="121">
                  <c:v>0.26215511458615737</c:v>
                </c:pt>
                <c:pt idx="122">
                  <c:v>0.26594469559228173</c:v>
                </c:pt>
                <c:pt idx="123">
                  <c:v>0.27046890220451303</c:v>
                </c:pt>
                <c:pt idx="124">
                  <c:v>0.27651185450890381</c:v>
                </c:pt>
                <c:pt idx="125">
                  <c:v>0.28240266694230343</c:v>
                </c:pt>
                <c:pt idx="126">
                  <c:v>0.2856931199500039</c:v>
                </c:pt>
                <c:pt idx="127">
                  <c:v>0.29221923838500885</c:v>
                </c:pt>
                <c:pt idx="128">
                  <c:v>0.29897177662441976</c:v>
                </c:pt>
                <c:pt idx="129">
                  <c:v>0.30839018486299352</c:v>
                </c:pt>
                <c:pt idx="130">
                  <c:v>0.3195065996058446</c:v>
                </c:pt>
                <c:pt idx="131">
                  <c:v>0.3297032064436749</c:v>
                </c:pt>
                <c:pt idx="132">
                  <c:v>0.3402677295630383</c:v>
                </c:pt>
                <c:pt idx="133">
                  <c:v>0.34866011814096964</c:v>
                </c:pt>
                <c:pt idx="134">
                  <c:v>0.35890099020956967</c:v>
                </c:pt>
                <c:pt idx="135">
                  <c:v>0.37027333889557212</c:v>
                </c:pt>
                <c:pt idx="136">
                  <c:v>0.38210592715794434</c:v>
                </c:pt>
                <c:pt idx="137">
                  <c:v>0.39425334989867622</c:v>
                </c:pt>
                <c:pt idx="138">
                  <c:v>0.4081379062117918</c:v>
                </c:pt>
                <c:pt idx="139">
                  <c:v>0.4259133464590974</c:v>
                </c:pt>
                <c:pt idx="140">
                  <c:v>0.44225442906250123</c:v>
                </c:pt>
                <c:pt idx="141">
                  <c:v>0.44122015990200225</c:v>
                </c:pt>
                <c:pt idx="142">
                  <c:v>0.42991336275764525</c:v>
                </c:pt>
                <c:pt idx="143">
                  <c:v>0.43025397751696914</c:v>
                </c:pt>
                <c:pt idx="144">
                  <c:v>0.43225477597307105</c:v>
                </c:pt>
                <c:pt idx="145">
                  <c:v>0.43706788359008897</c:v>
                </c:pt>
                <c:pt idx="146">
                  <c:v>0.44097083023268624</c:v>
                </c:pt>
                <c:pt idx="147">
                  <c:v>0.44283810941944068</c:v>
                </c:pt>
                <c:pt idx="148">
                  <c:v>0.44271115606039046</c:v>
                </c:pt>
                <c:pt idx="149">
                  <c:v>0.44018789386743862</c:v>
                </c:pt>
                <c:pt idx="150">
                  <c:v>0.43642305216754096</c:v>
                </c:pt>
                <c:pt idx="151">
                  <c:v>0.4312231488509326</c:v>
                </c:pt>
                <c:pt idx="152">
                  <c:v>0.42283416768067639</c:v>
                </c:pt>
                <c:pt idx="153">
                  <c:v>0.41076288151717932</c:v>
                </c:pt>
                <c:pt idx="154">
                  <c:v>0.39855554465671617</c:v>
                </c:pt>
                <c:pt idx="155">
                  <c:v>0.38072853487388159</c:v>
                </c:pt>
                <c:pt idx="156">
                  <c:v>0.35708232898391046</c:v>
                </c:pt>
                <c:pt idx="157">
                  <c:v>0.33919076522371938</c:v>
                </c:pt>
                <c:pt idx="158">
                  <c:v>0.32364412404541554</c:v>
                </c:pt>
                <c:pt idx="159">
                  <c:v>0.31581501017986113</c:v>
                </c:pt>
                <c:pt idx="160">
                  <c:v>0.31108003772292747</c:v>
                </c:pt>
                <c:pt idx="161">
                  <c:v>0.32202127051397866</c:v>
                </c:pt>
                <c:pt idx="162">
                  <c:v>0.33261950473522717</c:v>
                </c:pt>
                <c:pt idx="163">
                  <c:v>0.34555024808817336</c:v>
                </c:pt>
                <c:pt idx="164">
                  <c:v>0.35682394751759361</c:v>
                </c:pt>
                <c:pt idx="165">
                  <c:v>0.35797406931196818</c:v>
                </c:pt>
                <c:pt idx="166">
                  <c:v>0.33782910528041654</c:v>
                </c:pt>
                <c:pt idx="167">
                  <c:v>0.3024851473422423</c:v>
                </c:pt>
                <c:pt idx="168">
                  <c:v>0.2425854565639689</c:v>
                </c:pt>
                <c:pt idx="169">
                  <c:v>0.17938649779293314</c:v>
                </c:pt>
                <c:pt idx="170">
                  <c:v>0.13785866134695723</c:v>
                </c:pt>
                <c:pt idx="171">
                  <c:v>8.220747510279125E-2</c:v>
                </c:pt>
                <c:pt idx="172">
                  <c:v>2.3049685697031919E-3</c:v>
                </c:pt>
                <c:pt idx="173">
                  <c:v>2.3114503745048864E-2</c:v>
                </c:pt>
                <c:pt idx="174">
                  <c:v>0.14350325362774541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D-47F7-A427-80C475EEA81D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D-47F7-A427-80C475EEA81D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0.0</c:formatCode>
                <c:ptCount val="175"/>
                <c:pt idx="0">
                  <c:v>13.457213427147224</c:v>
                </c:pt>
                <c:pt idx="1">
                  <c:v>13.458504328467953</c:v>
                </c:pt>
                <c:pt idx="2">
                  <c:v>13.45978583257569</c:v>
                </c:pt>
                <c:pt idx="3">
                  <c:v>13.461092528367004</c:v>
                </c:pt>
                <c:pt idx="4">
                  <c:v>13.462461452696743</c:v>
                </c:pt>
                <c:pt idx="5">
                  <c:v>13.464083299585852</c:v>
                </c:pt>
                <c:pt idx="6">
                  <c:v>13.46568037762701</c:v>
                </c:pt>
                <c:pt idx="7">
                  <c:v>13.46738933779104</c:v>
                </c:pt>
                <c:pt idx="8">
                  <c:v>13.469094745689041</c:v>
                </c:pt>
                <c:pt idx="9">
                  <c:v>13.470764146383772</c:v>
                </c:pt>
                <c:pt idx="10">
                  <c:v>13.472571971370954</c:v>
                </c:pt>
                <c:pt idx="11">
                  <c:v>13.474552479641169</c:v>
                </c:pt>
                <c:pt idx="12">
                  <c:v>13.476604268734938</c:v>
                </c:pt>
                <c:pt idx="13">
                  <c:v>13.478603265347779</c:v>
                </c:pt>
                <c:pt idx="14">
                  <c:v>13.48067145670386</c:v>
                </c:pt>
                <c:pt idx="15">
                  <c:v>13.482861905306976</c:v>
                </c:pt>
                <c:pt idx="16">
                  <c:v>13.485133475321071</c:v>
                </c:pt>
                <c:pt idx="17">
                  <c:v>13.487390278911093</c:v>
                </c:pt>
                <c:pt idx="18">
                  <c:v>13.489754318871739</c:v>
                </c:pt>
                <c:pt idx="19">
                  <c:v>13.492108185550904</c:v>
                </c:pt>
                <c:pt idx="20">
                  <c:v>13.494570334859965</c:v>
                </c:pt>
                <c:pt idx="21">
                  <c:v>13.497008851274174</c:v>
                </c:pt>
                <c:pt idx="22">
                  <c:v>13.499443431764526</c:v>
                </c:pt>
                <c:pt idx="23">
                  <c:v>13.502195979910802</c:v>
                </c:pt>
                <c:pt idx="24">
                  <c:v>13.505127727688375</c:v>
                </c:pt>
                <c:pt idx="25">
                  <c:v>13.507558477075392</c:v>
                </c:pt>
                <c:pt idx="26">
                  <c:v>13.510322962148145</c:v>
                </c:pt>
                <c:pt idx="27">
                  <c:v>13.512660383640352</c:v>
                </c:pt>
                <c:pt idx="28">
                  <c:v>13.515110976255094</c:v>
                </c:pt>
                <c:pt idx="29">
                  <c:v>13.517367899340393</c:v>
                </c:pt>
                <c:pt idx="30">
                  <c:v>13.519807453395913</c:v>
                </c:pt>
                <c:pt idx="31">
                  <c:v>13.52281332729887</c:v>
                </c:pt>
                <c:pt idx="32">
                  <c:v>13.525938924233309</c:v>
                </c:pt>
                <c:pt idx="33">
                  <c:v>13.529314953652772</c:v>
                </c:pt>
                <c:pt idx="34">
                  <c:v>13.532770373663183</c:v>
                </c:pt>
                <c:pt idx="35">
                  <c:v>13.536172752308012</c:v>
                </c:pt>
                <c:pt idx="36">
                  <c:v>13.539410213452221</c:v>
                </c:pt>
                <c:pt idx="37">
                  <c:v>13.542642019181152</c:v>
                </c:pt>
                <c:pt idx="38">
                  <c:v>13.546113507882232</c:v>
                </c:pt>
                <c:pt idx="39">
                  <c:v>13.550081539770886</c:v>
                </c:pt>
                <c:pt idx="40">
                  <c:v>13.553676974583844</c:v>
                </c:pt>
                <c:pt idx="41">
                  <c:v>13.557688341083761</c:v>
                </c:pt>
                <c:pt idx="42">
                  <c:v>13.561746830899942</c:v>
                </c:pt>
                <c:pt idx="43">
                  <c:v>13.565896398974722</c:v>
                </c:pt>
                <c:pt idx="44">
                  <c:v>13.569460807151003</c:v>
                </c:pt>
                <c:pt idx="45">
                  <c:v>13.573256966346818</c:v>
                </c:pt>
                <c:pt idx="46">
                  <c:v>13.577158165831271</c:v>
                </c:pt>
                <c:pt idx="47">
                  <c:v>13.581105113672749</c:v>
                </c:pt>
                <c:pt idx="48">
                  <c:v>13.585010385411337</c:v>
                </c:pt>
                <c:pt idx="49">
                  <c:v>13.588878264877401</c:v>
                </c:pt>
                <c:pt idx="50">
                  <c:v>13.593350947280733</c:v>
                </c:pt>
                <c:pt idx="51">
                  <c:v>13.598021520752432</c:v>
                </c:pt>
                <c:pt idx="52">
                  <c:v>13.602750751270129</c:v>
                </c:pt>
                <c:pt idx="53">
                  <c:v>13.608104949754591</c:v>
                </c:pt>
                <c:pt idx="54">
                  <c:v>13.614746509324434</c:v>
                </c:pt>
                <c:pt idx="55">
                  <c:v>13.621083740035544</c:v>
                </c:pt>
                <c:pt idx="56">
                  <c:v>13.6285939187362</c:v>
                </c:pt>
                <c:pt idx="57">
                  <c:v>13.636025824091128</c:v>
                </c:pt>
                <c:pt idx="58">
                  <c:v>13.645055799086599</c:v>
                </c:pt>
                <c:pt idx="59">
                  <c:v>13.652770397189229</c:v>
                </c:pt>
                <c:pt idx="60">
                  <c:v>13.660943070249942</c:v>
                </c:pt>
                <c:pt idx="61">
                  <c:v>13.670473706647329</c:v>
                </c:pt>
                <c:pt idx="62">
                  <c:v>13.67978949453029</c:v>
                </c:pt>
                <c:pt idx="63">
                  <c:v>13.688839028505143</c:v>
                </c:pt>
                <c:pt idx="64">
                  <c:v>13.698985958155724</c:v>
                </c:pt>
                <c:pt idx="65">
                  <c:v>13.708823594212383</c:v>
                </c:pt>
                <c:pt idx="66">
                  <c:v>13.718984953909725</c:v>
                </c:pt>
                <c:pt idx="67">
                  <c:v>13.72998126021669</c:v>
                </c:pt>
                <c:pt idx="68">
                  <c:v>13.742244751249189</c:v>
                </c:pt>
                <c:pt idx="69">
                  <c:v>13.758809779539554</c:v>
                </c:pt>
                <c:pt idx="70">
                  <c:v>13.778144135397149</c:v>
                </c:pt>
                <c:pt idx="71">
                  <c:v>13.797338755488767</c:v>
                </c:pt>
                <c:pt idx="72">
                  <c:v>13.812921839893484</c:v>
                </c:pt>
                <c:pt idx="73">
                  <c:v>13.829644031160129</c:v>
                </c:pt>
                <c:pt idx="74">
                  <c:v>13.850643644800925</c:v>
                </c:pt>
                <c:pt idx="75">
                  <c:v>13.87099876644362</c:v>
                </c:pt>
                <c:pt idx="76">
                  <c:v>13.891805050899272</c:v>
                </c:pt>
                <c:pt idx="77">
                  <c:v>13.910611670445654</c:v>
                </c:pt>
                <c:pt idx="78">
                  <c:v>13.930160134695093</c:v>
                </c:pt>
                <c:pt idx="79">
                  <c:v>13.948622927584694</c:v>
                </c:pt>
                <c:pt idx="80">
                  <c:v>13.967948666308473</c:v>
                </c:pt>
                <c:pt idx="81">
                  <c:v>13.983834592508053</c:v>
                </c:pt>
                <c:pt idx="82">
                  <c:v>13.994883085903709</c:v>
                </c:pt>
                <c:pt idx="83">
                  <c:v>14.002924332379749</c:v>
                </c:pt>
                <c:pt idx="84">
                  <c:v>14.011297955869722</c:v>
                </c:pt>
                <c:pt idx="85">
                  <c:v>14.019119541713849</c:v>
                </c:pt>
                <c:pt idx="86">
                  <c:v>14.026366191138536</c:v>
                </c:pt>
                <c:pt idx="87">
                  <c:v>14.033753955939311</c:v>
                </c:pt>
                <c:pt idx="88">
                  <c:v>14.042500660320158</c:v>
                </c:pt>
                <c:pt idx="89">
                  <c:v>14.047178456151933</c:v>
                </c:pt>
                <c:pt idx="90">
                  <c:v>14.053891113439171</c:v>
                </c:pt>
                <c:pt idx="91">
                  <c:v>14.052206704325684</c:v>
                </c:pt>
                <c:pt idx="92">
                  <c:v>14.054891601844716</c:v>
                </c:pt>
                <c:pt idx="93">
                  <c:v>14.066291374294352</c:v>
                </c:pt>
                <c:pt idx="94">
                  <c:v>14.076455750225712</c:v>
                </c:pt>
                <c:pt idx="95">
                  <c:v>14.083086858519906</c:v>
                </c:pt>
                <c:pt idx="96">
                  <c:v>14.091703790497718</c:v>
                </c:pt>
                <c:pt idx="97">
                  <c:v>14.097016667712374</c:v>
                </c:pt>
                <c:pt idx="98">
                  <c:v>14.102732618164026</c:v>
                </c:pt>
                <c:pt idx="99">
                  <c:v>14.108414193782586</c:v>
                </c:pt>
                <c:pt idx="100">
                  <c:v>14.106299347414257</c:v>
                </c:pt>
                <c:pt idx="101">
                  <c:v>14.105392788488139</c:v>
                </c:pt>
                <c:pt idx="102">
                  <c:v>14.103726156658979</c:v>
                </c:pt>
                <c:pt idx="103">
                  <c:v>14.098490230741412</c:v>
                </c:pt>
                <c:pt idx="104">
                  <c:v>14.090584426563559</c:v>
                </c:pt>
                <c:pt idx="105">
                  <c:v>14.078168972110248</c:v>
                </c:pt>
                <c:pt idx="106">
                  <c:v>14.063483909418125</c:v>
                </c:pt>
                <c:pt idx="107">
                  <c:v>14.045812464092904</c:v>
                </c:pt>
                <c:pt idx="108">
                  <c:v>14.022061383999187</c:v>
                </c:pt>
                <c:pt idx="109">
                  <c:v>13.994658479962851</c:v>
                </c:pt>
                <c:pt idx="110">
                  <c:v>13.965195655466268</c:v>
                </c:pt>
                <c:pt idx="111">
                  <c:v>13.928923388988856</c:v>
                </c:pt>
                <c:pt idx="112">
                  <c:v>13.887579092503664</c:v>
                </c:pt>
                <c:pt idx="113">
                  <c:v>13.841225281416854</c:v>
                </c:pt>
                <c:pt idx="114">
                  <c:v>13.787977480875433</c:v>
                </c:pt>
                <c:pt idx="115">
                  <c:v>13.728913549753592</c:v>
                </c:pt>
                <c:pt idx="116">
                  <c:v>13.664534937842795</c:v>
                </c:pt>
                <c:pt idx="117">
                  <c:v>13.597317984450569</c:v>
                </c:pt>
                <c:pt idx="118">
                  <c:v>13.52342663127682</c:v>
                </c:pt>
                <c:pt idx="119">
                  <c:v>13.44814339136785</c:v>
                </c:pt>
                <c:pt idx="120">
                  <c:v>13.369395199886618</c:v>
                </c:pt>
                <c:pt idx="121">
                  <c:v>13.290323168357659</c:v>
                </c:pt>
                <c:pt idx="122">
                  <c:v>13.204955924634497</c:v>
                </c:pt>
                <c:pt idx="123">
                  <c:v>13.111678186627898</c:v>
                </c:pt>
                <c:pt idx="124">
                  <c:v>13.012333787844014</c:v>
                </c:pt>
                <c:pt idx="125">
                  <c:v>12.903028559874372</c:v>
                </c:pt>
                <c:pt idx="126">
                  <c:v>12.779962181634566</c:v>
                </c:pt>
                <c:pt idx="127">
                  <c:v>12.646762040183667</c:v>
                </c:pt>
                <c:pt idx="128">
                  <c:v>12.504472170875196</c:v>
                </c:pt>
                <c:pt idx="129">
                  <c:v>12.351261678877989</c:v>
                </c:pt>
                <c:pt idx="130">
                  <c:v>12.194093777930576</c:v>
                </c:pt>
                <c:pt idx="131">
                  <c:v>12.020853584623744</c:v>
                </c:pt>
                <c:pt idx="132">
                  <c:v>11.846575606480499</c:v>
                </c:pt>
                <c:pt idx="133">
                  <c:v>11.660521780362444</c:v>
                </c:pt>
                <c:pt idx="134">
                  <c:v>11.464131547105659</c:v>
                </c:pt>
                <c:pt idx="135">
                  <c:v>11.262197561084562</c:v>
                </c:pt>
                <c:pt idx="136">
                  <c:v>11.037407874843481</c:v>
                </c:pt>
                <c:pt idx="137">
                  <c:v>10.802291388653671</c:v>
                </c:pt>
                <c:pt idx="138">
                  <c:v>10.560888055983483</c:v>
                </c:pt>
                <c:pt idx="139">
                  <c:v>10.311374479146473</c:v>
                </c:pt>
                <c:pt idx="140">
                  <c:v>10.067521494645788</c:v>
                </c:pt>
                <c:pt idx="141">
                  <c:v>9.8513712993383322</c:v>
                </c:pt>
                <c:pt idx="142">
                  <c:v>9.6675811316923088</c:v>
                </c:pt>
                <c:pt idx="143">
                  <c:v>9.5148734698142903</c:v>
                </c:pt>
                <c:pt idx="144">
                  <c:v>9.3770594403502727</c:v>
                </c:pt>
                <c:pt idx="145">
                  <c:v>9.2685898791762895</c:v>
                </c:pt>
                <c:pt idx="146">
                  <c:v>9.1667155323044867</c:v>
                </c:pt>
                <c:pt idx="147">
                  <c:v>9.0722941172722429</c:v>
                </c:pt>
                <c:pt idx="148">
                  <c:v>8.9919786063311449</c:v>
                </c:pt>
                <c:pt idx="149">
                  <c:v>8.9182407064419849</c:v>
                </c:pt>
                <c:pt idx="150">
                  <c:v>8.85418436104748</c:v>
                </c:pt>
                <c:pt idx="151">
                  <c:v>8.7973623812344144</c:v>
                </c:pt>
                <c:pt idx="152">
                  <c:v>8.73607283851522</c:v>
                </c:pt>
                <c:pt idx="153">
                  <c:v>8.6849515153203924</c:v>
                </c:pt>
                <c:pt idx="154">
                  <c:v>8.6339435995601121</c:v>
                </c:pt>
                <c:pt idx="155">
                  <c:v>8.5931718304382976</c:v>
                </c:pt>
                <c:pt idx="156">
                  <c:v>8.5618580592204516</c:v>
                </c:pt>
                <c:pt idx="157">
                  <c:v>8.5122025445452678</c:v>
                </c:pt>
                <c:pt idx="158">
                  <c:v>8.4569791896871465</c:v>
                </c:pt>
                <c:pt idx="159">
                  <c:v>8.39278525983568</c:v>
                </c:pt>
                <c:pt idx="160">
                  <c:v>8.3499033771407376</c:v>
                </c:pt>
                <c:pt idx="161">
                  <c:v>8.2845123850045361</c:v>
                </c:pt>
                <c:pt idx="162">
                  <c:v>8.212887674351137</c:v>
                </c:pt>
                <c:pt idx="163">
                  <c:v>8.1394003097503251</c:v>
                </c:pt>
                <c:pt idx="164">
                  <c:v>8.0918999530518505</c:v>
                </c:pt>
                <c:pt idx="165">
                  <c:v>8.0671119275627881</c:v>
                </c:pt>
                <c:pt idx="166">
                  <c:v>8.0670664134826993</c:v>
                </c:pt>
                <c:pt idx="167">
                  <c:v>8.0685813862589804</c:v>
                </c:pt>
                <c:pt idx="168">
                  <c:v>8.0805879884232468</c:v>
                </c:pt>
                <c:pt idx="169">
                  <c:v>8.0825396597453292</c:v>
                </c:pt>
                <c:pt idx="170">
                  <c:v>8.0785804680521913</c:v>
                </c:pt>
                <c:pt idx="171">
                  <c:v>8.064258075075486</c:v>
                </c:pt>
                <c:pt idx="172">
                  <c:v>8.0235306231839303</c:v>
                </c:pt>
                <c:pt idx="173">
                  <c:v>7.9604417115039965</c:v>
                </c:pt>
                <c:pt idx="174">
                  <c:v>7.9044327169041537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D-47F7-A427-80C475EEA81D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data_co2_excLUC!$Q$3:$Q$177</c:f>
              <c:numCache>
                <c:formatCode>0.0</c:formatCode>
                <c:ptCount val="175"/>
                <c:pt idx="0">
                  <c:v>8.0786340485850872E-2</c:v>
                </c:pt>
                <c:pt idx="1">
                  <c:v>8.0793850199952999E-2</c:v>
                </c:pt>
                <c:pt idx="2">
                  <c:v>8.078416526588228E-2</c:v>
                </c:pt>
                <c:pt idx="3">
                  <c:v>8.0764041686137489E-2</c:v>
                </c:pt>
                <c:pt idx="4">
                  <c:v>8.0738905995893617E-2</c:v>
                </c:pt>
                <c:pt idx="5">
                  <c:v>8.0715076314440637E-2</c:v>
                </c:pt>
                <c:pt idx="6">
                  <c:v>8.0679598014974374E-2</c:v>
                </c:pt>
                <c:pt idx="7">
                  <c:v>8.0607791143876284E-2</c:v>
                </c:pt>
                <c:pt idx="8">
                  <c:v>8.0517212693152374E-2</c:v>
                </c:pt>
                <c:pt idx="9">
                  <c:v>8.0420039345973748E-2</c:v>
                </c:pt>
                <c:pt idx="10">
                  <c:v>8.0340869277364391E-2</c:v>
                </c:pt>
                <c:pt idx="11">
                  <c:v>8.025799514896903E-2</c:v>
                </c:pt>
                <c:pt idx="12">
                  <c:v>8.0149982387190732E-2</c:v>
                </c:pt>
                <c:pt idx="13">
                  <c:v>8.0036508123392025E-2</c:v>
                </c:pt>
                <c:pt idx="14">
                  <c:v>7.9933379001417393E-2</c:v>
                </c:pt>
                <c:pt idx="15">
                  <c:v>7.9816198611453615E-2</c:v>
                </c:pt>
                <c:pt idx="16">
                  <c:v>7.9686628354970424E-2</c:v>
                </c:pt>
                <c:pt idx="17">
                  <c:v>7.9543049080506023E-2</c:v>
                </c:pt>
                <c:pt idx="18">
                  <c:v>7.9398498969219133E-2</c:v>
                </c:pt>
                <c:pt idx="19">
                  <c:v>7.9239324802905742E-2</c:v>
                </c:pt>
                <c:pt idx="20">
                  <c:v>7.9095113212183321E-2</c:v>
                </c:pt>
                <c:pt idx="21">
                  <c:v>7.8938417262207849E-2</c:v>
                </c:pt>
                <c:pt idx="22">
                  <c:v>7.8770385260469311E-2</c:v>
                </c:pt>
                <c:pt idx="23">
                  <c:v>7.8561426277580892E-2</c:v>
                </c:pt>
                <c:pt idx="24">
                  <c:v>7.8339623990657969E-2</c:v>
                </c:pt>
                <c:pt idx="25">
                  <c:v>7.8130295392220717E-2</c:v>
                </c:pt>
                <c:pt idx="26">
                  <c:v>7.7895369609748855E-2</c:v>
                </c:pt>
                <c:pt idx="27">
                  <c:v>7.7648704255345535E-2</c:v>
                </c:pt>
                <c:pt idx="28">
                  <c:v>7.7406569703683203E-2</c:v>
                </c:pt>
                <c:pt idx="29">
                  <c:v>7.7118738529925679E-2</c:v>
                </c:pt>
                <c:pt idx="30">
                  <c:v>7.6792676312948061E-2</c:v>
                </c:pt>
                <c:pt idx="31">
                  <c:v>7.6352275327018049E-2</c:v>
                </c:pt>
                <c:pt idx="32">
                  <c:v>7.5973570340678975E-2</c:v>
                </c:pt>
                <c:pt idx="33">
                  <c:v>7.5556555345407617E-2</c:v>
                </c:pt>
                <c:pt idx="34">
                  <c:v>7.5113013476759249E-2</c:v>
                </c:pt>
                <c:pt idx="35">
                  <c:v>7.4638376648003657E-2</c:v>
                </c:pt>
                <c:pt idx="36">
                  <c:v>7.4123932849531116E-2</c:v>
                </c:pt>
                <c:pt idx="37">
                  <c:v>7.3626023565978471E-2</c:v>
                </c:pt>
                <c:pt idx="38">
                  <c:v>7.312827219274709E-2</c:v>
                </c:pt>
                <c:pt idx="39">
                  <c:v>7.2539705649035113E-2</c:v>
                </c:pt>
                <c:pt idx="40">
                  <c:v>7.190522993165871E-2</c:v>
                </c:pt>
                <c:pt idx="41">
                  <c:v>7.125458380328098E-2</c:v>
                </c:pt>
                <c:pt idx="42">
                  <c:v>7.0547758421604101E-2</c:v>
                </c:pt>
                <c:pt idx="43">
                  <c:v>6.9825268616781955E-2</c:v>
                </c:pt>
                <c:pt idx="44">
                  <c:v>6.9068324441190043E-2</c:v>
                </c:pt>
                <c:pt idx="45">
                  <c:v>6.8229979660429763E-2</c:v>
                </c:pt>
                <c:pt idx="46">
                  <c:v>6.7387575305097869E-2</c:v>
                </c:pt>
                <c:pt idx="47">
                  <c:v>6.6512098508844986E-2</c:v>
                </c:pt>
                <c:pt idx="48">
                  <c:v>6.557824258880629E-2</c:v>
                </c:pt>
                <c:pt idx="49">
                  <c:v>6.4592061938824941E-2</c:v>
                </c:pt>
                <c:pt idx="50">
                  <c:v>6.3490383025936126E-2</c:v>
                </c:pt>
                <c:pt idx="51">
                  <c:v>6.2264717650037937E-2</c:v>
                </c:pt>
                <c:pt idx="52">
                  <c:v>6.119384830329011E-2</c:v>
                </c:pt>
                <c:pt idx="53">
                  <c:v>6.0129689222058857E-2</c:v>
                </c:pt>
                <c:pt idx="54">
                  <c:v>5.9043590654596301E-2</c:v>
                </c:pt>
                <c:pt idx="55">
                  <c:v>5.798697345052517E-2</c:v>
                </c:pt>
                <c:pt idx="56">
                  <c:v>5.6847793909476252E-2</c:v>
                </c:pt>
                <c:pt idx="57">
                  <c:v>5.6192711919848648E-2</c:v>
                </c:pt>
                <c:pt idx="58">
                  <c:v>5.4546790543909651E-2</c:v>
                </c:pt>
                <c:pt idx="59">
                  <c:v>5.2950690276077239E-2</c:v>
                </c:pt>
                <c:pt idx="60">
                  <c:v>5.1297459846566085E-2</c:v>
                </c:pt>
                <c:pt idx="61">
                  <c:v>4.9546882975960216E-2</c:v>
                </c:pt>
                <c:pt idx="62">
                  <c:v>4.8109748627808813E-2</c:v>
                </c:pt>
                <c:pt idx="63">
                  <c:v>4.6126417511239026E-2</c:v>
                </c:pt>
                <c:pt idx="64">
                  <c:v>4.3875090838916719E-2</c:v>
                </c:pt>
                <c:pt idx="65">
                  <c:v>4.1892784581577303E-2</c:v>
                </c:pt>
                <c:pt idx="66">
                  <c:v>4.0172396530053334E-2</c:v>
                </c:pt>
                <c:pt idx="67">
                  <c:v>3.8424619472230859E-2</c:v>
                </c:pt>
                <c:pt idx="68">
                  <c:v>3.7136461717935276E-2</c:v>
                </c:pt>
                <c:pt idx="69">
                  <c:v>3.5665946661865178E-2</c:v>
                </c:pt>
                <c:pt idx="70">
                  <c:v>3.4277362454822935E-2</c:v>
                </c:pt>
                <c:pt idx="71">
                  <c:v>3.277288392063582E-2</c:v>
                </c:pt>
                <c:pt idx="72">
                  <c:v>3.1459403549177978E-2</c:v>
                </c:pt>
                <c:pt idx="73">
                  <c:v>3.0004832072762611E-2</c:v>
                </c:pt>
                <c:pt idx="74">
                  <c:v>2.8604540617941154E-2</c:v>
                </c:pt>
                <c:pt idx="75">
                  <c:v>2.7136561956545791E-2</c:v>
                </c:pt>
                <c:pt idx="76">
                  <c:v>2.5262165807319548E-2</c:v>
                </c:pt>
                <c:pt idx="77">
                  <c:v>2.3845313690173953E-2</c:v>
                </c:pt>
                <c:pt idx="78">
                  <c:v>2.2082918219723524E-2</c:v>
                </c:pt>
                <c:pt idx="79">
                  <c:v>2.1218165876987882E-2</c:v>
                </c:pt>
                <c:pt idx="80">
                  <c:v>2.0528172297332503E-2</c:v>
                </c:pt>
                <c:pt idx="81">
                  <c:v>2.0422316723987421E-2</c:v>
                </c:pt>
                <c:pt idx="82">
                  <c:v>2.0227437227816836E-2</c:v>
                </c:pt>
                <c:pt idx="83">
                  <c:v>2.0102266388924761E-2</c:v>
                </c:pt>
                <c:pt idx="84">
                  <c:v>2.003565776524141E-2</c:v>
                </c:pt>
                <c:pt idx="85">
                  <c:v>2.0082277216154409E-2</c:v>
                </c:pt>
                <c:pt idx="86">
                  <c:v>2.0344539450981358E-2</c:v>
                </c:pt>
                <c:pt idx="87">
                  <c:v>2.0778144163813295E-2</c:v>
                </c:pt>
                <c:pt idx="88">
                  <c:v>2.1229310928660539E-2</c:v>
                </c:pt>
                <c:pt idx="89">
                  <c:v>2.2250341444618016E-2</c:v>
                </c:pt>
                <c:pt idx="90">
                  <c:v>2.3162747905594472E-2</c:v>
                </c:pt>
                <c:pt idx="91">
                  <c:v>2.4250771052201969E-2</c:v>
                </c:pt>
                <c:pt idx="92">
                  <c:v>2.5958151956906761E-2</c:v>
                </c:pt>
                <c:pt idx="93">
                  <c:v>2.5511451082181225E-2</c:v>
                </c:pt>
                <c:pt idx="94">
                  <c:v>2.5086641747762428E-2</c:v>
                </c:pt>
                <c:pt idx="95">
                  <c:v>2.8669371269053556E-2</c:v>
                </c:pt>
                <c:pt idx="96">
                  <c:v>3.3733764896943796E-2</c:v>
                </c:pt>
                <c:pt idx="97">
                  <c:v>3.975724885958698E-2</c:v>
                </c:pt>
                <c:pt idx="98">
                  <c:v>4.3276497944120251E-2</c:v>
                </c:pt>
                <c:pt idx="99">
                  <c:v>4.6073641052004177E-2</c:v>
                </c:pt>
                <c:pt idx="100">
                  <c:v>5.0171025268063829E-2</c:v>
                </c:pt>
                <c:pt idx="101">
                  <c:v>4.712851186798872E-2</c:v>
                </c:pt>
                <c:pt idx="102">
                  <c:v>4.3658183444328813E-2</c:v>
                </c:pt>
                <c:pt idx="103">
                  <c:v>3.9834190908869971E-2</c:v>
                </c:pt>
                <c:pt idx="104">
                  <c:v>3.5822071247331166E-2</c:v>
                </c:pt>
                <c:pt idx="105">
                  <c:v>3.1260062106227338E-2</c:v>
                </c:pt>
                <c:pt idx="106">
                  <c:v>2.5534383534754568E-2</c:v>
                </c:pt>
                <c:pt idx="107">
                  <c:v>1.903838253044654E-2</c:v>
                </c:pt>
                <c:pt idx="108">
                  <c:v>1.7954934133079803E-2</c:v>
                </c:pt>
                <c:pt idx="109">
                  <c:v>1.8005855765217404E-2</c:v>
                </c:pt>
                <c:pt idx="110">
                  <c:v>1.8416951230157963E-2</c:v>
                </c:pt>
                <c:pt idx="111">
                  <c:v>2.4932452958758233E-2</c:v>
                </c:pt>
                <c:pt idx="112">
                  <c:v>3.1588655651070496E-2</c:v>
                </c:pt>
                <c:pt idx="113">
                  <c:v>3.8997760423775674E-2</c:v>
                </c:pt>
                <c:pt idx="114">
                  <c:v>4.8216827628898784E-2</c:v>
                </c:pt>
                <c:pt idx="115">
                  <c:v>5.8558980132737304E-2</c:v>
                </c:pt>
                <c:pt idx="116">
                  <c:v>7.0846131876841412E-2</c:v>
                </c:pt>
                <c:pt idx="117">
                  <c:v>8.2637091189830869E-2</c:v>
                </c:pt>
                <c:pt idx="118">
                  <c:v>9.6629800448411629E-2</c:v>
                </c:pt>
                <c:pt idx="119">
                  <c:v>0.11058055007212175</c:v>
                </c:pt>
                <c:pt idx="120">
                  <c:v>0.12588525286211905</c:v>
                </c:pt>
                <c:pt idx="121">
                  <c:v>0.13981078167415717</c:v>
                </c:pt>
                <c:pt idx="122">
                  <c:v>0.15279345307624936</c:v>
                </c:pt>
                <c:pt idx="123">
                  <c:v>0.16815217229735424</c:v>
                </c:pt>
                <c:pt idx="124">
                  <c:v>0.18601228900402589</c:v>
                </c:pt>
                <c:pt idx="125">
                  <c:v>0.2027661229362181</c:v>
                </c:pt>
                <c:pt idx="126">
                  <c:v>0.2171291643329738</c:v>
                </c:pt>
                <c:pt idx="127">
                  <c:v>0.23540016993786139</c:v>
                </c:pt>
                <c:pt idx="128">
                  <c:v>0.25386107257124024</c:v>
                </c:pt>
                <c:pt idx="129">
                  <c:v>0.27556332587031562</c:v>
                </c:pt>
                <c:pt idx="130">
                  <c:v>0.29999260178360032</c:v>
                </c:pt>
                <c:pt idx="131">
                  <c:v>0.3240324939629815</c:v>
                </c:pt>
                <c:pt idx="132">
                  <c:v>0.34796368941876921</c:v>
                </c:pt>
                <c:pt idx="133">
                  <c:v>0.37122851642765653</c:v>
                </c:pt>
                <c:pt idx="134">
                  <c:v>0.39674199171835767</c:v>
                </c:pt>
                <c:pt idx="135">
                  <c:v>0.4242907804729299</c:v>
                </c:pt>
                <c:pt idx="136">
                  <c:v>0.45215932933545133</c:v>
                </c:pt>
                <c:pt idx="137">
                  <c:v>0.48294103768361651</c:v>
                </c:pt>
                <c:pt idx="138">
                  <c:v>0.51602548949508531</c:v>
                </c:pt>
                <c:pt idx="139">
                  <c:v>0.55348735862301623</c:v>
                </c:pt>
                <c:pt idx="140">
                  <c:v>0.5890993924914909</c:v>
                </c:pt>
                <c:pt idx="141">
                  <c:v>0.5866754555096918</c:v>
                </c:pt>
                <c:pt idx="142">
                  <c:v>0.57126532078610381</c:v>
                </c:pt>
                <c:pt idx="143">
                  <c:v>0.57146880675422551</c:v>
                </c:pt>
                <c:pt idx="144">
                  <c:v>0.5740154028944886</c:v>
                </c:pt>
                <c:pt idx="145">
                  <c:v>0.58064968963058305</c:v>
                </c:pt>
                <c:pt idx="146">
                  <c:v>0.58625730976838497</c:v>
                </c:pt>
                <c:pt idx="147">
                  <c:v>0.58944806039472297</c:v>
                </c:pt>
                <c:pt idx="148">
                  <c:v>0.59027616048510367</c:v>
                </c:pt>
                <c:pt idx="149">
                  <c:v>0.58822905144025128</c:v>
                </c:pt>
                <c:pt idx="150">
                  <c:v>0.58479504802073023</c:v>
                </c:pt>
                <c:pt idx="151">
                  <c:v>0.57978105486095188</c:v>
                </c:pt>
                <c:pt idx="152">
                  <c:v>0.57064932334274232</c:v>
                </c:pt>
                <c:pt idx="153">
                  <c:v>0.55694711667392482</c:v>
                </c:pt>
                <c:pt idx="154">
                  <c:v>0.54315917229624944</c:v>
                </c:pt>
                <c:pt idx="155">
                  <c:v>0.52224391938744219</c:v>
                </c:pt>
                <c:pt idx="156">
                  <c:v>0.49387482125303706</c:v>
                </c:pt>
                <c:pt idx="157">
                  <c:v>0.47292291821806032</c:v>
                </c:pt>
                <c:pt idx="158">
                  <c:v>0.45516663514806766</c:v>
                </c:pt>
                <c:pt idx="159">
                  <c:v>0.44745574357769158</c:v>
                </c:pt>
                <c:pt idx="160">
                  <c:v>0.4439041556945682</c:v>
                </c:pt>
                <c:pt idx="161">
                  <c:v>0.46108432066599647</c:v>
                </c:pt>
                <c:pt idx="162">
                  <c:v>0.47798984484449392</c:v>
                </c:pt>
                <c:pt idx="163">
                  <c:v>0.4984159115458624</c:v>
                </c:pt>
                <c:pt idx="164">
                  <c:v>0.51758615822579657</c:v>
                </c:pt>
                <c:pt idx="165">
                  <c:v>0.52448390645641041</c:v>
                </c:pt>
                <c:pt idx="166">
                  <c:v>0.50460535829255093</c:v>
                </c:pt>
                <c:pt idx="167">
                  <c:v>0.46597247254497631</c:v>
                </c:pt>
                <c:pt idx="168">
                  <c:v>0.39658943458284313</c:v>
                </c:pt>
                <c:pt idx="169">
                  <c:v>0.32560117897460117</c:v>
                </c:pt>
                <c:pt idx="170">
                  <c:v>0.28751496171705782</c:v>
                </c:pt>
                <c:pt idx="171">
                  <c:v>0.23789898930578346</c:v>
                </c:pt>
                <c:pt idx="172">
                  <c:v>0.17322171171377221</c:v>
                </c:pt>
                <c:pt idx="173">
                  <c:v>0.21322292016627387</c:v>
                </c:pt>
                <c:pt idx="174">
                  <c:v>0.17886887746701063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1D-47F7-A427-80C475EE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0.0</c:formatCode>
                <c:ptCount val="175"/>
                <c:pt idx="0">
                  <c:v>48.621447498541478</c:v>
                </c:pt>
                <c:pt idx="1">
                  <c:v>48.616013582884591</c:v>
                </c:pt>
                <c:pt idx="2">
                  <c:v>48.610547458121758</c:v>
                </c:pt>
                <c:pt idx="3">
                  <c:v>48.604873208966012</c:v>
                </c:pt>
                <c:pt idx="4">
                  <c:v>48.598928769389182</c:v>
                </c:pt>
                <c:pt idx="5">
                  <c:v>48.591926462425292</c:v>
                </c:pt>
                <c:pt idx="6">
                  <c:v>48.584847953140901</c:v>
                </c:pt>
                <c:pt idx="7">
                  <c:v>48.577317976473658</c:v>
                </c:pt>
                <c:pt idx="8">
                  <c:v>48.56974442765312</c:v>
                </c:pt>
                <c:pt idx="9">
                  <c:v>48.562142245519055</c:v>
                </c:pt>
                <c:pt idx="10">
                  <c:v>48.554040729779388</c:v>
                </c:pt>
                <c:pt idx="11">
                  <c:v>48.545151608996129</c:v>
                </c:pt>
                <c:pt idx="12">
                  <c:v>48.535828524847197</c:v>
                </c:pt>
                <c:pt idx="13">
                  <c:v>48.526419246962682</c:v>
                </c:pt>
                <c:pt idx="14">
                  <c:v>48.516434846100189</c:v>
                </c:pt>
                <c:pt idx="15">
                  <c:v>48.505713431254115</c:v>
                </c:pt>
                <c:pt idx="16">
                  <c:v>48.494380314713425</c:v>
                </c:pt>
                <c:pt idx="17">
                  <c:v>48.482803944702106</c:v>
                </c:pt>
                <c:pt idx="18">
                  <c:v>48.470417656839963</c:v>
                </c:pt>
                <c:pt idx="19">
                  <c:v>48.457757811021615</c:v>
                </c:pt>
                <c:pt idx="20">
                  <c:v>48.444340066966902</c:v>
                </c:pt>
                <c:pt idx="21">
                  <c:v>48.430700318641669</c:v>
                </c:pt>
                <c:pt idx="22">
                  <c:v>48.416358484821821</c:v>
                </c:pt>
                <c:pt idx="23">
                  <c:v>48.400433896001992</c:v>
                </c:pt>
                <c:pt idx="24">
                  <c:v>48.383495367678037</c:v>
                </c:pt>
                <c:pt idx="25">
                  <c:v>48.367971151032293</c:v>
                </c:pt>
                <c:pt idx="26">
                  <c:v>48.350966654592284</c:v>
                </c:pt>
                <c:pt idx="27">
                  <c:v>48.334180697281262</c:v>
                </c:pt>
                <c:pt idx="28">
                  <c:v>48.31697486157924</c:v>
                </c:pt>
                <c:pt idx="29">
                  <c:v>48.299953905743344</c:v>
                </c:pt>
                <c:pt idx="30">
                  <c:v>48.281671011512913</c:v>
                </c:pt>
                <c:pt idx="31">
                  <c:v>48.260747451380617</c:v>
                </c:pt>
                <c:pt idx="32">
                  <c:v>48.239064201775165</c:v>
                </c:pt>
                <c:pt idx="33">
                  <c:v>48.216071979398173</c:v>
                </c:pt>
                <c:pt idx="34">
                  <c:v>48.191741174513915</c:v>
                </c:pt>
                <c:pt idx="35">
                  <c:v>48.167233971225485</c:v>
                </c:pt>
                <c:pt idx="36">
                  <c:v>48.142712611503057</c:v>
                </c:pt>
                <c:pt idx="37">
                  <c:v>48.117842243850355</c:v>
                </c:pt>
                <c:pt idx="38">
                  <c:v>48.091674991394065</c:v>
                </c:pt>
                <c:pt idx="39">
                  <c:v>48.062554922206161</c:v>
                </c:pt>
                <c:pt idx="40">
                  <c:v>48.033882132018277</c:v>
                </c:pt>
                <c:pt idx="41">
                  <c:v>48.002484464358972</c:v>
                </c:pt>
                <c:pt idx="42">
                  <c:v>47.96974891636394</c:v>
                </c:pt>
                <c:pt idx="43">
                  <c:v>47.936758340696187</c:v>
                </c:pt>
                <c:pt idx="44">
                  <c:v>47.904843056111304</c:v>
                </c:pt>
                <c:pt idx="45">
                  <c:v>47.871730436354824</c:v>
                </c:pt>
                <c:pt idx="46">
                  <c:v>47.836828936231321</c:v>
                </c:pt>
                <c:pt idx="47">
                  <c:v>47.800891319878858</c:v>
                </c:pt>
                <c:pt idx="48">
                  <c:v>47.763479091865761</c:v>
                </c:pt>
                <c:pt idx="49">
                  <c:v>47.724356487392171</c:v>
                </c:pt>
                <c:pt idx="50">
                  <c:v>47.681256536544716</c:v>
                </c:pt>
                <c:pt idx="51">
                  <c:v>47.635675065845199</c:v>
                </c:pt>
                <c:pt idx="52">
                  <c:v>47.588883110786355</c:v>
                </c:pt>
                <c:pt idx="53">
                  <c:v>47.540410105449027</c:v>
                </c:pt>
                <c:pt idx="54">
                  <c:v>47.486669263247066</c:v>
                </c:pt>
                <c:pt idx="55">
                  <c:v>47.432855238897048</c:v>
                </c:pt>
                <c:pt idx="56">
                  <c:v>47.374612719970855</c:v>
                </c:pt>
                <c:pt idx="57">
                  <c:v>47.314416187202497</c:v>
                </c:pt>
                <c:pt idx="58">
                  <c:v>47.246123799525222</c:v>
                </c:pt>
                <c:pt idx="59">
                  <c:v>47.181981070773674</c:v>
                </c:pt>
                <c:pt idx="60">
                  <c:v>47.114811273139004</c:v>
                </c:pt>
                <c:pt idx="61">
                  <c:v>47.043154042949553</c:v>
                </c:pt>
                <c:pt idx="62">
                  <c:v>46.970943153784525</c:v>
                </c:pt>
                <c:pt idx="63">
                  <c:v>46.895165523623625</c:v>
                </c:pt>
                <c:pt idx="64">
                  <c:v>46.813001063843608</c:v>
                </c:pt>
                <c:pt idx="65">
                  <c:v>46.737953321925232</c:v>
                </c:pt>
                <c:pt idx="66">
                  <c:v>46.66334944817963</c:v>
                </c:pt>
                <c:pt idx="67">
                  <c:v>46.582645223230948</c:v>
                </c:pt>
                <c:pt idx="68">
                  <c:v>46.497538225658289</c:v>
                </c:pt>
                <c:pt idx="69">
                  <c:v>46.409187822849255</c:v>
                </c:pt>
                <c:pt idx="70">
                  <c:v>46.329952999233385</c:v>
                </c:pt>
                <c:pt idx="71">
                  <c:v>46.241028550081218</c:v>
                </c:pt>
                <c:pt idx="72">
                  <c:v>46.166523653096739</c:v>
                </c:pt>
                <c:pt idx="73">
                  <c:v>46.08706896511093</c:v>
                </c:pt>
                <c:pt idx="74">
                  <c:v>45.99317779770827</c:v>
                </c:pt>
                <c:pt idx="75">
                  <c:v>45.900026933636674</c:v>
                </c:pt>
                <c:pt idx="76">
                  <c:v>45.805048328228729</c:v>
                </c:pt>
                <c:pt idx="77">
                  <c:v>45.712849194019157</c:v>
                </c:pt>
                <c:pt idx="78">
                  <c:v>45.611578770027023</c:v>
                </c:pt>
                <c:pt idx="79">
                  <c:v>45.511690999831956</c:v>
                </c:pt>
                <c:pt idx="80">
                  <c:v>45.404011701729637</c:v>
                </c:pt>
                <c:pt idx="81">
                  <c:v>45.307357158395554</c:v>
                </c:pt>
                <c:pt idx="82">
                  <c:v>45.224682848872888</c:v>
                </c:pt>
                <c:pt idx="83">
                  <c:v>45.153238176151838</c:v>
                </c:pt>
                <c:pt idx="84">
                  <c:v>45.078095119478924</c:v>
                </c:pt>
                <c:pt idx="85">
                  <c:v>44.998155698595767</c:v>
                </c:pt>
                <c:pt idx="86">
                  <c:v>44.915950306050568</c:v>
                </c:pt>
                <c:pt idx="87">
                  <c:v>44.825194133796614</c:v>
                </c:pt>
                <c:pt idx="88">
                  <c:v>44.727381216335075</c:v>
                </c:pt>
                <c:pt idx="89">
                  <c:v>44.639997180638332</c:v>
                </c:pt>
                <c:pt idx="90">
                  <c:v>44.545833538739068</c:v>
                </c:pt>
                <c:pt idx="91">
                  <c:v>44.451318809148574</c:v>
                </c:pt>
                <c:pt idx="92">
                  <c:v>44.348944647128299</c:v>
                </c:pt>
                <c:pt idx="93">
                  <c:v>44.236021619514702</c:v>
                </c:pt>
                <c:pt idx="94">
                  <c:v>44.12071117693209</c:v>
                </c:pt>
                <c:pt idx="95">
                  <c:v>44.007545199558173</c:v>
                </c:pt>
                <c:pt idx="96">
                  <c:v>43.912013806066788</c:v>
                </c:pt>
                <c:pt idx="97">
                  <c:v>43.812274485741199</c:v>
                </c:pt>
                <c:pt idx="98">
                  <c:v>43.700642929789865</c:v>
                </c:pt>
                <c:pt idx="99">
                  <c:v>43.580760830540576</c:v>
                </c:pt>
                <c:pt idx="100">
                  <c:v>43.474246921527751</c:v>
                </c:pt>
                <c:pt idx="101">
                  <c:v>43.354640613899846</c:v>
                </c:pt>
                <c:pt idx="102">
                  <c:v>43.227569646289673</c:v>
                </c:pt>
                <c:pt idx="103">
                  <c:v>43.104657658298422</c:v>
                </c:pt>
                <c:pt idx="104">
                  <c:v>42.979731383570723</c:v>
                </c:pt>
                <c:pt idx="105">
                  <c:v>42.859593419823824</c:v>
                </c:pt>
                <c:pt idx="106">
                  <c:v>42.730714758844393</c:v>
                </c:pt>
                <c:pt idx="107">
                  <c:v>42.595742636856727</c:v>
                </c:pt>
                <c:pt idx="108">
                  <c:v>42.464691649696121</c:v>
                </c:pt>
                <c:pt idx="109">
                  <c:v>42.348523320887551</c:v>
                </c:pt>
                <c:pt idx="110">
                  <c:v>42.236476882113358</c:v>
                </c:pt>
                <c:pt idx="111">
                  <c:v>42.11794071216341</c:v>
                </c:pt>
                <c:pt idx="112">
                  <c:v>41.990216056270903</c:v>
                </c:pt>
                <c:pt idx="113">
                  <c:v>41.852321557014918</c:v>
                </c:pt>
                <c:pt idx="114">
                  <c:v>41.706102709895312</c:v>
                </c:pt>
                <c:pt idx="115">
                  <c:v>41.55222337806638</c:v>
                </c:pt>
                <c:pt idx="116">
                  <c:v>41.394163166927441</c:v>
                </c:pt>
                <c:pt idx="117">
                  <c:v>41.229233227830385</c:v>
                </c:pt>
                <c:pt idx="118">
                  <c:v>41.05425547487112</c:v>
                </c:pt>
                <c:pt idx="119">
                  <c:v>40.867601520880896</c:v>
                </c:pt>
                <c:pt idx="120">
                  <c:v>40.668303861932593</c:v>
                </c:pt>
                <c:pt idx="121">
                  <c:v>40.455698877359779</c:v>
                </c:pt>
                <c:pt idx="122">
                  <c:v>40.245345662827468</c:v>
                </c:pt>
                <c:pt idx="123">
                  <c:v>40.021738885537545</c:v>
                </c:pt>
                <c:pt idx="124">
                  <c:v>39.784786060829838</c:v>
                </c:pt>
                <c:pt idx="125">
                  <c:v>39.560214691084312</c:v>
                </c:pt>
                <c:pt idx="126">
                  <c:v>39.359268521519539</c:v>
                </c:pt>
                <c:pt idx="127">
                  <c:v>39.143619477310729</c:v>
                </c:pt>
                <c:pt idx="128">
                  <c:v>38.928635936873178</c:v>
                </c:pt>
                <c:pt idx="129">
                  <c:v>38.710669286114516</c:v>
                </c:pt>
                <c:pt idx="130">
                  <c:v>38.482264175596839</c:v>
                </c:pt>
                <c:pt idx="131">
                  <c:v>38.269032018031865</c:v>
                </c:pt>
                <c:pt idx="132">
                  <c:v>38.066071359574579</c:v>
                </c:pt>
                <c:pt idx="133">
                  <c:v>37.886775826301296</c:v>
                </c:pt>
                <c:pt idx="134">
                  <c:v>37.712300645881662</c:v>
                </c:pt>
                <c:pt idx="135">
                  <c:v>37.530455825989065</c:v>
                </c:pt>
                <c:pt idx="136">
                  <c:v>37.359406666492681</c:v>
                </c:pt>
                <c:pt idx="137">
                  <c:v>37.193875165148519</c:v>
                </c:pt>
                <c:pt idx="138">
                  <c:v>37.018389225664727</c:v>
                </c:pt>
                <c:pt idx="139">
                  <c:v>36.834289055324845</c:v>
                </c:pt>
                <c:pt idx="140">
                  <c:v>36.632269006093203</c:v>
                </c:pt>
                <c:pt idx="141">
                  <c:v>36.393909387286953</c:v>
                </c:pt>
                <c:pt idx="142">
                  <c:v>36.164297901902884</c:v>
                </c:pt>
                <c:pt idx="143">
                  <c:v>35.891852405725253</c:v>
                </c:pt>
                <c:pt idx="144">
                  <c:v>35.610991864080624</c:v>
                </c:pt>
                <c:pt idx="145">
                  <c:v>35.307457022197674</c:v>
                </c:pt>
                <c:pt idx="146">
                  <c:v>34.99350760622557</c:v>
                </c:pt>
                <c:pt idx="147">
                  <c:v>34.655777097767498</c:v>
                </c:pt>
                <c:pt idx="148">
                  <c:v>34.300768566293307</c:v>
                </c:pt>
                <c:pt idx="149">
                  <c:v>33.909041380445665</c:v>
                </c:pt>
                <c:pt idx="150">
                  <c:v>33.50212704823187</c:v>
                </c:pt>
                <c:pt idx="151">
                  <c:v>33.059948632460063</c:v>
                </c:pt>
                <c:pt idx="152">
                  <c:v>32.606977918742821</c:v>
                </c:pt>
                <c:pt idx="153">
                  <c:v>32.136663424233184</c:v>
                </c:pt>
                <c:pt idx="154">
                  <c:v>31.671321720130209</c:v>
                </c:pt>
                <c:pt idx="155">
                  <c:v>31.193175219280484</c:v>
                </c:pt>
                <c:pt idx="156">
                  <c:v>30.717399476856151</c:v>
                </c:pt>
                <c:pt idx="157">
                  <c:v>30.260953390951244</c:v>
                </c:pt>
                <c:pt idx="158">
                  <c:v>29.789496933767133</c:v>
                </c:pt>
                <c:pt idx="159">
                  <c:v>29.358467892265772</c:v>
                </c:pt>
                <c:pt idx="160">
                  <c:v>29.004796792648175</c:v>
                </c:pt>
                <c:pt idx="161">
                  <c:v>28.641001912365642</c:v>
                </c:pt>
                <c:pt idx="162">
                  <c:v>28.344637581709659</c:v>
                </c:pt>
                <c:pt idx="163">
                  <c:v>28.077746866527704</c:v>
                </c:pt>
                <c:pt idx="164">
                  <c:v>27.76312771775482</c:v>
                </c:pt>
                <c:pt idx="165">
                  <c:v>27.448841141788911</c:v>
                </c:pt>
                <c:pt idx="166">
                  <c:v>27.109756782491385</c:v>
                </c:pt>
                <c:pt idx="167">
                  <c:v>26.750229061639523</c:v>
                </c:pt>
                <c:pt idx="168">
                  <c:v>26.375283686452423</c:v>
                </c:pt>
                <c:pt idx="169">
                  <c:v>25.939659736596422</c:v>
                </c:pt>
                <c:pt idx="170">
                  <c:v>25.537963454170725</c:v>
                </c:pt>
                <c:pt idx="171">
                  <c:v>25.332764698854376</c:v>
                </c:pt>
                <c:pt idx="172">
                  <c:v>24.931294071537856</c:v>
                </c:pt>
                <c:pt idx="173">
                  <c:v>24.418973282110194</c:v>
                </c:pt>
                <c:pt idx="174">
                  <c:v>24.181466698198054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1D-47F7-A427-80C475EEA81D}"/>
            </c:ext>
          </c:extLst>
        </c:ser>
        <c:ser>
          <c:idx val="6"/>
          <c:order val="6"/>
          <c:tx>
            <c:strRef>
              <c:f>data_co2_excLUC!$J$2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data_co2_excLUC!$J$3:$J$177</c:f>
              <c:numCache>
                <c:formatCode>0.0</c:formatCode>
                <c:ptCount val="175"/>
                <c:pt idx="0">
                  <c:v>48.501612141772895</c:v>
                </c:pt>
                <c:pt idx="1">
                  <c:v>48.496162864785717</c:v>
                </c:pt>
                <c:pt idx="2">
                  <c:v>48.490661635183308</c:v>
                </c:pt>
                <c:pt idx="3">
                  <c:v>48.484939261005685</c:v>
                </c:pt>
                <c:pt idx="4">
                  <c:v>48.478939614799579</c:v>
                </c:pt>
                <c:pt idx="5">
                  <c:v>48.471878208879225</c:v>
                </c:pt>
                <c:pt idx="6">
                  <c:v>48.464714471940731</c:v>
                </c:pt>
                <c:pt idx="7">
                  <c:v>48.457079057286954</c:v>
                </c:pt>
                <c:pt idx="8">
                  <c:v>48.44938150997816</c:v>
                </c:pt>
                <c:pt idx="9">
                  <c:v>48.441629209052763</c:v>
                </c:pt>
                <c:pt idx="10">
                  <c:v>48.433392881258982</c:v>
                </c:pt>
                <c:pt idx="11">
                  <c:v>48.424364983907545</c:v>
                </c:pt>
                <c:pt idx="12">
                  <c:v>48.414869993224393</c:v>
                </c:pt>
                <c:pt idx="13">
                  <c:v>48.405281911605428</c:v>
                </c:pt>
                <c:pt idx="14">
                  <c:v>48.395127364908781</c:v>
                </c:pt>
                <c:pt idx="15">
                  <c:v>48.384222996400339</c:v>
                </c:pt>
                <c:pt idx="16">
                  <c:v>48.372690963053095</c:v>
                </c:pt>
                <c:pt idx="17">
                  <c:v>48.360908490006452</c:v>
                </c:pt>
                <c:pt idx="18">
                  <c:v>48.348298915667954</c:v>
                </c:pt>
                <c:pt idx="19">
                  <c:v>48.335397234575858</c:v>
                </c:pt>
                <c:pt idx="20">
                  <c:v>48.321749880091843</c:v>
                </c:pt>
                <c:pt idx="21">
                  <c:v>48.30786034641509</c:v>
                </c:pt>
                <c:pt idx="22">
                  <c:v>48.293247009330464</c:v>
                </c:pt>
                <c:pt idx="23">
                  <c:v>48.27700014284526</c:v>
                </c:pt>
                <c:pt idx="24">
                  <c:v>48.259720478424882</c:v>
                </c:pt>
                <c:pt idx="25">
                  <c:v>48.24388966645337</c:v>
                </c:pt>
                <c:pt idx="26">
                  <c:v>48.226527585633441</c:v>
                </c:pt>
                <c:pt idx="27">
                  <c:v>48.209386816578267</c:v>
                </c:pt>
                <c:pt idx="28">
                  <c:v>48.191827895504687</c:v>
                </c:pt>
                <c:pt idx="29">
                  <c:v>48.174431181906677</c:v>
                </c:pt>
                <c:pt idx="30">
                  <c:v>48.155720621742759</c:v>
                </c:pt>
                <c:pt idx="31">
                  <c:v>48.134211574835298</c:v>
                </c:pt>
                <c:pt idx="32">
                  <c:v>48.112032569583839</c:v>
                </c:pt>
                <c:pt idx="33">
                  <c:v>48.088490225912665</c:v>
                </c:pt>
                <c:pt idx="34">
                  <c:v>48.063572844200415</c:v>
                </c:pt>
                <c:pt idx="35">
                  <c:v>48.038447055964156</c:v>
                </c:pt>
                <c:pt idx="36">
                  <c:v>48.013262351726546</c:v>
                </c:pt>
                <c:pt idx="37">
                  <c:v>47.987748424494619</c:v>
                </c:pt>
                <c:pt idx="38">
                  <c:v>47.960931987773684</c:v>
                </c:pt>
                <c:pt idx="39">
                  <c:v>47.931056959052086</c:v>
                </c:pt>
                <c:pt idx="40">
                  <c:v>47.901577951085152</c:v>
                </c:pt>
                <c:pt idx="41">
                  <c:v>47.869334554917984</c:v>
                </c:pt>
                <c:pt idx="42">
                  <c:v>47.83569097985032</c:v>
                </c:pt>
                <c:pt idx="43">
                  <c:v>47.801778138157786</c:v>
                </c:pt>
                <c:pt idx="44">
                  <c:v>47.768897169632382</c:v>
                </c:pt>
                <c:pt idx="45">
                  <c:v>47.734727511783639</c:v>
                </c:pt>
                <c:pt idx="46">
                  <c:v>47.69875111395622</c:v>
                </c:pt>
                <c:pt idx="47">
                  <c:v>47.661697880120826</c:v>
                </c:pt>
                <c:pt idx="48">
                  <c:v>47.623098180542186</c:v>
                </c:pt>
                <c:pt idx="49">
                  <c:v>47.582714938970227</c:v>
                </c:pt>
                <c:pt idx="50">
                  <c:v>47.538203995252609</c:v>
                </c:pt>
                <c:pt idx="51">
                  <c:v>47.491030618934602</c:v>
                </c:pt>
                <c:pt idx="52">
                  <c:v>47.442789048330638</c:v>
                </c:pt>
                <c:pt idx="53">
                  <c:v>47.392865517444996</c:v>
                </c:pt>
                <c:pt idx="54">
                  <c:v>47.337593755153087</c:v>
                </c:pt>
                <c:pt idx="55">
                  <c:v>47.28229004810288</c:v>
                </c:pt>
                <c:pt idx="56">
                  <c:v>47.222434369726123</c:v>
                </c:pt>
                <c:pt idx="57">
                  <c:v>47.160964532708874</c:v>
                </c:pt>
                <c:pt idx="58">
                  <c:v>47.090483565010715</c:v>
                </c:pt>
                <c:pt idx="59">
                  <c:v>47.024122890992935</c:v>
                </c:pt>
                <c:pt idx="60">
                  <c:v>46.95474264159666</c:v>
                </c:pt>
                <c:pt idx="61">
                  <c:v>46.880730359673976</c:v>
                </c:pt>
                <c:pt idx="62">
                  <c:v>46.806398301919131</c:v>
                </c:pt>
                <c:pt idx="63">
                  <c:v>46.727945644771459</c:v>
                </c:pt>
                <c:pt idx="64">
                  <c:v>46.642810312579826</c:v>
                </c:pt>
                <c:pt idx="65">
                  <c:v>46.565140051004107</c:v>
                </c:pt>
                <c:pt idx="66">
                  <c:v>46.488152729834454</c:v>
                </c:pt>
                <c:pt idx="67">
                  <c:v>46.405107966593675</c:v>
                </c:pt>
                <c:pt idx="68">
                  <c:v>46.318283804951434</c:v>
                </c:pt>
                <c:pt idx="69">
                  <c:v>46.227868368340694</c:v>
                </c:pt>
                <c:pt idx="70">
                  <c:v>46.14680777975483</c:v>
                </c:pt>
                <c:pt idx="71">
                  <c:v>46.055860748105054</c:v>
                </c:pt>
                <c:pt idx="72">
                  <c:v>45.979599499130579</c:v>
                </c:pt>
                <c:pt idx="73">
                  <c:v>45.898087832772497</c:v>
                </c:pt>
                <c:pt idx="74">
                  <c:v>45.802146125794032</c:v>
                </c:pt>
                <c:pt idx="75">
                  <c:v>45.706852941275493</c:v>
                </c:pt>
                <c:pt idx="76">
                  <c:v>45.609095037121435</c:v>
                </c:pt>
                <c:pt idx="77">
                  <c:v>45.514533187103787</c:v>
                </c:pt>
                <c:pt idx="78">
                  <c:v>45.410487980853624</c:v>
                </c:pt>
                <c:pt idx="79">
                  <c:v>45.308601442835453</c:v>
                </c:pt>
                <c:pt idx="80">
                  <c:v>45.198883434622203</c:v>
                </c:pt>
                <c:pt idx="81">
                  <c:v>45.100928679115491</c:v>
                </c:pt>
                <c:pt idx="82">
                  <c:v>45.017075876325805</c:v>
                </c:pt>
                <c:pt idx="83">
                  <c:v>44.944644961231255</c:v>
                </c:pt>
                <c:pt idx="84">
                  <c:v>44.868531045303413</c:v>
                </c:pt>
                <c:pt idx="85">
                  <c:v>44.787648010794484</c:v>
                </c:pt>
                <c:pt idx="86">
                  <c:v>44.704619972644991</c:v>
                </c:pt>
                <c:pt idx="87">
                  <c:v>44.613128241540373</c:v>
                </c:pt>
                <c:pt idx="88">
                  <c:v>44.514417539732229</c:v>
                </c:pt>
                <c:pt idx="89">
                  <c:v>44.426797638094925</c:v>
                </c:pt>
                <c:pt idx="90">
                  <c:v>44.332026392311782</c:v>
                </c:pt>
                <c:pt idx="91">
                  <c:v>44.237459074976556</c:v>
                </c:pt>
                <c:pt idx="92">
                  <c:v>44.135696196157674</c:v>
                </c:pt>
                <c:pt idx="93">
                  <c:v>44.024151660406233</c:v>
                </c:pt>
                <c:pt idx="94">
                  <c:v>43.913424824505626</c:v>
                </c:pt>
                <c:pt idx="95">
                  <c:v>43.802991317301519</c:v>
                </c:pt>
                <c:pt idx="96">
                  <c:v>43.711548716140427</c:v>
                </c:pt>
                <c:pt idx="97">
                  <c:v>43.616011653453093</c:v>
                </c:pt>
                <c:pt idx="98">
                  <c:v>43.506341146570684</c:v>
                </c:pt>
                <c:pt idx="99">
                  <c:v>43.387839962155915</c:v>
                </c:pt>
                <c:pt idx="100">
                  <c:v>43.283913025230383</c:v>
                </c:pt>
                <c:pt idx="101">
                  <c:v>43.161920956794035</c:v>
                </c:pt>
                <c:pt idx="102">
                  <c:v>43.032180455430478</c:v>
                </c:pt>
                <c:pt idx="103">
                  <c:v>42.906683242526015</c:v>
                </c:pt>
                <c:pt idx="104">
                  <c:v>42.779315646409181</c:v>
                </c:pt>
                <c:pt idx="105">
                  <c:v>42.656594750757897</c:v>
                </c:pt>
                <c:pt idx="106">
                  <c:v>42.524681419906784</c:v>
                </c:pt>
                <c:pt idx="107">
                  <c:v>42.386466910670165</c:v>
                </c:pt>
                <c:pt idx="108">
                  <c:v>42.252774140738858</c:v>
                </c:pt>
                <c:pt idx="109">
                  <c:v>42.13474690588329</c:v>
                </c:pt>
                <c:pt idx="110">
                  <c:v>42.020783184609392</c:v>
                </c:pt>
                <c:pt idx="111">
                  <c:v>41.901140064071051</c:v>
                </c:pt>
                <c:pt idx="112">
                  <c:v>41.772508541568079</c:v>
                </c:pt>
                <c:pt idx="113">
                  <c:v>41.63320984636615</c:v>
                </c:pt>
                <c:pt idx="114">
                  <c:v>41.483941870923871</c:v>
                </c:pt>
                <c:pt idx="115">
                  <c:v>41.326851547275893</c:v>
                </c:pt>
                <c:pt idx="116">
                  <c:v>41.16440409700818</c:v>
                </c:pt>
                <c:pt idx="117">
                  <c:v>40.996610975379696</c:v>
                </c:pt>
                <c:pt idx="118">
                  <c:v>40.817576438980481</c:v>
                </c:pt>
                <c:pt idx="119">
                  <c:v>40.627135141785907</c:v>
                </c:pt>
                <c:pt idx="120">
                  <c:v>40.423280684251814</c:v>
                </c:pt>
                <c:pt idx="121">
                  <c:v>40.207674217595141</c:v>
                </c:pt>
                <c:pt idx="122">
                  <c:v>39.993605263597253</c:v>
                </c:pt>
                <c:pt idx="123">
                  <c:v>39.765552164114979</c:v>
                </c:pt>
                <c:pt idx="124">
                  <c:v>39.522640506022533</c:v>
                </c:pt>
                <c:pt idx="125">
                  <c:v>39.292266576974924</c:v>
                </c:pt>
                <c:pt idx="126">
                  <c:v>39.088129254238531</c:v>
                </c:pt>
                <c:pt idx="127">
                  <c:v>38.866063418810022</c:v>
                </c:pt>
                <c:pt idx="128">
                  <c:v>38.644444595121428</c:v>
                </c:pt>
                <c:pt idx="129">
                  <c:v>38.41718917573084</c:v>
                </c:pt>
                <c:pt idx="130">
                  <c:v>38.177802439841876</c:v>
                </c:pt>
                <c:pt idx="131">
                  <c:v>37.954516632708781</c:v>
                </c:pt>
                <c:pt idx="132">
                  <c:v>37.741136796733329</c:v>
                </c:pt>
                <c:pt idx="133">
                  <c:v>37.553607946269999</c:v>
                </c:pt>
                <c:pt idx="134">
                  <c:v>37.369060396742519</c:v>
                </c:pt>
                <c:pt idx="135">
                  <c:v>37.176024562881345</c:v>
                </c:pt>
                <c:pt idx="136">
                  <c:v>36.99334470524564</c:v>
                </c:pt>
                <c:pt idx="137">
                  <c:v>36.815881376262354</c:v>
                </c:pt>
                <c:pt idx="138">
                  <c:v>36.626738175566871</c:v>
                </c:pt>
                <c:pt idx="139">
                  <c:v>36.425106565476476</c:v>
                </c:pt>
                <c:pt idx="140">
                  <c:v>36.206994077139726</c:v>
                </c:pt>
                <c:pt idx="141">
                  <c:v>35.96991985921094</c:v>
                </c:pt>
                <c:pt idx="142">
                  <c:v>35.734388492227673</c:v>
                </c:pt>
                <c:pt idx="143">
                  <c:v>35.461601883426255</c:v>
                </c:pt>
                <c:pt idx="144">
                  <c:v>35.178740068687929</c:v>
                </c:pt>
                <c:pt idx="145">
                  <c:v>34.870391629159897</c:v>
                </c:pt>
                <c:pt idx="146">
                  <c:v>34.552539262818605</c:v>
                </c:pt>
                <c:pt idx="147">
                  <c:v>34.212941320571872</c:v>
                </c:pt>
                <c:pt idx="148">
                  <c:v>33.858059622805328</c:v>
                </c:pt>
                <c:pt idx="149">
                  <c:v>33.468855573633668</c:v>
                </c:pt>
                <c:pt idx="150">
                  <c:v>33.065705954571726</c:v>
                </c:pt>
                <c:pt idx="151">
                  <c:v>32.628727351992744</c:v>
                </c:pt>
                <c:pt idx="152">
                  <c:v>32.184145526827898</c:v>
                </c:pt>
                <c:pt idx="153">
                  <c:v>31.725902179597227</c:v>
                </c:pt>
                <c:pt idx="154">
                  <c:v>31.272767859479039</c:v>
                </c:pt>
                <c:pt idx="155">
                  <c:v>30.812448091713495</c:v>
                </c:pt>
                <c:pt idx="156">
                  <c:v>30.360318171642199</c:v>
                </c:pt>
                <c:pt idx="157">
                  <c:v>29.921763343616846</c:v>
                </c:pt>
                <c:pt idx="158">
                  <c:v>29.465852878774392</c:v>
                </c:pt>
                <c:pt idx="159">
                  <c:v>29.042652956553898</c:v>
                </c:pt>
                <c:pt idx="160">
                  <c:v>28.693716835078824</c:v>
                </c:pt>
                <c:pt idx="161">
                  <c:v>28.318980786999791</c:v>
                </c:pt>
                <c:pt idx="162">
                  <c:v>28.012018233340179</c:v>
                </c:pt>
                <c:pt idx="163">
                  <c:v>27.732196787909917</c:v>
                </c:pt>
                <c:pt idx="164">
                  <c:v>27.406304026497285</c:v>
                </c:pt>
                <c:pt idx="165">
                  <c:v>27.090867353471531</c:v>
                </c:pt>
                <c:pt idx="166">
                  <c:v>26.77192807241855</c:v>
                </c:pt>
                <c:pt idx="167">
                  <c:v>26.447744355314782</c:v>
                </c:pt>
                <c:pt idx="168">
                  <c:v>26.13269873012592</c:v>
                </c:pt>
                <c:pt idx="169">
                  <c:v>25.760273818815193</c:v>
                </c:pt>
                <c:pt idx="170">
                  <c:v>25.400105344438444</c:v>
                </c:pt>
                <c:pt idx="171">
                  <c:v>25.250557904175118</c:v>
                </c:pt>
                <c:pt idx="172">
                  <c:v>24.928989779387692</c:v>
                </c:pt>
                <c:pt idx="173">
                  <c:v>24.44208745772</c:v>
                </c:pt>
                <c:pt idx="174">
                  <c:v>24.3249699518258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1D-47F7-A427-80C475EEA81D}"/>
            </c:ext>
          </c:extLst>
        </c:ser>
        <c:ser>
          <c:idx val="7"/>
          <c:order val="7"/>
          <c:tx>
            <c:strRef>
              <c:f>data_co2_excLUC!$K$2</c:f>
              <c:strCache>
                <c:ptCount val="1"/>
                <c:pt idx="0">
                  <c:v>pct_annex2_GCP_fossil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data_co2_excLUC!$K$3:$K$177</c:f>
              <c:numCache>
                <c:formatCode>0.0</c:formatCode>
                <c:ptCount val="175"/>
                <c:pt idx="0">
                  <c:v>48.634529780665289</c:v>
                </c:pt>
                <c:pt idx="1">
                  <c:v>48.629095835040964</c:v>
                </c:pt>
                <c:pt idx="2">
                  <c:v>48.623629685680122</c:v>
                </c:pt>
                <c:pt idx="3">
                  <c:v>48.617955420069904</c:v>
                </c:pt>
                <c:pt idx="4">
                  <c:v>48.612010961482063</c:v>
                </c:pt>
                <c:pt idx="5">
                  <c:v>48.605008625869957</c:v>
                </c:pt>
                <c:pt idx="6">
                  <c:v>48.597930105429711</c:v>
                </c:pt>
                <c:pt idx="7">
                  <c:v>48.590400126981187</c:v>
                </c:pt>
                <c:pt idx="8">
                  <c:v>48.582826586025114</c:v>
                </c:pt>
                <c:pt idx="9">
                  <c:v>48.575224435860967</c:v>
                </c:pt>
                <c:pt idx="10">
                  <c:v>48.567122941579129</c:v>
                </c:pt>
                <c:pt idx="11">
                  <c:v>48.558233846613192</c:v>
                </c:pt>
                <c:pt idx="12">
                  <c:v>48.548910794437759</c:v>
                </c:pt>
                <c:pt idx="13">
                  <c:v>48.539501574870712</c:v>
                </c:pt>
                <c:pt idx="14">
                  <c:v>48.529517248928549</c:v>
                </c:pt>
                <c:pt idx="15">
                  <c:v>48.518795928964828</c:v>
                </c:pt>
                <c:pt idx="16">
                  <c:v>48.507462927078308</c:v>
                </c:pt>
                <c:pt idx="17">
                  <c:v>48.495886709856741</c:v>
                </c:pt>
                <c:pt idx="18">
                  <c:v>48.483500587959369</c:v>
                </c:pt>
                <c:pt idx="19">
                  <c:v>48.470840934203281</c:v>
                </c:pt>
                <c:pt idx="20">
                  <c:v>48.457423398458602</c:v>
                </c:pt>
                <c:pt idx="21">
                  <c:v>48.443783881820046</c:v>
                </c:pt>
                <c:pt idx="22">
                  <c:v>48.42944233602433</c:v>
                </c:pt>
                <c:pt idx="23">
                  <c:v>48.413518054829417</c:v>
                </c:pt>
                <c:pt idx="24">
                  <c:v>48.396579904963559</c:v>
                </c:pt>
                <c:pt idx="25">
                  <c:v>48.381056087901271</c:v>
                </c:pt>
                <c:pt idx="26">
                  <c:v>48.364051974143344</c:v>
                </c:pt>
                <c:pt idx="27">
                  <c:v>48.347266528784274</c:v>
                </c:pt>
                <c:pt idx="28">
                  <c:v>48.330061190245047</c:v>
                </c:pt>
                <c:pt idx="29">
                  <c:v>48.313040823216049</c:v>
                </c:pt>
                <c:pt idx="30">
                  <c:v>48.294758543875361</c:v>
                </c:pt>
                <c:pt idx="31">
                  <c:v>48.273835605135567</c:v>
                </c:pt>
                <c:pt idx="32">
                  <c:v>48.252152991186456</c:v>
                </c:pt>
                <c:pt idx="33">
                  <c:v>48.229161416862766</c:v>
                </c:pt>
                <c:pt idx="34">
                  <c:v>48.20483133588408</c:v>
                </c:pt>
                <c:pt idx="35">
                  <c:v>48.180324896870339</c:v>
                </c:pt>
                <c:pt idx="36">
                  <c:v>48.155804355297036</c:v>
                </c:pt>
                <c:pt idx="37">
                  <c:v>48.130934825877155</c:v>
                </c:pt>
                <c:pt idx="38">
                  <c:v>48.104768437481056</c:v>
                </c:pt>
                <c:pt idx="39">
                  <c:v>48.07564929204203</c:v>
                </c:pt>
                <c:pt idx="40">
                  <c:v>48.046977554381236</c:v>
                </c:pt>
                <c:pt idx="41">
                  <c:v>48.015580973834751</c:v>
                </c:pt>
                <c:pt idx="42">
                  <c:v>47.982846610068187</c:v>
                </c:pt>
                <c:pt idx="43">
                  <c:v>47.949857231683978</c:v>
                </c:pt>
                <c:pt idx="44">
                  <c:v>47.917943311797536</c:v>
                </c:pt>
                <c:pt idx="45">
                  <c:v>47.884832094642434</c:v>
                </c:pt>
                <c:pt idx="46">
                  <c:v>47.849932130533482</c:v>
                </c:pt>
                <c:pt idx="47">
                  <c:v>47.813996136212403</c:v>
                </c:pt>
                <c:pt idx="48">
                  <c:v>47.776585670723875</c:v>
                </c:pt>
                <c:pt idx="49">
                  <c:v>47.737465021259133</c:v>
                </c:pt>
                <c:pt idx="50">
                  <c:v>47.694367108767047</c:v>
                </c:pt>
                <c:pt idx="51">
                  <c:v>47.648787732195821</c:v>
                </c:pt>
                <c:pt idx="52">
                  <c:v>47.601998011056914</c:v>
                </c:pt>
                <c:pt idx="53">
                  <c:v>47.553527164922976</c:v>
                </c:pt>
                <c:pt idx="54">
                  <c:v>47.499788437305185</c:v>
                </c:pt>
                <c:pt idx="55">
                  <c:v>47.445976705298762</c:v>
                </c:pt>
                <c:pt idx="56">
                  <c:v>47.387736387430166</c:v>
                </c:pt>
                <c:pt idx="57">
                  <c:v>47.327542335686474</c:v>
                </c:pt>
                <c:pt idx="58">
                  <c:v>47.259252870722371</c:v>
                </c:pt>
                <c:pt idx="59">
                  <c:v>47.195113364052212</c:v>
                </c:pt>
                <c:pt idx="60">
                  <c:v>47.127946807884392</c:v>
                </c:pt>
                <c:pt idx="61">
                  <c:v>47.056292693008231</c:v>
                </c:pt>
                <c:pt idx="62">
                  <c:v>46.984085131919379</c:v>
                </c:pt>
                <c:pt idx="63">
                  <c:v>46.90831103555076</c:v>
                </c:pt>
                <c:pt idx="64">
                  <c:v>46.826150338963821</c:v>
                </c:pt>
                <c:pt idx="65">
                  <c:v>46.751105934204041</c:v>
                </c:pt>
                <c:pt idx="66">
                  <c:v>46.676505154038907</c:v>
                </c:pt>
                <c:pt idx="67">
                  <c:v>46.595804248392554</c:v>
                </c:pt>
                <c:pt idx="68">
                  <c:v>46.510700540396257</c:v>
                </c:pt>
                <c:pt idx="69">
                  <c:v>46.42235213172988</c:v>
                </c:pt>
                <c:pt idx="70">
                  <c:v>46.343118305234526</c:v>
                </c:pt>
                <c:pt idx="71">
                  <c:v>46.254196015816973</c:v>
                </c:pt>
                <c:pt idx="72">
                  <c:v>46.179694048513255</c:v>
                </c:pt>
                <c:pt idx="73">
                  <c:v>46.10024205137708</c:v>
                </c:pt>
                <c:pt idx="74">
                  <c:v>46.006352868721137</c:v>
                </c:pt>
                <c:pt idx="75">
                  <c:v>45.91320431344873</c:v>
                </c:pt>
                <c:pt idx="76">
                  <c:v>45.818227693095217</c:v>
                </c:pt>
                <c:pt idx="77">
                  <c:v>45.726030857572347</c:v>
                </c:pt>
                <c:pt idx="78">
                  <c:v>45.624762763139934</c:v>
                </c:pt>
                <c:pt idx="79">
                  <c:v>45.524877602949147</c:v>
                </c:pt>
                <c:pt idx="80">
                  <c:v>45.417200975479339</c:v>
                </c:pt>
                <c:pt idx="81">
                  <c:v>45.320549705918573</c:v>
                </c:pt>
                <c:pt idx="82">
                  <c:v>45.237879432452473</c:v>
                </c:pt>
                <c:pt idx="83">
                  <c:v>45.166439330449705</c:v>
                </c:pt>
                <c:pt idx="84">
                  <c:v>45.091301138753451</c:v>
                </c:pt>
                <c:pt idx="85">
                  <c:v>45.011367547438915</c:v>
                </c:pt>
                <c:pt idx="86">
                  <c:v>44.92916878711997</c:v>
                </c:pt>
                <c:pt idx="87">
                  <c:v>44.838419756879553</c:v>
                </c:pt>
                <c:pt idx="88">
                  <c:v>44.740614267151642</c:v>
                </c:pt>
                <c:pt idx="89">
                  <c:v>44.653238625502297</c:v>
                </c:pt>
                <c:pt idx="90">
                  <c:v>44.559083363876454</c:v>
                </c:pt>
                <c:pt idx="91">
                  <c:v>44.464580344918616</c:v>
                </c:pt>
                <c:pt idx="92">
                  <c:v>44.362216613543495</c:v>
                </c:pt>
                <c:pt idx="93">
                  <c:v>44.249300716041127</c:v>
                </c:pt>
                <c:pt idx="94">
                  <c:v>44.133997523303158</c:v>
                </c:pt>
                <c:pt idx="95">
                  <c:v>44.020840185872714</c:v>
                </c:pt>
                <c:pt idx="96">
                  <c:v>43.925315557232793</c:v>
                </c:pt>
                <c:pt idx="97">
                  <c:v>43.825584454986306</c:v>
                </c:pt>
                <c:pt idx="98">
                  <c:v>43.713962182738989</c:v>
                </c:pt>
                <c:pt idx="99">
                  <c:v>43.594089286094302</c:v>
                </c:pt>
                <c:pt idx="100">
                  <c:v>43.487586682600551</c:v>
                </c:pt>
                <c:pt idx="101">
                  <c:v>43.367992785385631</c:v>
                </c:pt>
                <c:pt idx="102">
                  <c:v>43.240935654729064</c:v>
                </c:pt>
                <c:pt idx="103">
                  <c:v>43.118039621320783</c:v>
                </c:pt>
                <c:pt idx="104">
                  <c:v>42.993130337749093</c:v>
                </c:pt>
                <c:pt idx="105">
                  <c:v>42.873012207557863</c:v>
                </c:pt>
                <c:pt idx="106">
                  <c:v>42.744156001637428</c:v>
                </c:pt>
                <c:pt idx="107">
                  <c:v>42.60920874371871</c:v>
                </c:pt>
                <c:pt idx="108">
                  <c:v>42.478186178904451</c:v>
                </c:pt>
                <c:pt idx="109">
                  <c:v>42.362053472980087</c:v>
                </c:pt>
                <c:pt idx="110">
                  <c:v>42.250048295101486</c:v>
                </c:pt>
                <c:pt idx="111">
                  <c:v>42.131556396750305</c:v>
                </c:pt>
                <c:pt idx="112">
                  <c:v>42.003872555025069</c:v>
                </c:pt>
                <c:pt idx="113">
                  <c:v>41.866019047171292</c:v>
                </c:pt>
                <c:pt idx="114">
                  <c:v>41.719843586764519</c:v>
                </c:pt>
                <c:pt idx="115">
                  <c:v>41.566010636559895</c:v>
                </c:pt>
                <c:pt idx="116">
                  <c:v>41.408000444434151</c:v>
                </c:pt>
                <c:pt idx="117">
                  <c:v>41.24312407741683</c:v>
                </c:pt>
                <c:pt idx="118">
                  <c:v>41.068200568629493</c:v>
                </c:pt>
                <c:pt idx="119">
                  <c:v>40.881604118924599</c:v>
                </c:pt>
                <c:pt idx="120">
                  <c:v>40.682367476151569</c:v>
                </c:pt>
                <c:pt idx="121">
                  <c:v>40.469829332181298</c:v>
                </c:pt>
                <c:pt idx="122">
                  <c:v>40.259549959189535</c:v>
                </c:pt>
                <c:pt idx="123">
                  <c:v>40.036021066319492</c:v>
                </c:pt>
                <c:pt idx="124">
                  <c:v>39.799152360531437</c:v>
                </c:pt>
                <c:pt idx="125">
                  <c:v>39.574669243917228</c:v>
                </c:pt>
                <c:pt idx="126">
                  <c:v>39.373822374188535</c:v>
                </c:pt>
                <c:pt idx="127">
                  <c:v>39.158282657195031</c:v>
                </c:pt>
                <c:pt idx="128">
                  <c:v>38.943416371745847</c:v>
                </c:pt>
                <c:pt idx="129">
                  <c:v>38.725579360593834</c:v>
                </c:pt>
                <c:pt idx="130">
                  <c:v>38.497309039447721</c:v>
                </c:pt>
                <c:pt idx="131">
                  <c:v>38.284219839152456</c:v>
                </c:pt>
                <c:pt idx="132">
                  <c:v>38.081404526296367</c:v>
                </c:pt>
                <c:pt idx="133">
                  <c:v>37.902268064410968</c:v>
                </c:pt>
                <c:pt idx="134">
                  <c:v>37.727961386952089</c:v>
                </c:pt>
                <c:pt idx="135">
                  <c:v>37.546297901776917</c:v>
                </c:pt>
                <c:pt idx="136">
                  <c:v>37.375450632403584</c:v>
                </c:pt>
                <c:pt idx="137">
                  <c:v>37.21013472616103</c:v>
                </c:pt>
                <c:pt idx="138">
                  <c:v>37.034876081778663</c:v>
                </c:pt>
                <c:pt idx="139">
                  <c:v>36.851019911935573</c:v>
                </c:pt>
                <c:pt idx="140">
                  <c:v>36.649248506202227</c:v>
                </c:pt>
                <c:pt idx="141">
                  <c:v>36.411140019112942</c:v>
                </c:pt>
                <c:pt idx="142">
                  <c:v>36.164301854985318</c:v>
                </c:pt>
                <c:pt idx="143">
                  <c:v>35.891855860943224</c:v>
                </c:pt>
                <c:pt idx="144">
                  <c:v>35.610994844661001</c:v>
                </c:pt>
                <c:pt idx="145">
                  <c:v>35.307459512749986</c:v>
                </c:pt>
                <c:pt idx="146">
                  <c:v>34.993510093051292</c:v>
                </c:pt>
                <c:pt idx="147">
                  <c:v>34.655779429991313</c:v>
                </c:pt>
                <c:pt idx="148">
                  <c:v>34.300770778865719</c:v>
                </c:pt>
                <c:pt idx="149">
                  <c:v>33.909043467501107</c:v>
                </c:pt>
                <c:pt idx="150">
                  <c:v>33.502129006739267</c:v>
                </c:pt>
                <c:pt idx="151">
                  <c:v>33.059950500843676</c:v>
                </c:pt>
                <c:pt idx="152">
                  <c:v>32.606979694508574</c:v>
                </c:pt>
                <c:pt idx="153">
                  <c:v>32.136665061114407</c:v>
                </c:pt>
                <c:pt idx="154">
                  <c:v>31.671323404135755</c:v>
                </c:pt>
                <c:pt idx="155">
                  <c:v>31.193176626587377</c:v>
                </c:pt>
                <c:pt idx="156">
                  <c:v>30.717400500626109</c:v>
                </c:pt>
                <c:pt idx="157">
                  <c:v>30.260954108840565</c:v>
                </c:pt>
                <c:pt idx="158">
                  <c:v>29.789497002819807</c:v>
                </c:pt>
                <c:pt idx="159">
                  <c:v>29.358467966733759</c:v>
                </c:pt>
                <c:pt idx="160">
                  <c:v>29.004796872801752</c:v>
                </c:pt>
                <c:pt idx="161">
                  <c:v>28.64100205751377</c:v>
                </c:pt>
                <c:pt idx="162">
                  <c:v>28.344637738075406</c:v>
                </c:pt>
                <c:pt idx="163">
                  <c:v>28.07774703599809</c:v>
                </c:pt>
                <c:pt idx="164">
                  <c:v>27.763127974014878</c:v>
                </c:pt>
                <c:pt idx="165">
                  <c:v>27.448841422783499</c:v>
                </c:pt>
                <c:pt idx="166">
                  <c:v>27.109757177698967</c:v>
                </c:pt>
                <c:pt idx="167">
                  <c:v>26.750229502657024</c:v>
                </c:pt>
                <c:pt idx="168">
                  <c:v>26.375284186689889</c:v>
                </c:pt>
                <c:pt idx="169">
                  <c:v>25.939660316608126</c:v>
                </c:pt>
                <c:pt idx="170">
                  <c:v>25.537964005785401</c:v>
                </c:pt>
                <c:pt idx="171">
                  <c:v>25.332765379277909</c:v>
                </c:pt>
                <c:pt idx="172">
                  <c:v>24.931294747957395</c:v>
                </c:pt>
                <c:pt idx="173">
                  <c:v>24.418972953974951</c:v>
                </c:pt>
                <c:pt idx="174">
                  <c:v>24.181466698198054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1D-47F7-A427-80C475EEA81D}"/>
            </c:ext>
          </c:extLst>
        </c:ser>
        <c:ser>
          <c:idx val="8"/>
          <c:order val="8"/>
          <c:tx>
            <c:strRef>
              <c:f>data_co2_excLUC!$L$2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1D-47F7-A427-80C475EEA81D}"/>
            </c:ext>
          </c:extLst>
        </c:ser>
        <c:ser>
          <c:idx val="9"/>
          <c:order val="9"/>
          <c:tx>
            <c:strRef>
              <c:f>data_co2_excLUC!$M$2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data_co2_excLUC!$M$3:$M$177</c:f>
              <c:numCache>
                <c:formatCode>0.0</c:formatCode>
                <c:ptCount val="175"/>
                <c:pt idx="0">
                  <c:v>62.091743207812513</c:v>
                </c:pt>
                <c:pt idx="1">
                  <c:v>62.087600163508917</c:v>
                </c:pt>
                <c:pt idx="2">
                  <c:v>62.083415518255812</c:v>
                </c:pt>
                <c:pt idx="3">
                  <c:v>62.079047948436909</c:v>
                </c:pt>
                <c:pt idx="4">
                  <c:v>62.074472414178807</c:v>
                </c:pt>
                <c:pt idx="5">
                  <c:v>62.069091925455808</c:v>
                </c:pt>
                <c:pt idx="6">
                  <c:v>62.063610483056721</c:v>
                </c:pt>
                <c:pt idx="7">
                  <c:v>62.057789464772227</c:v>
                </c:pt>
                <c:pt idx="8">
                  <c:v>62.051921331714155</c:v>
                </c:pt>
                <c:pt idx="9">
                  <c:v>62.045988582244739</c:v>
                </c:pt>
                <c:pt idx="10">
                  <c:v>62.039694912950083</c:v>
                </c:pt>
                <c:pt idx="11">
                  <c:v>62.03278632625436</c:v>
                </c:pt>
                <c:pt idx="12">
                  <c:v>62.025515063172698</c:v>
                </c:pt>
                <c:pt idx="13">
                  <c:v>62.018104840218491</c:v>
                </c:pt>
                <c:pt idx="14">
                  <c:v>62.010188705632409</c:v>
                </c:pt>
                <c:pt idx="15">
                  <c:v>62.001657834271803</c:v>
                </c:pt>
                <c:pt idx="16">
                  <c:v>61.992596402399379</c:v>
                </c:pt>
                <c:pt idx="17">
                  <c:v>61.983276988767834</c:v>
                </c:pt>
                <c:pt idx="18">
                  <c:v>61.973254906831109</c:v>
                </c:pt>
                <c:pt idx="19">
                  <c:v>61.962949119754185</c:v>
                </c:pt>
                <c:pt idx="20">
                  <c:v>61.951993733318567</c:v>
                </c:pt>
                <c:pt idx="21">
                  <c:v>61.94079273309422</c:v>
                </c:pt>
                <c:pt idx="22">
                  <c:v>61.928885767788856</c:v>
                </c:pt>
                <c:pt idx="23">
                  <c:v>61.915714034740219</c:v>
                </c:pt>
                <c:pt idx="24">
                  <c:v>61.901707632651934</c:v>
                </c:pt>
                <c:pt idx="25">
                  <c:v>61.888614564976663</c:v>
                </c:pt>
                <c:pt idx="26">
                  <c:v>61.874374936291488</c:v>
                </c:pt>
                <c:pt idx="27">
                  <c:v>61.859926912424626</c:v>
                </c:pt>
                <c:pt idx="28">
                  <c:v>61.845172166500141</c:v>
                </c:pt>
                <c:pt idx="29">
                  <c:v>61.830408722556442</c:v>
                </c:pt>
                <c:pt idx="30">
                  <c:v>61.814565997271274</c:v>
                </c:pt>
                <c:pt idx="31">
                  <c:v>61.796648932434437</c:v>
                </c:pt>
                <c:pt idx="32">
                  <c:v>61.778091915419765</c:v>
                </c:pt>
                <c:pt idx="33">
                  <c:v>61.758476370515538</c:v>
                </c:pt>
                <c:pt idx="34">
                  <c:v>61.737601709547263</c:v>
                </c:pt>
                <c:pt idx="35">
                  <c:v>61.716497649178351</c:v>
                </c:pt>
                <c:pt idx="36">
                  <c:v>61.695214568749257</c:v>
                </c:pt>
                <c:pt idx="37">
                  <c:v>61.673576845058307</c:v>
                </c:pt>
                <c:pt idx="38">
                  <c:v>61.650881945363288</c:v>
                </c:pt>
                <c:pt idx="39">
                  <c:v>61.625730831812916</c:v>
                </c:pt>
                <c:pt idx="40">
                  <c:v>61.60065452896508</c:v>
                </c:pt>
                <c:pt idx="41">
                  <c:v>61.573269314918512</c:v>
                </c:pt>
                <c:pt idx="42">
                  <c:v>61.544593440968129</c:v>
                </c:pt>
                <c:pt idx="43">
                  <c:v>61.515753630658701</c:v>
                </c:pt>
                <c:pt idx="44">
                  <c:v>61.48740411894854</c:v>
                </c:pt>
                <c:pt idx="45">
                  <c:v>61.458089060989252</c:v>
                </c:pt>
                <c:pt idx="46">
                  <c:v>61.427090296364753</c:v>
                </c:pt>
                <c:pt idx="47">
                  <c:v>61.395101249885151</c:v>
                </c:pt>
                <c:pt idx="48">
                  <c:v>61.361596056135213</c:v>
                </c:pt>
                <c:pt idx="49">
                  <c:v>61.326343286136535</c:v>
                </c:pt>
                <c:pt idx="50">
                  <c:v>61.28771805604778</c:v>
                </c:pt>
                <c:pt idx="51">
                  <c:v>61.246809252948253</c:v>
                </c:pt>
                <c:pt idx="52">
                  <c:v>61.204748762327043</c:v>
                </c:pt>
                <c:pt idx="53">
                  <c:v>61.161632114677566</c:v>
                </c:pt>
                <c:pt idx="54">
                  <c:v>61.114534946629618</c:v>
                </c:pt>
                <c:pt idx="55">
                  <c:v>61.067060445334306</c:v>
                </c:pt>
                <c:pt idx="56">
                  <c:v>61.016330306166367</c:v>
                </c:pt>
                <c:pt idx="57">
                  <c:v>60.963568159777601</c:v>
                </c:pt>
                <c:pt idx="58">
                  <c:v>60.90430866980897</c:v>
                </c:pt>
                <c:pt idx="59">
                  <c:v>60.847883761241441</c:v>
                </c:pt>
                <c:pt idx="60">
                  <c:v>60.788889878134334</c:v>
                </c:pt>
                <c:pt idx="61">
                  <c:v>60.72676639965556</c:v>
                </c:pt>
                <c:pt idx="62">
                  <c:v>60.663874626449669</c:v>
                </c:pt>
                <c:pt idx="63">
                  <c:v>60.597150064055903</c:v>
                </c:pt>
                <c:pt idx="64">
                  <c:v>60.525136297119545</c:v>
                </c:pt>
                <c:pt idx="65">
                  <c:v>60.459929528416424</c:v>
                </c:pt>
                <c:pt idx="66">
                  <c:v>60.395490107948632</c:v>
                </c:pt>
                <c:pt idx="67">
                  <c:v>60.325785508609243</c:v>
                </c:pt>
                <c:pt idx="68">
                  <c:v>60.252945291645446</c:v>
                </c:pt>
                <c:pt idx="69">
                  <c:v>60.181161911269434</c:v>
                </c:pt>
                <c:pt idx="70">
                  <c:v>60.121262440631675</c:v>
                </c:pt>
                <c:pt idx="71">
                  <c:v>60.051534771305739</c:v>
                </c:pt>
                <c:pt idx="72">
                  <c:v>59.992615888406739</c:v>
                </c:pt>
                <c:pt idx="73">
                  <c:v>59.929886082537209</c:v>
                </c:pt>
                <c:pt idx="74">
                  <c:v>59.856996513522063</c:v>
                </c:pt>
                <c:pt idx="75">
                  <c:v>59.78420307989235</c:v>
                </c:pt>
                <c:pt idx="76">
                  <c:v>59.710032743994489</c:v>
                </c:pt>
                <c:pt idx="77">
                  <c:v>59.636642528018001</c:v>
                </c:pt>
                <c:pt idx="78">
                  <c:v>59.554922897835027</c:v>
                </c:pt>
                <c:pt idx="79">
                  <c:v>59.47350053053384</c:v>
                </c:pt>
                <c:pt idx="80">
                  <c:v>59.385149641787812</c:v>
                </c:pt>
                <c:pt idx="81">
                  <c:v>59.304384298426626</c:v>
                </c:pt>
                <c:pt idx="82">
                  <c:v>59.232762518356182</c:v>
                </c:pt>
                <c:pt idx="83">
                  <c:v>59.169363662829454</c:v>
                </c:pt>
                <c:pt idx="84">
                  <c:v>59.102599094623173</c:v>
                </c:pt>
                <c:pt idx="85">
                  <c:v>59.030487089152764</c:v>
                </c:pt>
                <c:pt idx="86">
                  <c:v>58.955534978258505</c:v>
                </c:pt>
                <c:pt idx="87">
                  <c:v>58.872173712818864</c:v>
                </c:pt>
                <c:pt idx="88">
                  <c:v>58.7831149274718</c:v>
                </c:pt>
                <c:pt idx="89">
                  <c:v>58.70041708165423</c:v>
                </c:pt>
                <c:pt idx="90">
                  <c:v>58.612974477315625</c:v>
                </c:pt>
                <c:pt idx="91">
                  <c:v>58.5167870492443</c:v>
                </c:pt>
                <c:pt idx="92">
                  <c:v>58.417108215388211</c:v>
                </c:pt>
                <c:pt idx="93">
                  <c:v>58.315592090335478</c:v>
                </c:pt>
                <c:pt idx="94">
                  <c:v>58.21045327352887</c:v>
                </c:pt>
                <c:pt idx="95">
                  <c:v>58.10392704439262</c:v>
                </c:pt>
                <c:pt idx="96">
                  <c:v>58.017019347730511</c:v>
                </c:pt>
                <c:pt idx="97">
                  <c:v>57.92260112269868</c:v>
                </c:pt>
                <c:pt idx="98">
                  <c:v>57.816694800903015</c:v>
                </c:pt>
                <c:pt idx="99">
                  <c:v>57.702503479876889</c:v>
                </c:pt>
                <c:pt idx="100">
                  <c:v>57.593886030014808</c:v>
                </c:pt>
                <c:pt idx="101">
                  <c:v>57.47338557387377</c:v>
                </c:pt>
                <c:pt idx="102">
                  <c:v>57.344661811388043</c:v>
                </c:pt>
                <c:pt idx="103">
                  <c:v>57.216529852062195</c:v>
                </c:pt>
                <c:pt idx="104">
                  <c:v>57.083714764312653</c:v>
                </c:pt>
                <c:pt idx="105">
                  <c:v>56.951181179668112</c:v>
                </c:pt>
                <c:pt idx="106">
                  <c:v>56.807639911055553</c:v>
                </c:pt>
                <c:pt idx="107">
                  <c:v>56.655021207811615</c:v>
                </c:pt>
                <c:pt idx="108">
                  <c:v>56.500247562903638</c:v>
                </c:pt>
                <c:pt idx="109">
                  <c:v>56.356711952942938</c:v>
                </c:pt>
                <c:pt idx="110">
                  <c:v>56.215597566820698</c:v>
                </c:pt>
                <c:pt idx="111">
                  <c:v>56.067286921010727</c:v>
                </c:pt>
                <c:pt idx="112">
                  <c:v>55.904858181722275</c:v>
                </c:pt>
                <c:pt idx="113">
                  <c:v>55.728003187324823</c:v>
                </c:pt>
                <c:pt idx="114">
                  <c:v>55.537739692855347</c:v>
                </c:pt>
                <c:pt idx="115">
                  <c:v>55.335122436872588</c:v>
                </c:pt>
                <c:pt idx="116">
                  <c:v>55.124954065349463</c:v>
                </c:pt>
                <c:pt idx="117">
                  <c:v>54.904580607610207</c:v>
                </c:pt>
                <c:pt idx="118">
                  <c:v>54.669686854273294</c:v>
                </c:pt>
                <c:pt idx="119">
                  <c:v>54.421681148107801</c:v>
                </c:pt>
                <c:pt idx="120">
                  <c:v>54.158918850784623</c:v>
                </c:pt>
                <c:pt idx="121">
                  <c:v>53.881143317862957</c:v>
                </c:pt>
                <c:pt idx="122">
                  <c:v>53.598381941754333</c:v>
                </c:pt>
                <c:pt idx="123">
                  <c:v>53.296831640757766</c:v>
                </c:pt>
                <c:pt idx="124">
                  <c:v>52.978367681381776</c:v>
                </c:pt>
                <c:pt idx="125">
                  <c:v>52.661222337177463</c:v>
                </c:pt>
                <c:pt idx="126">
                  <c:v>52.351555538522078</c:v>
                </c:pt>
                <c:pt idx="127">
                  <c:v>52.020957661844456</c:v>
                </c:pt>
                <c:pt idx="128">
                  <c:v>51.682126826703204</c:v>
                </c:pt>
                <c:pt idx="129">
                  <c:v>51.332632620189955</c:v>
                </c:pt>
                <c:pt idx="130">
                  <c:v>50.971467721165432</c:v>
                </c:pt>
                <c:pt idx="131">
                  <c:v>50.609020619174863</c:v>
                </c:pt>
                <c:pt idx="132">
                  <c:v>50.255700623755082</c:v>
                </c:pt>
                <c:pt idx="133">
                  <c:v>49.913608244822029</c:v>
                </c:pt>
                <c:pt idx="134">
                  <c:v>49.568250778761339</c:v>
                </c:pt>
                <c:pt idx="135">
                  <c:v>49.212013235754412</c:v>
                </c:pt>
                <c:pt idx="136">
                  <c:v>48.844041803728302</c:v>
                </c:pt>
                <c:pt idx="137">
                  <c:v>48.474176329437796</c:v>
                </c:pt>
                <c:pt idx="138">
                  <c:v>48.090371649478215</c:v>
                </c:pt>
                <c:pt idx="139">
                  <c:v>47.69421810029953</c:v>
                </c:pt>
                <c:pt idx="140">
                  <c:v>47.283952708898198</c:v>
                </c:pt>
                <c:pt idx="141">
                  <c:v>46.827016606033652</c:v>
                </c:pt>
                <c:pt idx="142">
                  <c:v>46.403143235183578</c:v>
                </c:pt>
                <c:pt idx="143">
                  <c:v>45.978193711307178</c:v>
                </c:pt>
                <c:pt idx="144">
                  <c:v>45.562065874437145</c:v>
                </c:pt>
                <c:pt idx="145">
                  <c:v>45.156695896249175</c:v>
                </c:pt>
                <c:pt idx="146">
                  <c:v>44.746479897503797</c:v>
                </c:pt>
                <c:pt idx="147">
                  <c:v>44.317518657091398</c:v>
                </c:pt>
                <c:pt idx="148">
                  <c:v>43.883022747820206</c:v>
                </c:pt>
                <c:pt idx="149">
                  <c:v>43.415510587085343</c:v>
                </c:pt>
                <c:pt idx="150">
                  <c:v>42.941105940559751</c:v>
                </c:pt>
                <c:pt idx="151">
                  <c:v>42.437091575017199</c:v>
                </c:pt>
                <c:pt idx="152">
                  <c:v>41.913699744222356</c:v>
                </c:pt>
                <c:pt idx="153">
                  <c:v>41.378561762209017</c:v>
                </c:pt>
                <c:pt idx="154">
                  <c:v>40.848424371593431</c:v>
                </c:pt>
                <c:pt idx="155">
                  <c:v>40.30859094126086</c:v>
                </c:pt>
                <c:pt idx="156">
                  <c:v>39.773132301806072</c:v>
                </c:pt>
                <c:pt idx="157">
                  <c:v>39.246078899375945</c:v>
                </c:pt>
                <c:pt idx="158">
                  <c:v>38.701642789052229</c:v>
                </c:pt>
                <c:pt idx="159">
                  <c:v>38.198708927571886</c:v>
                </c:pt>
                <c:pt idx="160">
                  <c:v>37.79860435905568</c:v>
                </c:pt>
                <c:pt idx="161">
                  <c:v>37.386598635825194</c:v>
                </c:pt>
                <c:pt idx="162">
                  <c:v>37.035515119870453</c:v>
                </c:pt>
                <c:pt idx="163">
                  <c:v>36.715563108177186</c:v>
                </c:pt>
                <c:pt idx="164">
                  <c:v>36.372614085292525</c:v>
                </c:pt>
                <c:pt idx="165">
                  <c:v>36.040437256802697</c:v>
                </c:pt>
                <c:pt idx="166">
                  <c:v>35.681428838534103</c:v>
                </c:pt>
                <c:pt idx="167">
                  <c:v>35.284783238690338</c:v>
                </c:pt>
                <c:pt idx="168">
                  <c:v>34.852461471737776</c:v>
                </c:pt>
                <c:pt idx="169">
                  <c:v>34.34780099714019</c:v>
                </c:pt>
                <c:pt idx="170">
                  <c:v>33.90405943555465</c:v>
                </c:pt>
                <c:pt idx="171">
                  <c:v>33.634922443659178</c:v>
                </c:pt>
                <c:pt idx="172">
                  <c:v>33.128047082855097</c:v>
                </c:pt>
                <c:pt idx="173">
                  <c:v>32.61575208939027</c:v>
                </c:pt>
                <c:pt idx="174">
                  <c:v>32.408271546196964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1D-47F7-A427-80C475EEA81D}"/>
            </c:ext>
          </c:extLst>
        </c:ser>
        <c:ser>
          <c:idx val="10"/>
          <c:order val="10"/>
          <c:tx>
            <c:strRef>
              <c:f>data_co2_excLUC!$N$2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data_co2_excLUC!$N$3:$N$177</c:f>
              <c:numCache>
                <c:formatCode>0.0</c:formatCode>
                <c:ptCount val="175"/>
                <c:pt idx="0">
                  <c:v>62.172529548298364</c:v>
                </c:pt>
                <c:pt idx="1">
                  <c:v>62.16839401370887</c:v>
                </c:pt>
                <c:pt idx="2">
                  <c:v>62.164199683521694</c:v>
                </c:pt>
                <c:pt idx="3">
                  <c:v>62.159811990123046</c:v>
                </c:pt>
                <c:pt idx="4">
                  <c:v>62.155211320174701</c:v>
                </c:pt>
                <c:pt idx="5">
                  <c:v>62.149807001770249</c:v>
                </c:pt>
                <c:pt idx="6">
                  <c:v>62.144290081071695</c:v>
                </c:pt>
                <c:pt idx="7">
                  <c:v>62.138397255916104</c:v>
                </c:pt>
                <c:pt idx="8">
                  <c:v>62.132438544407307</c:v>
                </c:pt>
                <c:pt idx="9">
                  <c:v>62.126408621590713</c:v>
                </c:pt>
                <c:pt idx="10">
                  <c:v>62.120035782227447</c:v>
                </c:pt>
                <c:pt idx="11">
                  <c:v>62.113044321403329</c:v>
                </c:pt>
                <c:pt idx="12">
                  <c:v>62.105665045559888</c:v>
                </c:pt>
                <c:pt idx="13">
                  <c:v>62.098141348341883</c:v>
                </c:pt>
                <c:pt idx="14">
                  <c:v>62.090122084633826</c:v>
                </c:pt>
                <c:pt idx="15">
                  <c:v>62.081474032883257</c:v>
                </c:pt>
                <c:pt idx="16">
                  <c:v>62.072283030754349</c:v>
                </c:pt>
                <c:pt idx="17">
                  <c:v>62.06282003784834</c:v>
                </c:pt>
                <c:pt idx="18">
                  <c:v>62.052653405800328</c:v>
                </c:pt>
                <c:pt idx="19">
                  <c:v>62.042188444557091</c:v>
                </c:pt>
                <c:pt idx="20">
                  <c:v>62.03108884653075</c:v>
                </c:pt>
                <c:pt idx="21">
                  <c:v>62.019731150356428</c:v>
                </c:pt>
                <c:pt idx="22">
                  <c:v>62.007656153049325</c:v>
                </c:pt>
                <c:pt idx="23">
                  <c:v>61.9942754610178</c:v>
                </c:pt>
                <c:pt idx="24">
                  <c:v>61.980047256642592</c:v>
                </c:pt>
                <c:pt idx="25">
                  <c:v>61.966744860368884</c:v>
                </c:pt>
                <c:pt idx="26">
                  <c:v>61.952270305901237</c:v>
                </c:pt>
                <c:pt idx="27">
                  <c:v>61.937575616679972</c:v>
                </c:pt>
                <c:pt idx="28">
                  <c:v>61.922578736203825</c:v>
                </c:pt>
                <c:pt idx="29">
                  <c:v>61.907527461086367</c:v>
                </c:pt>
                <c:pt idx="30">
                  <c:v>61.891358673584222</c:v>
                </c:pt>
                <c:pt idx="31">
                  <c:v>61.873001207761455</c:v>
                </c:pt>
                <c:pt idx="32">
                  <c:v>61.854065485760444</c:v>
                </c:pt>
                <c:pt idx="33">
                  <c:v>61.834032925860946</c:v>
                </c:pt>
                <c:pt idx="34">
                  <c:v>61.812714723024023</c:v>
                </c:pt>
                <c:pt idx="35">
                  <c:v>61.791136025826354</c:v>
                </c:pt>
                <c:pt idx="36">
                  <c:v>61.769338501598789</c:v>
                </c:pt>
                <c:pt idx="37">
                  <c:v>61.747202868624285</c:v>
                </c:pt>
                <c:pt idx="38">
                  <c:v>61.724010217556035</c:v>
                </c:pt>
                <c:pt idx="39">
                  <c:v>61.698270537461951</c:v>
                </c:pt>
                <c:pt idx="40">
                  <c:v>61.672559758896739</c:v>
                </c:pt>
                <c:pt idx="41">
                  <c:v>61.644523898721793</c:v>
                </c:pt>
                <c:pt idx="42">
                  <c:v>61.615141199389733</c:v>
                </c:pt>
                <c:pt idx="43">
                  <c:v>61.585578899275482</c:v>
                </c:pt>
                <c:pt idx="44">
                  <c:v>61.55647244338973</c:v>
                </c:pt>
                <c:pt idx="45">
                  <c:v>61.526319040649682</c:v>
                </c:pt>
                <c:pt idx="46">
                  <c:v>61.494477871669851</c:v>
                </c:pt>
                <c:pt idx="47">
                  <c:v>61.461613348393996</c:v>
                </c:pt>
                <c:pt idx="48">
                  <c:v>61.427174298724019</c:v>
                </c:pt>
                <c:pt idx="49">
                  <c:v>61.390935348075359</c:v>
                </c:pt>
                <c:pt idx="50">
                  <c:v>61.351208439073716</c:v>
                </c:pt>
                <c:pt idx="51">
                  <c:v>61.309073970598291</c:v>
                </c:pt>
                <c:pt idx="52">
                  <c:v>61.265942610630333</c:v>
                </c:pt>
                <c:pt idx="53">
                  <c:v>61.221761803899625</c:v>
                </c:pt>
                <c:pt idx="54">
                  <c:v>61.173578537284214</c:v>
                </c:pt>
                <c:pt idx="55">
                  <c:v>61.125047418784831</c:v>
                </c:pt>
                <c:pt idx="56">
                  <c:v>61.073178100075843</c:v>
                </c:pt>
                <c:pt idx="57">
                  <c:v>61.01976087169745</c:v>
                </c:pt>
                <c:pt idx="58">
                  <c:v>60.958855460352879</c:v>
                </c:pt>
                <c:pt idx="59">
                  <c:v>60.900834451517518</c:v>
                </c:pt>
                <c:pt idx="60">
                  <c:v>60.8401873379809</c:v>
                </c:pt>
                <c:pt idx="61">
                  <c:v>60.77631328263152</c:v>
                </c:pt>
                <c:pt idx="62">
                  <c:v>60.711984375077478</c:v>
                </c:pt>
                <c:pt idx="63">
                  <c:v>60.643276481567142</c:v>
                </c:pt>
                <c:pt idx="64">
                  <c:v>60.569011387958462</c:v>
                </c:pt>
                <c:pt idx="65">
                  <c:v>60.501822312998002</c:v>
                </c:pt>
                <c:pt idx="66">
                  <c:v>60.435662504478685</c:v>
                </c:pt>
                <c:pt idx="67">
                  <c:v>60.364210128081474</c:v>
                </c:pt>
                <c:pt idx="68">
                  <c:v>60.290081753363381</c:v>
                </c:pt>
                <c:pt idx="69">
                  <c:v>60.2168278579313</c:v>
                </c:pt>
                <c:pt idx="70">
                  <c:v>60.155539803086498</c:v>
                </c:pt>
                <c:pt idx="71">
                  <c:v>60.084307655226375</c:v>
                </c:pt>
                <c:pt idx="72">
                  <c:v>60.024075291955917</c:v>
                </c:pt>
                <c:pt idx="73">
                  <c:v>59.959890914609971</c:v>
                </c:pt>
                <c:pt idx="74">
                  <c:v>59.885601054140004</c:v>
                </c:pt>
                <c:pt idx="75">
                  <c:v>59.811339641848896</c:v>
                </c:pt>
                <c:pt idx="76">
                  <c:v>59.735294909801809</c:v>
                </c:pt>
                <c:pt idx="77">
                  <c:v>59.660487841708175</c:v>
                </c:pt>
                <c:pt idx="78">
                  <c:v>59.577005816054751</c:v>
                </c:pt>
                <c:pt idx="79">
                  <c:v>59.494718696410828</c:v>
                </c:pt>
                <c:pt idx="80">
                  <c:v>59.405677814085145</c:v>
                </c:pt>
                <c:pt idx="81">
                  <c:v>59.324806615150614</c:v>
                </c:pt>
                <c:pt idx="82">
                  <c:v>59.252989955583999</c:v>
                </c:pt>
                <c:pt idx="83">
                  <c:v>59.189465929218379</c:v>
                </c:pt>
                <c:pt idx="84">
                  <c:v>59.122634752388414</c:v>
                </c:pt>
                <c:pt idx="85">
                  <c:v>59.050569366368919</c:v>
                </c:pt>
                <c:pt idx="86">
                  <c:v>58.975879517709487</c:v>
                </c:pt>
                <c:pt idx="87">
                  <c:v>58.892951856982677</c:v>
                </c:pt>
                <c:pt idx="88">
                  <c:v>58.804344238400461</c:v>
                </c:pt>
                <c:pt idx="89">
                  <c:v>58.722667423098848</c:v>
                </c:pt>
                <c:pt idx="90">
                  <c:v>58.636137225221219</c:v>
                </c:pt>
                <c:pt idx="91">
                  <c:v>58.541037820296502</c:v>
                </c:pt>
                <c:pt idx="92">
                  <c:v>58.443066367345118</c:v>
                </c:pt>
                <c:pt idx="93">
                  <c:v>58.34110354141766</c:v>
                </c:pt>
                <c:pt idx="94">
                  <c:v>58.235539915276632</c:v>
                </c:pt>
                <c:pt idx="95">
                  <c:v>58.132596415661673</c:v>
                </c:pt>
                <c:pt idx="96">
                  <c:v>58.050753112627454</c:v>
                </c:pt>
                <c:pt idx="97">
                  <c:v>57.962358371558267</c:v>
                </c:pt>
                <c:pt idx="98">
                  <c:v>57.859971298847135</c:v>
                </c:pt>
                <c:pt idx="99">
                  <c:v>57.748577120928893</c:v>
                </c:pt>
                <c:pt idx="100">
                  <c:v>57.644057055282872</c:v>
                </c:pt>
                <c:pt idx="101">
                  <c:v>57.520514085741759</c:v>
                </c:pt>
                <c:pt idx="102">
                  <c:v>57.388319994832372</c:v>
                </c:pt>
                <c:pt idx="103">
                  <c:v>57.256364042971065</c:v>
                </c:pt>
                <c:pt idx="104">
                  <c:v>57.119536835559984</c:v>
                </c:pt>
                <c:pt idx="105">
                  <c:v>56.982441241774339</c:v>
                </c:pt>
                <c:pt idx="106">
                  <c:v>56.833174294590307</c:v>
                </c:pt>
                <c:pt idx="107">
                  <c:v>56.674059590342061</c:v>
                </c:pt>
                <c:pt idx="108">
                  <c:v>56.512795262827098</c:v>
                </c:pt>
                <c:pt idx="109">
                  <c:v>56.363048945894271</c:v>
                </c:pt>
                <c:pt idx="110">
                  <c:v>56.215243950567753</c:v>
                </c:pt>
                <c:pt idx="111">
                  <c:v>56.060479785739162</c:v>
                </c:pt>
                <c:pt idx="112">
                  <c:v>55.891451647528733</c:v>
                </c:pt>
                <c:pt idx="113">
                  <c:v>55.707244328588146</c:v>
                </c:pt>
                <c:pt idx="114">
                  <c:v>55.507821067639952</c:v>
                </c:pt>
                <c:pt idx="115">
                  <c:v>55.294924186313487</c:v>
                </c:pt>
                <c:pt idx="116">
                  <c:v>55.072535382276946</c:v>
                </c:pt>
                <c:pt idx="117">
                  <c:v>54.8404420618674</c:v>
                </c:pt>
                <c:pt idx="118">
                  <c:v>54.591627199906313</c:v>
                </c:pt>
                <c:pt idx="119">
                  <c:v>54.329747510292449</c:v>
                </c:pt>
                <c:pt idx="120">
                  <c:v>54.051762676038187</c:v>
                </c:pt>
                <c:pt idx="121">
                  <c:v>53.760152500538958</c:v>
                </c:pt>
                <c:pt idx="122">
                  <c:v>53.464505883824032</c:v>
                </c:pt>
                <c:pt idx="123">
                  <c:v>53.14769925294739</c:v>
                </c:pt>
                <c:pt idx="124">
                  <c:v>52.811486148375451</c:v>
                </c:pt>
                <c:pt idx="125">
                  <c:v>52.4776978037916</c:v>
                </c:pt>
                <c:pt idx="126">
                  <c:v>52.153784555823101</c:v>
                </c:pt>
                <c:pt idx="127">
                  <c:v>51.805044697378698</c:v>
                </c:pt>
                <c:pt idx="128">
                  <c:v>51.447888542621044</c:v>
                </c:pt>
                <c:pt idx="129">
                  <c:v>51.076841039471823</c:v>
                </c:pt>
                <c:pt idx="130">
                  <c:v>50.691402817378297</c:v>
                </c:pt>
                <c:pt idx="131">
                  <c:v>50.3050734237762</c:v>
                </c:pt>
                <c:pt idx="132">
                  <c:v>49.927980132776867</c:v>
                </c:pt>
                <c:pt idx="133">
                  <c:v>49.562789844773413</c:v>
                </c:pt>
                <c:pt idx="134">
                  <c:v>49.192092934057747</c:v>
                </c:pt>
                <c:pt idx="135">
                  <c:v>48.80849546286148</c:v>
                </c:pt>
                <c:pt idx="136">
                  <c:v>48.412858507247066</c:v>
                </c:pt>
                <c:pt idx="137">
                  <c:v>48.012426114814701</c:v>
                </c:pt>
                <c:pt idx="138">
                  <c:v>47.595764137762146</c:v>
                </c:pt>
                <c:pt idx="139">
                  <c:v>47.162394391082046</c:v>
                </c:pt>
                <c:pt idx="140">
                  <c:v>46.716770000848015</c:v>
                </c:pt>
                <c:pt idx="141">
                  <c:v>46.262511318451274</c:v>
                </c:pt>
                <c:pt idx="142">
                  <c:v>45.831882986677627</c:v>
                </c:pt>
                <c:pt idx="143">
                  <c:v>45.406729330757514</c:v>
                </c:pt>
                <c:pt idx="144">
                  <c:v>44.988054285011273</c:v>
                </c:pt>
                <c:pt idx="145">
                  <c:v>44.576049391926276</c:v>
                </c:pt>
                <c:pt idx="146">
                  <c:v>44.160225625355778</c:v>
                </c:pt>
                <c:pt idx="147">
                  <c:v>43.728073547263556</c:v>
                </c:pt>
                <c:pt idx="148">
                  <c:v>43.292749385196863</c:v>
                </c:pt>
                <c:pt idx="149">
                  <c:v>42.827284173943092</c:v>
                </c:pt>
                <c:pt idx="150">
                  <c:v>42.356313367786747</c:v>
                </c:pt>
                <c:pt idx="151">
                  <c:v>41.857312882078091</c:v>
                </c:pt>
                <c:pt idx="152">
                  <c:v>41.343052533023794</c:v>
                </c:pt>
                <c:pt idx="153">
                  <c:v>40.821616576434799</c:v>
                </c:pt>
                <c:pt idx="154">
                  <c:v>40.305267003695867</c:v>
                </c:pt>
                <c:pt idx="155">
                  <c:v>39.786348457025674</c:v>
                </c:pt>
                <c:pt idx="156">
                  <c:v>39.279258559846561</c:v>
                </c:pt>
                <c:pt idx="157">
                  <c:v>38.773156653385833</c:v>
                </c:pt>
                <c:pt idx="158">
                  <c:v>38.246476192506954</c:v>
                </c:pt>
                <c:pt idx="159">
                  <c:v>37.751253226569439</c:v>
                </c:pt>
                <c:pt idx="160">
                  <c:v>37.354700249942489</c:v>
                </c:pt>
                <c:pt idx="161">
                  <c:v>36.925514442518306</c:v>
                </c:pt>
                <c:pt idx="162">
                  <c:v>36.557525412426543</c:v>
                </c:pt>
                <c:pt idx="163">
                  <c:v>36.217147345748415</c:v>
                </c:pt>
                <c:pt idx="164">
                  <c:v>35.855027927066729</c:v>
                </c:pt>
                <c:pt idx="165">
                  <c:v>35.515953350346287</c:v>
                </c:pt>
                <c:pt idx="166">
                  <c:v>35.176823591181666</c:v>
                </c:pt>
                <c:pt idx="167">
                  <c:v>34.818810888916005</c:v>
                </c:pt>
                <c:pt idx="168">
                  <c:v>34.455872175113136</c:v>
                </c:pt>
                <c:pt idx="169">
                  <c:v>34.022199976353455</c:v>
                </c:pt>
                <c:pt idx="170">
                  <c:v>33.616544473837592</c:v>
                </c:pt>
                <c:pt idx="171">
                  <c:v>33.397023454353395</c:v>
                </c:pt>
                <c:pt idx="172">
                  <c:v>32.954825371141325</c:v>
                </c:pt>
                <c:pt idx="173">
                  <c:v>32.402529169223996</c:v>
                </c:pt>
                <c:pt idx="174">
                  <c:v>32.229402668729954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1D-47F7-A427-80C475EEA81D}"/>
            </c:ext>
          </c:extLst>
        </c:ser>
        <c:ser>
          <c:idx val="11"/>
          <c:order val="11"/>
          <c:tx>
            <c:strRef>
              <c:f>data_co2_excLUC!$O$2</c:f>
              <c:strCache>
                <c:ptCount val="1"/>
                <c:pt idx="0">
                  <c:v>pct_annex1_GCP_fossil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data_co2_excLUC!$O$3:$O$177</c:f>
              <c:numCache>
                <c:formatCode>0.0</c:formatCode>
                <c:ptCount val="175"/>
                <c:pt idx="0">
                  <c:v>62.108450170722151</c:v>
                </c:pt>
                <c:pt idx="1">
                  <c:v>62.104307840656958</c:v>
                </c:pt>
                <c:pt idx="2">
                  <c:v>62.100123916539886</c:v>
                </c:pt>
                <c:pt idx="3">
                  <c:v>62.095757100737906</c:v>
                </c:pt>
                <c:pt idx="4">
                  <c:v>62.091182354329597</c:v>
                </c:pt>
                <c:pt idx="5">
                  <c:v>62.085802788429426</c:v>
                </c:pt>
                <c:pt idx="6">
                  <c:v>62.080322290499353</c:v>
                </c:pt>
                <c:pt idx="7">
                  <c:v>62.074502292813627</c:v>
                </c:pt>
                <c:pt idx="8">
                  <c:v>62.068635195298526</c:v>
                </c:pt>
                <c:pt idx="9">
                  <c:v>62.06270350494075</c:v>
                </c:pt>
                <c:pt idx="10">
                  <c:v>62.056410956313755</c:v>
                </c:pt>
                <c:pt idx="11">
                  <c:v>62.049503601736554</c:v>
                </c:pt>
                <c:pt idx="12">
                  <c:v>62.042233630811694</c:v>
                </c:pt>
                <c:pt idx="13">
                  <c:v>62.034824726405937</c:v>
                </c:pt>
                <c:pt idx="14">
                  <c:v>62.026909993881382</c:v>
                </c:pt>
                <c:pt idx="15">
                  <c:v>62.018380638942581</c:v>
                </c:pt>
                <c:pt idx="16">
                  <c:v>62.009320817231547</c:v>
                </c:pt>
                <c:pt idx="17">
                  <c:v>62.000003077532348</c:v>
                </c:pt>
                <c:pt idx="18">
                  <c:v>61.989982776967167</c:v>
                </c:pt>
                <c:pt idx="19">
                  <c:v>61.979678823321663</c:v>
                </c:pt>
                <c:pt idx="20">
                  <c:v>61.968725378296817</c:v>
                </c:pt>
                <c:pt idx="21">
                  <c:v>61.957526360716685</c:v>
                </c:pt>
                <c:pt idx="22">
                  <c:v>61.945621503034445</c:v>
                </c:pt>
                <c:pt idx="23">
                  <c:v>61.932452109235101</c:v>
                </c:pt>
                <c:pt idx="24">
                  <c:v>61.91844819197825</c:v>
                </c:pt>
                <c:pt idx="25">
                  <c:v>61.905357466715373</c:v>
                </c:pt>
                <c:pt idx="26">
                  <c:v>61.891120362466687</c:v>
                </c:pt>
                <c:pt idx="27">
                  <c:v>61.876674897889231</c:v>
                </c:pt>
                <c:pt idx="28">
                  <c:v>61.861922756286184</c:v>
                </c:pt>
                <c:pt idx="29">
                  <c:v>61.847161969050092</c:v>
                </c:pt>
                <c:pt idx="30">
                  <c:v>61.83132208077329</c:v>
                </c:pt>
                <c:pt idx="31">
                  <c:v>61.813408217457031</c:v>
                </c:pt>
                <c:pt idx="32">
                  <c:v>61.794854512890176</c:v>
                </c:pt>
                <c:pt idx="33">
                  <c:v>61.775242466602364</c:v>
                </c:pt>
                <c:pt idx="34">
                  <c:v>61.754371528024109</c:v>
                </c:pt>
                <c:pt idx="35">
                  <c:v>61.733271243985918</c:v>
                </c:pt>
                <c:pt idx="36">
                  <c:v>61.711991968355086</c:v>
                </c:pt>
                <c:pt idx="37">
                  <c:v>61.690358103579776</c:v>
                </c:pt>
                <c:pt idx="38">
                  <c:v>61.66766726396461</c:v>
                </c:pt>
                <c:pt idx="39">
                  <c:v>61.642520652944199</c:v>
                </c:pt>
                <c:pt idx="40">
                  <c:v>61.617448886281501</c:v>
                </c:pt>
                <c:pt idx="41">
                  <c:v>61.590068580761802</c:v>
                </c:pt>
                <c:pt idx="42">
                  <c:v>61.561397861392834</c:v>
                </c:pt>
                <c:pt idx="43">
                  <c:v>61.532563272673947</c:v>
                </c:pt>
                <c:pt idx="44">
                  <c:v>61.504218959833338</c:v>
                </c:pt>
                <c:pt idx="45">
                  <c:v>61.474909311159706</c:v>
                </c:pt>
                <c:pt idx="46">
                  <c:v>61.443916300925615</c:v>
                </c:pt>
                <c:pt idx="47">
                  <c:v>61.411933219080069</c:v>
                </c:pt>
                <c:pt idx="48">
                  <c:v>61.378434281067186</c:v>
                </c:pt>
                <c:pt idx="49">
                  <c:v>61.343188145168028</c:v>
                </c:pt>
                <c:pt idx="50">
                  <c:v>61.304570142685918</c:v>
                </c:pt>
                <c:pt idx="51">
                  <c:v>61.263668898345927</c:v>
                </c:pt>
                <c:pt idx="52">
                  <c:v>61.221616268806613</c:v>
                </c:pt>
                <c:pt idx="53">
                  <c:v>61.178507702947115</c:v>
                </c:pt>
                <c:pt idx="54">
                  <c:v>61.131419345096617</c:v>
                </c:pt>
                <c:pt idx="55">
                  <c:v>61.083953820303861</c:v>
                </c:pt>
                <c:pt idx="56">
                  <c:v>61.033233233988504</c:v>
                </c:pt>
                <c:pt idx="57">
                  <c:v>60.980481154732743</c:v>
                </c:pt>
                <c:pt idx="58">
                  <c:v>60.921233415781217</c:v>
                </c:pt>
                <c:pt idx="59">
                  <c:v>60.864819970359918</c:v>
                </c:pt>
                <c:pt idx="60">
                  <c:v>60.805837988274192</c:v>
                </c:pt>
                <c:pt idx="61">
                  <c:v>60.743727000855721</c:v>
                </c:pt>
                <c:pt idx="62">
                  <c:v>60.680848008482137</c:v>
                </c:pt>
                <c:pt idx="63">
                  <c:v>60.614136740734345</c:v>
                </c:pt>
                <c:pt idx="64">
                  <c:v>60.542137506779447</c:v>
                </c:pt>
                <c:pt idx="65">
                  <c:v>60.476944008974833</c:v>
                </c:pt>
                <c:pt idx="66">
                  <c:v>60.412517631872518</c:v>
                </c:pt>
                <c:pt idx="67">
                  <c:v>60.34282714571961</c:v>
                </c:pt>
                <c:pt idx="68">
                  <c:v>60.270001769832845</c:v>
                </c:pt>
                <c:pt idx="69">
                  <c:v>60.198233087646244</c:v>
                </c:pt>
                <c:pt idx="70">
                  <c:v>60.138347086770153</c:v>
                </c:pt>
                <c:pt idx="71">
                  <c:v>60.068635225109787</c:v>
                </c:pt>
                <c:pt idx="72">
                  <c:v>60.009730942068018</c:v>
                </c:pt>
                <c:pt idx="73">
                  <c:v>59.947016215648986</c:v>
                </c:pt>
                <c:pt idx="74">
                  <c:v>59.874143323014763</c:v>
                </c:pt>
                <c:pt idx="75">
                  <c:v>59.801366800543363</c:v>
                </c:pt>
                <c:pt idx="76">
                  <c:v>59.727213304590457</c:v>
                </c:pt>
                <c:pt idx="77">
                  <c:v>59.65383958055277</c:v>
                </c:pt>
                <c:pt idx="78">
                  <c:v>59.572137557757706</c:v>
                </c:pt>
                <c:pt idx="79">
                  <c:v>59.490732796924974</c:v>
                </c:pt>
                <c:pt idx="80">
                  <c:v>59.40240060958493</c:v>
                </c:pt>
                <c:pt idx="81">
                  <c:v>59.321652841946594</c:v>
                </c:pt>
                <c:pt idx="82">
                  <c:v>59.250047023724306</c:v>
                </c:pt>
                <c:pt idx="83">
                  <c:v>59.186662977658067</c:v>
                </c:pt>
                <c:pt idx="84">
                  <c:v>59.119914073346102</c:v>
                </c:pt>
                <c:pt idx="85">
                  <c:v>59.047819312409459</c:v>
                </c:pt>
                <c:pt idx="86">
                  <c:v>58.972885581775124</c:v>
                </c:pt>
                <c:pt idx="87">
                  <c:v>58.889544243660694</c:v>
                </c:pt>
                <c:pt idx="88">
                  <c:v>58.800506873518707</c:v>
                </c:pt>
                <c:pt idx="89">
                  <c:v>58.717829596339179</c:v>
                </c:pt>
                <c:pt idx="90">
                  <c:v>58.630408833978954</c:v>
                </c:pt>
                <c:pt idx="91">
                  <c:v>58.53424522128897</c:v>
                </c:pt>
                <c:pt idx="92">
                  <c:v>58.434590539201047</c:v>
                </c:pt>
                <c:pt idx="93">
                  <c:v>58.333097984253456</c:v>
                </c:pt>
                <c:pt idx="94">
                  <c:v>58.227982840985881</c:v>
                </c:pt>
                <c:pt idx="95">
                  <c:v>58.12148093573596</c:v>
                </c:pt>
                <c:pt idx="96">
                  <c:v>58.034594053400113</c:v>
                </c:pt>
                <c:pt idx="97">
                  <c:v>57.940197973659423</c:v>
                </c:pt>
                <c:pt idx="98">
                  <c:v>57.834316629054442</c:v>
                </c:pt>
                <c:pt idx="99">
                  <c:v>57.720151067664339</c:v>
                </c:pt>
                <c:pt idx="100">
                  <c:v>57.611558532601173</c:v>
                </c:pt>
                <c:pt idx="101">
                  <c:v>57.491086206739006</c:v>
                </c:pt>
                <c:pt idx="102">
                  <c:v>57.362393072524753</c:v>
                </c:pt>
                <c:pt idx="103">
                  <c:v>57.23429312027617</c:v>
                </c:pt>
                <c:pt idx="104">
                  <c:v>57.101510878421159</c:v>
                </c:pt>
                <c:pt idx="105">
                  <c:v>56.969012099062311</c:v>
                </c:pt>
                <c:pt idx="106">
                  <c:v>56.825509386203485</c:v>
                </c:pt>
                <c:pt idx="107">
                  <c:v>56.672932217458516</c:v>
                </c:pt>
                <c:pt idx="108">
                  <c:v>56.518202497036718</c:v>
                </c:pt>
                <c:pt idx="109">
                  <c:v>56.374717808708155</c:v>
                </c:pt>
                <c:pt idx="110">
                  <c:v>56.233660901797911</c:v>
                </c:pt>
                <c:pt idx="111">
                  <c:v>56.08541223869792</c:v>
                </c:pt>
                <c:pt idx="112">
                  <c:v>55.923040303179803</c:v>
                </c:pt>
                <c:pt idx="113">
                  <c:v>55.746242089011922</c:v>
                </c:pt>
                <c:pt idx="114">
                  <c:v>55.556037895268851</c:v>
                </c:pt>
                <c:pt idx="115">
                  <c:v>55.353483166446225</c:v>
                </c:pt>
                <c:pt idx="116">
                  <c:v>55.143381514153788</c:v>
                </c:pt>
                <c:pt idx="117">
                  <c:v>54.92307915305723</c:v>
                </c:pt>
                <c:pt idx="118">
                  <c:v>54.688257000354724</c:v>
                </c:pt>
                <c:pt idx="119">
                  <c:v>54.440328060364571</c:v>
                </c:pt>
                <c:pt idx="120">
                  <c:v>54.177647928900306</c:v>
                </c:pt>
                <c:pt idx="121">
                  <c:v>53.899963282213115</c:v>
                </c:pt>
                <c:pt idx="122">
                  <c:v>53.617299336900281</c:v>
                </c:pt>
                <c:pt idx="123">
                  <c:v>53.315851425244745</c:v>
                </c:pt>
                <c:pt idx="124">
                  <c:v>52.997498437379477</c:v>
                </c:pt>
                <c:pt idx="125">
                  <c:v>52.680463926727818</c:v>
                </c:pt>
                <c:pt idx="126">
                  <c:v>52.370913720156075</c:v>
                </c:pt>
                <c:pt idx="127">
                  <c:v>52.040444867316559</c:v>
                </c:pt>
                <c:pt idx="128">
                  <c:v>51.701749615192284</c:v>
                </c:pt>
                <c:pt idx="129">
                  <c:v>51.352404365342139</c:v>
                </c:pt>
                <c:pt idx="130">
                  <c:v>50.991395419161897</c:v>
                </c:pt>
                <c:pt idx="131">
                  <c:v>50.629105917739182</c:v>
                </c:pt>
                <c:pt idx="132">
                  <c:v>50.275943822195636</c:v>
                </c:pt>
                <c:pt idx="133">
                  <c:v>49.934018361201069</c:v>
                </c:pt>
                <c:pt idx="134">
                  <c:v>49.588834925776105</c:v>
                </c:pt>
                <c:pt idx="135">
                  <c:v>49.232786243334409</c:v>
                </c:pt>
                <c:pt idx="136">
                  <c:v>48.865017836582517</c:v>
                </c:pt>
                <c:pt idx="137">
                  <c:v>48.495367152498318</c:v>
                </c:pt>
                <c:pt idx="138">
                  <c:v>48.111789627257231</c:v>
                </c:pt>
                <c:pt idx="139">
                  <c:v>47.715881749705062</c:v>
                </c:pt>
                <c:pt idx="140">
                  <c:v>47.305869393339506</c:v>
                </c:pt>
                <c:pt idx="141">
                  <c:v>46.849186773960966</c:v>
                </c:pt>
                <c:pt idx="142">
                  <c:v>46.403148307463731</c:v>
                </c:pt>
                <c:pt idx="143">
                  <c:v>45.97819813751174</c:v>
                </c:pt>
                <c:pt idx="144">
                  <c:v>45.562069687905762</c:v>
                </c:pt>
                <c:pt idx="145">
                  <c:v>45.156699081556859</c:v>
                </c:pt>
                <c:pt idx="146">
                  <c:v>44.746482935124163</c:v>
                </c:pt>
                <c:pt idx="147">
                  <c:v>44.317521607658279</c:v>
                </c:pt>
                <c:pt idx="148">
                  <c:v>43.883025545681967</c:v>
                </c:pt>
                <c:pt idx="149">
                  <c:v>43.415513225383343</c:v>
                </c:pt>
                <c:pt idx="150">
                  <c:v>42.941108415807477</c:v>
                </c:pt>
                <c:pt idx="151">
                  <c:v>42.437093936939043</c:v>
                </c:pt>
                <c:pt idx="152">
                  <c:v>41.913701856366536</c:v>
                </c:pt>
                <c:pt idx="153">
                  <c:v>41.378563693108724</c:v>
                </c:pt>
                <c:pt idx="154">
                  <c:v>40.848426175992117</c:v>
                </c:pt>
                <c:pt idx="155">
                  <c:v>40.308592376413117</c:v>
                </c:pt>
                <c:pt idx="156">
                  <c:v>39.773133381099598</c:v>
                </c:pt>
                <c:pt idx="157">
                  <c:v>39.246079571603893</c:v>
                </c:pt>
                <c:pt idx="158">
                  <c:v>38.701642827655022</c:v>
                </c:pt>
                <c:pt idx="159">
                  <c:v>38.198708970147131</c:v>
                </c:pt>
                <c:pt idx="160">
                  <c:v>37.798604405637057</c:v>
                </c:pt>
                <c:pt idx="161">
                  <c:v>37.386598763184303</c:v>
                </c:pt>
                <c:pt idx="162">
                  <c:v>37.035515257271037</c:v>
                </c:pt>
                <c:pt idx="163">
                  <c:v>36.715563257294278</c:v>
                </c:pt>
                <c:pt idx="164">
                  <c:v>36.372614085292525</c:v>
                </c:pt>
                <c:pt idx="165">
                  <c:v>36.040437256802697</c:v>
                </c:pt>
                <c:pt idx="166">
                  <c:v>35.681428949474217</c:v>
                </c:pt>
                <c:pt idx="167">
                  <c:v>35.284783361460981</c:v>
                </c:pt>
                <c:pt idx="168">
                  <c:v>34.852461609695979</c:v>
                </c:pt>
                <c:pt idx="169">
                  <c:v>34.347801155328057</c:v>
                </c:pt>
                <c:pt idx="170">
                  <c:v>33.90405943555465</c:v>
                </c:pt>
                <c:pt idx="171">
                  <c:v>33.634922443659178</c:v>
                </c:pt>
                <c:pt idx="172">
                  <c:v>33.128046784349117</c:v>
                </c:pt>
                <c:pt idx="173">
                  <c:v>32.615751651109036</c:v>
                </c:pt>
                <c:pt idx="174">
                  <c:v>32.408271546196964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1D-47F7-A427-80C475EEA81D}"/>
            </c:ext>
          </c:extLst>
        </c:ser>
        <c:ser>
          <c:idx val="12"/>
          <c:order val="12"/>
          <c:tx>
            <c:strRef>
              <c:f>data_co2_excLUC!$P$2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1D-47F7-A427-80C475EEA81D}"/>
            </c:ext>
          </c:extLst>
        </c:ser>
        <c:ser>
          <c:idx val="13"/>
          <c:order val="13"/>
          <c:tx>
            <c:strRef>
              <c:f>data_co2_excLUC!$R$2</c:f>
              <c:strCache>
                <c:ptCount val="1"/>
                <c:pt idx="0">
                  <c:v>Annex II GMST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data_co2_excLUC!$R$3:$R$177</c:f>
              <c:numCache>
                <c:formatCode>0.0</c:formatCode>
                <c:ptCount val="175"/>
                <c:pt idx="0">
                  <c:v>48.619</c:v>
                </c:pt>
                <c:pt idx="1">
                  <c:v>48.619</c:v>
                </c:pt>
                <c:pt idx="2">
                  <c:v>48.613999999999997</c:v>
                </c:pt>
                <c:pt idx="3">
                  <c:v>48.607999999999997</c:v>
                </c:pt>
                <c:pt idx="4">
                  <c:v>48.601999999999997</c:v>
                </c:pt>
                <c:pt idx="5">
                  <c:v>48.594999999999999</c:v>
                </c:pt>
                <c:pt idx="6">
                  <c:v>48.588000000000001</c:v>
                </c:pt>
                <c:pt idx="7">
                  <c:v>48.581000000000003</c:v>
                </c:pt>
                <c:pt idx="8">
                  <c:v>48.573</c:v>
                </c:pt>
                <c:pt idx="9">
                  <c:v>48.564999999999998</c:v>
                </c:pt>
                <c:pt idx="10">
                  <c:v>48.557000000000002</c:v>
                </c:pt>
                <c:pt idx="11">
                  <c:v>48.548000000000002</c:v>
                </c:pt>
                <c:pt idx="12">
                  <c:v>48.539000000000001</c:v>
                </c:pt>
                <c:pt idx="13">
                  <c:v>48.53</c:v>
                </c:pt>
                <c:pt idx="14">
                  <c:v>48.52</c:v>
                </c:pt>
                <c:pt idx="15">
                  <c:v>48.509</c:v>
                </c:pt>
                <c:pt idx="16">
                  <c:v>48.497999999999998</c:v>
                </c:pt>
                <c:pt idx="17">
                  <c:v>48.485999999999997</c:v>
                </c:pt>
                <c:pt idx="18">
                  <c:v>48.473999999999997</c:v>
                </c:pt>
                <c:pt idx="19">
                  <c:v>48.460999999999999</c:v>
                </c:pt>
                <c:pt idx="20">
                  <c:v>48.448</c:v>
                </c:pt>
                <c:pt idx="21">
                  <c:v>48.433999999999997</c:v>
                </c:pt>
                <c:pt idx="22">
                  <c:v>48.42</c:v>
                </c:pt>
                <c:pt idx="23">
                  <c:v>48.404000000000003</c:v>
                </c:pt>
                <c:pt idx="24">
                  <c:v>48.387</c:v>
                </c:pt>
                <c:pt idx="25">
                  <c:v>48.371000000000002</c:v>
                </c:pt>
                <c:pt idx="26">
                  <c:v>48.353999999999999</c:v>
                </c:pt>
                <c:pt idx="27">
                  <c:v>48.337000000000003</c:v>
                </c:pt>
                <c:pt idx="28">
                  <c:v>48.32</c:v>
                </c:pt>
                <c:pt idx="29">
                  <c:v>48.302999999999997</c:v>
                </c:pt>
                <c:pt idx="30">
                  <c:v>48.284999999999997</c:v>
                </c:pt>
                <c:pt idx="31">
                  <c:v>48.264000000000003</c:v>
                </c:pt>
                <c:pt idx="32">
                  <c:v>48.241999999999997</c:v>
                </c:pt>
                <c:pt idx="33">
                  <c:v>48.219000000000001</c:v>
                </c:pt>
                <c:pt idx="34">
                  <c:v>48.195</c:v>
                </c:pt>
                <c:pt idx="35">
                  <c:v>48.170999999999999</c:v>
                </c:pt>
                <c:pt idx="36">
                  <c:v>48.146000000000001</c:v>
                </c:pt>
                <c:pt idx="37">
                  <c:v>48.121000000000002</c:v>
                </c:pt>
                <c:pt idx="38">
                  <c:v>48.094999999999999</c:v>
                </c:pt>
                <c:pt idx="39">
                  <c:v>48.066000000000003</c:v>
                </c:pt>
                <c:pt idx="40">
                  <c:v>48.036999999999999</c:v>
                </c:pt>
                <c:pt idx="41">
                  <c:v>48.006</c:v>
                </c:pt>
                <c:pt idx="42">
                  <c:v>47.972999999999999</c:v>
                </c:pt>
                <c:pt idx="43">
                  <c:v>47.94</c:v>
                </c:pt>
                <c:pt idx="44">
                  <c:v>47.908000000000001</c:v>
                </c:pt>
                <c:pt idx="45">
                  <c:v>47.875</c:v>
                </c:pt>
                <c:pt idx="46">
                  <c:v>47.84</c:v>
                </c:pt>
                <c:pt idx="47">
                  <c:v>47.804000000000002</c:v>
                </c:pt>
                <c:pt idx="48">
                  <c:v>47.767000000000003</c:v>
                </c:pt>
                <c:pt idx="49">
                  <c:v>47.728000000000002</c:v>
                </c:pt>
                <c:pt idx="50">
                  <c:v>47.685000000000002</c:v>
                </c:pt>
                <c:pt idx="51">
                  <c:v>47.639000000000003</c:v>
                </c:pt>
                <c:pt idx="52">
                  <c:v>47.591999999999999</c:v>
                </c:pt>
                <c:pt idx="53">
                  <c:v>47.543999999999997</c:v>
                </c:pt>
                <c:pt idx="54">
                  <c:v>47.49</c:v>
                </c:pt>
                <c:pt idx="55">
                  <c:v>47.436</c:v>
                </c:pt>
                <c:pt idx="56">
                  <c:v>47.378</c:v>
                </c:pt>
                <c:pt idx="57">
                  <c:v>47.317999999999998</c:v>
                </c:pt>
                <c:pt idx="58">
                  <c:v>47.249000000000002</c:v>
                </c:pt>
                <c:pt idx="59">
                  <c:v>47.185000000000002</c:v>
                </c:pt>
                <c:pt idx="60">
                  <c:v>47.118000000000002</c:v>
                </c:pt>
                <c:pt idx="61">
                  <c:v>47.045999999999999</c:v>
                </c:pt>
                <c:pt idx="62">
                  <c:v>46.973999999999997</c:v>
                </c:pt>
                <c:pt idx="63">
                  <c:v>46.898000000000003</c:v>
                </c:pt>
                <c:pt idx="64">
                  <c:v>46.816000000000003</c:v>
                </c:pt>
                <c:pt idx="65">
                  <c:v>46.741</c:v>
                </c:pt>
                <c:pt idx="66">
                  <c:v>46.667000000000002</c:v>
                </c:pt>
                <c:pt idx="67">
                  <c:v>46.585999999999999</c:v>
                </c:pt>
                <c:pt idx="68">
                  <c:v>46.500999999999998</c:v>
                </c:pt>
                <c:pt idx="69">
                  <c:v>46.412999999999997</c:v>
                </c:pt>
                <c:pt idx="70">
                  <c:v>46.332999999999998</c:v>
                </c:pt>
                <c:pt idx="71">
                  <c:v>46.244</c:v>
                </c:pt>
                <c:pt idx="72">
                  <c:v>46.17</c:v>
                </c:pt>
                <c:pt idx="73">
                  <c:v>46.09</c:v>
                </c:pt>
                <c:pt idx="74">
                  <c:v>45.996000000000002</c:v>
                </c:pt>
                <c:pt idx="75">
                  <c:v>45.902999999999999</c:v>
                </c:pt>
                <c:pt idx="76">
                  <c:v>45.808</c:v>
                </c:pt>
                <c:pt idx="77">
                  <c:v>45.716000000000001</c:v>
                </c:pt>
                <c:pt idx="78">
                  <c:v>45.615000000000002</c:v>
                </c:pt>
                <c:pt idx="79">
                  <c:v>45.515000000000001</c:v>
                </c:pt>
                <c:pt idx="80">
                  <c:v>45.406999999999996</c:v>
                </c:pt>
                <c:pt idx="81">
                  <c:v>45.311</c:v>
                </c:pt>
                <c:pt idx="82">
                  <c:v>45.228000000000002</c:v>
                </c:pt>
                <c:pt idx="83">
                  <c:v>45.156999999999996</c:v>
                </c:pt>
                <c:pt idx="84">
                  <c:v>45.081000000000003</c:v>
                </c:pt>
                <c:pt idx="85">
                  <c:v>45.000999999999998</c:v>
                </c:pt>
                <c:pt idx="86">
                  <c:v>44.918999999999997</c:v>
                </c:pt>
                <c:pt idx="87">
                  <c:v>44.829000000000001</c:v>
                </c:pt>
                <c:pt idx="88">
                  <c:v>44.731000000000002</c:v>
                </c:pt>
                <c:pt idx="89">
                  <c:v>44.643000000000001</c:v>
                </c:pt>
                <c:pt idx="90">
                  <c:v>44.548999999999999</c:v>
                </c:pt>
                <c:pt idx="91">
                  <c:v>44.454999999999998</c:v>
                </c:pt>
                <c:pt idx="92">
                  <c:v>44.351999999999997</c:v>
                </c:pt>
                <c:pt idx="93">
                  <c:v>44.238999999999997</c:v>
                </c:pt>
                <c:pt idx="94">
                  <c:v>44.124000000000002</c:v>
                </c:pt>
                <c:pt idx="95">
                  <c:v>44.011000000000003</c:v>
                </c:pt>
                <c:pt idx="96">
                  <c:v>43.914999999999999</c:v>
                </c:pt>
                <c:pt idx="97">
                  <c:v>43.816000000000003</c:v>
                </c:pt>
                <c:pt idx="98">
                  <c:v>43.704000000000001</c:v>
                </c:pt>
                <c:pt idx="99">
                  <c:v>43.584000000000003</c:v>
                </c:pt>
                <c:pt idx="100">
                  <c:v>43.478000000000002</c:v>
                </c:pt>
                <c:pt idx="101">
                  <c:v>43.357999999999997</c:v>
                </c:pt>
                <c:pt idx="102">
                  <c:v>43.231000000000002</c:v>
                </c:pt>
                <c:pt idx="103">
                  <c:v>43.107999999999997</c:v>
                </c:pt>
                <c:pt idx="104">
                  <c:v>42.982999999999997</c:v>
                </c:pt>
                <c:pt idx="105">
                  <c:v>42.863</c:v>
                </c:pt>
                <c:pt idx="106">
                  <c:v>42.734000000000002</c:v>
                </c:pt>
                <c:pt idx="107">
                  <c:v>42.598999999999997</c:v>
                </c:pt>
                <c:pt idx="108">
                  <c:v>42.468000000000004</c:v>
                </c:pt>
                <c:pt idx="109">
                  <c:v>42.351999999999997</c:v>
                </c:pt>
                <c:pt idx="110">
                  <c:v>42.24</c:v>
                </c:pt>
                <c:pt idx="111">
                  <c:v>42.121000000000002</c:v>
                </c:pt>
                <c:pt idx="112">
                  <c:v>41.994</c:v>
                </c:pt>
                <c:pt idx="113">
                  <c:v>41.856000000000002</c:v>
                </c:pt>
                <c:pt idx="114">
                  <c:v>41.71</c:v>
                </c:pt>
                <c:pt idx="115">
                  <c:v>41.555999999999997</c:v>
                </c:pt>
                <c:pt idx="116">
                  <c:v>41.398000000000003</c:v>
                </c:pt>
                <c:pt idx="117">
                  <c:v>41.232999999999997</c:v>
                </c:pt>
                <c:pt idx="118">
                  <c:v>41.058</c:v>
                </c:pt>
                <c:pt idx="119">
                  <c:v>40.871000000000002</c:v>
                </c:pt>
                <c:pt idx="120">
                  <c:v>40.671999999999997</c:v>
                </c:pt>
                <c:pt idx="121">
                  <c:v>40.459000000000003</c:v>
                </c:pt>
                <c:pt idx="122">
                  <c:v>40.249000000000002</c:v>
                </c:pt>
                <c:pt idx="123">
                  <c:v>40.024999999999999</c:v>
                </c:pt>
                <c:pt idx="124">
                  <c:v>39.787999999999997</c:v>
                </c:pt>
                <c:pt idx="125">
                  <c:v>39.564</c:v>
                </c:pt>
                <c:pt idx="126">
                  <c:v>39.363</c:v>
                </c:pt>
                <c:pt idx="127">
                  <c:v>39.146999999999998</c:v>
                </c:pt>
                <c:pt idx="128">
                  <c:v>38.932000000000002</c:v>
                </c:pt>
                <c:pt idx="129">
                  <c:v>38.713999999999999</c:v>
                </c:pt>
                <c:pt idx="130">
                  <c:v>38.485999999999997</c:v>
                </c:pt>
                <c:pt idx="131">
                  <c:v>38.273000000000003</c:v>
                </c:pt>
                <c:pt idx="132">
                  <c:v>38.07</c:v>
                </c:pt>
                <c:pt idx="133">
                  <c:v>37.890999999999998</c:v>
                </c:pt>
                <c:pt idx="134">
                  <c:v>37.716000000000001</c:v>
                </c:pt>
                <c:pt idx="135">
                  <c:v>37.533999999999999</c:v>
                </c:pt>
                <c:pt idx="136">
                  <c:v>37.363</c:v>
                </c:pt>
                <c:pt idx="137">
                  <c:v>37.198</c:v>
                </c:pt>
                <c:pt idx="138">
                  <c:v>37.021999999999998</c:v>
                </c:pt>
                <c:pt idx="139">
                  <c:v>36.838000000000001</c:v>
                </c:pt>
                <c:pt idx="140">
                  <c:v>36.636000000000003</c:v>
                </c:pt>
                <c:pt idx="141">
                  <c:v>36.398000000000003</c:v>
                </c:pt>
                <c:pt idx="142">
                  <c:v>36.167999999999999</c:v>
                </c:pt>
                <c:pt idx="143">
                  <c:v>35.896000000000001</c:v>
                </c:pt>
                <c:pt idx="144">
                  <c:v>35.615000000000002</c:v>
                </c:pt>
                <c:pt idx="145">
                  <c:v>35.311</c:v>
                </c:pt>
                <c:pt idx="146">
                  <c:v>34.997999999999998</c:v>
                </c:pt>
                <c:pt idx="147">
                  <c:v>34.659999999999997</c:v>
                </c:pt>
                <c:pt idx="148">
                  <c:v>34.305</c:v>
                </c:pt>
                <c:pt idx="149">
                  <c:v>33.912999999999997</c:v>
                </c:pt>
                <c:pt idx="150">
                  <c:v>33.506</c:v>
                </c:pt>
                <c:pt idx="151">
                  <c:v>33.064</c:v>
                </c:pt>
                <c:pt idx="152">
                  <c:v>32.610999999999997</c:v>
                </c:pt>
                <c:pt idx="153">
                  <c:v>32.14</c:v>
                </c:pt>
                <c:pt idx="154">
                  <c:v>31.675000000000001</c:v>
                </c:pt>
                <c:pt idx="155">
                  <c:v>31.196999999999999</c:v>
                </c:pt>
                <c:pt idx="156">
                  <c:v>30.721</c:v>
                </c:pt>
                <c:pt idx="157">
                  <c:v>30.265000000000001</c:v>
                </c:pt>
                <c:pt idx="158">
                  <c:v>29.792999999999999</c:v>
                </c:pt>
                <c:pt idx="159">
                  <c:v>29.361999999999998</c:v>
                </c:pt>
                <c:pt idx="160">
                  <c:v>29.007999999999999</c:v>
                </c:pt>
                <c:pt idx="161">
                  <c:v>28.645</c:v>
                </c:pt>
                <c:pt idx="162">
                  <c:v>28.347999999999999</c:v>
                </c:pt>
                <c:pt idx="163">
                  <c:v>28.081</c:v>
                </c:pt>
                <c:pt idx="164">
                  <c:v>27.766999999999999</c:v>
                </c:pt>
                <c:pt idx="165">
                  <c:v>27.452000000000002</c:v>
                </c:pt>
                <c:pt idx="166">
                  <c:v>27.113</c:v>
                </c:pt>
                <c:pt idx="167">
                  <c:v>26.754000000000001</c:v>
                </c:pt>
                <c:pt idx="168">
                  <c:v>26.379000000000001</c:v>
                </c:pt>
                <c:pt idx="169">
                  <c:v>25.943000000000001</c:v>
                </c:pt>
                <c:pt idx="170">
                  <c:v>25.542000000000002</c:v>
                </c:pt>
                <c:pt idx="171">
                  <c:v>25.337</c:v>
                </c:pt>
                <c:pt idx="172">
                  <c:v>24.934999999999999</c:v>
                </c:pt>
                <c:pt idx="173">
                  <c:v>24.422999999999998</c:v>
                </c:pt>
                <c:pt idx="174">
                  <c:v>24.184999999999999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1D-47F7-A427-80C475EEA81D}"/>
            </c:ext>
          </c:extLst>
        </c:ser>
        <c:ser>
          <c:idx val="14"/>
          <c:order val="14"/>
          <c:tx>
            <c:strRef>
              <c:f>data_co2_excLUC!$S$2</c:f>
              <c:strCache>
                <c:ptCount val="1"/>
                <c:pt idx="0">
                  <c:v>Annex I GMST</c:v>
                </c:pt>
              </c:strCache>
            </c:strRef>
          </c:tx>
          <c:spPr>
            <a:ln w="317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data_co2_excLUC!$S$3:$S$177</c:f>
              <c:numCache>
                <c:formatCode>0.0</c:formatCode>
                <c:ptCount val="175"/>
                <c:pt idx="0">
                  <c:v>62.091999999999999</c:v>
                </c:pt>
                <c:pt idx="1">
                  <c:v>62.091999999999999</c:v>
                </c:pt>
                <c:pt idx="2">
                  <c:v>62.088000000000001</c:v>
                </c:pt>
                <c:pt idx="3">
                  <c:v>62.082999999999998</c:v>
                </c:pt>
                <c:pt idx="4">
                  <c:v>62.079000000000001</c:v>
                </c:pt>
                <c:pt idx="5">
                  <c:v>62.073</c:v>
                </c:pt>
                <c:pt idx="6">
                  <c:v>62.067999999999998</c:v>
                </c:pt>
                <c:pt idx="7">
                  <c:v>62.061999999999998</c:v>
                </c:pt>
                <c:pt idx="8">
                  <c:v>62.055999999999997</c:v>
                </c:pt>
                <c:pt idx="9">
                  <c:v>62.05</c:v>
                </c:pt>
                <c:pt idx="10">
                  <c:v>62.043999999999997</c:v>
                </c:pt>
                <c:pt idx="11">
                  <c:v>62.036999999999999</c:v>
                </c:pt>
                <c:pt idx="12">
                  <c:v>62.03</c:v>
                </c:pt>
                <c:pt idx="13">
                  <c:v>62.021999999999998</c:v>
                </c:pt>
                <c:pt idx="14">
                  <c:v>62.014000000000003</c:v>
                </c:pt>
                <c:pt idx="15">
                  <c:v>62.006</c:v>
                </c:pt>
                <c:pt idx="16">
                  <c:v>61.997</c:v>
                </c:pt>
                <c:pt idx="17">
                  <c:v>61.987000000000002</c:v>
                </c:pt>
                <c:pt idx="18">
                  <c:v>61.976999999999997</c:v>
                </c:pt>
                <c:pt idx="19">
                  <c:v>61.966999999999999</c:v>
                </c:pt>
                <c:pt idx="20">
                  <c:v>61.956000000000003</c:v>
                </c:pt>
                <c:pt idx="21">
                  <c:v>61.945</c:v>
                </c:pt>
                <c:pt idx="22">
                  <c:v>61.933</c:v>
                </c:pt>
                <c:pt idx="23">
                  <c:v>61.92</c:v>
                </c:pt>
                <c:pt idx="24">
                  <c:v>61.905999999999999</c:v>
                </c:pt>
                <c:pt idx="25">
                  <c:v>61.893000000000001</c:v>
                </c:pt>
                <c:pt idx="26">
                  <c:v>61.878999999999998</c:v>
                </c:pt>
                <c:pt idx="27">
                  <c:v>61.863999999999997</c:v>
                </c:pt>
                <c:pt idx="28">
                  <c:v>61.848999999999997</c:v>
                </c:pt>
                <c:pt idx="29">
                  <c:v>61.835000000000001</c:v>
                </c:pt>
                <c:pt idx="30">
                  <c:v>61.819000000000003</c:v>
                </c:pt>
                <c:pt idx="31">
                  <c:v>61.801000000000002</c:v>
                </c:pt>
                <c:pt idx="32">
                  <c:v>61.781999999999996</c:v>
                </c:pt>
                <c:pt idx="33">
                  <c:v>61.762999999999998</c:v>
                </c:pt>
                <c:pt idx="34">
                  <c:v>61.741999999999997</c:v>
                </c:pt>
                <c:pt idx="35">
                  <c:v>61.720999999999997</c:v>
                </c:pt>
                <c:pt idx="36">
                  <c:v>61.698999999999998</c:v>
                </c:pt>
                <c:pt idx="37">
                  <c:v>61.677999999999997</c:v>
                </c:pt>
                <c:pt idx="38">
                  <c:v>61.655000000000001</c:v>
                </c:pt>
                <c:pt idx="39">
                  <c:v>61.63</c:v>
                </c:pt>
                <c:pt idx="40">
                  <c:v>61.604999999999997</c:v>
                </c:pt>
                <c:pt idx="41">
                  <c:v>61.576999999999998</c:v>
                </c:pt>
                <c:pt idx="42">
                  <c:v>61.548999999999999</c:v>
                </c:pt>
                <c:pt idx="43">
                  <c:v>61.52</c:v>
                </c:pt>
                <c:pt idx="44">
                  <c:v>61.491999999999997</c:v>
                </c:pt>
                <c:pt idx="45">
                  <c:v>61.462000000000003</c:v>
                </c:pt>
                <c:pt idx="46">
                  <c:v>61.430999999999997</c:v>
                </c:pt>
                <c:pt idx="47">
                  <c:v>61.399000000000001</c:v>
                </c:pt>
                <c:pt idx="48">
                  <c:v>61.366</c:v>
                </c:pt>
                <c:pt idx="49">
                  <c:v>61.331000000000003</c:v>
                </c:pt>
                <c:pt idx="50">
                  <c:v>61.292000000000002</c:v>
                </c:pt>
                <c:pt idx="51">
                  <c:v>61.250999999999998</c:v>
                </c:pt>
                <c:pt idx="52">
                  <c:v>61.209000000000003</c:v>
                </c:pt>
                <c:pt idx="53">
                  <c:v>61.165999999999997</c:v>
                </c:pt>
                <c:pt idx="54">
                  <c:v>61.119</c:v>
                </c:pt>
                <c:pt idx="55">
                  <c:v>61.070999999999998</c:v>
                </c:pt>
                <c:pt idx="56">
                  <c:v>61.021000000000001</c:v>
                </c:pt>
                <c:pt idx="57">
                  <c:v>60.968000000000004</c:v>
                </c:pt>
                <c:pt idx="58">
                  <c:v>60.908999999999999</c:v>
                </c:pt>
                <c:pt idx="59">
                  <c:v>60.851999999999997</c:v>
                </c:pt>
                <c:pt idx="60">
                  <c:v>60.792999999999999</c:v>
                </c:pt>
                <c:pt idx="61">
                  <c:v>60.731000000000002</c:v>
                </c:pt>
                <c:pt idx="62">
                  <c:v>60.667999999999999</c:v>
                </c:pt>
                <c:pt idx="63">
                  <c:v>60.600999999999999</c:v>
                </c:pt>
                <c:pt idx="64">
                  <c:v>60.529000000000003</c:v>
                </c:pt>
                <c:pt idx="65">
                  <c:v>60.463999999999999</c:v>
                </c:pt>
                <c:pt idx="66">
                  <c:v>60.4</c:v>
                </c:pt>
                <c:pt idx="67">
                  <c:v>60.33</c:v>
                </c:pt>
                <c:pt idx="68">
                  <c:v>60.256999999999998</c:v>
                </c:pt>
                <c:pt idx="69">
                  <c:v>60.185000000000002</c:v>
                </c:pt>
                <c:pt idx="70">
                  <c:v>60.125999999999998</c:v>
                </c:pt>
                <c:pt idx="71">
                  <c:v>60.055999999999997</c:v>
                </c:pt>
                <c:pt idx="72">
                  <c:v>59.997</c:v>
                </c:pt>
                <c:pt idx="73">
                  <c:v>59.933999999999997</c:v>
                </c:pt>
                <c:pt idx="74">
                  <c:v>59.860999999999997</c:v>
                </c:pt>
                <c:pt idx="75">
                  <c:v>59.789000000000001</c:v>
                </c:pt>
                <c:pt idx="76">
                  <c:v>59.713999999999999</c:v>
                </c:pt>
                <c:pt idx="77">
                  <c:v>59.640999999999998</c:v>
                </c:pt>
                <c:pt idx="78">
                  <c:v>59.558999999999997</c:v>
                </c:pt>
                <c:pt idx="79">
                  <c:v>59.478000000000002</c:v>
                </c:pt>
                <c:pt idx="80">
                  <c:v>59.389000000000003</c:v>
                </c:pt>
                <c:pt idx="81">
                  <c:v>59.308999999999997</c:v>
                </c:pt>
                <c:pt idx="82">
                  <c:v>59.237000000000002</c:v>
                </c:pt>
                <c:pt idx="83">
                  <c:v>59.173999999999999</c:v>
                </c:pt>
                <c:pt idx="84">
                  <c:v>59.106999999999999</c:v>
                </c:pt>
                <c:pt idx="85">
                  <c:v>59.034999999999997</c:v>
                </c:pt>
                <c:pt idx="86">
                  <c:v>58.96</c:v>
                </c:pt>
                <c:pt idx="87">
                  <c:v>58.877000000000002</c:v>
                </c:pt>
                <c:pt idx="88">
                  <c:v>58.786999999999999</c:v>
                </c:pt>
                <c:pt idx="89">
                  <c:v>58.704999999999998</c:v>
                </c:pt>
                <c:pt idx="90">
                  <c:v>58.616999999999997</c:v>
                </c:pt>
                <c:pt idx="91">
                  <c:v>58.521000000000001</c:v>
                </c:pt>
                <c:pt idx="92">
                  <c:v>58.421999999999997</c:v>
                </c:pt>
                <c:pt idx="93">
                  <c:v>58.32</c:v>
                </c:pt>
                <c:pt idx="94">
                  <c:v>58.215000000000003</c:v>
                </c:pt>
                <c:pt idx="95">
                  <c:v>58.107999999999997</c:v>
                </c:pt>
                <c:pt idx="96">
                  <c:v>58.021000000000001</c:v>
                </c:pt>
                <c:pt idx="97">
                  <c:v>57.927</c:v>
                </c:pt>
                <c:pt idx="98">
                  <c:v>57.820999999999998</c:v>
                </c:pt>
                <c:pt idx="99">
                  <c:v>57.707000000000001</c:v>
                </c:pt>
                <c:pt idx="100">
                  <c:v>57.597999999999999</c:v>
                </c:pt>
                <c:pt idx="101">
                  <c:v>57.478000000000002</c:v>
                </c:pt>
                <c:pt idx="102">
                  <c:v>57.348999999999997</c:v>
                </c:pt>
                <c:pt idx="103">
                  <c:v>57.220999999999997</c:v>
                </c:pt>
                <c:pt idx="104">
                  <c:v>57.088000000000001</c:v>
                </c:pt>
                <c:pt idx="105">
                  <c:v>56.956000000000003</c:v>
                </c:pt>
                <c:pt idx="106">
                  <c:v>56.811999999999998</c:v>
                </c:pt>
                <c:pt idx="107">
                  <c:v>56.66</c:v>
                </c:pt>
                <c:pt idx="108">
                  <c:v>56.505000000000003</c:v>
                </c:pt>
                <c:pt idx="109">
                  <c:v>56.360999999999997</c:v>
                </c:pt>
                <c:pt idx="110">
                  <c:v>56.22</c:v>
                </c:pt>
                <c:pt idx="111">
                  <c:v>56.072000000000003</c:v>
                </c:pt>
                <c:pt idx="112">
                  <c:v>55.908999999999999</c:v>
                </c:pt>
                <c:pt idx="113">
                  <c:v>55.732999999999997</c:v>
                </c:pt>
                <c:pt idx="114">
                  <c:v>55.542000000000002</c:v>
                </c:pt>
                <c:pt idx="115">
                  <c:v>55.34</c:v>
                </c:pt>
                <c:pt idx="116">
                  <c:v>55.13</c:v>
                </c:pt>
                <c:pt idx="117">
                  <c:v>54.908999999999999</c:v>
                </c:pt>
                <c:pt idx="118">
                  <c:v>54.673999999999999</c:v>
                </c:pt>
                <c:pt idx="119">
                  <c:v>54.426000000000002</c:v>
                </c:pt>
                <c:pt idx="120">
                  <c:v>54.164000000000001</c:v>
                </c:pt>
                <c:pt idx="121">
                  <c:v>53.886000000000003</c:v>
                </c:pt>
                <c:pt idx="122">
                  <c:v>53.603000000000002</c:v>
                </c:pt>
                <c:pt idx="123">
                  <c:v>53.302</c:v>
                </c:pt>
                <c:pt idx="124">
                  <c:v>52.982999999999997</c:v>
                </c:pt>
                <c:pt idx="125">
                  <c:v>52.665999999999997</c:v>
                </c:pt>
                <c:pt idx="126">
                  <c:v>52.356000000000002</c:v>
                </c:pt>
                <c:pt idx="127">
                  <c:v>52.026000000000003</c:v>
                </c:pt>
                <c:pt idx="128">
                  <c:v>51.686999999999998</c:v>
                </c:pt>
                <c:pt idx="129">
                  <c:v>51.337000000000003</c:v>
                </c:pt>
                <c:pt idx="130">
                  <c:v>50.975999999999999</c:v>
                </c:pt>
                <c:pt idx="131">
                  <c:v>50.613999999999997</c:v>
                </c:pt>
                <c:pt idx="132">
                  <c:v>50.261000000000003</c:v>
                </c:pt>
                <c:pt idx="133">
                  <c:v>49.918999999999997</c:v>
                </c:pt>
                <c:pt idx="134">
                  <c:v>49.573</c:v>
                </c:pt>
                <c:pt idx="135">
                  <c:v>49.216999999999999</c:v>
                </c:pt>
                <c:pt idx="136">
                  <c:v>48.848999999999997</c:v>
                </c:pt>
                <c:pt idx="137">
                  <c:v>48.478999999999999</c:v>
                </c:pt>
                <c:pt idx="138">
                  <c:v>48.094999999999999</c:v>
                </c:pt>
                <c:pt idx="139">
                  <c:v>47.698999999999998</c:v>
                </c:pt>
                <c:pt idx="140">
                  <c:v>47.289000000000001</c:v>
                </c:pt>
                <c:pt idx="141">
                  <c:v>46.832000000000001</c:v>
                </c:pt>
                <c:pt idx="142">
                  <c:v>46.408000000000001</c:v>
                </c:pt>
                <c:pt idx="143">
                  <c:v>45.982999999999997</c:v>
                </c:pt>
                <c:pt idx="144">
                  <c:v>45.567</c:v>
                </c:pt>
                <c:pt idx="145">
                  <c:v>45.161999999999999</c:v>
                </c:pt>
                <c:pt idx="146">
                  <c:v>44.752000000000002</c:v>
                </c:pt>
                <c:pt idx="147">
                  <c:v>44.323</c:v>
                </c:pt>
                <c:pt idx="148">
                  <c:v>43.887999999999998</c:v>
                </c:pt>
                <c:pt idx="149">
                  <c:v>43.420999999999999</c:v>
                </c:pt>
                <c:pt idx="150">
                  <c:v>42.945999999999998</c:v>
                </c:pt>
                <c:pt idx="151">
                  <c:v>42.442</c:v>
                </c:pt>
                <c:pt idx="152">
                  <c:v>41.918999999999997</c:v>
                </c:pt>
                <c:pt idx="153">
                  <c:v>41.383000000000003</c:v>
                </c:pt>
                <c:pt idx="154">
                  <c:v>40.853000000000002</c:v>
                </c:pt>
                <c:pt idx="155">
                  <c:v>40.313000000000002</c:v>
                </c:pt>
                <c:pt idx="156">
                  <c:v>39.777999999999999</c:v>
                </c:pt>
                <c:pt idx="157">
                  <c:v>39.250999999999998</c:v>
                </c:pt>
                <c:pt idx="158">
                  <c:v>38.706000000000003</c:v>
                </c:pt>
                <c:pt idx="159">
                  <c:v>38.203000000000003</c:v>
                </c:pt>
                <c:pt idx="160">
                  <c:v>37.802999999999997</c:v>
                </c:pt>
                <c:pt idx="161">
                  <c:v>37.390999999999998</c:v>
                </c:pt>
                <c:pt idx="162">
                  <c:v>37.04</c:v>
                </c:pt>
                <c:pt idx="163">
                  <c:v>36.72</c:v>
                </c:pt>
                <c:pt idx="164">
                  <c:v>36.377000000000002</c:v>
                </c:pt>
                <c:pt idx="165">
                  <c:v>36.045000000000002</c:v>
                </c:pt>
                <c:pt idx="166">
                  <c:v>35.686</c:v>
                </c:pt>
                <c:pt idx="167">
                  <c:v>35.29</c:v>
                </c:pt>
                <c:pt idx="168">
                  <c:v>34.856999999999999</c:v>
                </c:pt>
                <c:pt idx="169">
                  <c:v>34.353000000000002</c:v>
                </c:pt>
                <c:pt idx="170">
                  <c:v>33.908999999999999</c:v>
                </c:pt>
                <c:pt idx="171">
                  <c:v>33.64</c:v>
                </c:pt>
                <c:pt idx="172">
                  <c:v>33.133000000000003</c:v>
                </c:pt>
                <c:pt idx="173">
                  <c:v>32.621000000000002</c:v>
                </c:pt>
                <c:pt idx="174">
                  <c:v>32.412999999999997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1D-47F7-A427-80C475EE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Cumulative share of emissions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2A74C-2C69-4D2A-AFF5-C0A940C79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F1489-A202-4885-805B-A13558AEF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C10E3-8FBB-40AE-84BF-CFDA6CDB4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40777-1CE6-8BED-B5A7-C90BCC70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279400</xdr:colOff>
      <xdr:row>72</xdr:row>
      <xdr:rowOff>76200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B48377C-CFE2-53AD-2C1D-6A980035BA12}"/>
            </a:ext>
          </a:extLst>
        </xdr:cNvPr>
        <xdr:cNvGrpSpPr/>
      </xdr:nvGrpSpPr>
      <xdr:grpSpPr>
        <a:xfrm>
          <a:off x="0" y="0"/>
          <a:ext cx="22225000" cy="12877800"/>
          <a:chOff x="0" y="0"/>
          <a:chExt cx="22225000" cy="13335000"/>
        </a:xfrm>
      </xdr:grpSpPr>
      <xdr:sp macro="" textlink="">
        <xdr:nvSpPr>
          <xdr:cNvPr id="6" name="CanvasBg">
            <a:extLst>
              <a:ext uri="{FF2B5EF4-FFF2-40B4-BE49-F238E27FC236}">
                <a16:creationId xmlns:a16="http://schemas.microsoft.com/office/drawing/2014/main" id="{EB61ED7D-E532-FB9F-1E93-CBC47022E85F}"/>
              </a:ext>
            </a:extLst>
          </xdr:cNvPr>
          <xdr:cNvSpPr/>
        </xdr:nvSpPr>
        <xdr:spPr>
          <a:xfrm>
            <a:off x="0" y="0"/>
            <a:ext cx="22225000" cy="13335000"/>
          </a:xfrm>
          <a:prstGeom prst="rect">
            <a:avLst/>
          </a:prstGeom>
          <a:solidFill>
            <a:srgbClr val="FFFFFF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" name="Panel_1">
            <a:extLst>
              <a:ext uri="{FF2B5EF4-FFF2-40B4-BE49-F238E27FC236}">
                <a16:creationId xmlns:a16="http://schemas.microsoft.com/office/drawing/2014/main" id="{238A78A9-2404-7EFB-C4CF-5589340D75B5}"/>
              </a:ext>
            </a:extLst>
          </xdr:cNvPr>
          <xdr:cNvGraphicFramePr/>
        </xdr:nvGraphicFramePr>
        <xdr:xfrm>
          <a:off x="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Panel_2">
            <a:extLst>
              <a:ext uri="{FF2B5EF4-FFF2-40B4-BE49-F238E27FC236}">
                <a16:creationId xmlns:a16="http://schemas.microsoft.com/office/drawing/2014/main" id="{8A9953E6-28EC-2447-F64A-7D4B55B28CF9}"/>
              </a:ext>
            </a:extLst>
          </xdr:cNvPr>
          <xdr:cNvGraphicFramePr/>
        </xdr:nvGraphicFramePr>
        <xdr:xfrm>
          <a:off x="1117600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Panel_3">
            <a:extLst>
              <a:ext uri="{FF2B5EF4-FFF2-40B4-BE49-F238E27FC236}">
                <a16:creationId xmlns:a16="http://schemas.microsoft.com/office/drawing/2014/main" id="{62B3507A-A77A-1928-9442-4661517EDF80}"/>
              </a:ext>
            </a:extLst>
          </xdr:cNvPr>
          <xdr:cNvGraphicFramePr/>
        </xdr:nvGraphicFramePr>
        <xdr:xfrm>
          <a:off x="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Panel_4">
            <a:extLst>
              <a:ext uri="{FF2B5EF4-FFF2-40B4-BE49-F238E27FC236}">
                <a16:creationId xmlns:a16="http://schemas.microsoft.com/office/drawing/2014/main" id="{9750044F-AA22-B3A2-255F-11DC495628DD}"/>
              </a:ext>
            </a:extLst>
          </xdr:cNvPr>
          <xdr:cNvGraphicFramePr/>
        </xdr:nvGraphicFramePr>
        <xdr:xfrm>
          <a:off x="1117600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86AE-95BD-49F7-87AB-F65056A830B8}">
  <dimension ref="A2:AE177"/>
  <sheetViews>
    <sheetView workbookViewId="0"/>
  </sheetViews>
  <sheetFormatPr defaultRowHeight="14.5" x14ac:dyDescent="0.35"/>
  <sheetData>
    <row r="2" spans="1:3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54</v>
      </c>
      <c r="I2" t="s">
        <v>55</v>
      </c>
      <c r="J2" t="s">
        <v>56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</row>
    <row r="3" spans="1:31" x14ac:dyDescent="0.35">
      <c r="A3">
        <v>1850</v>
      </c>
      <c r="B3">
        <v>1550.6410000000001</v>
      </c>
      <c r="C3">
        <v>2325.8449999999998</v>
      </c>
      <c r="D3">
        <v>1967.4659999999999</v>
      </c>
      <c r="E3">
        <v>1549.27</v>
      </c>
      <c r="F3">
        <v>2081.8649999999998</v>
      </c>
      <c r="G3">
        <v>1650.7739999999999</v>
      </c>
      <c r="N3">
        <f>IF(ISBLANK($B3),NA(),IFERROR(SUM($B3:$B$177),NA()))</f>
        <v>1314684.7999999998</v>
      </c>
      <c r="O3">
        <f>IF(ISBLANK($C3),NA(),IFERROR(SUM($C3:$C$177),NA()))</f>
        <v>1782111.7269999995</v>
      </c>
      <c r="P3">
        <f>IF(ISBLANK($D3),NA(),IFERROR(SUM($D3:$D$177),NA()))</f>
        <v>1826135.5449999997</v>
      </c>
      <c r="Q3">
        <f t="shared" ref="Q3:Q34" si="0">IFERROR(O3+P3,"")</f>
        <v>3608247.2719999989</v>
      </c>
      <c r="R3">
        <f t="shared" ref="R3:R34" si="1">IFERROR(N3/Q3*100,NA())</f>
        <v>36.435551692977214</v>
      </c>
      <c r="S3">
        <f t="shared" ref="S3:S34" si="2">IFERROR(O3/Q3*100,NA())</f>
        <v>49.389955639381689</v>
      </c>
      <c r="T3">
        <f>IF(ISBLANK($E3),NA(),IFERROR(SUM($E3:$E$177),NA()))</f>
        <v>1252707.544</v>
      </c>
      <c r="U3">
        <f>IF(ISBLANK($F3),NA(),IFERROR(SUM($F3:$F$177),NA()))</f>
        <v>1617916.6189999999</v>
      </c>
      <c r="V3">
        <f>IF(ISBLANK($G3),NA(),IFERROR(SUM($G3:$G$177),NA()))</f>
        <v>1557169.5449999999</v>
      </c>
      <c r="W3">
        <f t="shared" ref="W3:W34" si="3">IFERROR(U3+V3,"")</f>
        <v>3175086.1639999999</v>
      </c>
      <c r="X3">
        <f t="shared" ref="X3:X34" si="4">IFERROR(T3/W3*100,NA())</f>
        <v>39.454284995586661</v>
      </c>
      <c r="Y3">
        <f t="shared" ref="Y3:Y34" si="5">IFERROR(U3/W3*100,NA())</f>
        <v>50.956620873612302</v>
      </c>
      <c r="Z3" t="e">
        <f>IF(ISBLANK($H3),NA(),IFERROR(SUM($H3:$H$177),NA()))</f>
        <v>#N/A</v>
      </c>
      <c r="AA3" t="e">
        <f>IF(ISBLANK($I3),NA(),IFERROR(SUM($I3:$I$177),NA()))</f>
        <v>#N/A</v>
      </c>
      <c r="AB3" t="e">
        <f>IF(ISBLANK($J3),NA(),IFERROR(SUM($J3:$J$177),NA()))</f>
        <v>#N/A</v>
      </c>
      <c r="AC3" t="str">
        <f t="shared" ref="AC3:AC34" si="6">IFERROR(AA3+AB3,"")</f>
        <v/>
      </c>
      <c r="AD3" t="e">
        <f t="shared" ref="AD3:AD34" si="7">IFERROR(Z3/AC3*100,NA())</f>
        <v>#N/A</v>
      </c>
      <c r="AE3" t="e">
        <f t="shared" ref="AE3:AE34" si="8">IFERROR(AA3/AC3*100,NA())</f>
        <v>#N/A</v>
      </c>
    </row>
    <row r="4" spans="1:31" x14ac:dyDescent="0.35">
      <c r="A4">
        <v>1851</v>
      </c>
      <c r="B4">
        <v>1599.614</v>
      </c>
      <c r="C4">
        <v>2376.348</v>
      </c>
      <c r="D4">
        <v>2032.8209999999999</v>
      </c>
      <c r="E4">
        <v>1560.0630000000001</v>
      </c>
      <c r="F4">
        <v>2095.4520000000002</v>
      </c>
      <c r="G4">
        <v>1618.2280000000001</v>
      </c>
      <c r="N4">
        <f>IF(ISBLANK($B4),NA(),IFERROR(SUM($B4:$B$177),NA()))</f>
        <v>1313134.1589999998</v>
      </c>
      <c r="O4">
        <f>IF(ISBLANK($C4),NA(),IFERROR(SUM($C4:$C$177),NA()))</f>
        <v>1779785.8819999995</v>
      </c>
      <c r="P4">
        <f>IF(ISBLANK($D4),NA(),IFERROR(SUM($D4:$D$177),NA()))</f>
        <v>1824168.0789999997</v>
      </c>
      <c r="Q4">
        <f t="shared" si="0"/>
        <v>3603953.9609999992</v>
      </c>
      <c r="R4">
        <f t="shared" si="1"/>
        <v>36.435930458879689</v>
      </c>
      <c r="S4">
        <f t="shared" si="2"/>
        <v>49.384256881743219</v>
      </c>
      <c r="T4">
        <f>IF(ISBLANK($E4),NA(),IFERROR(SUM($E4:$E$177),NA()))</f>
        <v>1251158.274</v>
      </c>
      <c r="U4">
        <f>IF(ISBLANK($F4),NA(),IFERROR(SUM($F4:$F$177),NA()))</f>
        <v>1615834.754</v>
      </c>
      <c r="V4">
        <f>IF(ISBLANK($G4),NA(),IFERROR(SUM($G4:$G$177),NA()))</f>
        <v>1555518.7710000002</v>
      </c>
      <c r="W4">
        <f t="shared" si="3"/>
        <v>3171353.5250000004</v>
      </c>
      <c r="X4">
        <f t="shared" si="4"/>
        <v>39.451870128543923</v>
      </c>
      <c r="Y4">
        <f t="shared" si="5"/>
        <v>50.950950162517749</v>
      </c>
      <c r="Z4" t="e">
        <f>IF(ISBLANK($H4),NA(),IFERROR(SUM($H4:$H$177),NA()))</f>
        <v>#N/A</v>
      </c>
      <c r="AA4" t="e">
        <f>IF(ISBLANK($I4),NA(),IFERROR(SUM($I4:$I$177),NA()))</f>
        <v>#N/A</v>
      </c>
      <c r="AB4" t="e">
        <f>IF(ISBLANK($J4),NA(),IFERROR(SUM($J4:$J$177),NA()))</f>
        <v>#N/A</v>
      </c>
      <c r="AC4" t="str">
        <f t="shared" si="6"/>
        <v/>
      </c>
      <c r="AD4" t="e">
        <f t="shared" si="7"/>
        <v>#N/A</v>
      </c>
      <c r="AE4" t="e">
        <f t="shared" si="8"/>
        <v>#N/A</v>
      </c>
    </row>
    <row r="5" spans="1:31" x14ac:dyDescent="0.35">
      <c r="A5">
        <v>1852</v>
      </c>
      <c r="B5">
        <v>1630.7190000000001</v>
      </c>
      <c r="C5">
        <v>2447.1280000000002</v>
      </c>
      <c r="D5">
        <v>2076.5830000000001</v>
      </c>
      <c r="E5">
        <v>1811.682</v>
      </c>
      <c r="F5">
        <v>2351.2759999999998</v>
      </c>
      <c r="G5">
        <v>1585.489</v>
      </c>
      <c r="N5">
        <f>IF(ISBLANK($B5),NA(),IFERROR(SUM($B5:$B$177),NA()))</f>
        <v>1311534.5449999997</v>
      </c>
      <c r="O5">
        <f>IF(ISBLANK($C5),NA(),IFERROR(SUM($C5:$C$177),NA()))</f>
        <v>1777409.5339999995</v>
      </c>
      <c r="P5">
        <f>IF(ISBLANK($D5),NA(),IFERROR(SUM($D5:$D$177),NA()))</f>
        <v>1822135.2579999997</v>
      </c>
      <c r="Q5">
        <f t="shared" si="0"/>
        <v>3599544.7919999994</v>
      </c>
      <c r="R5">
        <f t="shared" si="1"/>
        <v>36.436122365108211</v>
      </c>
      <c r="S5">
        <f t="shared" si="2"/>
        <v>49.378730831473419</v>
      </c>
      <c r="T5">
        <f>IF(ISBLANK($E5),NA(),IFERROR(SUM($E5:$E$177),NA()))</f>
        <v>1249598.2110000001</v>
      </c>
      <c r="U5">
        <f>IF(ISBLANK($F5),NA(),IFERROR(SUM($F5:$F$177),NA()))</f>
        <v>1613739.3019999999</v>
      </c>
      <c r="V5">
        <f>IF(ISBLANK($G5),NA(),IFERROR(SUM($G5:$G$177),NA()))</f>
        <v>1553900.5430000001</v>
      </c>
      <c r="W5">
        <f t="shared" si="3"/>
        <v>3167639.8449999997</v>
      </c>
      <c r="X5">
        <f t="shared" si="4"/>
        <v>39.44887273003728</v>
      </c>
      <c r="Y5">
        <f t="shared" si="5"/>
        <v>50.944532237376251</v>
      </c>
      <c r="Z5" t="e">
        <f>IF(ISBLANK($H5),NA(),IFERROR(SUM($H5:$H$177),NA()))</f>
        <v>#N/A</v>
      </c>
      <c r="AA5" t="e">
        <f>IF(ISBLANK($I5),NA(),IFERROR(SUM($I5:$I$177),NA()))</f>
        <v>#N/A</v>
      </c>
      <c r="AB5" t="e">
        <f>IF(ISBLANK($J5),NA(),IFERROR(SUM($J5:$J$177),NA()))</f>
        <v>#N/A</v>
      </c>
      <c r="AC5" t="str">
        <f t="shared" si="6"/>
        <v/>
      </c>
      <c r="AD5" t="e">
        <f t="shared" si="7"/>
        <v>#N/A</v>
      </c>
      <c r="AE5" t="e">
        <f t="shared" si="8"/>
        <v>#N/A</v>
      </c>
    </row>
    <row r="6" spans="1:31" x14ac:dyDescent="0.35">
      <c r="A6">
        <v>1853</v>
      </c>
      <c r="B6">
        <v>1683.136</v>
      </c>
      <c r="C6">
        <v>2475.4209999999998</v>
      </c>
      <c r="D6">
        <v>2085.9780000000001</v>
      </c>
      <c r="E6">
        <v>1856.2170000000001</v>
      </c>
      <c r="F6">
        <v>2399.4780000000001</v>
      </c>
      <c r="G6">
        <v>1550.9939999999999</v>
      </c>
      <c r="N6">
        <f>IF(ISBLANK($B6),NA(),IFERROR(SUM($B6:$B$177),NA()))</f>
        <v>1309903.8259999997</v>
      </c>
      <c r="O6">
        <f>IF(ISBLANK($C6),NA(),IFERROR(SUM($C6:$C$177),NA()))</f>
        <v>1774962.4059999995</v>
      </c>
      <c r="P6">
        <f>IF(ISBLANK($D6),NA(),IFERROR(SUM($D6:$D$177),NA()))</f>
        <v>1820058.6749999996</v>
      </c>
      <c r="Q6">
        <f t="shared" si="0"/>
        <v>3595021.0809999993</v>
      </c>
      <c r="R6">
        <f t="shared" si="1"/>
        <v>36.436610425539804</v>
      </c>
      <c r="S6">
        <f t="shared" si="2"/>
        <v>49.37279548598007</v>
      </c>
      <c r="T6">
        <f>IF(ISBLANK($E6),NA(),IFERROR(SUM($E6:$E$177),NA()))</f>
        <v>1247786.5290000001</v>
      </c>
      <c r="U6">
        <f>IF(ISBLANK($F6),NA(),IFERROR(SUM($F6:$F$177),NA()))</f>
        <v>1611388.0259999998</v>
      </c>
      <c r="V6">
        <f>IF(ISBLANK($G6),NA(),IFERROR(SUM($G6:$G$177),NA()))</f>
        <v>1552315.054</v>
      </c>
      <c r="W6">
        <f t="shared" si="3"/>
        <v>3163703.08</v>
      </c>
      <c r="X6">
        <f t="shared" si="4"/>
        <v>39.440696470163061</v>
      </c>
      <c r="Y6">
        <f t="shared" si="5"/>
        <v>50.933604869139614</v>
      </c>
      <c r="Z6" t="e">
        <f>IF(ISBLANK($H6),NA(),IFERROR(SUM($H6:$H$177),NA()))</f>
        <v>#N/A</v>
      </c>
      <c r="AA6" t="e">
        <f>IF(ISBLANK($I6),NA(),IFERROR(SUM($I6:$I$177),NA()))</f>
        <v>#N/A</v>
      </c>
      <c r="AB6" t="e">
        <f>IF(ISBLANK($J6),NA(),IFERROR(SUM($J6:$J$177),NA()))</f>
        <v>#N/A</v>
      </c>
      <c r="AC6" t="str">
        <f t="shared" si="6"/>
        <v/>
      </c>
      <c r="AD6" t="e">
        <f t="shared" si="7"/>
        <v>#N/A</v>
      </c>
      <c r="AE6" t="e">
        <f t="shared" si="8"/>
        <v>#N/A</v>
      </c>
    </row>
    <row r="7" spans="1:31" x14ac:dyDescent="0.35">
      <c r="A7">
        <v>1854</v>
      </c>
      <c r="B7">
        <v>1755.03</v>
      </c>
      <c r="C7">
        <v>2574.7579999999998</v>
      </c>
      <c r="D7">
        <v>2079.2310000000002</v>
      </c>
      <c r="E7">
        <v>1933.3910000000001</v>
      </c>
      <c r="F7">
        <v>2480.7530000000002</v>
      </c>
      <c r="G7">
        <v>1516.01</v>
      </c>
      <c r="N7">
        <f>IF(ISBLANK($B7),NA(),IFERROR(SUM($B7:$B$177),NA()))</f>
        <v>1308220.6899999997</v>
      </c>
      <c r="O7">
        <f>IF(ISBLANK($C7),NA(),IFERROR(SUM($C7:$C$177),NA()))</f>
        <v>1772486.9849999994</v>
      </c>
      <c r="P7">
        <f>IF(ISBLANK($D7),NA(),IFERROR(SUM($D7:$D$177),NA()))</f>
        <v>1817972.6969999999</v>
      </c>
      <c r="Q7">
        <f t="shared" si="0"/>
        <v>3590459.6819999991</v>
      </c>
      <c r="R7">
        <f t="shared" si="1"/>
        <v>36.436022288691447</v>
      </c>
      <c r="S7">
        <f t="shared" si="2"/>
        <v>49.36657536877474</v>
      </c>
      <c r="T7">
        <f>IF(ISBLANK($E7),NA(),IFERROR(SUM($E7:$E$177),NA()))</f>
        <v>1245930.3119999999</v>
      </c>
      <c r="U7">
        <f>IF(ISBLANK($F7),NA(),IFERROR(SUM($F7:$F$177),NA()))</f>
        <v>1608988.548</v>
      </c>
      <c r="V7">
        <f>IF(ISBLANK($G7),NA(),IFERROR(SUM($G7:$G$177),NA()))</f>
        <v>1550764.06</v>
      </c>
      <c r="W7">
        <f t="shared" si="3"/>
        <v>3159752.608</v>
      </c>
      <c r="X7">
        <f t="shared" si="4"/>
        <v>39.431261448934293</v>
      </c>
      <c r="Y7">
        <f t="shared" si="5"/>
        <v>50.921345675173825</v>
      </c>
      <c r="Z7" t="e">
        <f>IF(ISBLANK($H7),NA(),IFERROR(SUM($H7:$H$177),NA()))</f>
        <v>#N/A</v>
      </c>
      <c r="AA7" t="e">
        <f>IF(ISBLANK($I7),NA(),IFERROR(SUM($I7:$I$177),NA()))</f>
        <v>#N/A</v>
      </c>
      <c r="AB7" t="e">
        <f>IF(ISBLANK($J7),NA(),IFERROR(SUM($J7:$J$177),NA()))</f>
        <v>#N/A</v>
      </c>
      <c r="AC7" t="str">
        <f t="shared" si="6"/>
        <v/>
      </c>
      <c r="AD7" t="e">
        <f t="shared" si="7"/>
        <v>#N/A</v>
      </c>
      <c r="AE7" t="e">
        <f t="shared" si="8"/>
        <v>#N/A</v>
      </c>
    </row>
    <row r="8" spans="1:31" x14ac:dyDescent="0.35">
      <c r="A8">
        <v>1855</v>
      </c>
      <c r="B8">
        <v>1775.259</v>
      </c>
      <c r="C8">
        <v>2601.3939999999998</v>
      </c>
      <c r="D8">
        <v>2118.6179999999999</v>
      </c>
      <c r="E8">
        <v>1969.3230000000001</v>
      </c>
      <c r="F8">
        <v>2521.239</v>
      </c>
      <c r="G8">
        <v>1479.527</v>
      </c>
      <c r="N8">
        <f>IF(ISBLANK($B8),NA(),IFERROR(SUM($B8:$B$177),NA()))</f>
        <v>1306465.6599999997</v>
      </c>
      <c r="O8">
        <f>IF(ISBLANK($C8),NA(),IFERROR(SUM($C8:$C$177),NA()))</f>
        <v>1769912.2269999995</v>
      </c>
      <c r="P8">
        <f>IF(ISBLANK($D8),NA(),IFERROR(SUM($D8:$D$177),NA()))</f>
        <v>1815893.4659999998</v>
      </c>
      <c r="Q8">
        <f t="shared" si="0"/>
        <v>3585805.692999999</v>
      </c>
      <c r="R8">
        <f t="shared" si="1"/>
        <v>36.434368503301947</v>
      </c>
      <c r="S8">
        <f t="shared" si="2"/>
        <v>49.358843689024177</v>
      </c>
      <c r="T8">
        <f>IF(ISBLANK($E8),NA(),IFERROR(SUM($E8:$E$177),NA()))</f>
        <v>1243996.9210000001</v>
      </c>
      <c r="U8">
        <f>IF(ISBLANK($F8),NA(),IFERROR(SUM($F8:$F$177),NA()))</f>
        <v>1606507.7949999999</v>
      </c>
      <c r="V8">
        <f>IF(ISBLANK($G8),NA(),IFERROR(SUM($G8:$G$177),NA()))</f>
        <v>1549248.0499999998</v>
      </c>
      <c r="W8">
        <f t="shared" si="3"/>
        <v>3155755.8449999997</v>
      </c>
      <c r="X8">
        <f t="shared" si="4"/>
        <v>39.41993557489554</v>
      </c>
      <c r="Y8">
        <f t="shared" si="5"/>
        <v>50.907227108375999</v>
      </c>
      <c r="Z8" t="e">
        <f>IF(ISBLANK($H8),NA(),IFERROR(SUM($H8:$H$177),NA()))</f>
        <v>#N/A</v>
      </c>
      <c r="AA8" t="e">
        <f>IF(ISBLANK($I8),NA(),IFERROR(SUM($I8:$I$177),NA()))</f>
        <v>#N/A</v>
      </c>
      <c r="AB8" t="e">
        <f>IF(ISBLANK($J8),NA(),IFERROR(SUM($J8:$J$177),NA()))</f>
        <v>#N/A</v>
      </c>
      <c r="AC8" t="str">
        <f t="shared" si="6"/>
        <v/>
      </c>
      <c r="AD8" t="e">
        <f t="shared" si="7"/>
        <v>#N/A</v>
      </c>
      <c r="AE8" t="e">
        <f t="shared" si="8"/>
        <v>#N/A</v>
      </c>
    </row>
    <row r="9" spans="1:31" x14ac:dyDescent="0.35">
      <c r="A9">
        <v>1856</v>
      </c>
      <c r="B9">
        <v>1806.8510000000001</v>
      </c>
      <c r="C9">
        <v>2640.92</v>
      </c>
      <c r="D9">
        <v>2123.6419999999998</v>
      </c>
      <c r="E9">
        <v>2018.9290000000001</v>
      </c>
      <c r="F9">
        <v>2575.0949999999998</v>
      </c>
      <c r="G9">
        <v>1474.922</v>
      </c>
      <c r="N9">
        <f>IF(ISBLANK($B9),NA(),IFERROR(SUM($B9:$B$177),NA()))</f>
        <v>1304690.4009999996</v>
      </c>
      <c r="O9">
        <f>IF(ISBLANK($C9),NA(),IFERROR(SUM($C9:$C$177),NA()))</f>
        <v>1767310.8329999994</v>
      </c>
      <c r="P9">
        <f>IF(ISBLANK($D9),NA(),IFERROR(SUM($D9:$D$177),NA()))</f>
        <v>1813774.848</v>
      </c>
      <c r="Q9">
        <f t="shared" si="0"/>
        <v>3581085.6809999994</v>
      </c>
      <c r="R9">
        <f t="shared" si="1"/>
        <v>36.432817229764566</v>
      </c>
      <c r="S9">
        <f t="shared" si="2"/>
        <v>49.35125798236939</v>
      </c>
      <c r="T9">
        <f>IF(ISBLANK($E9),NA(),IFERROR(SUM($E9:$E$177),NA()))</f>
        <v>1242027.598</v>
      </c>
      <c r="U9">
        <f>IF(ISBLANK($F9),NA(),IFERROR(SUM($F9:$F$177),NA()))</f>
        <v>1603986.5559999999</v>
      </c>
      <c r="V9">
        <f>IF(ISBLANK($G9),NA(),IFERROR(SUM($G9:$G$177),NA()))</f>
        <v>1547768.523</v>
      </c>
      <c r="W9">
        <f t="shared" si="3"/>
        <v>3151755.0789999999</v>
      </c>
      <c r="X9">
        <f t="shared" si="4"/>
        <v>39.407490965131558</v>
      </c>
      <c r="Y9">
        <f t="shared" si="5"/>
        <v>50.891852818364249</v>
      </c>
      <c r="Z9" t="e">
        <f>IF(ISBLANK($H9),NA(),IFERROR(SUM($H9:$H$177),NA()))</f>
        <v>#N/A</v>
      </c>
      <c r="AA9" t="e">
        <f>IF(ISBLANK($I9),NA(),IFERROR(SUM($I9:$I$177),NA()))</f>
        <v>#N/A</v>
      </c>
      <c r="AB9" t="e">
        <f>IF(ISBLANK($J9),NA(),IFERROR(SUM($J9:$J$177),NA()))</f>
        <v>#N/A</v>
      </c>
      <c r="AC9" t="str">
        <f t="shared" si="6"/>
        <v/>
      </c>
      <c r="AD9" t="e">
        <f t="shared" si="7"/>
        <v>#N/A</v>
      </c>
      <c r="AE9" t="e">
        <f t="shared" si="8"/>
        <v>#N/A</v>
      </c>
    </row>
    <row r="10" spans="1:31" x14ac:dyDescent="0.35">
      <c r="A10">
        <v>1857</v>
      </c>
      <c r="B10">
        <v>1832.5350000000001</v>
      </c>
      <c r="C10">
        <v>2679.4459999999999</v>
      </c>
      <c r="D10">
        <v>2143.3420000000001</v>
      </c>
      <c r="E10">
        <v>2049.8919999999998</v>
      </c>
      <c r="F10">
        <v>2610.0659999999998</v>
      </c>
      <c r="G10">
        <v>1471.3820000000001</v>
      </c>
      <c r="N10">
        <f>IF(ISBLANK($B10),NA(),IFERROR(SUM($B10:$B$177),NA()))</f>
        <v>1302883.5499999996</v>
      </c>
      <c r="O10">
        <f>IF(ISBLANK($C10),NA(),IFERROR(SUM($C10:$C$177),NA()))</f>
        <v>1764669.9129999995</v>
      </c>
      <c r="P10">
        <f>IF(ISBLANK($D10),NA(),IFERROR(SUM($D10:$D$177),NA()))</f>
        <v>1811651.2059999995</v>
      </c>
      <c r="Q10">
        <f t="shared" si="0"/>
        <v>3576321.118999999</v>
      </c>
      <c r="R10">
        <f t="shared" si="1"/>
        <v>36.430832317549502</v>
      </c>
      <c r="S10">
        <f t="shared" si="2"/>
        <v>49.343161709523208</v>
      </c>
      <c r="T10">
        <f>IF(ISBLANK($E10),NA(),IFERROR(SUM($E10:$E$177),NA()))</f>
        <v>1240008.669</v>
      </c>
      <c r="U10">
        <f>IF(ISBLANK($F10),NA(),IFERROR(SUM($F10:$F$177),NA()))</f>
        <v>1601411.4609999999</v>
      </c>
      <c r="V10">
        <f>IF(ISBLANK($G10),NA(),IFERROR(SUM($G10:$G$177),NA()))</f>
        <v>1546293.6009999998</v>
      </c>
      <c r="W10">
        <f t="shared" si="3"/>
        <v>3147705.0619999999</v>
      </c>
      <c r="X10">
        <f t="shared" si="4"/>
        <v>39.394055179112584</v>
      </c>
      <c r="Y10">
        <f t="shared" si="5"/>
        <v>50.875524531592852</v>
      </c>
      <c r="Z10" t="e">
        <f>IF(ISBLANK($H10),NA(),IFERROR(SUM($H10:$H$177),NA()))</f>
        <v>#N/A</v>
      </c>
      <c r="AA10" t="e">
        <f>IF(ISBLANK($I10),NA(),IFERROR(SUM($I10:$I$177),NA()))</f>
        <v>#N/A</v>
      </c>
      <c r="AB10" t="e">
        <f>IF(ISBLANK($J10),NA(),IFERROR(SUM($J10:$J$177),NA()))</f>
        <v>#N/A</v>
      </c>
      <c r="AC10" t="str">
        <f t="shared" si="6"/>
        <v/>
      </c>
      <c r="AD10" t="e">
        <f t="shared" si="7"/>
        <v>#N/A</v>
      </c>
      <c r="AE10" t="e">
        <f t="shared" si="8"/>
        <v>#N/A</v>
      </c>
    </row>
    <row r="11" spans="1:31" x14ac:dyDescent="0.35">
      <c r="A11">
        <v>1858</v>
      </c>
      <c r="B11">
        <v>1863.287</v>
      </c>
      <c r="C11">
        <v>2714.2539999999999</v>
      </c>
      <c r="D11">
        <v>2140.7800000000002</v>
      </c>
      <c r="E11">
        <v>2079.509</v>
      </c>
      <c r="F11">
        <v>2644.17</v>
      </c>
      <c r="G11">
        <v>1468.4659999999999</v>
      </c>
      <c r="N11">
        <f>IF(ISBLANK($B11),NA(),IFERROR(SUM($B11:$B$177),NA()))</f>
        <v>1301051.0149999997</v>
      </c>
      <c r="O11">
        <f>IF(ISBLANK($C11),NA(),IFERROR(SUM($C11:$C$177),NA()))</f>
        <v>1761990.4669999995</v>
      </c>
      <c r="P11">
        <f>IF(ISBLANK($D11),NA(),IFERROR(SUM($D11:$D$177),NA()))</f>
        <v>1809507.8639999998</v>
      </c>
      <c r="Q11">
        <f t="shared" si="0"/>
        <v>3571498.3309999993</v>
      </c>
      <c r="R11">
        <f t="shared" si="1"/>
        <v>36.428716869530575</v>
      </c>
      <c r="S11">
        <f t="shared" si="2"/>
        <v>49.33476943573573</v>
      </c>
      <c r="T11">
        <f>IF(ISBLANK($E11),NA(),IFERROR(SUM($E11:$E$177),NA()))</f>
        <v>1237958.777</v>
      </c>
      <c r="U11">
        <f>IF(ISBLANK($F11),NA(),IFERROR(SUM($F11:$F$177),NA()))</f>
        <v>1598801.395</v>
      </c>
      <c r="V11">
        <f>IF(ISBLANK($G11),NA(),IFERROR(SUM($G11:$G$177),NA()))</f>
        <v>1544822.219</v>
      </c>
      <c r="W11">
        <f t="shared" si="3"/>
        <v>3143623.6140000001</v>
      </c>
      <c r="X11">
        <f t="shared" si="4"/>
        <v>39.379993568148578</v>
      </c>
      <c r="Y11">
        <f t="shared" si="5"/>
        <v>50.858550237369485</v>
      </c>
      <c r="Z11" t="e">
        <f>IF(ISBLANK($H11),NA(),IFERROR(SUM($H11:$H$177),NA()))</f>
        <v>#N/A</v>
      </c>
      <c r="AA11" t="e">
        <f>IF(ISBLANK($I11),NA(),IFERROR(SUM($I11:$I$177),NA()))</f>
        <v>#N/A</v>
      </c>
      <c r="AB11" t="e">
        <f>IF(ISBLANK($J11),NA(),IFERROR(SUM($J11:$J$177),NA()))</f>
        <v>#N/A</v>
      </c>
      <c r="AC11" t="str">
        <f t="shared" si="6"/>
        <v/>
      </c>
      <c r="AD11" t="e">
        <f t="shared" si="7"/>
        <v>#N/A</v>
      </c>
      <c r="AE11" t="e">
        <f t="shared" si="8"/>
        <v>#N/A</v>
      </c>
    </row>
    <row r="12" spans="1:31" x14ac:dyDescent="0.35">
      <c r="A12">
        <v>1859</v>
      </c>
      <c r="B12">
        <v>1914.287</v>
      </c>
      <c r="C12">
        <v>2773.4630000000002</v>
      </c>
      <c r="D12">
        <v>2152.288</v>
      </c>
      <c r="E12">
        <v>2125.9180000000001</v>
      </c>
      <c r="F12">
        <v>2693.616</v>
      </c>
      <c r="G12">
        <v>1466.165</v>
      </c>
      <c r="N12">
        <f>IF(ISBLANK($B12),NA(),IFERROR(SUM($B12:$B$177),NA()))</f>
        <v>1299187.7279999999</v>
      </c>
      <c r="O12">
        <f>IF(ISBLANK($C12),NA(),IFERROR(SUM($C12:$C$177),NA()))</f>
        <v>1759276.2129999995</v>
      </c>
      <c r="P12">
        <f>IF(ISBLANK($D12),NA(),IFERROR(SUM($D12:$D$177),NA()))</f>
        <v>1807367.084</v>
      </c>
      <c r="Q12">
        <f t="shared" si="0"/>
        <v>3566643.2969999993</v>
      </c>
      <c r="R12">
        <f t="shared" si="1"/>
        <v>36.426062821947511</v>
      </c>
      <c r="S12">
        <f t="shared" si="2"/>
        <v>49.325824493853219</v>
      </c>
      <c r="T12">
        <f>IF(ISBLANK($E12),NA(),IFERROR(SUM($E12:$E$177),NA()))</f>
        <v>1235879.2680000002</v>
      </c>
      <c r="U12">
        <f>IF(ISBLANK($F12),NA(),IFERROR(SUM($F12:$F$177),NA()))</f>
        <v>1596157.2249999999</v>
      </c>
      <c r="V12">
        <f>IF(ISBLANK($G12),NA(),IFERROR(SUM($G12:$G$177),NA()))</f>
        <v>1543353.753</v>
      </c>
      <c r="W12">
        <f t="shared" si="3"/>
        <v>3139510.9780000001</v>
      </c>
      <c r="X12">
        <f t="shared" si="4"/>
        <v>39.365343095162771</v>
      </c>
      <c r="Y12">
        <f t="shared" si="5"/>
        <v>50.840950587050301</v>
      </c>
      <c r="Z12" t="e">
        <f>IF(ISBLANK($H12),NA(),IFERROR(SUM($H12:$H$177),NA()))</f>
        <v>#N/A</v>
      </c>
      <c r="AA12" t="e">
        <f>IF(ISBLANK($I12),NA(),IFERROR(SUM($I12:$I$177),NA()))</f>
        <v>#N/A</v>
      </c>
      <c r="AB12" t="e">
        <f>IF(ISBLANK($J12),NA(),IFERROR(SUM($J12:$J$177),NA()))</f>
        <v>#N/A</v>
      </c>
      <c r="AC12" t="str">
        <f t="shared" si="6"/>
        <v/>
      </c>
      <c r="AD12" t="e">
        <f t="shared" si="7"/>
        <v>#N/A</v>
      </c>
      <c r="AE12" t="e">
        <f t="shared" si="8"/>
        <v>#N/A</v>
      </c>
    </row>
    <row r="13" spans="1:31" x14ac:dyDescent="0.35">
      <c r="A13">
        <v>1860</v>
      </c>
      <c r="B13">
        <v>1891.3869999999999</v>
      </c>
      <c r="C13">
        <v>2720.11</v>
      </c>
      <c r="D13">
        <v>1986.999</v>
      </c>
      <c r="E13">
        <v>2184.9270000000001</v>
      </c>
      <c r="F13">
        <v>2756.895</v>
      </c>
      <c r="G13">
        <v>1462.8330000000001</v>
      </c>
      <c r="N13">
        <f>IF(ISBLANK($B13),NA(),IFERROR(SUM($B13:$B$177),NA()))</f>
        <v>1297273.4409999999</v>
      </c>
      <c r="O13">
        <f>IF(ISBLANK($C13),NA(),IFERROR(SUM($C13:$C$177),NA()))</f>
        <v>1756502.7499999995</v>
      </c>
      <c r="P13">
        <f>IF(ISBLANK($D13),NA(),IFERROR(SUM($D13:$D$177),NA()))</f>
        <v>1805214.7959999999</v>
      </c>
      <c r="Q13">
        <f t="shared" si="0"/>
        <v>3561717.5459999992</v>
      </c>
      <c r="R13">
        <f t="shared" si="1"/>
        <v>36.42269282293055</v>
      </c>
      <c r="S13">
        <f t="shared" si="2"/>
        <v>49.316171968005904</v>
      </c>
      <c r="T13">
        <f>IF(ISBLANK($E13),NA(),IFERROR(SUM($E13:$E$177),NA()))</f>
        <v>1233753.3500000001</v>
      </c>
      <c r="U13">
        <f>IF(ISBLANK($F13),NA(),IFERROR(SUM($F13:$F$177),NA()))</f>
        <v>1593463.6089999999</v>
      </c>
      <c r="V13">
        <f>IF(ISBLANK($G13),NA(),IFERROR(SUM($G13:$G$177),NA()))</f>
        <v>1541887.588</v>
      </c>
      <c r="W13">
        <f t="shared" si="3"/>
        <v>3135351.1969999997</v>
      </c>
      <c r="X13">
        <f t="shared" si="4"/>
        <v>39.349765703455908</v>
      </c>
      <c r="Y13">
        <f t="shared" si="5"/>
        <v>50.822491927688198</v>
      </c>
      <c r="Z13" t="e">
        <f>IF(ISBLANK($H13),NA(),IFERROR(SUM($H13:$H$177),NA()))</f>
        <v>#N/A</v>
      </c>
      <c r="AA13" t="e">
        <f>IF(ISBLANK($I13),NA(),IFERROR(SUM($I13:$I$177),NA()))</f>
        <v>#N/A</v>
      </c>
      <c r="AB13" t="e">
        <f>IF(ISBLANK($J13),NA(),IFERROR(SUM($J13:$J$177),NA()))</f>
        <v>#N/A</v>
      </c>
      <c r="AC13" t="str">
        <f t="shared" si="6"/>
        <v/>
      </c>
      <c r="AD13" t="e">
        <f t="shared" si="7"/>
        <v>#N/A</v>
      </c>
      <c r="AE13" t="e">
        <f t="shared" si="8"/>
        <v>#N/A</v>
      </c>
    </row>
    <row r="14" spans="1:31" x14ac:dyDescent="0.35">
      <c r="A14">
        <v>1861</v>
      </c>
      <c r="B14">
        <v>1845.7850000000001</v>
      </c>
      <c r="C14">
        <v>2678.7750000000001</v>
      </c>
      <c r="D14">
        <v>1924.65</v>
      </c>
      <c r="E14">
        <v>2225.877</v>
      </c>
      <c r="F14">
        <v>2814.9540000000002</v>
      </c>
      <c r="G14">
        <v>1471.184</v>
      </c>
      <c r="N14">
        <f>IF(ISBLANK($B14),NA(),IFERROR(SUM($B14:$B$177),NA()))</f>
        <v>1295382.0539999998</v>
      </c>
      <c r="O14">
        <f>IF(ISBLANK($C14),NA(),IFERROR(SUM($C14:$C$177),NA()))</f>
        <v>1753782.6399999997</v>
      </c>
      <c r="P14">
        <f>IF(ISBLANK($D14),NA(),IFERROR(SUM($D14:$D$177),NA()))</f>
        <v>1803227.797</v>
      </c>
      <c r="Q14">
        <f t="shared" si="0"/>
        <v>3557010.4369999999</v>
      </c>
      <c r="R14">
        <f t="shared" si="1"/>
        <v>36.417718669741419</v>
      </c>
      <c r="S14">
        <f t="shared" si="2"/>
        <v>49.304961879143335</v>
      </c>
      <c r="T14">
        <f>IF(ISBLANK($E14),NA(),IFERROR(SUM($E14:$E$177),NA()))</f>
        <v>1231568.4230000002</v>
      </c>
      <c r="U14">
        <f>IF(ISBLANK($F14),NA(),IFERROR(SUM($F14:$F$177),NA()))</f>
        <v>1590706.7139999999</v>
      </c>
      <c r="V14">
        <f>IF(ISBLANK($G14),NA(),IFERROR(SUM($G14:$G$177),NA()))</f>
        <v>1540424.7549999999</v>
      </c>
      <c r="W14">
        <f t="shared" si="3"/>
        <v>3131131.4689999996</v>
      </c>
      <c r="X14">
        <f t="shared" si="4"/>
        <v>39.333015403320978</v>
      </c>
      <c r="Y14">
        <f t="shared" si="5"/>
        <v>50.802935927440615</v>
      </c>
      <c r="Z14" t="e">
        <f>IF(ISBLANK($H14),NA(),IFERROR(SUM($H14:$H$177),NA()))</f>
        <v>#N/A</v>
      </c>
      <c r="AA14" t="e">
        <f>IF(ISBLANK($I14),NA(),IFERROR(SUM($I14:$I$177),NA()))</f>
        <v>#N/A</v>
      </c>
      <c r="AB14" t="e">
        <f>IF(ISBLANK($J14),NA(),IFERROR(SUM($J14:$J$177),NA()))</f>
        <v>#N/A</v>
      </c>
      <c r="AC14" t="str">
        <f t="shared" si="6"/>
        <v/>
      </c>
      <c r="AD14" t="e">
        <f t="shared" si="7"/>
        <v>#N/A</v>
      </c>
      <c r="AE14" t="e">
        <f t="shared" si="8"/>
        <v>#N/A</v>
      </c>
    </row>
    <row r="15" spans="1:31" x14ac:dyDescent="0.35">
      <c r="A15">
        <v>1862</v>
      </c>
      <c r="B15">
        <v>1854.298</v>
      </c>
      <c r="C15">
        <v>2681.5949999999998</v>
      </c>
      <c r="D15">
        <v>1861.347</v>
      </c>
      <c r="E15">
        <v>2046.1310000000001</v>
      </c>
      <c r="F15">
        <v>2612.7190000000001</v>
      </c>
      <c r="G15">
        <v>1472.5350000000001</v>
      </c>
      <c r="N15">
        <f>IF(ISBLANK($B15),NA(),IFERROR(SUM($B15:$B$177),NA()))</f>
        <v>1293536.2689999999</v>
      </c>
      <c r="O15">
        <f>IF(ISBLANK($C15),NA(),IFERROR(SUM($C15:$C$177),NA()))</f>
        <v>1751103.8649999995</v>
      </c>
      <c r="P15">
        <f>IF(ISBLANK($D15),NA(),IFERROR(SUM($D15:$D$177),NA()))</f>
        <v>1801303.1469999996</v>
      </c>
      <c r="Q15">
        <f t="shared" si="0"/>
        <v>3552407.0119999992</v>
      </c>
      <c r="R15">
        <f t="shared" si="1"/>
        <v>36.412952249853291</v>
      </c>
      <c r="S15">
        <f t="shared" si="2"/>
        <v>49.293446924431414</v>
      </c>
      <c r="T15">
        <f>IF(ISBLANK($E15),NA(),IFERROR(SUM($E15:$E$177),NA()))</f>
        <v>1229342.5460000003</v>
      </c>
      <c r="U15">
        <f>IF(ISBLANK($F15),NA(),IFERROR(SUM($F15:$F$177),NA()))</f>
        <v>1587891.76</v>
      </c>
      <c r="V15">
        <f>IF(ISBLANK($G15),NA(),IFERROR(SUM($G15:$G$177),NA()))</f>
        <v>1538953.571</v>
      </c>
      <c r="W15">
        <f t="shared" si="3"/>
        <v>3126845.3310000002</v>
      </c>
      <c r="X15">
        <f t="shared" si="4"/>
        <v>39.315745291656071</v>
      </c>
      <c r="Y15">
        <f t="shared" si="5"/>
        <v>50.782548924227555</v>
      </c>
      <c r="Z15" t="e">
        <f>IF(ISBLANK($H15),NA(),IFERROR(SUM($H15:$H$177),NA()))</f>
        <v>#N/A</v>
      </c>
      <c r="AA15" t="e">
        <f>IF(ISBLANK($I15),NA(),IFERROR(SUM($I15:$I$177),NA()))</f>
        <v>#N/A</v>
      </c>
      <c r="AB15" t="e">
        <f>IF(ISBLANK($J15),NA(),IFERROR(SUM($J15:$J$177),NA()))</f>
        <v>#N/A</v>
      </c>
      <c r="AC15" t="str">
        <f t="shared" si="6"/>
        <v/>
      </c>
      <c r="AD15" t="e">
        <f t="shared" si="7"/>
        <v>#N/A</v>
      </c>
      <c r="AE15" t="e">
        <f t="shared" si="8"/>
        <v>#N/A</v>
      </c>
    </row>
    <row r="16" spans="1:31" x14ac:dyDescent="0.35">
      <c r="A16">
        <v>1863</v>
      </c>
      <c r="B16">
        <v>1884.8119999999999</v>
      </c>
      <c r="C16">
        <v>2701.8389999999999</v>
      </c>
      <c r="D16">
        <v>1846.817</v>
      </c>
      <c r="E16">
        <v>2073.5830000000001</v>
      </c>
      <c r="F16">
        <v>2646.7109999999998</v>
      </c>
      <c r="G16">
        <v>1474.8969999999999</v>
      </c>
      <c r="N16">
        <f>IF(ISBLANK($B16),NA(),IFERROR(SUM($B16:$B$177),NA()))</f>
        <v>1291681.9709999999</v>
      </c>
      <c r="O16">
        <f>IF(ISBLANK($C16),NA(),IFERROR(SUM($C16:$C$177),NA()))</f>
        <v>1748422.2699999996</v>
      </c>
      <c r="P16">
        <f>IF(ISBLANK($D16),NA(),IFERROR(SUM($D16:$D$177),NA()))</f>
        <v>1799441.7999999996</v>
      </c>
      <c r="Q16">
        <f t="shared" si="0"/>
        <v>3547864.0699999994</v>
      </c>
      <c r="R16">
        <f t="shared" si="1"/>
        <v>36.407312837100889</v>
      </c>
      <c r="S16">
        <f t="shared" si="2"/>
        <v>49.280982458834728</v>
      </c>
      <c r="T16">
        <f>IF(ISBLANK($E16),NA(),IFERROR(SUM($E16:$E$177),NA()))</f>
        <v>1227296.4150000003</v>
      </c>
      <c r="U16">
        <f>IF(ISBLANK($F16),NA(),IFERROR(SUM($F16:$F$177),NA()))</f>
        <v>1585279.041</v>
      </c>
      <c r="V16">
        <f>IF(ISBLANK($G16),NA(),IFERROR(SUM($G16:$G$177),NA()))</f>
        <v>1537481.0359999998</v>
      </c>
      <c r="W16">
        <f t="shared" si="3"/>
        <v>3122760.0769999996</v>
      </c>
      <c r="X16">
        <f t="shared" si="4"/>
        <v>39.30165573844053</v>
      </c>
      <c r="Y16">
        <f t="shared" si="5"/>
        <v>50.765316640110235</v>
      </c>
      <c r="Z16" t="e">
        <f>IF(ISBLANK($H16),NA(),IFERROR(SUM($H16:$H$177),NA()))</f>
        <v>#N/A</v>
      </c>
      <c r="AA16" t="e">
        <f>IF(ISBLANK($I16),NA(),IFERROR(SUM($I16:$I$177),NA()))</f>
        <v>#N/A</v>
      </c>
      <c r="AB16" t="e">
        <f>IF(ISBLANK($J16),NA(),IFERROR(SUM($J16:$J$177),NA()))</f>
        <v>#N/A</v>
      </c>
      <c r="AC16" t="str">
        <f t="shared" si="6"/>
        <v/>
      </c>
      <c r="AD16" t="e">
        <f t="shared" si="7"/>
        <v>#N/A</v>
      </c>
      <c r="AE16" t="e">
        <f t="shared" si="8"/>
        <v>#N/A</v>
      </c>
    </row>
    <row r="17" spans="1:31" x14ac:dyDescent="0.35">
      <c r="A17">
        <v>1864</v>
      </c>
      <c r="B17">
        <v>1901.0609999999999</v>
      </c>
      <c r="C17">
        <v>2759.3119999999999</v>
      </c>
      <c r="D17">
        <v>1854.0840000000001</v>
      </c>
      <c r="E17">
        <v>2108.384</v>
      </c>
      <c r="F17">
        <v>2686.87</v>
      </c>
      <c r="G17">
        <v>1478.1</v>
      </c>
      <c r="N17">
        <f>IF(ISBLANK($B17),NA(),IFERROR(SUM($B17:$B$177),NA()))</f>
        <v>1289797.159</v>
      </c>
      <c r="O17">
        <f>IF(ISBLANK($C17),NA(),IFERROR(SUM($C17:$C$177),NA()))</f>
        <v>1745720.4309999996</v>
      </c>
      <c r="P17">
        <f>IF(ISBLANK($D17),NA(),IFERROR(SUM($D17:$D$177),NA()))</f>
        <v>1797594.9829999998</v>
      </c>
      <c r="Q17">
        <f t="shared" si="0"/>
        <v>3543315.4139999994</v>
      </c>
      <c r="R17">
        <f t="shared" si="1"/>
        <v>36.400856494566654</v>
      </c>
      <c r="S17">
        <f t="shared" si="2"/>
        <v>49.267994153229502</v>
      </c>
      <c r="T17">
        <f>IF(ISBLANK($E17),NA(),IFERROR(SUM($E17:$E$177),NA()))</f>
        <v>1225222.8320000002</v>
      </c>
      <c r="U17">
        <f>IF(ISBLANK($F17),NA(),IFERROR(SUM($F17:$F$177),NA()))</f>
        <v>1582632.3299999998</v>
      </c>
      <c r="V17">
        <f>IF(ISBLANK($G17),NA(),IFERROR(SUM($G17:$G$177),NA()))</f>
        <v>1536006.139</v>
      </c>
      <c r="W17">
        <f t="shared" si="3"/>
        <v>3118638.4689999996</v>
      </c>
      <c r="X17">
        <f t="shared" si="4"/>
        <v>39.287106991688951</v>
      </c>
      <c r="Y17">
        <f t="shared" si="5"/>
        <v>50.747540817306579</v>
      </c>
      <c r="Z17" t="e">
        <f>IF(ISBLANK($H17),NA(),IFERROR(SUM($H17:$H$177),NA()))</f>
        <v>#N/A</v>
      </c>
      <c r="AA17" t="e">
        <f>IF(ISBLANK($I17),NA(),IFERROR(SUM($I17:$I$177),NA()))</f>
        <v>#N/A</v>
      </c>
      <c r="AB17" t="e">
        <f>IF(ISBLANK($J17),NA(),IFERROR(SUM($J17:$J$177),NA()))</f>
        <v>#N/A</v>
      </c>
      <c r="AC17" t="str">
        <f t="shared" si="6"/>
        <v/>
      </c>
      <c r="AD17" t="e">
        <f t="shared" si="7"/>
        <v>#N/A</v>
      </c>
      <c r="AE17" t="e">
        <f t="shared" si="8"/>
        <v>#N/A</v>
      </c>
    </row>
    <row r="18" spans="1:31" x14ac:dyDescent="0.35">
      <c r="A18">
        <v>1865</v>
      </c>
      <c r="B18">
        <v>1907.232</v>
      </c>
      <c r="C18">
        <v>2749.6390000000001</v>
      </c>
      <c r="D18">
        <v>1820.9929999999999</v>
      </c>
      <c r="E18">
        <v>2138.5500000000002</v>
      </c>
      <c r="F18">
        <v>2722.4720000000002</v>
      </c>
      <c r="G18">
        <v>1482.0150000000001</v>
      </c>
      <c r="N18">
        <f>IF(ISBLANK($B18),NA(),IFERROR(SUM($B18:$B$177),NA()))</f>
        <v>1287896.0979999998</v>
      </c>
      <c r="O18">
        <f>IF(ISBLANK($C18),NA(),IFERROR(SUM($C18:$C$177),NA()))</f>
        <v>1742961.1189999995</v>
      </c>
      <c r="P18">
        <f>IF(ISBLANK($D18),NA(),IFERROR(SUM($D18:$D$177),NA()))</f>
        <v>1795740.899</v>
      </c>
      <c r="Q18">
        <f t="shared" si="0"/>
        <v>3538702.0179999992</v>
      </c>
      <c r="R18">
        <f t="shared" si="1"/>
        <v>36.394590204232337</v>
      </c>
      <c r="S18">
        <f t="shared" si="2"/>
        <v>49.254249443277082</v>
      </c>
      <c r="T18">
        <f>IF(ISBLANK($E18),NA(),IFERROR(SUM($E18:$E$177),NA()))</f>
        <v>1223114.4480000001</v>
      </c>
      <c r="U18">
        <f>IF(ISBLANK($F18),NA(),IFERROR(SUM($F18:$F$177),NA()))</f>
        <v>1579945.46</v>
      </c>
      <c r="V18">
        <f>IF(ISBLANK($G18),NA(),IFERROR(SUM($G18:$G$177),NA()))</f>
        <v>1534528.0390000003</v>
      </c>
      <c r="W18">
        <f t="shared" si="3"/>
        <v>3114473.4990000003</v>
      </c>
      <c r="X18">
        <f t="shared" si="4"/>
        <v>39.271949123751398</v>
      </c>
      <c r="Y18">
        <f t="shared" si="5"/>
        <v>50.729134812265741</v>
      </c>
      <c r="Z18" t="e">
        <f>IF(ISBLANK($H18),NA(),IFERROR(SUM($H18:$H$177),NA()))</f>
        <v>#N/A</v>
      </c>
      <c r="AA18" t="e">
        <f>IF(ISBLANK($I18),NA(),IFERROR(SUM($I18:$I$177),NA()))</f>
        <v>#N/A</v>
      </c>
      <c r="AB18" t="e">
        <f>IF(ISBLANK($J18),NA(),IFERROR(SUM($J18:$J$177),NA()))</f>
        <v>#N/A</v>
      </c>
      <c r="AC18" t="str">
        <f t="shared" si="6"/>
        <v/>
      </c>
      <c r="AD18" t="e">
        <f t="shared" si="7"/>
        <v>#N/A</v>
      </c>
      <c r="AE18" t="e">
        <f t="shared" si="8"/>
        <v>#N/A</v>
      </c>
    </row>
    <row r="19" spans="1:31" x14ac:dyDescent="0.35">
      <c r="A19">
        <v>1866</v>
      </c>
      <c r="B19">
        <v>1913.98</v>
      </c>
      <c r="C19">
        <v>2797.152</v>
      </c>
      <c r="D19">
        <v>1811.1690000000001</v>
      </c>
      <c r="E19">
        <v>2157.08</v>
      </c>
      <c r="F19">
        <v>2746.192</v>
      </c>
      <c r="G19">
        <v>1483.317</v>
      </c>
      <c r="N19">
        <f>IF(ISBLANK($B19),NA(),IFERROR(SUM($B19:$B$177),NA()))</f>
        <v>1285988.8659999999</v>
      </c>
      <c r="O19">
        <f>IF(ISBLANK($C19),NA(),IFERROR(SUM($C19:$C$177),NA()))</f>
        <v>1740211.4799999997</v>
      </c>
      <c r="P19">
        <f>IF(ISBLANK($D19),NA(),IFERROR(SUM($D19:$D$177),NA()))</f>
        <v>1793919.9059999997</v>
      </c>
      <c r="Q19">
        <f t="shared" si="0"/>
        <v>3534131.3859999995</v>
      </c>
      <c r="R19">
        <f t="shared" si="1"/>
        <v>36.387692633450953</v>
      </c>
      <c r="S19">
        <f t="shared" si="2"/>
        <v>49.240146727244507</v>
      </c>
      <c r="T19">
        <f>IF(ISBLANK($E19),NA(),IFERROR(SUM($E19:$E$177),NA()))</f>
        <v>1220975.8980000003</v>
      </c>
      <c r="U19">
        <f>IF(ISBLANK($F19),NA(),IFERROR(SUM($F19:$F$177),NA()))</f>
        <v>1577222.9879999999</v>
      </c>
      <c r="V19">
        <f>IF(ISBLANK($G19),NA(),IFERROR(SUM($G19:$G$177),NA()))</f>
        <v>1533046.0240000002</v>
      </c>
      <c r="W19">
        <f t="shared" si="3"/>
        <v>3110269.0120000001</v>
      </c>
      <c r="X19">
        <f t="shared" si="4"/>
        <v>39.2562795465359</v>
      </c>
      <c r="Y19">
        <f t="shared" si="5"/>
        <v>50.710179148966802</v>
      </c>
      <c r="Z19" t="e">
        <f>IF(ISBLANK($H19),NA(),IFERROR(SUM($H19:$H$177),NA()))</f>
        <v>#N/A</v>
      </c>
      <c r="AA19" t="e">
        <f>IF(ISBLANK($I19),NA(),IFERROR(SUM($I19:$I$177),NA()))</f>
        <v>#N/A</v>
      </c>
      <c r="AB19" t="e">
        <f>IF(ISBLANK($J19),NA(),IFERROR(SUM($J19:$J$177),NA()))</f>
        <v>#N/A</v>
      </c>
      <c r="AC19" t="str">
        <f t="shared" si="6"/>
        <v/>
      </c>
      <c r="AD19" t="e">
        <f t="shared" si="7"/>
        <v>#N/A</v>
      </c>
      <c r="AE19" t="e">
        <f t="shared" si="8"/>
        <v>#N/A</v>
      </c>
    </row>
    <row r="20" spans="1:31" x14ac:dyDescent="0.35">
      <c r="A20">
        <v>1867</v>
      </c>
      <c r="B20">
        <v>1963.202</v>
      </c>
      <c r="C20">
        <v>2801.723</v>
      </c>
      <c r="D20">
        <v>1800.8050000000001</v>
      </c>
      <c r="E20">
        <v>2187.6</v>
      </c>
      <c r="F20">
        <v>2781.8989999999999</v>
      </c>
      <c r="G20">
        <v>1484.4690000000001</v>
      </c>
      <c r="N20">
        <f>IF(ISBLANK($B20),NA(),IFERROR(SUM($B20:$B$177),NA()))</f>
        <v>1284074.8859999999</v>
      </c>
      <c r="O20">
        <f>IF(ISBLANK($C20),NA(),IFERROR(SUM($C20:$C$177),NA()))</f>
        <v>1737414.3279999997</v>
      </c>
      <c r="P20">
        <f>IF(ISBLANK($D20),NA(),IFERROR(SUM($D20:$D$177),NA()))</f>
        <v>1792108.737</v>
      </c>
      <c r="Q20">
        <f t="shared" si="0"/>
        <v>3529523.0649999995</v>
      </c>
      <c r="R20">
        <f t="shared" si="1"/>
        <v>36.380974492937625</v>
      </c>
      <c r="S20">
        <f t="shared" si="2"/>
        <v>49.225186972960046</v>
      </c>
      <c r="T20">
        <f>IF(ISBLANK($E20),NA(),IFERROR(SUM($E20:$E$177),NA()))</f>
        <v>1218818.8180000002</v>
      </c>
      <c r="U20">
        <f>IF(ISBLANK($F20),NA(),IFERROR(SUM($F20:$F$177),NA()))</f>
        <v>1574476.7959999999</v>
      </c>
      <c r="V20">
        <f>IF(ISBLANK($G20),NA(),IFERROR(SUM($G20:$G$177),NA()))</f>
        <v>1531562.7069999999</v>
      </c>
      <c r="W20">
        <f t="shared" si="3"/>
        <v>3106039.5029999996</v>
      </c>
      <c r="X20">
        <f t="shared" si="4"/>
        <v>39.24028708658701</v>
      </c>
      <c r="Y20">
        <f t="shared" si="5"/>
        <v>50.690816857907819</v>
      </c>
      <c r="Z20" t="e">
        <f>IF(ISBLANK($H20),NA(),IFERROR(SUM($H20:$H$177),NA()))</f>
        <v>#N/A</v>
      </c>
      <c r="AA20" t="e">
        <f>IF(ISBLANK($I20),NA(),IFERROR(SUM($I20:$I$177),NA()))</f>
        <v>#N/A</v>
      </c>
      <c r="AB20" t="e">
        <f>IF(ISBLANK($J20),NA(),IFERROR(SUM($J20:$J$177),NA()))</f>
        <v>#N/A</v>
      </c>
      <c r="AC20" t="str">
        <f t="shared" si="6"/>
        <v/>
      </c>
      <c r="AD20" t="e">
        <f t="shared" si="7"/>
        <v>#N/A</v>
      </c>
      <c r="AE20" t="e">
        <f t="shared" si="8"/>
        <v>#N/A</v>
      </c>
    </row>
    <row r="21" spans="1:31" x14ac:dyDescent="0.35">
      <c r="A21">
        <v>1868</v>
      </c>
      <c r="B21">
        <v>1967.298</v>
      </c>
      <c r="C21">
        <v>2824.998</v>
      </c>
      <c r="D21">
        <v>1786.752</v>
      </c>
      <c r="E21">
        <v>2198.3870000000002</v>
      </c>
      <c r="F21">
        <v>2797.36</v>
      </c>
      <c r="G21">
        <v>1485.1410000000001</v>
      </c>
      <c r="N21">
        <f>IF(ISBLANK($B21),NA(),IFERROR(SUM($B21:$B$177),NA()))</f>
        <v>1282111.6839999999</v>
      </c>
      <c r="O21">
        <f>IF(ISBLANK($C21),NA(),IFERROR(SUM($C21:$C$177),NA()))</f>
        <v>1734612.6049999997</v>
      </c>
      <c r="P21">
        <f>IF(ISBLANK($D21),NA(),IFERROR(SUM($D21:$D$177),NA()))</f>
        <v>1790307.9319999998</v>
      </c>
      <c r="Q21">
        <f t="shared" si="0"/>
        <v>3524920.5369999995</v>
      </c>
      <c r="R21">
        <f t="shared" si="1"/>
        <v>36.372782607212571</v>
      </c>
      <c r="S21">
        <f t="shared" si="2"/>
        <v>49.209977552467024</v>
      </c>
      <c r="T21">
        <f>IF(ISBLANK($E21),NA(),IFERROR(SUM($E21:$E$177),NA()))</f>
        <v>1216631.2180000003</v>
      </c>
      <c r="U21">
        <f>IF(ISBLANK($F21),NA(),IFERROR(SUM($F21:$F$177),NA()))</f>
        <v>1571694.8969999999</v>
      </c>
      <c r="V21">
        <f>IF(ISBLANK($G21),NA(),IFERROR(SUM($G21:$G$177),NA()))</f>
        <v>1530078.2380000004</v>
      </c>
      <c r="W21">
        <f t="shared" si="3"/>
        <v>3101773.1350000002</v>
      </c>
      <c r="X21">
        <f t="shared" si="4"/>
        <v>39.223733169640731</v>
      </c>
      <c r="Y21">
        <f t="shared" si="5"/>
        <v>50.670852721793267</v>
      </c>
      <c r="Z21" t="e">
        <f>IF(ISBLANK($H21),NA(),IFERROR(SUM($H21:$H$177),NA()))</f>
        <v>#N/A</v>
      </c>
      <c r="AA21" t="e">
        <f>IF(ISBLANK($I21),NA(),IFERROR(SUM($I21:$I$177),NA()))</f>
        <v>#N/A</v>
      </c>
      <c r="AB21" t="e">
        <f>IF(ISBLANK($J21),NA(),IFERROR(SUM($J21:$J$177),NA()))</f>
        <v>#N/A</v>
      </c>
      <c r="AC21" t="str">
        <f t="shared" si="6"/>
        <v/>
      </c>
      <c r="AD21" t="e">
        <f t="shared" si="7"/>
        <v>#N/A</v>
      </c>
      <c r="AE21" t="e">
        <f t="shared" si="8"/>
        <v>#N/A</v>
      </c>
    </row>
    <row r="22" spans="1:31" x14ac:dyDescent="0.35">
      <c r="A22">
        <v>1869</v>
      </c>
      <c r="B22">
        <v>1982.739</v>
      </c>
      <c r="C22">
        <v>2850.4029999999998</v>
      </c>
      <c r="D22">
        <v>1794.9670000000001</v>
      </c>
      <c r="E22">
        <v>2229.0680000000002</v>
      </c>
      <c r="F22">
        <v>2832.9740000000002</v>
      </c>
      <c r="G22">
        <v>1485.3430000000001</v>
      </c>
      <c r="N22">
        <f>IF(ISBLANK($B22),NA(),IFERROR(SUM($B22:$B$177),NA()))</f>
        <v>1280144.3859999999</v>
      </c>
      <c r="O22">
        <f>IF(ISBLANK($C22),NA(),IFERROR(SUM($C22:$C$177),NA()))</f>
        <v>1731787.6069999998</v>
      </c>
      <c r="P22">
        <f>IF(ISBLANK($D22),NA(),IFERROR(SUM($D22:$D$177),NA()))</f>
        <v>1788521.18</v>
      </c>
      <c r="Q22">
        <f t="shared" si="0"/>
        <v>3520308.7869999995</v>
      </c>
      <c r="R22">
        <f t="shared" si="1"/>
        <v>36.364548210298807</v>
      </c>
      <c r="S22">
        <f t="shared" si="2"/>
        <v>49.194196071527749</v>
      </c>
      <c r="T22">
        <f>IF(ISBLANK($E22),NA(),IFERROR(SUM($E22:$E$177),NA()))</f>
        <v>1214432.8310000002</v>
      </c>
      <c r="U22">
        <f>IF(ISBLANK($F22),NA(),IFERROR(SUM($F22:$F$177),NA()))</f>
        <v>1568897.537</v>
      </c>
      <c r="V22">
        <f>IF(ISBLANK($G22),NA(),IFERROR(SUM($G22:$G$177),NA()))</f>
        <v>1528593.0970000001</v>
      </c>
      <c r="W22">
        <f t="shared" si="3"/>
        <v>3097490.6340000001</v>
      </c>
      <c r="X22">
        <f t="shared" si="4"/>
        <v>39.206989608608453</v>
      </c>
      <c r="Y22">
        <f t="shared" si="5"/>
        <v>50.650598254561174</v>
      </c>
      <c r="Z22" t="e">
        <f>IF(ISBLANK($H22),NA(),IFERROR(SUM($H22:$H$177),NA()))</f>
        <v>#N/A</v>
      </c>
      <c r="AA22" t="e">
        <f>IF(ISBLANK($I22),NA(),IFERROR(SUM($I22:$I$177),NA()))</f>
        <v>#N/A</v>
      </c>
      <c r="AB22" t="e">
        <f>IF(ISBLANK($J22),NA(),IFERROR(SUM($J22:$J$177),NA()))</f>
        <v>#N/A</v>
      </c>
      <c r="AC22" t="str">
        <f t="shared" si="6"/>
        <v/>
      </c>
      <c r="AD22" t="e">
        <f t="shared" si="7"/>
        <v>#N/A</v>
      </c>
      <c r="AE22" t="e">
        <f t="shared" si="8"/>
        <v>#N/A</v>
      </c>
    </row>
    <row r="23" spans="1:31" x14ac:dyDescent="0.35">
      <c r="A23">
        <v>1870</v>
      </c>
      <c r="B23">
        <v>2234.2869999999998</v>
      </c>
      <c r="C23">
        <v>3172.57</v>
      </c>
      <c r="D23">
        <v>1847.261</v>
      </c>
      <c r="E23">
        <v>2237.549</v>
      </c>
      <c r="F23">
        <v>2846.1370000000002</v>
      </c>
      <c r="G23">
        <v>1488.076</v>
      </c>
      <c r="N23">
        <f>IF(ISBLANK($B23),NA(),IFERROR(SUM($B23:$B$177),NA()))</f>
        <v>1278161.6469999999</v>
      </c>
      <c r="O23">
        <f>IF(ISBLANK($C23),NA(),IFERROR(SUM($C23:$C$177),NA()))</f>
        <v>1728937.2039999997</v>
      </c>
      <c r="P23">
        <f>IF(ISBLANK($D23),NA(),IFERROR(SUM($D23:$D$177),NA()))</f>
        <v>1786726.2129999998</v>
      </c>
      <c r="Q23">
        <f t="shared" si="0"/>
        <v>3515663.4169999994</v>
      </c>
      <c r="R23">
        <f t="shared" si="1"/>
        <v>36.356200676647425</v>
      </c>
      <c r="S23">
        <f t="shared" si="2"/>
        <v>49.178120853086206</v>
      </c>
      <c r="T23">
        <f>IF(ISBLANK($E23),NA(),IFERROR(SUM($E23:$E$177),NA()))</f>
        <v>1212203.7630000003</v>
      </c>
      <c r="U23">
        <f>IF(ISBLANK($F23),NA(),IFERROR(SUM($F23:$F$177),NA()))</f>
        <v>1566064.5630000001</v>
      </c>
      <c r="V23">
        <f>IF(ISBLANK($G23),NA(),IFERROR(SUM($G23:$G$177),NA()))</f>
        <v>1527107.7540000002</v>
      </c>
      <c r="W23">
        <f t="shared" si="3"/>
        <v>3093172.3170000003</v>
      </c>
      <c r="X23">
        <f t="shared" si="4"/>
        <v>39.189661576167538</v>
      </c>
      <c r="Y23">
        <f t="shared" si="5"/>
        <v>50.629722579403257</v>
      </c>
      <c r="Z23" t="e">
        <f>IF(ISBLANK($H23),NA(),IFERROR(SUM($H23:$H$177),NA()))</f>
        <v>#N/A</v>
      </c>
      <c r="AA23" t="e">
        <f>IF(ISBLANK($I23),NA(),IFERROR(SUM($I23:$I$177),NA()))</f>
        <v>#N/A</v>
      </c>
      <c r="AB23" t="e">
        <f>IF(ISBLANK($J23),NA(),IFERROR(SUM($J23:$J$177),NA()))</f>
        <v>#N/A</v>
      </c>
      <c r="AC23" t="str">
        <f t="shared" si="6"/>
        <v/>
      </c>
      <c r="AD23" t="e">
        <f t="shared" si="7"/>
        <v>#N/A</v>
      </c>
      <c r="AE23" t="e">
        <f t="shared" si="8"/>
        <v>#N/A</v>
      </c>
    </row>
    <row r="24" spans="1:31" x14ac:dyDescent="0.35">
      <c r="A24">
        <v>1871</v>
      </c>
      <c r="B24">
        <v>2381.453</v>
      </c>
      <c r="C24">
        <v>3303.386</v>
      </c>
      <c r="D24">
        <v>1851.5930000000001</v>
      </c>
      <c r="E24">
        <v>2279.2719999999999</v>
      </c>
      <c r="F24">
        <v>2886.8150000000001</v>
      </c>
      <c r="G24">
        <v>1572.9169999999999</v>
      </c>
      <c r="N24">
        <f>IF(ISBLANK($B24),NA(),IFERROR(SUM($B24:$B$177),NA()))</f>
        <v>1275927.3599999999</v>
      </c>
      <c r="O24">
        <f>IF(ISBLANK($C24),NA(),IFERROR(SUM($C24:$C$177),NA()))</f>
        <v>1725764.6339999998</v>
      </c>
      <c r="P24">
        <f>IF(ISBLANK($D24),NA(),IFERROR(SUM($D24:$D$177),NA()))</f>
        <v>1784878.9519999998</v>
      </c>
      <c r="Q24">
        <f t="shared" si="0"/>
        <v>3510643.5859999997</v>
      </c>
      <c r="R24">
        <f t="shared" si="1"/>
        <v>36.34454278093726</v>
      </c>
      <c r="S24">
        <f t="shared" si="2"/>
        <v>49.15807007245423</v>
      </c>
      <c r="T24">
        <f>IF(ISBLANK($E24),NA(),IFERROR(SUM($E24:$E$177),NA()))</f>
        <v>1209966.2140000004</v>
      </c>
      <c r="U24">
        <f>IF(ISBLANK($F24),NA(),IFERROR(SUM($F24:$F$177),NA()))</f>
        <v>1563218.426</v>
      </c>
      <c r="V24">
        <f>IF(ISBLANK($G24),NA(),IFERROR(SUM($G24:$G$177),NA()))</f>
        <v>1525619.6780000003</v>
      </c>
      <c r="W24">
        <f t="shared" si="3"/>
        <v>3088838.1040000003</v>
      </c>
      <c r="X24">
        <f t="shared" si="4"/>
        <v>39.172212115394196</v>
      </c>
      <c r="Y24">
        <f t="shared" si="5"/>
        <v>50.608622833798087</v>
      </c>
      <c r="Z24" t="e">
        <f>IF(ISBLANK($H24),NA(),IFERROR(SUM($H24:$H$177),NA()))</f>
        <v>#N/A</v>
      </c>
      <c r="AA24" t="e">
        <f>IF(ISBLANK($I24),NA(),IFERROR(SUM($I24:$I$177),NA()))</f>
        <v>#N/A</v>
      </c>
      <c r="AB24" t="e">
        <f>IF(ISBLANK($J24),NA(),IFERROR(SUM($J24:$J$177),NA()))</f>
        <v>#N/A</v>
      </c>
      <c r="AC24" t="str">
        <f t="shared" si="6"/>
        <v/>
      </c>
      <c r="AD24" t="e">
        <f t="shared" si="7"/>
        <v>#N/A</v>
      </c>
      <c r="AE24" t="e">
        <f t="shared" si="8"/>
        <v>#N/A</v>
      </c>
    </row>
    <row r="25" spans="1:31" x14ac:dyDescent="0.35">
      <c r="A25">
        <v>1872</v>
      </c>
      <c r="B25">
        <v>2515.0500000000002</v>
      </c>
      <c r="C25">
        <v>3487.5970000000002</v>
      </c>
      <c r="D25">
        <v>1913.337</v>
      </c>
      <c r="E25">
        <v>2653.1660000000002</v>
      </c>
      <c r="F25">
        <v>3266.895</v>
      </c>
      <c r="G25">
        <v>1596.73</v>
      </c>
      <c r="N25">
        <f>IF(ISBLANK($B25),NA(),IFERROR(SUM($B25:$B$177),NA()))</f>
        <v>1273545.9069999999</v>
      </c>
      <c r="O25">
        <f>IF(ISBLANK($C25),NA(),IFERROR(SUM($C25:$C$177),NA()))</f>
        <v>1722461.2479999999</v>
      </c>
      <c r="P25">
        <f>IF(ISBLANK($D25),NA(),IFERROR(SUM($D25:$D$177),NA()))</f>
        <v>1783027.3589999999</v>
      </c>
      <c r="Q25">
        <f t="shared" si="0"/>
        <v>3505488.6069999998</v>
      </c>
      <c r="R25">
        <f t="shared" si="1"/>
        <v>36.330054088805085</v>
      </c>
      <c r="S25">
        <f t="shared" si="2"/>
        <v>49.136124549384391</v>
      </c>
      <c r="T25">
        <f>IF(ISBLANK($E25),NA(),IFERROR(SUM($E25:$E$177),NA()))</f>
        <v>1207686.9420000003</v>
      </c>
      <c r="U25">
        <f>IF(ISBLANK($F25),NA(),IFERROR(SUM($F25:$F$177),NA()))</f>
        <v>1560331.611</v>
      </c>
      <c r="V25">
        <f>IF(ISBLANK($G25),NA(),IFERROR(SUM($G25:$G$177),NA()))</f>
        <v>1524046.7609999999</v>
      </c>
      <c r="W25">
        <f t="shared" si="3"/>
        <v>3084378.372</v>
      </c>
      <c r="X25">
        <f t="shared" si="4"/>
        <v>39.154954300139941</v>
      </c>
      <c r="Y25">
        <f t="shared" si="5"/>
        <v>50.588203612264216</v>
      </c>
      <c r="Z25" t="e">
        <f>IF(ISBLANK($H25),NA(),IFERROR(SUM($H25:$H$177),NA()))</f>
        <v>#N/A</v>
      </c>
      <c r="AA25" t="e">
        <f>IF(ISBLANK($I25),NA(),IFERROR(SUM($I25:$I$177),NA()))</f>
        <v>#N/A</v>
      </c>
      <c r="AB25" t="e">
        <f>IF(ISBLANK($J25),NA(),IFERROR(SUM($J25:$J$177),NA()))</f>
        <v>#N/A</v>
      </c>
      <c r="AC25" t="str">
        <f t="shared" si="6"/>
        <v/>
      </c>
      <c r="AD25" t="e">
        <f t="shared" si="7"/>
        <v>#N/A</v>
      </c>
      <c r="AE25" t="e">
        <f t="shared" si="8"/>
        <v>#N/A</v>
      </c>
    </row>
    <row r="26" spans="1:31" x14ac:dyDescent="0.35">
      <c r="A26">
        <v>1873</v>
      </c>
      <c r="B26">
        <v>2635.826</v>
      </c>
      <c r="C26">
        <v>3599.4349999999999</v>
      </c>
      <c r="D26">
        <v>1915.471</v>
      </c>
      <c r="E26">
        <v>2729.1529999999998</v>
      </c>
      <c r="F26">
        <v>3348.9810000000002</v>
      </c>
      <c r="G26">
        <v>1617.7670000000001</v>
      </c>
      <c r="N26">
        <f>IF(ISBLANK($B26),NA(),IFERROR(SUM($B26:$B$177),NA()))</f>
        <v>1271030.8569999998</v>
      </c>
      <c r="O26">
        <f>IF(ISBLANK($C26),NA(),IFERROR(SUM($C26:$C$177),NA()))</f>
        <v>1718973.6509999998</v>
      </c>
      <c r="P26">
        <f>IF(ISBLANK($D26),NA(),IFERROR(SUM($D26:$D$177),NA()))</f>
        <v>1781114.0219999996</v>
      </c>
      <c r="Q26">
        <f t="shared" si="0"/>
        <v>3500087.6729999995</v>
      </c>
      <c r="R26">
        <f t="shared" si="1"/>
        <v>36.31425769145298</v>
      </c>
      <c r="S26">
        <f t="shared" si="2"/>
        <v>49.112302650597059</v>
      </c>
      <c r="T26">
        <f>IF(ISBLANK($E26),NA(),IFERROR(SUM($E26:$E$177),NA()))</f>
        <v>1205033.7760000003</v>
      </c>
      <c r="U26">
        <f>IF(ISBLANK($F26),NA(),IFERROR(SUM($F26:$F$177),NA()))</f>
        <v>1557064.716</v>
      </c>
      <c r="V26">
        <f>IF(ISBLANK($G26),NA(),IFERROR(SUM($G26:$G$177),NA()))</f>
        <v>1522450.031</v>
      </c>
      <c r="W26">
        <f t="shared" si="3"/>
        <v>3079514.747</v>
      </c>
      <c r="X26">
        <f t="shared" si="4"/>
        <v>39.130638266107333</v>
      </c>
      <c r="Y26">
        <f t="shared" si="5"/>
        <v>50.562015249865603</v>
      </c>
      <c r="Z26" t="e">
        <f>IF(ISBLANK($H26),NA(),IFERROR(SUM($H26:$H$177),NA()))</f>
        <v>#N/A</v>
      </c>
      <c r="AA26" t="e">
        <f>IF(ISBLANK($I26),NA(),IFERROR(SUM($I26:$I$177),NA()))</f>
        <v>#N/A</v>
      </c>
      <c r="AB26" t="e">
        <f>IF(ISBLANK($J26),NA(),IFERROR(SUM($J26:$J$177),NA()))</f>
        <v>#N/A</v>
      </c>
      <c r="AC26" t="str">
        <f t="shared" si="6"/>
        <v/>
      </c>
      <c r="AD26" t="e">
        <f t="shared" si="7"/>
        <v>#N/A</v>
      </c>
      <c r="AE26" t="e">
        <f t="shared" si="8"/>
        <v>#N/A</v>
      </c>
    </row>
    <row r="27" spans="1:31" x14ac:dyDescent="0.35">
      <c r="A27">
        <v>1874</v>
      </c>
      <c r="B27">
        <v>2648.7669999999998</v>
      </c>
      <c r="C27">
        <v>3656.3429999999998</v>
      </c>
      <c r="D27">
        <v>1932.394</v>
      </c>
      <c r="E27">
        <v>2704.451</v>
      </c>
      <c r="F27">
        <v>3332.2</v>
      </c>
      <c r="G27">
        <v>1628.7660000000001</v>
      </c>
      <c r="N27">
        <f>IF(ISBLANK($B27),NA(),IFERROR(SUM($B27:$B$177),NA()))</f>
        <v>1268395.031</v>
      </c>
      <c r="O27">
        <f>IF(ISBLANK($C27),NA(),IFERROR(SUM($C27:$C$177),NA()))</f>
        <v>1715374.2159999998</v>
      </c>
      <c r="P27">
        <f>IF(ISBLANK($D27),NA(),IFERROR(SUM($D27:$D$177),NA()))</f>
        <v>1779198.5509999997</v>
      </c>
      <c r="Q27">
        <f t="shared" si="0"/>
        <v>3494572.7669999995</v>
      </c>
      <c r="R27">
        <f t="shared" si="1"/>
        <v>36.29614020282326</v>
      </c>
      <c r="S27">
        <f t="shared" si="2"/>
        <v>49.086807755118066</v>
      </c>
      <c r="T27">
        <f>IF(ISBLANK($E27),NA(),IFERROR(SUM($E27:$E$177),NA()))</f>
        <v>1202304.6230000004</v>
      </c>
      <c r="U27">
        <f>IF(ISBLANK($F27),NA(),IFERROR(SUM($F27:$F$177),NA()))</f>
        <v>1553715.7350000001</v>
      </c>
      <c r="V27">
        <f>IF(ISBLANK($G27),NA(),IFERROR(SUM($G27:$G$177),NA()))</f>
        <v>1520832.264</v>
      </c>
      <c r="W27">
        <f t="shared" si="3"/>
        <v>3074547.9989999998</v>
      </c>
      <c r="X27">
        <f t="shared" si="4"/>
        <v>39.105085475687851</v>
      </c>
      <c r="Y27">
        <f t="shared" si="5"/>
        <v>50.534769192263319</v>
      </c>
      <c r="Z27" t="e">
        <f>IF(ISBLANK($H27),NA(),IFERROR(SUM($H27:$H$177),NA()))</f>
        <v>#N/A</v>
      </c>
      <c r="AA27" t="e">
        <f>IF(ISBLANK($I27),NA(),IFERROR(SUM($I27:$I$177),NA()))</f>
        <v>#N/A</v>
      </c>
      <c r="AB27" t="e">
        <f>IF(ISBLANK($J27),NA(),IFERROR(SUM($J27:$J$177),NA()))</f>
        <v>#N/A</v>
      </c>
      <c r="AC27" t="str">
        <f t="shared" si="6"/>
        <v/>
      </c>
      <c r="AD27" t="e">
        <f t="shared" si="7"/>
        <v>#N/A</v>
      </c>
      <c r="AE27" t="e">
        <f t="shared" si="8"/>
        <v>#N/A</v>
      </c>
    </row>
    <row r="28" spans="1:31" x14ac:dyDescent="0.35">
      <c r="A28">
        <v>1875</v>
      </c>
      <c r="B28">
        <v>2753.0610000000001</v>
      </c>
      <c r="C28">
        <v>3752.66</v>
      </c>
      <c r="D28">
        <v>1936.4960000000001</v>
      </c>
      <c r="E28">
        <v>2794.0509999999999</v>
      </c>
      <c r="F28">
        <v>3427.393</v>
      </c>
      <c r="G28">
        <v>1642.6669999999999</v>
      </c>
      <c r="N28">
        <f>IF(ISBLANK($B28),NA(),IFERROR(SUM($B28:$B$177),NA()))</f>
        <v>1265746.264</v>
      </c>
      <c r="O28">
        <f>IF(ISBLANK($C28),NA(),IFERROR(SUM($C28:$C$177),NA()))</f>
        <v>1711717.8729999999</v>
      </c>
      <c r="P28">
        <f>IF(ISBLANK($D28),NA(),IFERROR(SUM($D28:$D$177),NA()))</f>
        <v>1777266.1569999999</v>
      </c>
      <c r="Q28">
        <f t="shared" si="0"/>
        <v>3488984.03</v>
      </c>
      <c r="R28">
        <f t="shared" si="1"/>
        <v>36.278362214228885</v>
      </c>
      <c r="S28">
        <f t="shared" si="2"/>
        <v>49.060639380455981</v>
      </c>
      <c r="T28">
        <f>IF(ISBLANK($E28),NA(),IFERROR(SUM($E28:$E$177),NA()))</f>
        <v>1199600.1720000003</v>
      </c>
      <c r="U28">
        <f>IF(ISBLANK($F28),NA(),IFERROR(SUM($F28:$F$177),NA()))</f>
        <v>1550383.5350000001</v>
      </c>
      <c r="V28">
        <f>IF(ISBLANK($G28),NA(),IFERROR(SUM($G28:$G$177),NA()))</f>
        <v>1519203.4980000001</v>
      </c>
      <c r="W28">
        <f t="shared" si="3"/>
        <v>3069587.0330000003</v>
      </c>
      <c r="X28">
        <f t="shared" si="4"/>
        <v>39.080181115685605</v>
      </c>
      <c r="Y28">
        <f t="shared" si="5"/>
        <v>50.507886511520852</v>
      </c>
      <c r="Z28" t="e">
        <f>IF(ISBLANK($H28),NA(),IFERROR(SUM($H28:$H$177),NA()))</f>
        <v>#N/A</v>
      </c>
      <c r="AA28" t="e">
        <f>IF(ISBLANK($I28),NA(),IFERROR(SUM($I28:$I$177),NA()))</f>
        <v>#N/A</v>
      </c>
      <c r="AB28" t="e">
        <f>IF(ISBLANK($J28),NA(),IFERROR(SUM($J28:$J$177),NA()))</f>
        <v>#N/A</v>
      </c>
      <c r="AC28" t="str">
        <f t="shared" si="6"/>
        <v/>
      </c>
      <c r="AD28" t="e">
        <f t="shared" si="7"/>
        <v>#N/A</v>
      </c>
      <c r="AE28" t="e">
        <f t="shared" si="8"/>
        <v>#N/A</v>
      </c>
    </row>
    <row r="29" spans="1:31" x14ac:dyDescent="0.35">
      <c r="A29">
        <v>1876</v>
      </c>
      <c r="B29">
        <v>2801.3029999999999</v>
      </c>
      <c r="C29">
        <v>3827.3119999999999</v>
      </c>
      <c r="D29">
        <v>1947.998</v>
      </c>
      <c r="E29">
        <v>2822.4920000000002</v>
      </c>
      <c r="F29">
        <v>3472.4479999999999</v>
      </c>
      <c r="G29">
        <v>1654.5820000000001</v>
      </c>
      <c r="N29">
        <f>IF(ISBLANK($B29),NA(),IFERROR(SUM($B29:$B$177),NA()))</f>
        <v>1262993.203</v>
      </c>
      <c r="O29">
        <f>IF(ISBLANK($C29),NA(),IFERROR(SUM($C29:$C$177),NA()))</f>
        <v>1707965.213</v>
      </c>
      <c r="P29">
        <f>IF(ISBLANK($D29),NA(),IFERROR(SUM($D29:$D$177),NA()))</f>
        <v>1775329.6609999996</v>
      </c>
      <c r="Q29">
        <f t="shared" si="0"/>
        <v>3483294.8739999998</v>
      </c>
      <c r="R29">
        <f t="shared" si="1"/>
        <v>36.258578405957834</v>
      </c>
      <c r="S29">
        <f t="shared" si="2"/>
        <v>49.033035524743809</v>
      </c>
      <c r="T29">
        <f>IF(ISBLANK($E29),NA(),IFERROR(SUM($E29:$E$177),NA()))</f>
        <v>1196806.1210000003</v>
      </c>
      <c r="U29">
        <f>IF(ISBLANK($F29),NA(),IFERROR(SUM($F29:$F$177),NA()))</f>
        <v>1546956.142</v>
      </c>
      <c r="V29">
        <f>IF(ISBLANK($G29),NA(),IFERROR(SUM($G29:$G$177),NA()))</f>
        <v>1517560.8309999998</v>
      </c>
      <c r="W29">
        <f t="shared" si="3"/>
        <v>3064516.9729999998</v>
      </c>
      <c r="X29">
        <f t="shared" si="4"/>
        <v>39.053662666726574</v>
      </c>
      <c r="Y29">
        <f t="shared" si="5"/>
        <v>50.47960757370555</v>
      </c>
      <c r="Z29" t="e">
        <f>IF(ISBLANK($H29),NA(),IFERROR(SUM($H29:$H$177),NA()))</f>
        <v>#N/A</v>
      </c>
      <c r="AA29" t="e">
        <f>IF(ISBLANK($I29),NA(),IFERROR(SUM($I29:$I$177),NA()))</f>
        <v>#N/A</v>
      </c>
      <c r="AB29" t="e">
        <f>IF(ISBLANK($J29),NA(),IFERROR(SUM($J29:$J$177),NA()))</f>
        <v>#N/A</v>
      </c>
      <c r="AC29" t="str">
        <f t="shared" si="6"/>
        <v/>
      </c>
      <c r="AD29" t="e">
        <f t="shared" si="7"/>
        <v>#N/A</v>
      </c>
      <c r="AE29" t="e">
        <f t="shared" si="8"/>
        <v>#N/A</v>
      </c>
    </row>
    <row r="30" spans="1:31" x14ac:dyDescent="0.35">
      <c r="A30">
        <v>1877</v>
      </c>
      <c r="B30">
        <v>2873.701</v>
      </c>
      <c r="C30">
        <v>3914.8220000000001</v>
      </c>
      <c r="D30">
        <v>1984.69</v>
      </c>
      <c r="E30">
        <v>2867.355</v>
      </c>
      <c r="F30">
        <v>3521.0030000000002</v>
      </c>
      <c r="G30">
        <v>1666.0650000000001</v>
      </c>
      <c r="N30">
        <f>IF(ISBLANK($B30),NA(),IFERROR(SUM($B30:$B$177),NA()))</f>
        <v>1260191.8999999999</v>
      </c>
      <c r="O30">
        <f>IF(ISBLANK($C30),NA(),IFERROR(SUM($C30:$C$177),NA()))</f>
        <v>1704137.9010000001</v>
      </c>
      <c r="P30">
        <f>IF(ISBLANK($D30),NA(),IFERROR(SUM($D30:$D$177),NA()))</f>
        <v>1773381.6629999995</v>
      </c>
      <c r="Q30">
        <f t="shared" si="0"/>
        <v>3477519.5639999993</v>
      </c>
      <c r="R30">
        <f t="shared" si="1"/>
        <v>36.238240412671338</v>
      </c>
      <c r="S30">
        <f t="shared" si="2"/>
        <v>49.004408735513309</v>
      </c>
      <c r="T30">
        <f>IF(ISBLANK($E30),NA(),IFERROR(SUM($E30:$E$177),NA()))</f>
        <v>1193983.6290000004</v>
      </c>
      <c r="U30">
        <f>IF(ISBLANK($F30),NA(),IFERROR(SUM($F30:$F$177),NA()))</f>
        <v>1543483.6940000001</v>
      </c>
      <c r="V30">
        <f>IF(ISBLANK($G30),NA(),IFERROR(SUM($G30:$G$177),NA()))</f>
        <v>1515906.2489999998</v>
      </c>
      <c r="W30">
        <f t="shared" si="3"/>
        <v>3059389.943</v>
      </c>
      <c r="X30">
        <f t="shared" si="4"/>
        <v>39.026853433047336</v>
      </c>
      <c r="Y30">
        <f t="shared" si="5"/>
        <v>50.450701700564494</v>
      </c>
      <c r="Z30" t="e">
        <f>IF(ISBLANK($H30),NA(),IFERROR(SUM($H30:$H$177),NA()))</f>
        <v>#N/A</v>
      </c>
      <c r="AA30" t="e">
        <f>IF(ISBLANK($I30),NA(),IFERROR(SUM($I30:$I$177),NA()))</f>
        <v>#N/A</v>
      </c>
      <c r="AB30" t="e">
        <f>IF(ISBLANK($J30),NA(),IFERROR(SUM($J30:$J$177),NA()))</f>
        <v>#N/A</v>
      </c>
      <c r="AC30" t="str">
        <f t="shared" si="6"/>
        <v/>
      </c>
      <c r="AD30" t="e">
        <f t="shared" si="7"/>
        <v>#N/A</v>
      </c>
      <c r="AE30" t="e">
        <f t="shared" si="8"/>
        <v>#N/A</v>
      </c>
    </row>
    <row r="31" spans="1:31" x14ac:dyDescent="0.35">
      <c r="A31">
        <v>1878</v>
      </c>
      <c r="B31">
        <v>2923.9380000000001</v>
      </c>
      <c r="C31">
        <v>3989.2420000000002</v>
      </c>
      <c r="D31">
        <v>1989.8420000000001</v>
      </c>
      <c r="E31">
        <v>2893.4609999999998</v>
      </c>
      <c r="F31">
        <v>3555.8209999999999</v>
      </c>
      <c r="G31">
        <v>1678.8040000000001</v>
      </c>
      <c r="N31">
        <f>IF(ISBLANK($B31),NA(),IFERROR(SUM($B31:$B$177),NA()))</f>
        <v>1257318.1989999998</v>
      </c>
      <c r="O31">
        <f>IF(ISBLANK($C31),NA(),IFERROR(SUM($C31:$C$177),NA()))</f>
        <v>1700223.0790000001</v>
      </c>
      <c r="P31">
        <f>IF(ISBLANK($D31),NA(),IFERROR(SUM($D31:$D$177),NA()))</f>
        <v>1771396.9729999995</v>
      </c>
      <c r="Q31">
        <f t="shared" si="0"/>
        <v>3471620.0519999997</v>
      </c>
      <c r="R31">
        <f t="shared" si="1"/>
        <v>36.217045073111009</v>
      </c>
      <c r="S31">
        <f t="shared" si="2"/>
        <v>48.97491815155584</v>
      </c>
      <c r="T31">
        <f>IF(ISBLANK($E31),NA(),IFERROR(SUM($E31:$E$177),NA()))</f>
        <v>1191116.2740000002</v>
      </c>
      <c r="U31">
        <f>IF(ISBLANK($F31),NA(),IFERROR(SUM($F31:$F$177),NA()))</f>
        <v>1539962.6910000001</v>
      </c>
      <c r="V31">
        <f>IF(ISBLANK($G31),NA(),IFERROR(SUM($G31:$G$177),NA()))</f>
        <v>1514240.1839999999</v>
      </c>
      <c r="W31">
        <f t="shared" si="3"/>
        <v>3054202.875</v>
      </c>
      <c r="X31">
        <f t="shared" si="4"/>
        <v>38.999251940655718</v>
      </c>
      <c r="Y31">
        <f t="shared" si="5"/>
        <v>50.421100170040276</v>
      </c>
      <c r="Z31" t="e">
        <f>IF(ISBLANK($H31),NA(),IFERROR(SUM($H31:$H$177),NA()))</f>
        <v>#N/A</v>
      </c>
      <c r="AA31" t="e">
        <f>IF(ISBLANK($I31),NA(),IFERROR(SUM($I31:$I$177),NA()))</f>
        <v>#N/A</v>
      </c>
      <c r="AB31" t="e">
        <f>IF(ISBLANK($J31),NA(),IFERROR(SUM($J31:$J$177),NA()))</f>
        <v>#N/A</v>
      </c>
      <c r="AC31" t="str">
        <f t="shared" si="6"/>
        <v/>
      </c>
      <c r="AD31" t="e">
        <f t="shared" si="7"/>
        <v>#N/A</v>
      </c>
      <c r="AE31" t="e">
        <f t="shared" si="8"/>
        <v>#N/A</v>
      </c>
    </row>
    <row r="32" spans="1:31" x14ac:dyDescent="0.35">
      <c r="A32">
        <v>1879</v>
      </c>
      <c r="B32">
        <v>3028.489</v>
      </c>
      <c r="C32">
        <v>4112.2349999999997</v>
      </c>
      <c r="D32">
        <v>1996.6759999999999</v>
      </c>
      <c r="E32">
        <v>2974.8739999999998</v>
      </c>
      <c r="F32">
        <v>3644.7350000000001</v>
      </c>
      <c r="G32">
        <v>1690.451</v>
      </c>
      <c r="N32">
        <f>IF(ISBLANK($B32),NA(),IFERROR(SUM($B32:$B$177),NA()))</f>
        <v>1254394.2609999999</v>
      </c>
      <c r="O32">
        <f>IF(ISBLANK($C32),NA(),IFERROR(SUM($C32:$C$177),NA()))</f>
        <v>1696233.8370000001</v>
      </c>
      <c r="P32">
        <f>IF(ISBLANK($D32),NA(),IFERROR(SUM($D32:$D$177),NA()))</f>
        <v>1769407.1309999994</v>
      </c>
      <c r="Q32">
        <f t="shared" si="0"/>
        <v>3465640.9679999994</v>
      </c>
      <c r="R32">
        <f t="shared" si="1"/>
        <v>36.195159065305695</v>
      </c>
      <c r="S32">
        <f t="shared" si="2"/>
        <v>48.944303598156232</v>
      </c>
      <c r="T32">
        <f>IF(ISBLANK($E32),NA(),IFERROR(SUM($E32:$E$177),NA()))</f>
        <v>1188222.8130000001</v>
      </c>
      <c r="U32">
        <f>IF(ISBLANK($F32),NA(),IFERROR(SUM($F32:$F$177),NA()))</f>
        <v>1536406.87</v>
      </c>
      <c r="V32">
        <f>IF(ISBLANK($G32),NA(),IFERROR(SUM($G32:$G$177),NA()))</f>
        <v>1512561.3800000004</v>
      </c>
      <c r="W32">
        <f t="shared" si="3"/>
        <v>3048968.2500000005</v>
      </c>
      <c r="X32">
        <f t="shared" si="4"/>
        <v>38.971308179414457</v>
      </c>
      <c r="Y32">
        <f t="shared" si="5"/>
        <v>50.391041953290262</v>
      </c>
      <c r="Z32" t="e">
        <f>IF(ISBLANK($H32),NA(),IFERROR(SUM($H32:$H$177),NA()))</f>
        <v>#N/A</v>
      </c>
      <c r="AA32" t="e">
        <f>IF(ISBLANK($I32),NA(),IFERROR(SUM($I32:$I$177),NA()))</f>
        <v>#N/A</v>
      </c>
      <c r="AB32" t="e">
        <f>IF(ISBLANK($J32),NA(),IFERROR(SUM($J32:$J$177),NA()))</f>
        <v>#N/A</v>
      </c>
      <c r="AC32" t="str">
        <f t="shared" si="6"/>
        <v/>
      </c>
      <c r="AD32" t="e">
        <f t="shared" si="7"/>
        <v>#N/A</v>
      </c>
      <c r="AE32" t="e">
        <f t="shared" si="8"/>
        <v>#N/A</v>
      </c>
    </row>
    <row r="33" spans="1:31" x14ac:dyDescent="0.35">
      <c r="A33">
        <v>1880</v>
      </c>
      <c r="B33">
        <v>3050.1149999999998</v>
      </c>
      <c r="C33">
        <v>4162.4369999999999</v>
      </c>
      <c r="D33">
        <v>2105.4430000000002</v>
      </c>
      <c r="E33">
        <v>3112.9259999999999</v>
      </c>
      <c r="F33">
        <v>3789.6990000000001</v>
      </c>
      <c r="G33">
        <v>1701.1089999999999</v>
      </c>
      <c r="N33">
        <f>IF(ISBLANK($B33),NA(),IFERROR(SUM($B33:$B$177),NA()))</f>
        <v>1251365.7719999999</v>
      </c>
      <c r="O33">
        <f>IF(ISBLANK($C33),NA(),IFERROR(SUM($C33:$C$177),NA()))</f>
        <v>1692121.602</v>
      </c>
      <c r="P33">
        <f>IF(ISBLANK($D33),NA(),IFERROR(SUM($D33:$D$177),NA()))</f>
        <v>1767410.4549999994</v>
      </c>
      <c r="Q33">
        <f t="shared" si="0"/>
        <v>3459532.0569999991</v>
      </c>
      <c r="R33">
        <f t="shared" si="1"/>
        <v>36.171532779064528</v>
      </c>
      <c r="S33">
        <f t="shared" si="2"/>
        <v>48.911863631272617</v>
      </c>
      <c r="T33">
        <f>IF(ISBLANK($E33),NA(),IFERROR(SUM($E33:$E$177),NA()))</f>
        <v>1185247.9390000002</v>
      </c>
      <c r="U33">
        <f>IF(ISBLANK($F33),NA(),IFERROR(SUM($F33:$F$177),NA()))</f>
        <v>1532762.135</v>
      </c>
      <c r="V33">
        <f>IF(ISBLANK($G33),NA(),IFERROR(SUM($G33:$G$177),NA()))</f>
        <v>1510870.929</v>
      </c>
      <c r="W33">
        <f t="shared" si="3"/>
        <v>3043633.0640000002</v>
      </c>
      <c r="X33">
        <f t="shared" si="4"/>
        <v>38.94188011751735</v>
      </c>
      <c r="Y33">
        <f t="shared" si="5"/>
        <v>50.35962294960796</v>
      </c>
      <c r="Z33" t="e">
        <f>IF(ISBLANK($H33),NA(),IFERROR(SUM($H33:$H$177),NA()))</f>
        <v>#N/A</v>
      </c>
      <c r="AA33" t="e">
        <f>IF(ISBLANK($I33),NA(),IFERROR(SUM($I33:$I$177),NA()))</f>
        <v>#N/A</v>
      </c>
      <c r="AB33" t="e">
        <f>IF(ISBLANK($J33),NA(),IFERROR(SUM($J33:$J$177),NA()))</f>
        <v>#N/A</v>
      </c>
      <c r="AC33" t="str">
        <f t="shared" si="6"/>
        <v/>
      </c>
      <c r="AD33" t="e">
        <f t="shared" si="7"/>
        <v>#N/A</v>
      </c>
      <c r="AE33" t="e">
        <f t="shared" si="8"/>
        <v>#N/A</v>
      </c>
    </row>
    <row r="34" spans="1:31" x14ac:dyDescent="0.35">
      <c r="A34">
        <v>1881</v>
      </c>
      <c r="B34">
        <v>3008.8490000000002</v>
      </c>
      <c r="C34">
        <v>4129.384</v>
      </c>
      <c r="D34">
        <v>2168.9470000000001</v>
      </c>
      <c r="E34">
        <v>3161.73</v>
      </c>
      <c r="F34">
        <v>3844.0659999999998</v>
      </c>
      <c r="G34">
        <v>1826.038</v>
      </c>
      <c r="N34">
        <f>IF(ISBLANK($B34),NA(),IFERROR(SUM($B34:$B$177),NA()))</f>
        <v>1248315.6569999999</v>
      </c>
      <c r="O34">
        <f>IF(ISBLANK($C34),NA(),IFERROR(SUM($C34:$C$177),NA()))</f>
        <v>1687959.165</v>
      </c>
      <c r="P34">
        <f>IF(ISBLANK($D34),NA(),IFERROR(SUM($D34:$D$177),NA()))</f>
        <v>1765305.0119999994</v>
      </c>
      <c r="Q34">
        <f t="shared" si="0"/>
        <v>3453264.1769999992</v>
      </c>
      <c r="R34">
        <f t="shared" si="1"/>
        <v>36.14886070154256</v>
      </c>
      <c r="S34">
        <f t="shared" si="2"/>
        <v>48.880105270903528</v>
      </c>
      <c r="T34">
        <f>IF(ISBLANK($E34),NA(),IFERROR(SUM($E34:$E$177),NA()))</f>
        <v>1182135.013</v>
      </c>
      <c r="U34">
        <f>IF(ISBLANK($F34),NA(),IFERROR(SUM($F34:$F$177),NA()))</f>
        <v>1528972.436</v>
      </c>
      <c r="V34">
        <f>IF(ISBLANK($G34),NA(),IFERROR(SUM($G34:$G$177),NA()))</f>
        <v>1509169.8200000003</v>
      </c>
      <c r="W34">
        <f t="shared" si="3"/>
        <v>3038142.2560000001</v>
      </c>
      <c r="X34">
        <f t="shared" si="4"/>
        <v>38.90979794199604</v>
      </c>
      <c r="Y34">
        <f t="shared" si="5"/>
        <v>50.325900078590657</v>
      </c>
      <c r="Z34" t="e">
        <f>IF(ISBLANK($H34),NA(),IFERROR(SUM($H34:$H$177),NA()))</f>
        <v>#N/A</v>
      </c>
      <c r="AA34" t="e">
        <f>IF(ISBLANK($I34),NA(),IFERROR(SUM($I34:$I$177),NA()))</f>
        <v>#N/A</v>
      </c>
      <c r="AB34" t="e">
        <f>IF(ISBLANK($J34),NA(),IFERROR(SUM($J34:$J$177),NA()))</f>
        <v>#N/A</v>
      </c>
      <c r="AC34" t="str">
        <f t="shared" si="6"/>
        <v/>
      </c>
      <c r="AD34" t="e">
        <f t="shared" si="7"/>
        <v>#N/A</v>
      </c>
      <c r="AE34" t="e">
        <f t="shared" si="8"/>
        <v>#N/A</v>
      </c>
    </row>
    <row r="35" spans="1:31" x14ac:dyDescent="0.35">
      <c r="A35">
        <v>1882</v>
      </c>
      <c r="B35">
        <v>3081.962</v>
      </c>
      <c r="C35">
        <v>4223.6490000000003</v>
      </c>
      <c r="D35">
        <v>2225.2190000000001</v>
      </c>
      <c r="E35">
        <v>3019.1460000000002</v>
      </c>
      <c r="F35">
        <v>3707.279</v>
      </c>
      <c r="G35">
        <v>1866.74</v>
      </c>
      <c r="N35">
        <f>IF(ISBLANK($B35),NA(),IFERROR(SUM($B35:$B$177),NA()))</f>
        <v>1245306.8079999997</v>
      </c>
      <c r="O35">
        <f>IF(ISBLANK($C35),NA(),IFERROR(SUM($C35:$C$177),NA()))</f>
        <v>1683829.781</v>
      </c>
      <c r="P35">
        <f>IF(ISBLANK($D35),NA(),IFERROR(SUM($D35:$D$177),NA()))</f>
        <v>1763136.0649999997</v>
      </c>
      <c r="Q35">
        <f t="shared" ref="Q35:Q66" si="9">IFERROR(O35+P35,"")</f>
        <v>3446965.8459999999</v>
      </c>
      <c r="R35">
        <f t="shared" ref="R35:R66" si="10">IFERROR(N35/Q35*100,NA())</f>
        <v>36.127622484136438</v>
      </c>
      <c r="S35">
        <f t="shared" ref="S35:S66" si="11">IFERROR(O35/Q35*100,NA())</f>
        <v>48.849621847979286</v>
      </c>
      <c r="T35">
        <f>IF(ISBLANK($E35),NA(),IFERROR(SUM($E35:$E$177),NA()))</f>
        <v>1178973.2830000003</v>
      </c>
      <c r="U35">
        <f>IF(ISBLANK($F35),NA(),IFERROR(SUM($F35:$F$177),NA()))</f>
        <v>1525128.37</v>
      </c>
      <c r="V35">
        <f>IF(ISBLANK($G35),NA(),IFERROR(SUM($G35:$G$177),NA()))</f>
        <v>1507343.7820000001</v>
      </c>
      <c r="W35">
        <f t="shared" ref="W35:W66" si="12">IFERROR(U35+V35,"")</f>
        <v>3032472.1520000002</v>
      </c>
      <c r="X35">
        <f t="shared" ref="X35:X66" si="13">IFERROR(T35/W35*100,NA())</f>
        <v>38.878288864827148</v>
      </c>
      <c r="Y35">
        <f t="shared" ref="Y35:Y66" si="14">IFERROR(U35/W35*100,NA())</f>
        <v>50.293235800834488</v>
      </c>
      <c r="Z35" t="e">
        <f>IF(ISBLANK($H35),NA(),IFERROR(SUM($H35:$H$177),NA()))</f>
        <v>#N/A</v>
      </c>
      <c r="AA35" t="e">
        <f>IF(ISBLANK($I35),NA(),IFERROR(SUM($I35:$I$177),NA()))</f>
        <v>#N/A</v>
      </c>
      <c r="AB35" t="e">
        <f>IF(ISBLANK($J35),NA(),IFERROR(SUM($J35:$J$177),NA()))</f>
        <v>#N/A</v>
      </c>
      <c r="AC35" t="str">
        <f t="shared" ref="AC35:AC66" si="15">IFERROR(AA35+AB35,"")</f>
        <v/>
      </c>
      <c r="AD35" t="e">
        <f t="shared" ref="AD35:AD66" si="16">IFERROR(Z35/AC35*100,NA())</f>
        <v>#N/A</v>
      </c>
      <c r="AE35" t="e">
        <f t="shared" ref="AE35:AE66" si="17">IFERROR(AA35/AC35*100,NA())</f>
        <v>#N/A</v>
      </c>
    </row>
    <row r="36" spans="1:31" x14ac:dyDescent="0.35">
      <c r="A36">
        <v>1883</v>
      </c>
      <c r="B36">
        <v>3170.87</v>
      </c>
      <c r="C36">
        <v>4332.6170000000002</v>
      </c>
      <c r="D36">
        <v>2257.9699999999998</v>
      </c>
      <c r="E36">
        <v>3078.107</v>
      </c>
      <c r="F36">
        <v>3777.096</v>
      </c>
      <c r="G36">
        <v>1901.1130000000001</v>
      </c>
      <c r="N36">
        <f>IF(ISBLANK($B36),NA(),IFERROR(SUM($B36:$B$177),NA()))</f>
        <v>1242224.8459999999</v>
      </c>
      <c r="O36">
        <f>IF(ISBLANK($C36),NA(),IFERROR(SUM($C36:$C$177),NA()))</f>
        <v>1679606.1319999998</v>
      </c>
      <c r="P36">
        <f>IF(ISBLANK($D36),NA(),IFERROR(SUM($D36:$D$177),NA()))</f>
        <v>1760910.8459999997</v>
      </c>
      <c r="Q36">
        <f t="shared" si="9"/>
        <v>3440516.9779999992</v>
      </c>
      <c r="R36">
        <f t="shared" si="10"/>
        <v>36.105761254580862</v>
      </c>
      <c r="S36">
        <f t="shared" si="11"/>
        <v>48.81842300852032</v>
      </c>
      <c r="T36">
        <f>IF(ISBLANK($E36),NA(),IFERROR(SUM($E36:$E$177),NA()))</f>
        <v>1175954.1370000001</v>
      </c>
      <c r="U36">
        <f>IF(ISBLANK($F36),NA(),IFERROR(SUM($F36:$F$177),NA()))</f>
        <v>1521421.091</v>
      </c>
      <c r="V36">
        <f>IF(ISBLANK($G36),NA(),IFERROR(SUM($G36:$G$177),NA()))</f>
        <v>1505477.0420000004</v>
      </c>
      <c r="W36">
        <f t="shared" si="12"/>
        <v>3026898.1330000004</v>
      </c>
      <c r="X36">
        <f t="shared" si="13"/>
        <v>38.850139163239554</v>
      </c>
      <c r="Y36">
        <f t="shared" si="14"/>
        <v>50.263372738351741</v>
      </c>
      <c r="Z36" t="e">
        <f>IF(ISBLANK($H36),NA(),IFERROR(SUM($H36:$H$177),NA()))</f>
        <v>#N/A</v>
      </c>
      <c r="AA36" t="e">
        <f>IF(ISBLANK($I36),NA(),IFERROR(SUM($I36:$I$177),NA()))</f>
        <v>#N/A</v>
      </c>
      <c r="AB36" t="e">
        <f>IF(ISBLANK($J36),NA(),IFERROR(SUM($J36:$J$177),NA()))</f>
        <v>#N/A</v>
      </c>
      <c r="AC36" t="str">
        <f t="shared" si="15"/>
        <v/>
      </c>
      <c r="AD36" t="e">
        <f t="shared" si="16"/>
        <v>#N/A</v>
      </c>
      <c r="AE36" t="e">
        <f t="shared" si="17"/>
        <v>#N/A</v>
      </c>
    </row>
    <row r="37" spans="1:31" x14ac:dyDescent="0.35">
      <c r="A37">
        <v>1884</v>
      </c>
      <c r="B37">
        <v>3165.835</v>
      </c>
      <c r="C37">
        <v>4355.2700000000004</v>
      </c>
      <c r="D37">
        <v>2266.183</v>
      </c>
      <c r="E37">
        <v>3085.442</v>
      </c>
      <c r="F37">
        <v>3790.9279999999999</v>
      </c>
      <c r="G37">
        <v>1932.241</v>
      </c>
      <c r="N37">
        <f>IF(ISBLANK($B37),NA(),IFERROR(SUM($B37:$B$177),NA()))</f>
        <v>1239053.9759999998</v>
      </c>
      <c r="O37">
        <f>IF(ISBLANK($C37),NA(),IFERROR(SUM($C37:$C$177),NA()))</f>
        <v>1675273.5149999999</v>
      </c>
      <c r="P37">
        <f>IF(ISBLANK($D37),NA(),IFERROR(SUM($D37:$D$177),NA()))</f>
        <v>1758652.8759999995</v>
      </c>
      <c r="Q37">
        <f t="shared" si="9"/>
        <v>3433926.3909999994</v>
      </c>
      <c r="R37">
        <f t="shared" si="10"/>
        <v>36.082718000229839</v>
      </c>
      <c r="S37">
        <f t="shared" si="11"/>
        <v>48.785947170875168</v>
      </c>
      <c r="T37">
        <f>IF(ISBLANK($E37),NA(),IFERROR(SUM($E37:$E$177),NA()))</f>
        <v>1172876.03</v>
      </c>
      <c r="U37">
        <f>IF(ISBLANK($F37),NA(),IFERROR(SUM($F37:$F$177),NA()))</f>
        <v>1517643.9950000001</v>
      </c>
      <c r="V37">
        <f>IF(ISBLANK($G37),NA(),IFERROR(SUM($G37:$G$177),NA()))</f>
        <v>1503575.929</v>
      </c>
      <c r="W37">
        <f t="shared" si="12"/>
        <v>3021219.9240000001</v>
      </c>
      <c r="X37">
        <f t="shared" si="13"/>
        <v>38.821272846868723</v>
      </c>
      <c r="Y37">
        <f t="shared" si="14"/>
        <v>50.232820952361756</v>
      </c>
      <c r="Z37" t="e">
        <f>IF(ISBLANK($H37),NA(),IFERROR(SUM($H37:$H$177),NA()))</f>
        <v>#N/A</v>
      </c>
      <c r="AA37" t="e">
        <f>IF(ISBLANK($I37),NA(),IFERROR(SUM($I37:$I$177),NA()))</f>
        <v>#N/A</v>
      </c>
      <c r="AB37" t="e">
        <f>IF(ISBLANK($J37),NA(),IFERROR(SUM($J37:$J$177),NA()))</f>
        <v>#N/A</v>
      </c>
      <c r="AC37" t="str">
        <f t="shared" si="15"/>
        <v/>
      </c>
      <c r="AD37" t="e">
        <f t="shared" si="16"/>
        <v>#N/A</v>
      </c>
      <c r="AE37" t="e">
        <f t="shared" si="17"/>
        <v>#N/A</v>
      </c>
    </row>
    <row r="38" spans="1:31" x14ac:dyDescent="0.35">
      <c r="A38">
        <v>1885</v>
      </c>
      <c r="B38">
        <v>3151.6680000000001</v>
      </c>
      <c r="C38">
        <v>4362.0420000000004</v>
      </c>
      <c r="D38">
        <v>2286.3029999999999</v>
      </c>
      <c r="E38">
        <v>3088.788</v>
      </c>
      <c r="F38">
        <v>3802.5219999999999</v>
      </c>
      <c r="G38">
        <v>1959.6590000000001</v>
      </c>
      <c r="N38">
        <f>IF(ISBLANK($B38),NA(),IFERROR(SUM($B38:$B$177),NA()))</f>
        <v>1235888.1409999998</v>
      </c>
      <c r="O38">
        <f>IF(ISBLANK($C38),NA(),IFERROR(SUM($C38:$C$177),NA()))</f>
        <v>1670918.2449999999</v>
      </c>
      <c r="P38">
        <f>IF(ISBLANK($D38),NA(),IFERROR(SUM($D38:$D$177),NA()))</f>
        <v>1756386.6929999997</v>
      </c>
      <c r="Q38">
        <f t="shared" si="9"/>
        <v>3427304.9379999996</v>
      </c>
      <c r="R38">
        <f t="shared" si="10"/>
        <v>36.060057781762517</v>
      </c>
      <c r="S38">
        <f t="shared" si="11"/>
        <v>48.753124546164912</v>
      </c>
      <c r="T38">
        <f>IF(ISBLANK($E38),NA(),IFERROR(SUM($E38:$E$177),NA()))</f>
        <v>1169790.5880000002</v>
      </c>
      <c r="U38">
        <f>IF(ISBLANK($F38),NA(),IFERROR(SUM($F38:$F$177),NA()))</f>
        <v>1513853.067</v>
      </c>
      <c r="V38">
        <f>IF(ISBLANK($G38),NA(),IFERROR(SUM($G38:$G$177),NA()))</f>
        <v>1501643.6880000001</v>
      </c>
      <c r="W38">
        <f t="shared" si="12"/>
        <v>3015496.7549999999</v>
      </c>
      <c r="X38">
        <f t="shared" si="13"/>
        <v>38.792632957086376</v>
      </c>
      <c r="Y38">
        <f t="shared" si="14"/>
        <v>50.202443908781461</v>
      </c>
      <c r="Z38" t="e">
        <f>IF(ISBLANK($H38),NA(),IFERROR(SUM($H38:$H$177),NA()))</f>
        <v>#N/A</v>
      </c>
      <c r="AA38" t="e">
        <f>IF(ISBLANK($I38),NA(),IFERROR(SUM($I38:$I$177),NA()))</f>
        <v>#N/A</v>
      </c>
      <c r="AB38" t="e">
        <f>IF(ISBLANK($J38),NA(),IFERROR(SUM($J38:$J$177),NA()))</f>
        <v>#N/A</v>
      </c>
      <c r="AC38" t="str">
        <f t="shared" si="15"/>
        <v/>
      </c>
      <c r="AD38" t="e">
        <f t="shared" si="16"/>
        <v>#N/A</v>
      </c>
      <c r="AE38" t="e">
        <f t="shared" si="17"/>
        <v>#N/A</v>
      </c>
    </row>
    <row r="39" spans="1:31" x14ac:dyDescent="0.35">
      <c r="A39">
        <v>1886</v>
      </c>
      <c r="B39">
        <v>3168.9409999999998</v>
      </c>
      <c r="C39">
        <v>4368.1580000000004</v>
      </c>
      <c r="D39">
        <v>2305.38</v>
      </c>
      <c r="E39">
        <v>3102.5340000000001</v>
      </c>
      <c r="F39">
        <v>3822.9270000000001</v>
      </c>
      <c r="G39">
        <v>1979.952</v>
      </c>
      <c r="N39">
        <f>IF(ISBLANK($B39),NA(),IFERROR(SUM($B39:$B$177),NA()))</f>
        <v>1232736.473</v>
      </c>
      <c r="O39">
        <f>IF(ISBLANK($C39),NA(),IFERROR(SUM($C39:$C$177),NA()))</f>
        <v>1666556.2029999997</v>
      </c>
      <c r="P39">
        <f>IF(ISBLANK($D39),NA(),IFERROR(SUM($D39:$D$177),NA()))</f>
        <v>1754100.3899999994</v>
      </c>
      <c r="Q39">
        <f t="shared" si="9"/>
        <v>3420656.5929999994</v>
      </c>
      <c r="R39">
        <f t="shared" si="10"/>
        <v>36.038007308966961</v>
      </c>
      <c r="S39">
        <f t="shared" si="11"/>
        <v>48.720359898459996</v>
      </c>
      <c r="T39">
        <f>IF(ISBLANK($E39),NA(),IFERROR(SUM($E39:$E$177),NA()))</f>
        <v>1166701.8</v>
      </c>
      <c r="U39">
        <f>IF(ISBLANK($F39),NA(),IFERROR(SUM($F39:$F$177),NA()))</f>
        <v>1510050.5450000002</v>
      </c>
      <c r="V39">
        <f>IF(ISBLANK($G39),NA(),IFERROR(SUM($G39:$G$177),NA()))</f>
        <v>1499684.0290000001</v>
      </c>
      <c r="W39">
        <f t="shared" si="12"/>
        <v>3009734.574</v>
      </c>
      <c r="X39">
        <f t="shared" si="13"/>
        <v>38.76427543075431</v>
      </c>
      <c r="Y39">
        <f t="shared" si="14"/>
        <v>50.172216448745232</v>
      </c>
      <c r="Z39" t="e">
        <f>IF(ISBLANK($H39),NA(),IFERROR(SUM($H39:$H$177),NA()))</f>
        <v>#N/A</v>
      </c>
      <c r="AA39" t="e">
        <f>IF(ISBLANK($I39),NA(),IFERROR(SUM($I39:$I$177),NA()))</f>
        <v>#N/A</v>
      </c>
      <c r="AB39" t="e">
        <f>IF(ISBLANK($J39),NA(),IFERROR(SUM($J39:$J$177),NA()))</f>
        <v>#N/A</v>
      </c>
      <c r="AC39" t="str">
        <f t="shared" si="15"/>
        <v/>
      </c>
      <c r="AD39" t="e">
        <f t="shared" si="16"/>
        <v>#N/A</v>
      </c>
      <c r="AE39" t="e">
        <f t="shared" si="17"/>
        <v>#N/A</v>
      </c>
    </row>
    <row r="40" spans="1:31" x14ac:dyDescent="0.35">
      <c r="A40">
        <v>1887</v>
      </c>
      <c r="B40">
        <v>3258.6770000000001</v>
      </c>
      <c r="C40">
        <v>4450.2870000000003</v>
      </c>
      <c r="D40">
        <v>2353.3049999999998</v>
      </c>
      <c r="E40">
        <v>3148.5059999999999</v>
      </c>
      <c r="F40">
        <v>3876.6309999999999</v>
      </c>
      <c r="G40">
        <v>1997.865</v>
      </c>
      <c r="N40">
        <f>IF(ISBLANK($B40),NA(),IFERROR(SUM($B40:$B$177),NA()))</f>
        <v>1229567.5319999999</v>
      </c>
      <c r="O40">
        <f>IF(ISBLANK($C40),NA(),IFERROR(SUM($C40:$C$177),NA()))</f>
        <v>1662188.0449999997</v>
      </c>
      <c r="P40">
        <f>IF(ISBLANK($D40),NA(),IFERROR(SUM($D40:$D$177),NA()))</f>
        <v>1751795.0099999995</v>
      </c>
      <c r="Q40">
        <f t="shared" si="9"/>
        <v>3413983.0549999992</v>
      </c>
      <c r="R40">
        <f t="shared" si="10"/>
        <v>36.015630780569303</v>
      </c>
      <c r="S40">
        <f t="shared" si="11"/>
        <v>48.687647777443352</v>
      </c>
      <c r="T40">
        <f>IF(ISBLANK($E40),NA(),IFERROR(SUM($E40:$E$177),NA()))</f>
        <v>1163599.2660000001</v>
      </c>
      <c r="U40">
        <f>IF(ISBLANK($F40),NA(),IFERROR(SUM($F40:$F$177),NA()))</f>
        <v>1506227.618</v>
      </c>
      <c r="V40">
        <f>IF(ISBLANK($G40),NA(),IFERROR(SUM($G40:$G$177),NA()))</f>
        <v>1497704.077</v>
      </c>
      <c r="W40">
        <f t="shared" si="12"/>
        <v>3003931.6950000003</v>
      </c>
      <c r="X40">
        <f t="shared" si="13"/>
        <v>38.735876316255585</v>
      </c>
      <c r="Y40">
        <f t="shared" si="14"/>
        <v>50.141873082769941</v>
      </c>
      <c r="Z40" t="e">
        <f>IF(ISBLANK($H40),NA(),IFERROR(SUM($H40:$H$177),NA()))</f>
        <v>#N/A</v>
      </c>
      <c r="AA40" t="e">
        <f>IF(ISBLANK($I40),NA(),IFERROR(SUM($I40:$I$177),NA()))</f>
        <v>#N/A</v>
      </c>
      <c r="AB40" t="e">
        <f>IF(ISBLANK($J40),NA(),IFERROR(SUM($J40:$J$177),NA()))</f>
        <v>#N/A</v>
      </c>
      <c r="AC40" t="str">
        <f t="shared" si="15"/>
        <v/>
      </c>
      <c r="AD40" t="e">
        <f t="shared" si="16"/>
        <v>#N/A</v>
      </c>
      <c r="AE40" t="e">
        <f t="shared" si="17"/>
        <v>#N/A</v>
      </c>
    </row>
    <row r="41" spans="1:31" x14ac:dyDescent="0.35">
      <c r="A41">
        <v>1888</v>
      </c>
      <c r="B41">
        <v>3369.6970000000001</v>
      </c>
      <c r="C41">
        <v>4583.9129999999996</v>
      </c>
      <c r="D41">
        <v>2355.0549999999998</v>
      </c>
      <c r="E41">
        <v>3265.491</v>
      </c>
      <c r="F41">
        <v>4005.8229999999999</v>
      </c>
      <c r="G41">
        <v>2012.204</v>
      </c>
      <c r="N41">
        <f>IF(ISBLANK($B41),NA(),IFERROR(SUM($B41:$B$177),NA()))</f>
        <v>1226308.855</v>
      </c>
      <c r="O41">
        <f>IF(ISBLANK($C41),NA(),IFERROR(SUM($C41:$C$177),NA()))</f>
        <v>1657737.7579999997</v>
      </c>
      <c r="P41">
        <f>IF(ISBLANK($D41),NA(),IFERROR(SUM($D41:$D$177),NA()))</f>
        <v>1749441.7049999994</v>
      </c>
      <c r="Q41">
        <f t="shared" si="9"/>
        <v>3407179.4629999991</v>
      </c>
      <c r="R41">
        <f t="shared" si="10"/>
        <v>35.991906746239991</v>
      </c>
      <c r="S41">
        <f t="shared" si="11"/>
        <v>48.654254229989178</v>
      </c>
      <c r="T41">
        <f>IF(ISBLANK($E41),NA(),IFERROR(SUM($E41:$E$177),NA()))</f>
        <v>1160450.76</v>
      </c>
      <c r="U41">
        <f>IF(ISBLANK($F41),NA(),IFERROR(SUM($F41:$F$177),NA()))</f>
        <v>1502350.9870000002</v>
      </c>
      <c r="V41">
        <f>IF(ISBLANK($G41),NA(),IFERROR(SUM($G41:$G$177),NA()))</f>
        <v>1495706.2120000003</v>
      </c>
      <c r="W41">
        <f t="shared" si="12"/>
        <v>2998057.1990000005</v>
      </c>
      <c r="X41">
        <f t="shared" si="13"/>
        <v>38.706758509713133</v>
      </c>
      <c r="Y41">
        <f t="shared" si="14"/>
        <v>50.110818015783963</v>
      </c>
      <c r="Z41" t="e">
        <f>IF(ISBLANK($H41),NA(),IFERROR(SUM($H41:$H$177),NA()))</f>
        <v>#N/A</v>
      </c>
      <c r="AA41" t="e">
        <f>IF(ISBLANK($I41),NA(),IFERROR(SUM($I41:$I$177),NA()))</f>
        <v>#N/A</v>
      </c>
      <c r="AB41" t="e">
        <f>IF(ISBLANK($J41),NA(),IFERROR(SUM($J41:$J$177),NA()))</f>
        <v>#N/A</v>
      </c>
      <c r="AC41" t="str">
        <f t="shared" si="15"/>
        <v/>
      </c>
      <c r="AD41" t="e">
        <f t="shared" si="16"/>
        <v>#N/A</v>
      </c>
      <c r="AE41" t="e">
        <f t="shared" si="17"/>
        <v>#N/A</v>
      </c>
    </row>
    <row r="42" spans="1:31" x14ac:dyDescent="0.35">
      <c r="A42">
        <v>1889</v>
      </c>
      <c r="B42">
        <v>3342.4879999999998</v>
      </c>
      <c r="C42">
        <v>4579.6409999999996</v>
      </c>
      <c r="D42">
        <v>2408.7919999999999</v>
      </c>
      <c r="E42">
        <v>3249.7170000000001</v>
      </c>
      <c r="F42">
        <v>4001.7689999999998</v>
      </c>
      <c r="G42">
        <v>2027.317</v>
      </c>
      <c r="N42">
        <f>IF(ISBLANK($B42),NA(),IFERROR(SUM($B42:$B$177),NA()))</f>
        <v>1222939.1579999998</v>
      </c>
      <c r="O42">
        <f>IF(ISBLANK($C42),NA(),IFERROR(SUM($C42:$C$177),NA()))</f>
        <v>1653153.8449999997</v>
      </c>
      <c r="P42">
        <f>IF(ISBLANK($D42),NA(),IFERROR(SUM($D42:$D$177),NA()))</f>
        <v>1747086.6499999997</v>
      </c>
      <c r="Q42">
        <f t="shared" si="9"/>
        <v>3400240.4949999992</v>
      </c>
      <c r="R42">
        <f t="shared" si="10"/>
        <v>35.966254733990517</v>
      </c>
      <c r="S42">
        <f t="shared" si="11"/>
        <v>48.618732922889919</v>
      </c>
      <c r="T42">
        <f>IF(ISBLANK($E42),NA(),IFERROR(SUM($E42:$E$177),NA()))</f>
        <v>1157185.2690000001</v>
      </c>
      <c r="U42">
        <f>IF(ISBLANK($F42),NA(),IFERROR(SUM($F42:$F$177),NA()))</f>
        <v>1498345.1640000001</v>
      </c>
      <c r="V42">
        <f>IF(ISBLANK($G42),NA(),IFERROR(SUM($G42:$G$177),NA()))</f>
        <v>1493694.0079999999</v>
      </c>
      <c r="W42">
        <f t="shared" si="12"/>
        <v>2992039.1720000003</v>
      </c>
      <c r="X42">
        <f t="shared" si="13"/>
        <v>38.675471893186831</v>
      </c>
      <c r="Y42">
        <f t="shared" si="14"/>
        <v>50.077725519831532</v>
      </c>
      <c r="Z42" t="e">
        <f>IF(ISBLANK($H42),NA(),IFERROR(SUM($H42:$H$177),NA()))</f>
        <v>#N/A</v>
      </c>
      <c r="AA42" t="e">
        <f>IF(ISBLANK($I42),NA(),IFERROR(SUM($I42:$I$177),NA()))</f>
        <v>#N/A</v>
      </c>
      <c r="AB42" t="e">
        <f>IF(ISBLANK($J42),NA(),IFERROR(SUM($J42:$J$177),NA()))</f>
        <v>#N/A</v>
      </c>
      <c r="AC42" t="str">
        <f t="shared" si="15"/>
        <v/>
      </c>
      <c r="AD42" t="e">
        <f t="shared" si="16"/>
        <v>#N/A</v>
      </c>
      <c r="AE42" t="e">
        <f t="shared" si="17"/>
        <v>#N/A</v>
      </c>
    </row>
    <row r="43" spans="1:31" x14ac:dyDescent="0.35">
      <c r="A43">
        <v>1890</v>
      </c>
      <c r="B43">
        <v>3545.4560000000001</v>
      </c>
      <c r="C43">
        <v>4901.2560000000003</v>
      </c>
      <c r="D43">
        <v>2509.694</v>
      </c>
      <c r="E43">
        <v>3359.5050000000001</v>
      </c>
      <c r="F43">
        <v>4125.0810000000001</v>
      </c>
      <c r="G43">
        <v>2044.5540000000001</v>
      </c>
      <c r="N43">
        <f>IF(ISBLANK($B43),NA(),IFERROR(SUM($B43:$B$177),NA()))</f>
        <v>1219596.67</v>
      </c>
      <c r="O43">
        <f>IF(ISBLANK($C43),NA(),IFERROR(SUM($C43:$C$177),NA()))</f>
        <v>1648574.2039999997</v>
      </c>
      <c r="P43">
        <f>IF(ISBLANK($D43),NA(),IFERROR(SUM($D43:$D$177),NA()))</f>
        <v>1744677.8579999998</v>
      </c>
      <c r="Q43">
        <f t="shared" si="9"/>
        <v>3393252.0619999995</v>
      </c>
      <c r="R43">
        <f t="shared" si="10"/>
        <v>35.941823587404336</v>
      </c>
      <c r="S43">
        <f t="shared" si="11"/>
        <v>48.583900455314897</v>
      </c>
      <c r="T43">
        <f>IF(ISBLANK($E43),NA(),IFERROR(SUM($E43:$E$177),NA()))</f>
        <v>1153935.5520000001</v>
      </c>
      <c r="U43">
        <f>IF(ISBLANK($F43),NA(),IFERROR(SUM($F43:$F$177),NA()))</f>
        <v>1494343.3950000003</v>
      </c>
      <c r="V43">
        <f>IF(ISBLANK($G43),NA(),IFERROR(SUM($G43:$G$177),NA()))</f>
        <v>1491666.6910000001</v>
      </c>
      <c r="W43">
        <f t="shared" si="12"/>
        <v>2986010.0860000001</v>
      </c>
      <c r="X43">
        <f t="shared" si="13"/>
        <v>38.644730552326742</v>
      </c>
      <c r="Y43">
        <f t="shared" si="14"/>
        <v>50.044820746127918</v>
      </c>
      <c r="Z43" t="e">
        <f>IF(ISBLANK($H43),NA(),IFERROR(SUM($H43:$H$177),NA()))</f>
        <v>#N/A</v>
      </c>
      <c r="AA43" t="e">
        <f>IF(ISBLANK($I43),NA(),IFERROR(SUM($I43:$I$177),NA()))</f>
        <v>#N/A</v>
      </c>
      <c r="AB43" t="e">
        <f>IF(ISBLANK($J43),NA(),IFERROR(SUM($J43:$J$177),NA()))</f>
        <v>#N/A</v>
      </c>
      <c r="AC43" t="str">
        <f t="shared" si="15"/>
        <v/>
      </c>
      <c r="AD43" t="e">
        <f t="shared" si="16"/>
        <v>#N/A</v>
      </c>
      <c r="AE43" t="e">
        <f t="shared" si="17"/>
        <v>#N/A</v>
      </c>
    </row>
    <row r="44" spans="1:31" x14ac:dyDescent="0.35">
      <c r="A44">
        <v>1891</v>
      </c>
      <c r="B44">
        <v>3640.0210000000002</v>
      </c>
      <c r="C44">
        <v>5026.5789999999997</v>
      </c>
      <c r="D44">
        <v>2558.6889999999999</v>
      </c>
      <c r="E44">
        <v>3411.9369999999999</v>
      </c>
      <c r="F44">
        <v>4191.4520000000002</v>
      </c>
      <c r="G44">
        <v>2050.0279999999998</v>
      </c>
      <c r="N44">
        <f>IF(ISBLANK($B44),NA(),IFERROR(SUM($B44:$B$177),NA()))</f>
        <v>1216051.2139999999</v>
      </c>
      <c r="O44">
        <f>IF(ISBLANK($C44),NA(),IFERROR(SUM($C44:$C$177),NA()))</f>
        <v>1643672.9479999996</v>
      </c>
      <c r="P44">
        <f>IF(ISBLANK($D44),NA(),IFERROR(SUM($D44:$D$177),NA()))</f>
        <v>1742168.1639999996</v>
      </c>
      <c r="Q44">
        <f t="shared" si="9"/>
        <v>3385841.1119999993</v>
      </c>
      <c r="R44">
        <f t="shared" si="10"/>
        <v>35.915779086328257</v>
      </c>
      <c r="S44">
        <f t="shared" si="11"/>
        <v>48.545483784650791</v>
      </c>
      <c r="T44">
        <f>IF(ISBLANK($E44),NA(),IFERROR(SUM($E44:$E$177),NA()))</f>
        <v>1150576.047</v>
      </c>
      <c r="U44">
        <f>IF(ISBLANK($F44),NA(),IFERROR(SUM($F44:$F$177),NA()))</f>
        <v>1490218.3140000002</v>
      </c>
      <c r="V44">
        <f>IF(ISBLANK($G44),NA(),IFERROR(SUM($G44:$G$177),NA()))</f>
        <v>1489622.1370000001</v>
      </c>
      <c r="W44">
        <f t="shared" si="12"/>
        <v>2979840.4510000004</v>
      </c>
      <c r="X44">
        <f t="shared" si="13"/>
        <v>38.612001747069371</v>
      </c>
      <c r="Y44">
        <f t="shared" si="14"/>
        <v>50.010003505385669</v>
      </c>
      <c r="Z44" t="e">
        <f>IF(ISBLANK($H44),NA(),IFERROR(SUM($H44:$H$177),NA()))</f>
        <v>#N/A</v>
      </c>
      <c r="AA44" t="e">
        <f>IF(ISBLANK($I44),NA(),IFERROR(SUM($I44:$I$177),NA()))</f>
        <v>#N/A</v>
      </c>
      <c r="AB44" t="e">
        <f>IF(ISBLANK($J44),NA(),IFERROR(SUM($J44:$J$177),NA()))</f>
        <v>#N/A</v>
      </c>
      <c r="AC44" t="str">
        <f t="shared" si="15"/>
        <v/>
      </c>
      <c r="AD44" t="e">
        <f t="shared" si="16"/>
        <v>#N/A</v>
      </c>
      <c r="AE44" t="e">
        <f t="shared" si="17"/>
        <v>#N/A</v>
      </c>
    </row>
    <row r="45" spans="1:31" x14ac:dyDescent="0.35">
      <c r="A45">
        <v>1892</v>
      </c>
      <c r="B45">
        <v>3646.808</v>
      </c>
      <c r="C45">
        <v>5050.6440000000002</v>
      </c>
      <c r="D45">
        <v>2537.3989999999999</v>
      </c>
      <c r="E45">
        <v>3474.1950000000002</v>
      </c>
      <c r="F45">
        <v>4258.0870000000004</v>
      </c>
      <c r="G45">
        <v>2061.2040000000002</v>
      </c>
      <c r="N45">
        <f>IF(ISBLANK($B45),NA(),IFERROR(SUM($B45:$B$177),NA()))</f>
        <v>1212411.193</v>
      </c>
      <c r="O45">
        <f>IF(ISBLANK($C45),NA(),IFERROR(SUM($C45:$C$177),NA()))</f>
        <v>1638646.3689999997</v>
      </c>
      <c r="P45">
        <f>IF(ISBLANK($D45),NA(),IFERROR(SUM($D45:$D$177),NA()))</f>
        <v>1739609.4749999999</v>
      </c>
      <c r="Q45">
        <f t="shared" si="9"/>
        <v>3378255.8439999996</v>
      </c>
      <c r="R45">
        <f t="shared" si="10"/>
        <v>35.888673001286165</v>
      </c>
      <c r="S45">
        <f t="shared" si="11"/>
        <v>48.50569183237976</v>
      </c>
      <c r="T45">
        <f>IF(ISBLANK($E45),NA(),IFERROR(SUM($E45:$E$177),NA()))</f>
        <v>1147164.1100000001</v>
      </c>
      <c r="U45">
        <f>IF(ISBLANK($F45),NA(),IFERROR(SUM($F45:$F$177),NA()))</f>
        <v>1486026.8620000002</v>
      </c>
      <c r="V45">
        <f>IF(ISBLANK($G45),NA(),IFERROR(SUM($G45:$G$177),NA()))</f>
        <v>1487572.1090000002</v>
      </c>
      <c r="W45">
        <f t="shared" si="12"/>
        <v>2973598.9710000004</v>
      </c>
      <c r="X45">
        <f t="shared" si="13"/>
        <v>38.578305991753048</v>
      </c>
      <c r="Y45">
        <f t="shared" si="14"/>
        <v>49.974017226010133</v>
      </c>
      <c r="Z45" t="e">
        <f>IF(ISBLANK($H45),NA(),IFERROR(SUM($H45:$H$177),NA()))</f>
        <v>#N/A</v>
      </c>
      <c r="AA45" t="e">
        <f>IF(ISBLANK($I45),NA(),IFERROR(SUM($I45:$I$177),NA()))</f>
        <v>#N/A</v>
      </c>
      <c r="AB45" t="e">
        <f>IF(ISBLANK($J45),NA(),IFERROR(SUM($J45:$J$177),NA()))</f>
        <v>#N/A</v>
      </c>
      <c r="AC45" t="str">
        <f t="shared" si="15"/>
        <v/>
      </c>
      <c r="AD45" t="e">
        <f t="shared" si="16"/>
        <v>#N/A</v>
      </c>
      <c r="AE45" t="e">
        <f t="shared" si="17"/>
        <v>#N/A</v>
      </c>
    </row>
    <row r="46" spans="1:31" x14ac:dyDescent="0.35">
      <c r="A46">
        <v>1893</v>
      </c>
      <c r="B46">
        <v>3653.16</v>
      </c>
      <c r="C46">
        <v>5065.5110000000004</v>
      </c>
      <c r="D46">
        <v>2553.3040000000001</v>
      </c>
      <c r="E46">
        <v>3448.4670000000001</v>
      </c>
      <c r="F46">
        <v>4246.7299999999996</v>
      </c>
      <c r="G46">
        <v>2072.2640000000001</v>
      </c>
      <c r="N46">
        <f>IF(ISBLANK($B46),NA(),IFERROR(SUM($B46:$B$177),NA()))</f>
        <v>1208764.3850000002</v>
      </c>
      <c r="O46">
        <f>IF(ISBLANK($C46),NA(),IFERROR(SUM($C46:$C$177),NA()))</f>
        <v>1633595.7249999996</v>
      </c>
      <c r="P46">
        <f>IF(ISBLANK($D46),NA(),IFERROR(SUM($D46:$D$177),NA()))</f>
        <v>1737072.0759999997</v>
      </c>
      <c r="Q46">
        <f t="shared" si="9"/>
        <v>3370667.800999999</v>
      </c>
      <c r="R46">
        <f t="shared" si="10"/>
        <v>35.861273087825147</v>
      </c>
      <c r="S46">
        <f t="shared" si="11"/>
        <v>48.465046733924645</v>
      </c>
      <c r="T46">
        <f>IF(ISBLANK($E46),NA(),IFERROR(SUM($E46:$E$177),NA()))</f>
        <v>1143689.915</v>
      </c>
      <c r="U46">
        <f>IF(ISBLANK($F46),NA(),IFERROR(SUM($F46:$F$177),NA()))</f>
        <v>1481768.7750000001</v>
      </c>
      <c r="V46">
        <f>IF(ISBLANK($G46),NA(),IFERROR(SUM($G46:$G$177),NA()))</f>
        <v>1485510.9049999998</v>
      </c>
      <c r="W46">
        <f t="shared" si="12"/>
        <v>2967279.6799999997</v>
      </c>
      <c r="X46">
        <f t="shared" si="13"/>
        <v>38.543381087690399</v>
      </c>
      <c r="Y46">
        <f t="shared" si="14"/>
        <v>49.936943422872773</v>
      </c>
      <c r="Z46" t="e">
        <f>IF(ISBLANK($H46),NA(),IFERROR(SUM($H46:$H$177),NA()))</f>
        <v>#N/A</v>
      </c>
      <c r="AA46" t="e">
        <f>IF(ISBLANK($I46),NA(),IFERROR(SUM($I46:$I$177),NA()))</f>
        <v>#N/A</v>
      </c>
      <c r="AB46" t="e">
        <f>IF(ISBLANK($J46),NA(),IFERROR(SUM($J46:$J$177),NA()))</f>
        <v>#N/A</v>
      </c>
      <c r="AC46" t="str">
        <f t="shared" si="15"/>
        <v/>
      </c>
      <c r="AD46" t="e">
        <f t="shared" si="16"/>
        <v>#N/A</v>
      </c>
      <c r="AE46" t="e">
        <f t="shared" si="17"/>
        <v>#N/A</v>
      </c>
    </row>
    <row r="47" spans="1:31" x14ac:dyDescent="0.35">
      <c r="A47">
        <v>1894</v>
      </c>
      <c r="B47">
        <v>3718.3719999999998</v>
      </c>
      <c r="C47">
        <v>5186.4070000000002</v>
      </c>
      <c r="D47">
        <v>2589.4059999999999</v>
      </c>
      <c r="E47">
        <v>3514.8090000000002</v>
      </c>
      <c r="F47">
        <v>4319.5929999999998</v>
      </c>
      <c r="G47">
        <v>2137.7220000000002</v>
      </c>
      <c r="N47">
        <f>IF(ISBLANK($B47),NA(),IFERROR(SUM($B47:$B$177),NA()))</f>
        <v>1205111.2250000001</v>
      </c>
      <c r="O47">
        <f>IF(ISBLANK($C47),NA(),IFERROR(SUM($C47:$C$177),NA()))</f>
        <v>1628530.2139999997</v>
      </c>
      <c r="P47">
        <f>IF(ISBLANK($D47),NA(),IFERROR(SUM($D47:$D$177),NA()))</f>
        <v>1734518.7719999996</v>
      </c>
      <c r="Q47">
        <f t="shared" si="9"/>
        <v>3363048.9859999996</v>
      </c>
      <c r="R47">
        <f t="shared" si="10"/>
        <v>35.833888534384862</v>
      </c>
      <c r="S47">
        <f t="shared" si="11"/>
        <v>48.424219236157143</v>
      </c>
      <c r="T47">
        <f>IF(ISBLANK($E47),NA(),IFERROR(SUM($E47:$E$177),NA()))</f>
        <v>1140241.4480000001</v>
      </c>
      <c r="U47">
        <f>IF(ISBLANK($F47),NA(),IFERROR(SUM($F47:$F$177),NA()))</f>
        <v>1477522.0449999999</v>
      </c>
      <c r="V47">
        <f>IF(ISBLANK($G47),NA(),IFERROR(SUM($G47:$G$177),NA()))</f>
        <v>1483438.6409999998</v>
      </c>
      <c r="W47">
        <f t="shared" si="12"/>
        <v>2960960.6859999998</v>
      </c>
      <c r="X47">
        <f t="shared" si="13"/>
        <v>38.509172154540394</v>
      </c>
      <c r="Y47">
        <f t="shared" si="14"/>
        <v>49.900089926421941</v>
      </c>
      <c r="Z47" t="e">
        <f>IF(ISBLANK($H47),NA(),IFERROR(SUM($H47:$H$177),NA()))</f>
        <v>#N/A</v>
      </c>
      <c r="AA47" t="e">
        <f>IF(ISBLANK($I47),NA(),IFERROR(SUM($I47:$I$177),NA()))</f>
        <v>#N/A</v>
      </c>
      <c r="AB47" t="e">
        <f>IF(ISBLANK($J47),NA(),IFERROR(SUM($J47:$J$177),NA()))</f>
        <v>#N/A</v>
      </c>
      <c r="AC47" t="str">
        <f t="shared" si="15"/>
        <v/>
      </c>
      <c r="AD47" t="e">
        <f t="shared" si="16"/>
        <v>#N/A</v>
      </c>
      <c r="AE47" t="e">
        <f t="shared" si="17"/>
        <v>#N/A</v>
      </c>
    </row>
    <row r="48" spans="1:31" x14ac:dyDescent="0.35">
      <c r="A48">
        <v>1895</v>
      </c>
      <c r="B48">
        <v>3801.4540000000002</v>
      </c>
      <c r="C48">
        <v>5263.0460000000003</v>
      </c>
      <c r="D48">
        <v>2609.3870000000002</v>
      </c>
      <c r="E48">
        <v>3608.3989999999999</v>
      </c>
      <c r="F48">
        <v>4430.2759999999998</v>
      </c>
      <c r="G48">
        <v>2158.3290000000002</v>
      </c>
      <c r="N48">
        <f>IF(ISBLANK($B48),NA(),IFERROR(SUM($B48:$B$177),NA()))</f>
        <v>1201392.8530000001</v>
      </c>
      <c r="O48">
        <f>IF(ISBLANK($C48),NA(),IFERROR(SUM($C48:$C$177),NA()))</f>
        <v>1623343.8069999996</v>
      </c>
      <c r="P48">
        <f>IF(ISBLANK($D48),NA(),IFERROR(SUM($D48:$D$177),NA()))</f>
        <v>1731929.3659999997</v>
      </c>
      <c r="Q48">
        <f t="shared" si="9"/>
        <v>3355273.1729999995</v>
      </c>
      <c r="R48">
        <f t="shared" si="10"/>
        <v>35.80611148647003</v>
      </c>
      <c r="S48">
        <f t="shared" si="11"/>
        <v>48.381867087994621</v>
      </c>
      <c r="T48">
        <f>IF(ISBLANK($E48),NA(),IFERROR(SUM($E48:$E$177),NA()))</f>
        <v>1136726.639</v>
      </c>
      <c r="U48">
        <f>IF(ISBLANK($F48),NA(),IFERROR(SUM($F48:$F$177),NA()))</f>
        <v>1473202.452</v>
      </c>
      <c r="V48">
        <f>IF(ISBLANK($G48),NA(),IFERROR(SUM($G48:$G$177),NA()))</f>
        <v>1481300.9189999998</v>
      </c>
      <c r="W48">
        <f t="shared" si="12"/>
        <v>2954503.3709999998</v>
      </c>
      <c r="X48">
        <f t="shared" si="13"/>
        <v>38.474372720558321</v>
      </c>
      <c r="Y48">
        <f t="shared" si="14"/>
        <v>49.862947067864425</v>
      </c>
      <c r="Z48" t="e">
        <f>IF(ISBLANK($H48),NA(),IFERROR(SUM($H48:$H$177),NA()))</f>
        <v>#N/A</v>
      </c>
      <c r="AA48" t="e">
        <f>IF(ISBLANK($I48),NA(),IFERROR(SUM($I48:$I$177),NA()))</f>
        <v>#N/A</v>
      </c>
      <c r="AB48" t="e">
        <f>IF(ISBLANK($J48),NA(),IFERROR(SUM($J48:$J$177),NA()))</f>
        <v>#N/A</v>
      </c>
      <c r="AC48" t="str">
        <f t="shared" si="15"/>
        <v/>
      </c>
      <c r="AD48" t="e">
        <f t="shared" si="16"/>
        <v>#N/A</v>
      </c>
      <c r="AE48" t="e">
        <f t="shared" si="17"/>
        <v>#N/A</v>
      </c>
    </row>
    <row r="49" spans="1:31" x14ac:dyDescent="0.35">
      <c r="A49">
        <v>1896</v>
      </c>
      <c r="B49">
        <v>3865.415</v>
      </c>
      <c r="C49">
        <v>5336.7659999999996</v>
      </c>
      <c r="D49">
        <v>2620.54</v>
      </c>
      <c r="E49">
        <v>3660.1320000000001</v>
      </c>
      <c r="F49">
        <v>4492.6570000000002</v>
      </c>
      <c r="G49">
        <v>2174.9989999999998</v>
      </c>
      <c r="N49">
        <f>IF(ISBLANK($B49),NA(),IFERROR(SUM($B49:$B$177),NA()))</f>
        <v>1197591.3990000002</v>
      </c>
      <c r="O49">
        <f>IF(ISBLANK($C49),NA(),IFERROR(SUM($C49:$C$177),NA()))</f>
        <v>1618080.7609999997</v>
      </c>
      <c r="P49">
        <f>IF(ISBLANK($D49),NA(),IFERROR(SUM($D49:$D$177),NA()))</f>
        <v>1729319.9789999996</v>
      </c>
      <c r="Q49">
        <f t="shared" si="9"/>
        <v>3347400.7399999993</v>
      </c>
      <c r="R49">
        <f t="shared" si="10"/>
        <v>35.776756116747485</v>
      </c>
      <c r="S49">
        <f t="shared" si="11"/>
        <v>48.338423949801722</v>
      </c>
      <c r="T49">
        <f>IF(ISBLANK($E49),NA(),IFERROR(SUM($E49:$E$177),NA()))</f>
        <v>1133118.2400000002</v>
      </c>
      <c r="U49">
        <f>IF(ISBLANK($F49),NA(),IFERROR(SUM($F49:$F$177),NA()))</f>
        <v>1468772.176</v>
      </c>
      <c r="V49">
        <f>IF(ISBLANK($G49),NA(),IFERROR(SUM($G49:$G$177),NA()))</f>
        <v>1479142.5899999999</v>
      </c>
      <c r="W49">
        <f t="shared" si="12"/>
        <v>2947914.7659999998</v>
      </c>
      <c r="X49">
        <f t="shared" si="13"/>
        <v>38.437958012521463</v>
      </c>
      <c r="Y49">
        <f t="shared" si="14"/>
        <v>49.824105938889282</v>
      </c>
      <c r="Z49" t="e">
        <f>IF(ISBLANK($H49),NA(),IFERROR(SUM($H49:$H$177),NA()))</f>
        <v>#N/A</v>
      </c>
      <c r="AA49" t="e">
        <f>IF(ISBLANK($I49),NA(),IFERROR(SUM($I49:$I$177),NA()))</f>
        <v>#N/A</v>
      </c>
      <c r="AB49" t="e">
        <f>IF(ISBLANK($J49),NA(),IFERROR(SUM($J49:$J$177),NA()))</f>
        <v>#N/A</v>
      </c>
      <c r="AC49" t="str">
        <f t="shared" si="15"/>
        <v/>
      </c>
      <c r="AD49" t="e">
        <f t="shared" si="16"/>
        <v>#N/A</v>
      </c>
      <c r="AE49" t="e">
        <f t="shared" si="17"/>
        <v>#N/A</v>
      </c>
    </row>
    <row r="50" spans="1:31" x14ac:dyDescent="0.35">
      <c r="A50">
        <v>1897</v>
      </c>
      <c r="B50">
        <v>3952.9670000000001</v>
      </c>
      <c r="C50">
        <v>5459.826</v>
      </c>
      <c r="D50">
        <v>2665.3919999999998</v>
      </c>
      <c r="E50">
        <v>3740.0259999999998</v>
      </c>
      <c r="F50">
        <v>4590.2079999999996</v>
      </c>
      <c r="G50">
        <v>2193.6570000000002</v>
      </c>
      <c r="N50">
        <f>IF(ISBLANK($B50),NA(),IFERROR(SUM($B50:$B$177),NA()))</f>
        <v>1193725.9840000002</v>
      </c>
      <c r="O50">
        <f>IF(ISBLANK($C50),NA(),IFERROR(SUM($C50:$C$177),NA()))</f>
        <v>1612743.9949999996</v>
      </c>
      <c r="P50">
        <f>IF(ISBLANK($D50),NA(),IFERROR(SUM($D50:$D$177),NA()))</f>
        <v>1726699.4389999995</v>
      </c>
      <c r="Q50">
        <f t="shared" si="9"/>
        <v>3339443.4339999994</v>
      </c>
      <c r="R50">
        <f t="shared" si="10"/>
        <v>35.746255554032551</v>
      </c>
      <c r="S50">
        <f t="shared" si="11"/>
        <v>48.293795863709185</v>
      </c>
      <c r="T50">
        <f>IF(ISBLANK($E50),NA(),IFERROR(SUM($E50:$E$177),NA()))</f>
        <v>1129458.1080000002</v>
      </c>
      <c r="U50">
        <f>IF(ISBLANK($F50),NA(),IFERROR(SUM($F50:$F$177),NA()))</f>
        <v>1464279.5189999999</v>
      </c>
      <c r="V50">
        <f>IF(ISBLANK($G50),NA(),IFERROR(SUM($G50:$G$177),NA()))</f>
        <v>1476967.591</v>
      </c>
      <c r="W50">
        <f t="shared" si="12"/>
        <v>2941247.11</v>
      </c>
      <c r="X50">
        <f t="shared" si="13"/>
        <v>38.400653388147326</v>
      </c>
      <c r="Y50">
        <f t="shared" si="14"/>
        <v>49.784307956362085</v>
      </c>
      <c r="Z50" t="e">
        <f>IF(ISBLANK($H50),NA(),IFERROR(SUM($H50:$H$177),NA()))</f>
        <v>#N/A</v>
      </c>
      <c r="AA50" t="e">
        <f>IF(ISBLANK($I50),NA(),IFERROR(SUM($I50:$I$177),NA()))</f>
        <v>#N/A</v>
      </c>
      <c r="AB50" t="e">
        <f>IF(ISBLANK($J50),NA(),IFERROR(SUM($J50:$J$177),NA()))</f>
        <v>#N/A</v>
      </c>
      <c r="AC50" t="str">
        <f t="shared" si="15"/>
        <v/>
      </c>
      <c r="AD50" t="e">
        <f t="shared" si="16"/>
        <v>#N/A</v>
      </c>
      <c r="AE50" t="e">
        <f t="shared" si="17"/>
        <v>#N/A</v>
      </c>
    </row>
    <row r="51" spans="1:31" x14ac:dyDescent="0.35">
      <c r="A51">
        <v>1898</v>
      </c>
      <c r="B51">
        <v>4053.6370000000002</v>
      </c>
      <c r="C51">
        <v>5595.6909999999998</v>
      </c>
      <c r="D51">
        <v>2659.819</v>
      </c>
      <c r="E51">
        <v>3824.4369999999999</v>
      </c>
      <c r="F51">
        <v>4694.5290000000005</v>
      </c>
      <c r="G51">
        <v>2214.1390000000001</v>
      </c>
      <c r="N51">
        <f>IF(ISBLANK($B51),NA(),IFERROR(SUM($B51:$B$177),NA()))</f>
        <v>1189773.0170000002</v>
      </c>
      <c r="O51">
        <f>IF(ISBLANK($C51),NA(),IFERROR(SUM($C51:$C$177),NA()))</f>
        <v>1607284.1689999998</v>
      </c>
      <c r="P51">
        <f>IF(ISBLANK($D51),NA(),IFERROR(SUM($D51:$D$177),NA()))</f>
        <v>1724034.0469999996</v>
      </c>
      <c r="Q51">
        <f t="shared" si="9"/>
        <v>3331318.2159999991</v>
      </c>
      <c r="R51">
        <f t="shared" si="10"/>
        <v>35.714781352487904</v>
      </c>
      <c r="S51">
        <f t="shared" si="11"/>
        <v>48.247692498434084</v>
      </c>
      <c r="T51">
        <f>IF(ISBLANK($E51),NA(),IFERROR(SUM($E51:$E$177),NA()))</f>
        <v>1125718.0820000002</v>
      </c>
      <c r="U51">
        <f>IF(ISBLANK($F51),NA(),IFERROR(SUM($F51:$F$177),NA()))</f>
        <v>1459689.311</v>
      </c>
      <c r="V51">
        <f>IF(ISBLANK($G51),NA(),IFERROR(SUM($G51:$G$177),NA()))</f>
        <v>1474773.9339999999</v>
      </c>
      <c r="W51">
        <f t="shared" si="12"/>
        <v>2934463.2450000001</v>
      </c>
      <c r="X51">
        <f t="shared" si="13"/>
        <v>38.361975871331801</v>
      </c>
      <c r="Y51">
        <f t="shared" si="14"/>
        <v>49.742974749714399</v>
      </c>
      <c r="Z51" t="e">
        <f>IF(ISBLANK($H51),NA(),IFERROR(SUM($H51:$H$177),NA()))</f>
        <v>#N/A</v>
      </c>
      <c r="AA51" t="e">
        <f>IF(ISBLANK($I51),NA(),IFERROR(SUM($I51:$I$177),NA()))</f>
        <v>#N/A</v>
      </c>
      <c r="AB51" t="e">
        <f>IF(ISBLANK($J51),NA(),IFERROR(SUM($J51:$J$177),NA()))</f>
        <v>#N/A</v>
      </c>
      <c r="AC51" t="str">
        <f t="shared" si="15"/>
        <v/>
      </c>
      <c r="AD51" t="e">
        <f t="shared" si="16"/>
        <v>#N/A</v>
      </c>
      <c r="AE51" t="e">
        <f t="shared" si="17"/>
        <v>#N/A</v>
      </c>
    </row>
    <row r="52" spans="1:31" x14ac:dyDescent="0.35">
      <c r="A52">
        <v>1899</v>
      </c>
      <c r="B52">
        <v>4237.4870000000001</v>
      </c>
      <c r="C52">
        <v>5794.2809999999999</v>
      </c>
      <c r="D52">
        <v>2689.0630000000001</v>
      </c>
      <c r="E52">
        <v>3995.2910000000002</v>
      </c>
      <c r="F52">
        <v>4883.24</v>
      </c>
      <c r="G52">
        <v>2231.5070000000001</v>
      </c>
      <c r="N52">
        <f>IF(ISBLANK($B52),NA(),IFERROR(SUM($B52:$B$177),NA()))</f>
        <v>1185719.3800000001</v>
      </c>
      <c r="O52">
        <f>IF(ISBLANK($C52),NA(),IFERROR(SUM($C52:$C$177),NA()))</f>
        <v>1601688.4779999997</v>
      </c>
      <c r="P52">
        <f>IF(ISBLANK($D52),NA(),IFERROR(SUM($D52:$D$177),NA()))</f>
        <v>1721374.2279999994</v>
      </c>
      <c r="Q52">
        <f t="shared" si="9"/>
        <v>3323062.7059999993</v>
      </c>
      <c r="R52">
        <f t="shared" si="10"/>
        <v>35.681522887278319</v>
      </c>
      <c r="S52">
        <f t="shared" si="11"/>
        <v>48.199165038566683</v>
      </c>
      <c r="T52">
        <f>IF(ISBLANK($E52),NA(),IFERROR(SUM($E52:$E$177),NA()))</f>
        <v>1121893.6450000003</v>
      </c>
      <c r="U52">
        <f>IF(ISBLANK($F52),NA(),IFERROR(SUM($F52:$F$177),NA()))</f>
        <v>1454994.7819999999</v>
      </c>
      <c r="V52">
        <f>IF(ISBLANK($G52),NA(),IFERROR(SUM($G52:$G$177),NA()))</f>
        <v>1472559.7949999999</v>
      </c>
      <c r="W52">
        <f t="shared" si="12"/>
        <v>2927554.5769999996</v>
      </c>
      <c r="X52">
        <f t="shared" si="13"/>
        <v>38.321869515739529</v>
      </c>
      <c r="Y52">
        <f t="shared" si="14"/>
        <v>49.700005370728228</v>
      </c>
      <c r="Z52" t="e">
        <f>IF(ISBLANK($H52),NA(),IFERROR(SUM($H52:$H$177),NA()))</f>
        <v>#N/A</v>
      </c>
      <c r="AA52" t="e">
        <f>IF(ISBLANK($I52),NA(),IFERROR(SUM($I52:$I$177),NA()))</f>
        <v>#N/A</v>
      </c>
      <c r="AB52" t="e">
        <f>IF(ISBLANK($J52),NA(),IFERROR(SUM($J52:$J$177),NA()))</f>
        <v>#N/A</v>
      </c>
      <c r="AC52" t="str">
        <f t="shared" si="15"/>
        <v/>
      </c>
      <c r="AD52" t="e">
        <f t="shared" si="16"/>
        <v>#N/A</v>
      </c>
      <c r="AE52" t="e">
        <f t="shared" si="17"/>
        <v>#N/A</v>
      </c>
    </row>
    <row r="53" spans="1:31" x14ac:dyDescent="0.35">
      <c r="A53">
        <v>1900</v>
      </c>
      <c r="B53">
        <v>4329.4489999999996</v>
      </c>
      <c r="C53">
        <v>5937.6170000000002</v>
      </c>
      <c r="D53">
        <v>2707.2579999999998</v>
      </c>
      <c r="E53">
        <v>4105.415</v>
      </c>
      <c r="F53">
        <v>5010.7150000000001</v>
      </c>
      <c r="G53">
        <v>2245.4969999999998</v>
      </c>
      <c r="N53">
        <f>IF(ISBLANK($B53),NA(),IFERROR(SUM($B53:$B$177),NA()))</f>
        <v>1181481.8930000002</v>
      </c>
      <c r="O53">
        <f>IF(ISBLANK($C53),NA(),IFERROR(SUM($C53:$C$177),NA()))</f>
        <v>1595894.1969999997</v>
      </c>
      <c r="P53">
        <f>IF(ISBLANK($D53),NA(),IFERROR(SUM($D53:$D$177),NA()))</f>
        <v>1718685.1649999998</v>
      </c>
      <c r="Q53">
        <f t="shared" si="9"/>
        <v>3314579.3619999997</v>
      </c>
      <c r="R53">
        <f t="shared" si="10"/>
        <v>35.645002395932984</v>
      </c>
      <c r="S53">
        <f t="shared" si="11"/>
        <v>48.147714165366843</v>
      </c>
      <c r="T53">
        <f>IF(ISBLANK($E53),NA(),IFERROR(SUM($E53:$E$177),NA()))</f>
        <v>1117898.3540000001</v>
      </c>
      <c r="U53">
        <f>IF(ISBLANK($F53),NA(),IFERROR(SUM($F53:$F$177),NA()))</f>
        <v>1450111.5419999999</v>
      </c>
      <c r="V53">
        <f>IF(ISBLANK($G53),NA(),IFERROR(SUM($G53:$G$177),NA()))</f>
        <v>1470328.2880000002</v>
      </c>
      <c r="W53">
        <f t="shared" si="12"/>
        <v>2920439.83</v>
      </c>
      <c r="X53">
        <f t="shared" si="13"/>
        <v>38.278424452251087</v>
      </c>
      <c r="Y53">
        <f t="shared" si="14"/>
        <v>49.653874978139847</v>
      </c>
      <c r="Z53" t="e">
        <f>IF(ISBLANK($H53),NA(),IFERROR(SUM($H53:$H$177),NA()))</f>
        <v>#N/A</v>
      </c>
      <c r="AA53" t="e">
        <f>IF(ISBLANK($I53),NA(),IFERROR(SUM($I53:$I$177),NA()))</f>
        <v>#N/A</v>
      </c>
      <c r="AB53" t="e">
        <f>IF(ISBLANK($J53),NA(),IFERROR(SUM($J53:$J$177),NA()))</f>
        <v>#N/A</v>
      </c>
      <c r="AC53" t="str">
        <f t="shared" si="15"/>
        <v/>
      </c>
      <c r="AD53" t="e">
        <f t="shared" si="16"/>
        <v>#N/A</v>
      </c>
      <c r="AE53" t="e">
        <f t="shared" si="17"/>
        <v>#N/A</v>
      </c>
    </row>
    <row r="54" spans="1:31" x14ac:dyDescent="0.35">
      <c r="A54">
        <v>1901</v>
      </c>
      <c r="B54">
        <v>4358.03</v>
      </c>
      <c r="C54">
        <v>6043.1149999999998</v>
      </c>
      <c r="D54">
        <v>2813.0079999999998</v>
      </c>
      <c r="E54">
        <v>4162.3519999999999</v>
      </c>
      <c r="F54">
        <v>5089.8530000000001</v>
      </c>
      <c r="G54">
        <v>2497.8069999999998</v>
      </c>
      <c r="N54">
        <f>IF(ISBLANK($B54),NA(),IFERROR(SUM($B54:$B$177),NA()))</f>
        <v>1177152.4440000001</v>
      </c>
      <c r="O54">
        <f>IF(ISBLANK($C54),NA(),IFERROR(SUM($C54:$C$177),NA()))</f>
        <v>1589956.5799999998</v>
      </c>
      <c r="P54">
        <f>IF(ISBLANK($D54),NA(),IFERROR(SUM($D54:$D$177),NA()))</f>
        <v>1715977.9069999994</v>
      </c>
      <c r="Q54">
        <f t="shared" si="9"/>
        <v>3305934.4869999993</v>
      </c>
      <c r="R54">
        <f t="shared" si="10"/>
        <v>35.607252612807159</v>
      </c>
      <c r="S54">
        <f t="shared" si="11"/>
        <v>48.094013546010125</v>
      </c>
      <c r="T54">
        <f>IF(ISBLANK($E54),NA(),IFERROR(SUM($E54:$E$177),NA()))</f>
        <v>1113792.9390000002</v>
      </c>
      <c r="U54">
        <f>IF(ISBLANK($F54),NA(),IFERROR(SUM($F54:$F$177),NA()))</f>
        <v>1445100.827</v>
      </c>
      <c r="V54">
        <f>IF(ISBLANK($G54),NA(),IFERROR(SUM($G54:$G$177),NA()))</f>
        <v>1468082.7910000002</v>
      </c>
      <c r="W54">
        <f t="shared" si="12"/>
        <v>2913183.6180000002</v>
      </c>
      <c r="X54">
        <f t="shared" si="13"/>
        <v>38.232843687506971</v>
      </c>
      <c r="Y54">
        <f t="shared" si="14"/>
        <v>49.605552429685531</v>
      </c>
      <c r="Z54" t="e">
        <f>IF(ISBLANK($H54),NA(),IFERROR(SUM($H54:$H$177),NA()))</f>
        <v>#N/A</v>
      </c>
      <c r="AA54" t="e">
        <f>IF(ISBLANK($I54),NA(),IFERROR(SUM($I54:$I$177),NA()))</f>
        <v>#N/A</v>
      </c>
      <c r="AB54" t="e">
        <f>IF(ISBLANK($J54),NA(),IFERROR(SUM($J54:$J$177),NA()))</f>
        <v>#N/A</v>
      </c>
      <c r="AC54" t="str">
        <f t="shared" si="15"/>
        <v/>
      </c>
      <c r="AD54" t="e">
        <f t="shared" si="16"/>
        <v>#N/A</v>
      </c>
      <c r="AE54" t="e">
        <f t="shared" si="17"/>
        <v>#N/A</v>
      </c>
    </row>
    <row r="55" spans="1:31" x14ac:dyDescent="0.35">
      <c r="A55">
        <v>1902</v>
      </c>
      <c r="B55">
        <v>4426.9309999999996</v>
      </c>
      <c r="C55">
        <v>6127.1940000000004</v>
      </c>
      <c r="D55">
        <v>2843.6950000000002</v>
      </c>
      <c r="E55">
        <v>4105.3100000000004</v>
      </c>
      <c r="F55">
        <v>5035.357</v>
      </c>
      <c r="G55">
        <v>2639.8119999999999</v>
      </c>
      <c r="N55">
        <f>IF(ISBLANK($B55),NA(),IFERROR(SUM($B55:$B$177),NA()))</f>
        <v>1172794.4140000001</v>
      </c>
      <c r="O55">
        <f>IF(ISBLANK($C55),NA(),IFERROR(SUM($C55:$C$177),NA()))</f>
        <v>1583913.4649999996</v>
      </c>
      <c r="P55">
        <f>IF(ISBLANK($D55),NA(),IFERROR(SUM($D55:$D$177),NA()))</f>
        <v>1713164.8989999995</v>
      </c>
      <c r="Q55">
        <f t="shared" si="9"/>
        <v>3297078.3639999991</v>
      </c>
      <c r="R55">
        <f t="shared" si="10"/>
        <v>35.570716996158133</v>
      </c>
      <c r="S55">
        <f t="shared" si="11"/>
        <v>48.039909584630067</v>
      </c>
      <c r="T55">
        <f>IF(ISBLANK($E55),NA(),IFERROR(SUM($E55:$E$177),NA()))</f>
        <v>1109630.5870000001</v>
      </c>
      <c r="U55">
        <f>IF(ISBLANK($F55),NA(),IFERROR(SUM($F55:$F$177),NA()))</f>
        <v>1440010.9739999999</v>
      </c>
      <c r="V55">
        <f>IF(ISBLANK($G55),NA(),IFERROR(SUM($G55:$G$177),NA()))</f>
        <v>1465584.9840000002</v>
      </c>
      <c r="W55">
        <f t="shared" si="12"/>
        <v>2905595.9580000001</v>
      </c>
      <c r="X55">
        <f t="shared" si="13"/>
        <v>38.189431808123409</v>
      </c>
      <c r="Y55">
        <f t="shared" si="14"/>
        <v>49.559917993250451</v>
      </c>
      <c r="Z55" t="e">
        <f>IF(ISBLANK($H55),NA(),IFERROR(SUM($H55:$H$177),NA()))</f>
        <v>#N/A</v>
      </c>
      <c r="AA55" t="e">
        <f>IF(ISBLANK($I55),NA(),IFERROR(SUM($I55:$I$177),NA()))</f>
        <v>#N/A</v>
      </c>
      <c r="AB55" t="e">
        <f>IF(ISBLANK($J55),NA(),IFERROR(SUM($J55:$J$177),NA()))</f>
        <v>#N/A</v>
      </c>
      <c r="AC55" t="str">
        <f t="shared" si="15"/>
        <v/>
      </c>
      <c r="AD55" t="e">
        <f t="shared" si="16"/>
        <v>#N/A</v>
      </c>
      <c r="AE55" t="e">
        <f t="shared" si="17"/>
        <v>#N/A</v>
      </c>
    </row>
    <row r="56" spans="1:31" x14ac:dyDescent="0.35">
      <c r="A56">
        <v>1903</v>
      </c>
      <c r="B56">
        <v>4618.2060000000001</v>
      </c>
      <c r="C56">
        <v>6363.97</v>
      </c>
      <c r="D56">
        <v>2868.7269999999999</v>
      </c>
      <c r="E56">
        <v>4295.3519999999999</v>
      </c>
      <c r="F56">
        <v>5235.5479999999998</v>
      </c>
      <c r="G56">
        <v>2779.07</v>
      </c>
      <c r="N56">
        <f>IF(ISBLANK($B56),NA(),IFERROR(SUM($B56:$B$177),NA()))</f>
        <v>1168367.4830000002</v>
      </c>
      <c r="O56">
        <f>IF(ISBLANK($C56),NA(),IFERROR(SUM($C56:$C$177),NA()))</f>
        <v>1577786.2709999995</v>
      </c>
      <c r="P56">
        <f>IF(ISBLANK($D56),NA(),IFERROR(SUM($D56:$D$177),NA()))</f>
        <v>1710321.2039999997</v>
      </c>
      <c r="Q56">
        <f t="shared" si="9"/>
        <v>3288107.4749999992</v>
      </c>
      <c r="R56">
        <f t="shared" si="10"/>
        <v>35.533129372542803</v>
      </c>
      <c r="S56">
        <f t="shared" si="11"/>
        <v>47.984631980437314</v>
      </c>
      <c r="T56">
        <f>IF(ISBLANK($E56),NA(),IFERROR(SUM($E56:$E$177),NA()))</f>
        <v>1105525.2770000002</v>
      </c>
      <c r="U56">
        <f>IF(ISBLANK($F56),NA(),IFERROR(SUM($F56:$F$177),NA()))</f>
        <v>1434975.6170000001</v>
      </c>
      <c r="V56">
        <f>IF(ISBLANK($G56),NA(),IFERROR(SUM($G56:$G$177),NA()))</f>
        <v>1462945.1719999998</v>
      </c>
      <c r="W56">
        <f t="shared" si="12"/>
        <v>2897920.7889999999</v>
      </c>
      <c r="X56">
        <f t="shared" si="13"/>
        <v>38.148912875616915</v>
      </c>
      <c r="Y56">
        <f t="shared" si="14"/>
        <v>49.517420298267517</v>
      </c>
      <c r="Z56" t="e">
        <f>IF(ISBLANK($H56),NA(),IFERROR(SUM($H56:$H$177),NA()))</f>
        <v>#N/A</v>
      </c>
      <c r="AA56" t="e">
        <f>IF(ISBLANK($I56),NA(),IFERROR(SUM($I56:$I$177),NA()))</f>
        <v>#N/A</v>
      </c>
      <c r="AB56" t="e">
        <f>IF(ISBLANK($J56),NA(),IFERROR(SUM($J56:$J$177),NA()))</f>
        <v>#N/A</v>
      </c>
      <c r="AC56" t="str">
        <f t="shared" si="15"/>
        <v/>
      </c>
      <c r="AD56" t="e">
        <f t="shared" si="16"/>
        <v>#N/A</v>
      </c>
      <c r="AE56" t="e">
        <f t="shared" si="17"/>
        <v>#N/A</v>
      </c>
    </row>
    <row r="57" spans="1:31" x14ac:dyDescent="0.35">
      <c r="A57">
        <v>1904</v>
      </c>
      <c r="B57">
        <v>4667.5540000000001</v>
      </c>
      <c r="C57">
        <v>6456.2979999999998</v>
      </c>
      <c r="D57">
        <v>2930.64</v>
      </c>
      <c r="E57">
        <v>4281.8220000000001</v>
      </c>
      <c r="F57">
        <v>5241.0649999999996</v>
      </c>
      <c r="G57">
        <v>2913.0410000000002</v>
      </c>
      <c r="N57">
        <f>IF(ISBLANK($B57),NA(),IFERROR(SUM($B57:$B$177),NA()))</f>
        <v>1163749.277</v>
      </c>
      <c r="O57">
        <f>IF(ISBLANK($C57),NA(),IFERROR(SUM($C57:$C$177),NA()))</f>
        <v>1571422.3009999995</v>
      </c>
      <c r="P57">
        <f>IF(ISBLANK($D57),NA(),IFERROR(SUM($D57:$D$177),NA()))</f>
        <v>1707452.4769999997</v>
      </c>
      <c r="Q57">
        <f t="shared" si="9"/>
        <v>3278874.777999999</v>
      </c>
      <c r="R57">
        <f t="shared" si="10"/>
        <v>35.492336725034896</v>
      </c>
      <c r="S57">
        <f t="shared" si="11"/>
        <v>47.925657653767225</v>
      </c>
      <c r="T57">
        <f>IF(ISBLANK($E57),NA(),IFERROR(SUM($E57:$E$177),NA()))</f>
        <v>1101229.9250000003</v>
      </c>
      <c r="U57">
        <f>IF(ISBLANK($F57),NA(),IFERROR(SUM($F57:$F$177),NA()))</f>
        <v>1429740.0689999999</v>
      </c>
      <c r="V57">
        <f>IF(ISBLANK($G57),NA(),IFERROR(SUM($G57:$G$177),NA()))</f>
        <v>1460166.102</v>
      </c>
      <c r="W57">
        <f t="shared" si="12"/>
        <v>2889906.1710000001</v>
      </c>
      <c r="X57">
        <f t="shared" si="13"/>
        <v>38.106078877257787</v>
      </c>
      <c r="Y57">
        <f t="shared" si="14"/>
        <v>49.473580953850274</v>
      </c>
      <c r="Z57" t="e">
        <f>IF(ISBLANK($H57),NA(),IFERROR(SUM($H57:$H$177),NA()))</f>
        <v>#N/A</v>
      </c>
      <c r="AA57" t="e">
        <f>IF(ISBLANK($I57),NA(),IFERROR(SUM($I57:$I$177),NA()))</f>
        <v>#N/A</v>
      </c>
      <c r="AB57" t="e">
        <f>IF(ISBLANK($J57),NA(),IFERROR(SUM($J57:$J$177),NA()))</f>
        <v>#N/A</v>
      </c>
      <c r="AC57" t="str">
        <f t="shared" si="15"/>
        <v/>
      </c>
      <c r="AD57" t="e">
        <f t="shared" si="16"/>
        <v>#N/A</v>
      </c>
      <c r="AE57" t="e">
        <f t="shared" si="17"/>
        <v>#N/A</v>
      </c>
    </row>
    <row r="58" spans="1:31" x14ac:dyDescent="0.35">
      <c r="A58">
        <v>1905</v>
      </c>
      <c r="B58">
        <v>4831.7169999999996</v>
      </c>
      <c r="C58">
        <v>6668.6480000000001</v>
      </c>
      <c r="D58">
        <v>2929.6770000000001</v>
      </c>
      <c r="E58">
        <v>4426.2240000000002</v>
      </c>
      <c r="F58">
        <v>5389.6049999999996</v>
      </c>
      <c r="G58">
        <v>3039.6930000000002</v>
      </c>
      <c r="N58">
        <f>IF(ISBLANK($B58),NA(),IFERROR(SUM($B58:$B$177),NA()))</f>
        <v>1159081.723</v>
      </c>
      <c r="O58">
        <f>IF(ISBLANK($C58),NA(),IFERROR(SUM($C58:$C$177),NA()))</f>
        <v>1564966.0029999996</v>
      </c>
      <c r="P58">
        <f>IF(ISBLANK($D58),NA(),IFERROR(SUM($D58:$D$177),NA()))</f>
        <v>1704521.8369999996</v>
      </c>
      <c r="Q58">
        <f t="shared" si="9"/>
        <v>3269487.8399999989</v>
      </c>
      <c r="R58">
        <f t="shared" si="10"/>
        <v>35.451476797662608</v>
      </c>
      <c r="S58">
        <f t="shared" si="11"/>
        <v>47.865784477118595</v>
      </c>
      <c r="T58">
        <f>IF(ISBLANK($E58),NA(),IFERROR(SUM($E58:$E$177),NA()))</f>
        <v>1096948.1030000004</v>
      </c>
      <c r="U58">
        <f>IF(ISBLANK($F58),NA(),IFERROR(SUM($F58:$F$177),NA()))</f>
        <v>1424499.004</v>
      </c>
      <c r="V58">
        <f>IF(ISBLANK($G58),NA(),IFERROR(SUM($G58:$G$177),NA()))</f>
        <v>1457253.0609999998</v>
      </c>
      <c r="W58">
        <f t="shared" si="12"/>
        <v>2881752.0649999995</v>
      </c>
      <c r="X58">
        <f t="shared" si="13"/>
        <v>38.065318537387796</v>
      </c>
      <c r="Y58">
        <f t="shared" si="14"/>
        <v>49.431698906408187</v>
      </c>
      <c r="Z58" t="e">
        <f>IF(ISBLANK($H58),NA(),IFERROR(SUM($H58:$H$177),NA()))</f>
        <v>#N/A</v>
      </c>
      <c r="AA58" t="e">
        <f>IF(ISBLANK($I58),NA(),IFERROR(SUM($I58:$I$177),NA()))</f>
        <v>#N/A</v>
      </c>
      <c r="AB58" t="e">
        <f>IF(ISBLANK($J58),NA(),IFERROR(SUM($J58:$J$177),NA()))</f>
        <v>#N/A</v>
      </c>
      <c r="AC58" t="str">
        <f t="shared" si="15"/>
        <v/>
      </c>
      <c r="AD58" t="e">
        <f t="shared" si="16"/>
        <v>#N/A</v>
      </c>
      <c r="AE58" t="e">
        <f t="shared" si="17"/>
        <v>#N/A</v>
      </c>
    </row>
    <row r="59" spans="1:31" x14ac:dyDescent="0.35">
      <c r="A59">
        <v>1906</v>
      </c>
      <c r="B59">
        <v>4925.4979999999996</v>
      </c>
      <c r="C59">
        <v>6805.8379999999997</v>
      </c>
      <c r="D59">
        <v>3004.7579999999998</v>
      </c>
      <c r="E59">
        <v>4508.2860000000001</v>
      </c>
      <c r="F59">
        <v>5499.7939999999999</v>
      </c>
      <c r="G59">
        <v>3204.5630000000001</v>
      </c>
      <c r="N59">
        <f>IF(ISBLANK($B59),NA(),IFERROR(SUM($B59:$B$177),NA()))</f>
        <v>1154250.0060000001</v>
      </c>
      <c r="O59">
        <f>IF(ISBLANK($C59),NA(),IFERROR(SUM($C59:$C$177),NA()))</f>
        <v>1558297.3549999995</v>
      </c>
      <c r="P59">
        <f>IF(ISBLANK($D59),NA(),IFERROR(SUM($D59:$D$177),NA()))</f>
        <v>1701592.16</v>
      </c>
      <c r="Q59">
        <f t="shared" si="9"/>
        <v>3259889.5149999997</v>
      </c>
      <c r="R59">
        <f t="shared" si="10"/>
        <v>35.407641905925153</v>
      </c>
      <c r="S59">
        <f t="shared" si="11"/>
        <v>47.802152429696676</v>
      </c>
      <c r="T59">
        <f>IF(ISBLANK($E59),NA(),IFERROR(SUM($E59:$E$177),NA()))</f>
        <v>1092521.8790000002</v>
      </c>
      <c r="U59">
        <f>IF(ISBLANK($F59),NA(),IFERROR(SUM($F59:$F$177),NA()))</f>
        <v>1419109.399</v>
      </c>
      <c r="V59">
        <f>IF(ISBLANK($G59),NA(),IFERROR(SUM($G59:$G$177),NA()))</f>
        <v>1454213.3679999998</v>
      </c>
      <c r="W59">
        <f t="shared" si="12"/>
        <v>2873322.767</v>
      </c>
      <c r="X59">
        <f t="shared" si="13"/>
        <v>38.022943038198541</v>
      </c>
      <c r="Y59">
        <f t="shared" si="14"/>
        <v>49.389139824401774</v>
      </c>
      <c r="Z59" t="e">
        <f>IF(ISBLANK($H59),NA(),IFERROR(SUM($H59:$H$177),NA()))</f>
        <v>#N/A</v>
      </c>
      <c r="AA59" t="e">
        <f>IF(ISBLANK($I59),NA(),IFERROR(SUM($I59:$I$177),NA()))</f>
        <v>#N/A</v>
      </c>
      <c r="AB59" t="e">
        <f>IF(ISBLANK($J59),NA(),IFERROR(SUM($J59:$J$177),NA()))</f>
        <v>#N/A</v>
      </c>
      <c r="AC59" t="str">
        <f t="shared" si="15"/>
        <v/>
      </c>
      <c r="AD59" t="e">
        <f t="shared" si="16"/>
        <v>#N/A</v>
      </c>
      <c r="AE59" t="e">
        <f t="shared" si="17"/>
        <v>#N/A</v>
      </c>
    </row>
    <row r="60" spans="1:31" x14ac:dyDescent="0.35">
      <c r="A60">
        <v>1907</v>
      </c>
      <c r="B60">
        <v>5277.2380000000003</v>
      </c>
      <c r="C60">
        <v>7218.9080000000004</v>
      </c>
      <c r="D60">
        <v>3005.0839999999998</v>
      </c>
      <c r="E60">
        <v>4849.12</v>
      </c>
      <c r="F60">
        <v>5873.0020000000004</v>
      </c>
      <c r="G60">
        <v>3269.0929999999998</v>
      </c>
      <c r="N60">
        <f>IF(ISBLANK($B60),NA(),IFERROR(SUM($B60:$B$177),NA()))</f>
        <v>1149324.5080000001</v>
      </c>
      <c r="O60">
        <f>IF(ISBLANK($C60),NA(),IFERROR(SUM($C60:$C$177),NA()))</f>
        <v>1551491.5169999995</v>
      </c>
      <c r="P60">
        <f>IF(ISBLANK($D60),NA(),IFERROR(SUM($D60:$D$177),NA()))</f>
        <v>1698587.4019999995</v>
      </c>
      <c r="Q60">
        <f t="shared" si="9"/>
        <v>3250078.9189999988</v>
      </c>
      <c r="R60">
        <f t="shared" si="10"/>
        <v>35.362972304488849</v>
      </c>
      <c r="S60">
        <f t="shared" si="11"/>
        <v>47.737041335518413</v>
      </c>
      <c r="T60">
        <f>IF(ISBLANK($E60),NA(),IFERROR(SUM($E60:$E$177),NA()))</f>
        <v>1088013.5930000003</v>
      </c>
      <c r="U60">
        <f>IF(ISBLANK($F60),NA(),IFERROR(SUM($F60:$F$177),NA()))</f>
        <v>1413609.605</v>
      </c>
      <c r="V60">
        <f>IF(ISBLANK($G60),NA(),IFERROR(SUM($G60:$G$177),NA()))</f>
        <v>1451008.8049999997</v>
      </c>
      <c r="W60">
        <f t="shared" si="12"/>
        <v>2864618.4099999997</v>
      </c>
      <c r="X60">
        <f t="shared" si="13"/>
        <v>37.981100351861542</v>
      </c>
      <c r="Y60">
        <f t="shared" si="14"/>
        <v>49.347221956867898</v>
      </c>
      <c r="Z60" t="e">
        <f>IF(ISBLANK($H60),NA(),IFERROR(SUM($H60:$H$177),NA()))</f>
        <v>#N/A</v>
      </c>
      <c r="AA60" t="e">
        <f>IF(ISBLANK($I60),NA(),IFERROR(SUM($I60:$I$177),NA()))</f>
        <v>#N/A</v>
      </c>
      <c r="AB60" t="e">
        <f>IF(ISBLANK($J60),NA(),IFERROR(SUM($J60:$J$177),NA()))</f>
        <v>#N/A</v>
      </c>
      <c r="AC60" t="str">
        <f t="shared" si="15"/>
        <v/>
      </c>
      <c r="AD60" t="e">
        <f t="shared" si="16"/>
        <v>#N/A</v>
      </c>
      <c r="AE60" t="e">
        <f t="shared" si="17"/>
        <v>#N/A</v>
      </c>
    </row>
    <row r="61" spans="1:31" x14ac:dyDescent="0.35">
      <c r="A61">
        <v>1908</v>
      </c>
      <c r="B61">
        <v>5144.0559999999996</v>
      </c>
      <c r="C61">
        <v>7125.6210000000001</v>
      </c>
      <c r="D61">
        <v>3035.25</v>
      </c>
      <c r="E61">
        <v>4696.4799999999996</v>
      </c>
      <c r="F61">
        <v>5735.924</v>
      </c>
      <c r="G61">
        <v>3335.5160000000001</v>
      </c>
      <c r="N61">
        <f>IF(ISBLANK($B61),NA(),IFERROR(SUM($B61:$B$177),NA()))</f>
        <v>1144047.27</v>
      </c>
      <c r="O61">
        <f>IF(ISBLANK($C61),NA(),IFERROR(SUM($C61:$C$177),NA()))</f>
        <v>1544272.6089999995</v>
      </c>
      <c r="P61">
        <f>IF(ISBLANK($D61),NA(),IFERROR(SUM($D61:$D$177),NA()))</f>
        <v>1695582.3179999997</v>
      </c>
      <c r="Q61">
        <f t="shared" si="9"/>
        <v>3239854.9269999992</v>
      </c>
      <c r="R61">
        <f t="shared" si="10"/>
        <v>35.311682028286086</v>
      </c>
      <c r="S61">
        <f t="shared" si="11"/>
        <v>47.664869069614355</v>
      </c>
      <c r="T61">
        <f>IF(ISBLANK($E61),NA(),IFERROR(SUM($E61:$E$177),NA()))</f>
        <v>1083164.4730000005</v>
      </c>
      <c r="U61">
        <f>IF(ISBLANK($F61),NA(),IFERROR(SUM($F61:$F$177),NA()))</f>
        <v>1407736.6029999999</v>
      </c>
      <c r="V61">
        <f>IF(ISBLANK($G61),NA(),IFERROR(SUM($G61:$G$177),NA()))</f>
        <v>1447739.7119999998</v>
      </c>
      <c r="W61">
        <f t="shared" si="12"/>
        <v>2855476.3149999995</v>
      </c>
      <c r="X61">
        <f t="shared" si="13"/>
        <v>37.932882416501521</v>
      </c>
      <c r="Y61">
        <f t="shared" si="14"/>
        <v>49.299537019623294</v>
      </c>
      <c r="Z61" t="e">
        <f>IF(ISBLANK($H61),NA(),IFERROR(SUM($H61:$H$177),NA()))</f>
        <v>#N/A</v>
      </c>
      <c r="AA61" t="e">
        <f>IF(ISBLANK($I61),NA(),IFERROR(SUM($I61:$I$177),NA()))</f>
        <v>#N/A</v>
      </c>
      <c r="AB61" t="e">
        <f>IF(ISBLANK($J61),NA(),IFERROR(SUM($J61:$J$177),NA()))</f>
        <v>#N/A</v>
      </c>
      <c r="AC61" t="str">
        <f t="shared" si="15"/>
        <v/>
      </c>
      <c r="AD61" t="e">
        <f t="shared" si="16"/>
        <v>#N/A</v>
      </c>
      <c r="AE61" t="e">
        <f t="shared" si="17"/>
        <v>#N/A</v>
      </c>
    </row>
    <row r="62" spans="1:31" x14ac:dyDescent="0.35">
      <c r="A62">
        <v>1909</v>
      </c>
      <c r="B62">
        <v>5280.5540000000001</v>
      </c>
      <c r="C62">
        <v>7311.0559999999996</v>
      </c>
      <c r="D62">
        <v>3078.1390000000001</v>
      </c>
      <c r="E62">
        <v>4803.1970000000001</v>
      </c>
      <c r="F62">
        <v>5859.58</v>
      </c>
      <c r="G62">
        <v>3377.4639999999999</v>
      </c>
      <c r="N62">
        <f>IF(ISBLANK($B62),NA(),IFERROR(SUM($B62:$B$177),NA()))</f>
        <v>1138903.2139999999</v>
      </c>
      <c r="O62">
        <f>IF(ISBLANK($C62),NA(),IFERROR(SUM($C62:$C$177),NA()))</f>
        <v>1537146.9879999997</v>
      </c>
      <c r="P62">
        <f>IF(ISBLANK($D62),NA(),IFERROR(SUM($D62:$D$177),NA()))</f>
        <v>1692547.0679999997</v>
      </c>
      <c r="Q62">
        <f t="shared" si="9"/>
        <v>3229694.0559999994</v>
      </c>
      <c r="R62">
        <f t="shared" si="10"/>
        <v>35.263501565548907</v>
      </c>
      <c r="S62">
        <f t="shared" si="11"/>
        <v>47.594198129830531</v>
      </c>
      <c r="T62">
        <f>IF(ISBLANK($E62),NA(),IFERROR(SUM($E62:$E$177),NA()))</f>
        <v>1078467.9930000005</v>
      </c>
      <c r="U62">
        <f>IF(ISBLANK($F62),NA(),IFERROR(SUM($F62:$F$177),NA()))</f>
        <v>1402000.6790000002</v>
      </c>
      <c r="V62">
        <f>IF(ISBLANK($G62),NA(),IFERROR(SUM($G62:$G$177),NA()))</f>
        <v>1444404.196</v>
      </c>
      <c r="W62">
        <f t="shared" si="12"/>
        <v>2846404.875</v>
      </c>
      <c r="X62">
        <f t="shared" si="13"/>
        <v>37.88877690845019</v>
      </c>
      <c r="Y62">
        <f t="shared" si="14"/>
        <v>49.255139046232848</v>
      </c>
      <c r="Z62" t="e">
        <f>IF(ISBLANK($H62),NA(),IFERROR(SUM($H62:$H$177),NA()))</f>
        <v>#N/A</v>
      </c>
      <c r="AA62" t="e">
        <f>IF(ISBLANK($I62),NA(),IFERROR(SUM($I62:$I$177),NA()))</f>
        <v>#N/A</v>
      </c>
      <c r="AB62" t="e">
        <f>IF(ISBLANK($J62),NA(),IFERROR(SUM($J62:$J$177),NA()))</f>
        <v>#N/A</v>
      </c>
      <c r="AC62" t="str">
        <f t="shared" si="15"/>
        <v/>
      </c>
      <c r="AD62" t="e">
        <f t="shared" si="16"/>
        <v>#N/A</v>
      </c>
      <c r="AE62" t="e">
        <f t="shared" si="17"/>
        <v>#N/A</v>
      </c>
    </row>
    <row r="63" spans="1:31" x14ac:dyDescent="0.35">
      <c r="A63">
        <v>1910</v>
      </c>
      <c r="B63">
        <v>5392.8249999999998</v>
      </c>
      <c r="C63">
        <v>7125.1530000000002</v>
      </c>
      <c r="D63">
        <v>3237.2150000000001</v>
      </c>
      <c r="E63">
        <v>4957.43</v>
      </c>
      <c r="F63">
        <v>6015.6970000000001</v>
      </c>
      <c r="G63">
        <v>3419.011</v>
      </c>
      <c r="N63">
        <f>IF(ISBLANK($B63),NA(),IFERROR(SUM($B63:$B$177),NA()))</f>
        <v>1133622.6599999999</v>
      </c>
      <c r="O63">
        <f>IF(ISBLANK($C63),NA(),IFERROR(SUM($C63:$C$177),NA()))</f>
        <v>1529835.9319999998</v>
      </c>
      <c r="P63">
        <f>IF(ISBLANK($D63),NA(),IFERROR(SUM($D63:$D$177),NA()))</f>
        <v>1689468.9289999998</v>
      </c>
      <c r="Q63">
        <f t="shared" si="9"/>
        <v>3219304.8609999996</v>
      </c>
      <c r="R63">
        <f t="shared" si="10"/>
        <v>35.21327457157529</v>
      </c>
      <c r="S63">
        <f t="shared" si="11"/>
        <v>47.520691517385309</v>
      </c>
      <c r="T63">
        <f>IF(ISBLANK($E63),NA(),IFERROR(SUM($E63:$E$177),NA()))</f>
        <v>1073664.7960000006</v>
      </c>
      <c r="U63">
        <f>IF(ISBLANK($F63),NA(),IFERROR(SUM($F63:$F$177),NA()))</f>
        <v>1396141.0990000002</v>
      </c>
      <c r="V63">
        <f>IF(ISBLANK($G63),NA(),IFERROR(SUM($G63:$G$177),NA()))</f>
        <v>1441026.7319999998</v>
      </c>
      <c r="W63">
        <f t="shared" si="12"/>
        <v>2837167.8310000002</v>
      </c>
      <c r="X63">
        <f t="shared" si="13"/>
        <v>37.842836940018884</v>
      </c>
      <c r="Y63">
        <f t="shared" si="14"/>
        <v>49.20897113470761</v>
      </c>
      <c r="Z63" t="e">
        <f>IF(ISBLANK($H63),NA(),IFERROR(SUM($H63:$H$177),NA()))</f>
        <v>#N/A</v>
      </c>
      <c r="AA63" t="e">
        <f>IF(ISBLANK($I63),NA(),IFERROR(SUM($I63:$I$177),NA()))</f>
        <v>#N/A</v>
      </c>
      <c r="AB63" t="e">
        <f>IF(ISBLANK($J63),NA(),IFERROR(SUM($J63:$J$177),NA()))</f>
        <v>#N/A</v>
      </c>
      <c r="AC63" t="str">
        <f t="shared" si="15"/>
        <v/>
      </c>
      <c r="AD63" t="e">
        <f t="shared" si="16"/>
        <v>#N/A</v>
      </c>
      <c r="AE63" t="e">
        <f t="shared" si="17"/>
        <v>#N/A</v>
      </c>
    </row>
    <row r="64" spans="1:31" x14ac:dyDescent="0.35">
      <c r="A64">
        <v>1911</v>
      </c>
      <c r="B64">
        <v>5419.4120000000003</v>
      </c>
      <c r="C64">
        <v>7074.5990000000002</v>
      </c>
      <c r="D64">
        <v>3328.7910000000002</v>
      </c>
      <c r="E64">
        <v>4983.6319999999996</v>
      </c>
      <c r="F64">
        <v>6054.1559999999999</v>
      </c>
      <c r="G64">
        <v>3244.402</v>
      </c>
      <c r="N64">
        <f>IF(ISBLANK($B64),NA(),IFERROR(SUM($B64:$B$177),NA()))</f>
        <v>1128229.835</v>
      </c>
      <c r="O64">
        <f>IF(ISBLANK($C64),NA(),IFERROR(SUM($C64:$C$177),NA()))</f>
        <v>1522710.7789999996</v>
      </c>
      <c r="P64">
        <f>IF(ISBLANK($D64),NA(),IFERROR(SUM($D64:$D$177),NA()))</f>
        <v>1686231.7139999995</v>
      </c>
      <c r="Q64">
        <f t="shared" si="9"/>
        <v>3208942.4929999989</v>
      </c>
      <c r="R64">
        <f t="shared" si="10"/>
        <v>35.158929692916765</v>
      </c>
      <c r="S64">
        <f t="shared" si="11"/>
        <v>47.452105555697784</v>
      </c>
      <c r="T64">
        <f>IF(ISBLANK($E64),NA(),IFERROR(SUM($E64:$E$177),NA()))</f>
        <v>1068707.3660000006</v>
      </c>
      <c r="U64">
        <f>IF(ISBLANK($F64),NA(),IFERROR(SUM($F64:$F$177),NA()))</f>
        <v>1390125.402</v>
      </c>
      <c r="V64">
        <f>IF(ISBLANK($G64),NA(),IFERROR(SUM($G64:$G$177),NA()))</f>
        <v>1437607.7209999999</v>
      </c>
      <c r="W64">
        <f t="shared" si="12"/>
        <v>2827733.1229999997</v>
      </c>
      <c r="X64">
        <f t="shared" si="13"/>
        <v>37.793784615225192</v>
      </c>
      <c r="Y64">
        <f t="shared" si="14"/>
        <v>49.160417250592154</v>
      </c>
      <c r="Z64" t="e">
        <f>IF(ISBLANK($H64),NA(),IFERROR(SUM($H64:$H$177),NA()))</f>
        <v>#N/A</v>
      </c>
      <c r="AA64" t="e">
        <f>IF(ISBLANK($I64),NA(),IFERROR(SUM($I64:$I$177),NA()))</f>
        <v>#N/A</v>
      </c>
      <c r="AB64" t="e">
        <f>IF(ISBLANK($J64),NA(),IFERROR(SUM($J64:$J$177),NA()))</f>
        <v>#N/A</v>
      </c>
      <c r="AC64" t="str">
        <f t="shared" si="15"/>
        <v/>
      </c>
      <c r="AD64" t="e">
        <f t="shared" si="16"/>
        <v>#N/A</v>
      </c>
      <c r="AE64" t="e">
        <f t="shared" si="17"/>
        <v>#N/A</v>
      </c>
    </row>
    <row r="65" spans="1:31" x14ac:dyDescent="0.35">
      <c r="A65">
        <v>1912</v>
      </c>
      <c r="B65">
        <v>5502.0659999999998</v>
      </c>
      <c r="C65">
        <v>7151.7619999999997</v>
      </c>
      <c r="D65">
        <v>3340.3020000000001</v>
      </c>
      <c r="E65">
        <v>5054.4489999999996</v>
      </c>
      <c r="F65">
        <v>6156.8389999999999</v>
      </c>
      <c r="G65">
        <v>3192.2159999999999</v>
      </c>
      <c r="N65">
        <f>IF(ISBLANK($B65),NA(),IFERROR(SUM($B65:$B$177),NA()))</f>
        <v>1122810.423</v>
      </c>
      <c r="O65">
        <f>IF(ISBLANK($C65),NA(),IFERROR(SUM($C65:$C$177),NA()))</f>
        <v>1515636.1799999995</v>
      </c>
      <c r="P65">
        <f>IF(ISBLANK($D65),NA(),IFERROR(SUM($D65:$D$177),NA()))</f>
        <v>1682902.9229999997</v>
      </c>
      <c r="Q65">
        <f t="shared" si="9"/>
        <v>3198539.1029999992</v>
      </c>
      <c r="R65">
        <f t="shared" si="10"/>
        <v>35.103851691132512</v>
      </c>
      <c r="S65">
        <f t="shared" si="11"/>
        <v>47.385263434123473</v>
      </c>
      <c r="T65">
        <f>IF(ISBLANK($E65),NA(),IFERROR(SUM($E65:$E$177),NA()))</f>
        <v>1063723.7340000006</v>
      </c>
      <c r="U65">
        <f>IF(ISBLANK($F65),NA(),IFERROR(SUM($F65:$F$177),NA()))</f>
        <v>1384071.246</v>
      </c>
      <c r="V65">
        <f>IF(ISBLANK($G65),NA(),IFERROR(SUM($G65:$G$177),NA()))</f>
        <v>1434363.3189999997</v>
      </c>
      <c r="W65">
        <f t="shared" si="12"/>
        <v>2818434.5649999995</v>
      </c>
      <c r="X65">
        <f t="shared" si="13"/>
        <v>37.741650886970326</v>
      </c>
      <c r="Y65">
        <f t="shared" si="14"/>
        <v>49.107801301748523</v>
      </c>
      <c r="Z65" t="e">
        <f>IF(ISBLANK($H65),NA(),IFERROR(SUM($H65:$H$177),NA()))</f>
        <v>#N/A</v>
      </c>
      <c r="AA65" t="e">
        <f>IF(ISBLANK($I65),NA(),IFERROR(SUM($I65:$I$177),NA()))</f>
        <v>#N/A</v>
      </c>
      <c r="AB65" t="e">
        <f>IF(ISBLANK($J65),NA(),IFERROR(SUM($J65:$J$177),NA()))</f>
        <v>#N/A</v>
      </c>
      <c r="AC65" t="str">
        <f t="shared" si="15"/>
        <v/>
      </c>
      <c r="AD65" t="e">
        <f t="shared" si="16"/>
        <v>#N/A</v>
      </c>
      <c r="AE65" t="e">
        <f t="shared" si="17"/>
        <v>#N/A</v>
      </c>
    </row>
    <row r="66" spans="1:31" x14ac:dyDescent="0.35">
      <c r="A66">
        <v>1913</v>
      </c>
      <c r="B66">
        <v>5757.6</v>
      </c>
      <c r="C66">
        <v>7345.0919999999996</v>
      </c>
      <c r="D66">
        <v>3420.2150000000001</v>
      </c>
      <c r="E66">
        <v>5310.9369999999999</v>
      </c>
      <c r="F66">
        <v>6452.9859999999999</v>
      </c>
      <c r="G66">
        <v>3104.933</v>
      </c>
      <c r="N66">
        <f>IF(ISBLANK($B66),NA(),IFERROR(SUM($B66:$B$177),NA()))</f>
        <v>1117308.3569999998</v>
      </c>
      <c r="O66">
        <f>IF(ISBLANK($C66),NA(),IFERROR(SUM($C66:$C$177),NA()))</f>
        <v>1508484.4179999996</v>
      </c>
      <c r="P66">
        <f>IF(ISBLANK($D66),NA(),IFERROR(SUM($D66:$D$177),NA()))</f>
        <v>1679562.6209999996</v>
      </c>
      <c r="Q66">
        <f t="shared" si="9"/>
        <v>3188047.0389999989</v>
      </c>
      <c r="R66">
        <f t="shared" si="10"/>
        <v>35.046796466041734</v>
      </c>
      <c r="S66">
        <f t="shared" si="11"/>
        <v>47.316880822221776</v>
      </c>
      <c r="T66">
        <f>IF(ISBLANK($E66),NA(),IFERROR(SUM($E66:$E$177),NA()))</f>
        <v>1058669.2850000006</v>
      </c>
      <c r="U66">
        <f>IF(ISBLANK($F66),NA(),IFERROR(SUM($F66:$F$177),NA()))</f>
        <v>1377914.4070000001</v>
      </c>
      <c r="V66">
        <f>IF(ISBLANK($G66),NA(),IFERROR(SUM($G66:$G$177),NA()))</f>
        <v>1431171.1029999997</v>
      </c>
      <c r="W66">
        <f t="shared" si="12"/>
        <v>2809085.51</v>
      </c>
      <c r="X66">
        <f t="shared" si="13"/>
        <v>37.687328535613027</v>
      </c>
      <c r="Y66">
        <f t="shared" si="14"/>
        <v>49.052063459613237</v>
      </c>
      <c r="Z66" t="e">
        <f>IF(ISBLANK($H66),NA(),IFERROR(SUM($H66:$H$177),NA()))</f>
        <v>#N/A</v>
      </c>
      <c r="AA66" t="e">
        <f>IF(ISBLANK($I66),NA(),IFERROR(SUM($I66:$I$177),NA()))</f>
        <v>#N/A</v>
      </c>
      <c r="AB66" t="e">
        <f>IF(ISBLANK($J66),NA(),IFERROR(SUM($J66:$J$177),NA()))</f>
        <v>#N/A</v>
      </c>
      <c r="AC66" t="str">
        <f t="shared" si="15"/>
        <v/>
      </c>
      <c r="AD66" t="e">
        <f t="shared" si="16"/>
        <v>#N/A</v>
      </c>
      <c r="AE66" t="e">
        <f t="shared" si="17"/>
        <v>#N/A</v>
      </c>
    </row>
    <row r="67" spans="1:31" x14ac:dyDescent="0.35">
      <c r="A67">
        <v>1914</v>
      </c>
      <c r="B67">
        <v>5453.2860000000001</v>
      </c>
      <c r="C67">
        <v>6943.0730000000003</v>
      </c>
      <c r="D67">
        <v>3483.0859999999998</v>
      </c>
      <c r="E67">
        <v>4970.4359999999997</v>
      </c>
      <c r="F67">
        <v>6074.6909999999998</v>
      </c>
      <c r="G67">
        <v>3080.0140000000001</v>
      </c>
      <c r="N67">
        <f>IF(ISBLANK($B67),NA(),IFERROR(SUM($B67:$B$177),NA()))</f>
        <v>1111550.757</v>
      </c>
      <c r="O67">
        <f>IF(ISBLANK($C67),NA(),IFERROR(SUM($C67:$C$177),NA()))</f>
        <v>1501139.3259999994</v>
      </c>
      <c r="P67">
        <f>IF(ISBLANK($D67),NA(),IFERROR(SUM($D67:$D$177),NA()))</f>
        <v>1676142.4059999997</v>
      </c>
      <c r="Q67">
        <f t="shared" ref="Q67:Q98" si="18">IFERROR(O67+P67,"")</f>
        <v>3177281.7319999989</v>
      </c>
      <c r="R67">
        <f t="shared" ref="R67:R98" si="19">IFERROR(N67/Q67*100,NA())</f>
        <v>34.984330970874076</v>
      </c>
      <c r="S67">
        <f t="shared" ref="S67:S98" si="20">IFERROR(O67/Q67*100,NA())</f>
        <v>47.246025144112089</v>
      </c>
      <c r="T67">
        <f>IF(ISBLANK($E67),NA(),IFERROR(SUM($E67:$E$177),NA()))</f>
        <v>1053358.3480000002</v>
      </c>
      <c r="U67">
        <f>IF(ISBLANK($F67),NA(),IFERROR(SUM($F67:$F$177),NA()))</f>
        <v>1371461.4210000001</v>
      </c>
      <c r="V67">
        <f>IF(ISBLANK($G67),NA(),IFERROR(SUM($G67:$G$177),NA()))</f>
        <v>1428066.17</v>
      </c>
      <c r="W67">
        <f t="shared" ref="W67:W98" si="21">IFERROR(U67+V67,"")</f>
        <v>2799527.591</v>
      </c>
      <c r="X67">
        <f t="shared" ref="X67:X98" si="22">IFERROR(T67/W67*100,NA())</f>
        <v>37.626289213450377</v>
      </c>
      <c r="Y67">
        <f t="shared" ref="Y67:Y98" si="23">IFERROR(U67/W67*100,NA())</f>
        <v>48.98903034244109</v>
      </c>
      <c r="Z67" t="e">
        <f>IF(ISBLANK($H67),NA(),IFERROR(SUM($H67:$H$177),NA()))</f>
        <v>#N/A</v>
      </c>
      <c r="AA67" t="e">
        <f>IF(ISBLANK($I67),NA(),IFERROR(SUM($I67:$I$177),NA()))</f>
        <v>#N/A</v>
      </c>
      <c r="AB67" t="e">
        <f>IF(ISBLANK($J67),NA(),IFERROR(SUM($J67:$J$177),NA()))</f>
        <v>#N/A</v>
      </c>
      <c r="AC67" t="str">
        <f t="shared" ref="AC67:AC98" si="24">IFERROR(AA67+AB67,"")</f>
        <v/>
      </c>
      <c r="AD67" t="e">
        <f t="shared" ref="AD67:AD98" si="25">IFERROR(Z67/AC67*100,NA())</f>
        <v>#N/A</v>
      </c>
      <c r="AE67" t="e">
        <f t="shared" ref="AE67:AE98" si="26">IFERROR(AA67/AC67*100,NA())</f>
        <v>#N/A</v>
      </c>
    </row>
    <row r="68" spans="1:31" x14ac:dyDescent="0.35">
      <c r="A68">
        <v>1915</v>
      </c>
      <c r="B68">
        <v>5378.5060000000003</v>
      </c>
      <c r="C68">
        <v>6801.0379999999996</v>
      </c>
      <c r="D68">
        <v>3520.1089999999999</v>
      </c>
      <c r="E68">
        <v>4919.3860000000004</v>
      </c>
      <c r="F68">
        <v>6014.1239999999998</v>
      </c>
      <c r="G68">
        <v>3058.82</v>
      </c>
      <c r="N68">
        <f>IF(ISBLANK($B68),NA(),IFERROR(SUM($B68:$B$177),NA()))</f>
        <v>1106097.4710000001</v>
      </c>
      <c r="O68">
        <f>IF(ISBLANK($C68),NA(),IFERROR(SUM($C68:$C$177),NA()))</f>
        <v>1494196.2529999996</v>
      </c>
      <c r="P68">
        <f>IF(ISBLANK($D68),NA(),IFERROR(SUM($D68:$D$177),NA()))</f>
        <v>1672659.3199999996</v>
      </c>
      <c r="Q68">
        <f t="shared" si="18"/>
        <v>3166855.5729999989</v>
      </c>
      <c r="R68">
        <f t="shared" si="19"/>
        <v>34.927310245227929</v>
      </c>
      <c r="S68">
        <f t="shared" si="20"/>
        <v>47.182330187054603</v>
      </c>
      <c r="T68">
        <f>IF(ISBLANK($E68),NA(),IFERROR(SUM($E68:$E$177),NA()))</f>
        <v>1048387.9120000002</v>
      </c>
      <c r="U68">
        <f>IF(ISBLANK($F68),NA(),IFERROR(SUM($F68:$F$177),NA()))</f>
        <v>1365386.73</v>
      </c>
      <c r="V68">
        <f>IF(ISBLANK($G68),NA(),IFERROR(SUM($G68:$G$177),NA()))</f>
        <v>1424986.156</v>
      </c>
      <c r="W68">
        <f t="shared" si="21"/>
        <v>2790372.8859999999</v>
      </c>
      <c r="X68">
        <f t="shared" si="22"/>
        <v>37.571606191417104</v>
      </c>
      <c r="Y68">
        <f t="shared" si="23"/>
        <v>48.932052660434287</v>
      </c>
      <c r="Z68" t="e">
        <f>IF(ISBLANK($H68),NA(),IFERROR(SUM($H68:$H$177),NA()))</f>
        <v>#N/A</v>
      </c>
      <c r="AA68" t="e">
        <f>IF(ISBLANK($I68),NA(),IFERROR(SUM($I68:$I$177),NA()))</f>
        <v>#N/A</v>
      </c>
      <c r="AB68" t="e">
        <f>IF(ISBLANK($J68),NA(),IFERROR(SUM($J68:$J$177),NA()))</f>
        <v>#N/A</v>
      </c>
      <c r="AC68" t="str">
        <f t="shared" si="24"/>
        <v/>
      </c>
      <c r="AD68" t="e">
        <f t="shared" si="25"/>
        <v>#N/A</v>
      </c>
      <c r="AE68" t="e">
        <f t="shared" si="26"/>
        <v>#N/A</v>
      </c>
    </row>
    <row r="69" spans="1:31" x14ac:dyDescent="0.35">
      <c r="A69">
        <v>1916</v>
      </c>
      <c r="B69">
        <v>5606.0619999999999</v>
      </c>
      <c r="C69">
        <v>7059.3050000000003</v>
      </c>
      <c r="D69">
        <v>3552.828</v>
      </c>
      <c r="E69">
        <v>5154.4009999999998</v>
      </c>
      <c r="F69">
        <v>6276.5749999999998</v>
      </c>
      <c r="G69">
        <v>3098.03</v>
      </c>
      <c r="N69">
        <f>IF(ISBLANK($B69),NA(),IFERROR(SUM($B69:$B$177),NA()))</f>
        <v>1100718.9650000001</v>
      </c>
      <c r="O69">
        <f>IF(ISBLANK($C69),NA(),IFERROR(SUM($C69:$C$177),NA()))</f>
        <v>1487395.2149999994</v>
      </c>
      <c r="P69">
        <f>IF(ISBLANK($D69),NA(),IFERROR(SUM($D69:$D$177),NA()))</f>
        <v>1669139.2109999994</v>
      </c>
      <c r="Q69">
        <f t="shared" si="18"/>
        <v>3156534.425999999</v>
      </c>
      <c r="R69">
        <f t="shared" si="19"/>
        <v>34.871121820611521</v>
      </c>
      <c r="S69">
        <f t="shared" si="20"/>
        <v>47.121146620436058</v>
      </c>
      <c r="T69">
        <f>IF(ISBLANK($E69),NA(),IFERROR(SUM($E69:$E$177),NA()))</f>
        <v>1043468.5260000003</v>
      </c>
      <c r="U69">
        <f>IF(ISBLANK($F69),NA(),IFERROR(SUM($F69:$F$177),NA()))</f>
        <v>1359372.6060000001</v>
      </c>
      <c r="V69">
        <f>IF(ISBLANK($G69),NA(),IFERROR(SUM($G69:$G$177),NA()))</f>
        <v>1421927.3359999997</v>
      </c>
      <c r="W69">
        <f t="shared" si="21"/>
        <v>2781299.9419999998</v>
      </c>
      <c r="X69">
        <f t="shared" si="22"/>
        <v>37.517295788301588</v>
      </c>
      <c r="Y69">
        <f t="shared" si="23"/>
        <v>48.8754407776132</v>
      </c>
      <c r="Z69" t="e">
        <f>IF(ISBLANK($H69),NA(),IFERROR(SUM($H69:$H$177),NA()))</f>
        <v>#N/A</v>
      </c>
      <c r="AA69" t="e">
        <f>IF(ISBLANK($I69),NA(),IFERROR(SUM($I69:$I$177),NA()))</f>
        <v>#N/A</v>
      </c>
      <c r="AB69" t="e">
        <f>IF(ISBLANK($J69),NA(),IFERROR(SUM($J69:$J$177),NA()))</f>
        <v>#N/A</v>
      </c>
      <c r="AC69" t="str">
        <f t="shared" si="24"/>
        <v/>
      </c>
      <c r="AD69" t="e">
        <f t="shared" si="25"/>
        <v>#N/A</v>
      </c>
      <c r="AE69" t="e">
        <f t="shared" si="26"/>
        <v>#N/A</v>
      </c>
    </row>
    <row r="70" spans="1:31" x14ac:dyDescent="0.35">
      <c r="A70">
        <v>1917</v>
      </c>
      <c r="B70">
        <v>5749.3059999999996</v>
      </c>
      <c r="C70">
        <v>7116.924</v>
      </c>
      <c r="D70">
        <v>3609.44</v>
      </c>
      <c r="E70">
        <v>5287.6660000000002</v>
      </c>
      <c r="F70">
        <v>6410.5959999999995</v>
      </c>
      <c r="G70">
        <v>3141.2570000000001</v>
      </c>
      <c r="N70">
        <f>IF(ISBLANK($B70),NA(),IFERROR(SUM($B70:$B$177),NA()))</f>
        <v>1095112.9030000002</v>
      </c>
      <c r="O70">
        <f>IF(ISBLANK($C70),NA(),IFERROR(SUM($C70:$C$177),NA()))</f>
        <v>1480335.9099999995</v>
      </c>
      <c r="P70">
        <f>IF(ISBLANK($D70),NA(),IFERROR(SUM($D70:$D$177),NA()))</f>
        <v>1665586.3829999997</v>
      </c>
      <c r="Q70">
        <f t="shared" si="18"/>
        <v>3145922.2929999991</v>
      </c>
      <c r="R70">
        <f t="shared" si="19"/>
        <v>34.810551596800053</v>
      </c>
      <c r="S70">
        <f t="shared" si="20"/>
        <v>47.055704881646285</v>
      </c>
      <c r="T70">
        <f>IF(ISBLANK($E70),NA(),IFERROR(SUM($E70:$E$177),NA()))</f>
        <v>1038314.1250000003</v>
      </c>
      <c r="U70">
        <f>IF(ISBLANK($F70),NA(),IFERROR(SUM($F70:$F$177),NA()))</f>
        <v>1353096.031</v>
      </c>
      <c r="V70">
        <f>IF(ISBLANK($G70),NA(),IFERROR(SUM($G70:$G$177),NA()))</f>
        <v>1418829.3059999999</v>
      </c>
      <c r="W70">
        <f t="shared" si="21"/>
        <v>2771925.3369999998</v>
      </c>
      <c r="X70">
        <f t="shared" si="22"/>
        <v>37.458228442896925</v>
      </c>
      <c r="Y70">
        <f t="shared" si="23"/>
        <v>48.814302930122537</v>
      </c>
      <c r="Z70" t="e">
        <f>IF(ISBLANK($H70),NA(),IFERROR(SUM($H70:$H$177),NA()))</f>
        <v>#N/A</v>
      </c>
      <c r="AA70" t="e">
        <f>IF(ISBLANK($I70),NA(),IFERROR(SUM($I70:$I$177),NA()))</f>
        <v>#N/A</v>
      </c>
      <c r="AB70" t="e">
        <f>IF(ISBLANK($J70),NA(),IFERROR(SUM($J70:$J$177),NA()))</f>
        <v>#N/A</v>
      </c>
      <c r="AC70" t="str">
        <f t="shared" si="24"/>
        <v/>
      </c>
      <c r="AD70" t="e">
        <f t="shared" si="25"/>
        <v>#N/A</v>
      </c>
      <c r="AE70" t="e">
        <f t="shared" si="26"/>
        <v>#N/A</v>
      </c>
    </row>
    <row r="71" spans="1:31" x14ac:dyDescent="0.35">
      <c r="A71">
        <v>1918</v>
      </c>
      <c r="B71">
        <v>5798.7089999999998</v>
      </c>
      <c r="C71">
        <v>6994.5460000000003</v>
      </c>
      <c r="D71">
        <v>3638.5970000000002</v>
      </c>
      <c r="E71">
        <v>5309.5770000000002</v>
      </c>
      <c r="F71">
        <v>6334.5940000000001</v>
      </c>
      <c r="G71">
        <v>3176.529</v>
      </c>
      <c r="N71">
        <f>IF(ISBLANK($B71),NA(),IFERROR(SUM($B71:$B$177),NA()))</f>
        <v>1089363.5970000001</v>
      </c>
      <c r="O71">
        <f>IF(ISBLANK($C71),NA(),IFERROR(SUM($C71:$C$177),NA()))</f>
        <v>1473218.9859999996</v>
      </c>
      <c r="P71">
        <f>IF(ISBLANK($D71),NA(),IFERROR(SUM($D71:$D$177),NA()))</f>
        <v>1661976.9429999997</v>
      </c>
      <c r="Q71">
        <f t="shared" si="18"/>
        <v>3135195.9289999995</v>
      </c>
      <c r="R71">
        <f t="shared" si="19"/>
        <v>34.746268548117918</v>
      </c>
      <c r="S71">
        <f t="shared" si="20"/>
        <v>46.989694403880421</v>
      </c>
      <c r="T71">
        <f>IF(ISBLANK($E71),NA(),IFERROR(SUM($E71:$E$177),NA()))</f>
        <v>1033026.4590000004</v>
      </c>
      <c r="U71">
        <f>IF(ISBLANK($F71),NA(),IFERROR(SUM($F71:$F$177),NA()))</f>
        <v>1346685.4350000001</v>
      </c>
      <c r="V71">
        <f>IF(ISBLANK($G71),NA(),IFERROR(SUM($G71:$G$177),NA()))</f>
        <v>1415688.0489999996</v>
      </c>
      <c r="W71">
        <f t="shared" si="21"/>
        <v>2762373.4839999997</v>
      </c>
      <c r="X71">
        <f t="shared" si="22"/>
        <v>37.39633561440602</v>
      </c>
      <c r="Y71">
        <f t="shared" si="23"/>
        <v>48.751026709464327</v>
      </c>
      <c r="Z71" t="e">
        <f>IF(ISBLANK($H71),NA(),IFERROR(SUM($H71:$H$177),NA()))</f>
        <v>#N/A</v>
      </c>
      <c r="AA71" t="e">
        <f>IF(ISBLANK($I71),NA(),IFERROR(SUM($I71:$I$177),NA()))</f>
        <v>#N/A</v>
      </c>
      <c r="AB71" t="e">
        <f>IF(ISBLANK($J71),NA(),IFERROR(SUM($J71:$J$177),NA()))</f>
        <v>#N/A</v>
      </c>
      <c r="AC71" t="str">
        <f t="shared" si="24"/>
        <v/>
      </c>
      <c r="AD71" t="e">
        <f t="shared" si="25"/>
        <v>#N/A</v>
      </c>
      <c r="AE71" t="e">
        <f t="shared" si="26"/>
        <v>#N/A</v>
      </c>
    </row>
    <row r="72" spans="1:31" x14ac:dyDescent="0.35">
      <c r="A72">
        <v>1919</v>
      </c>
      <c r="B72">
        <v>5358.1480000000001</v>
      </c>
      <c r="C72">
        <v>6412.8779999999997</v>
      </c>
      <c r="D72">
        <v>3699.377</v>
      </c>
      <c r="E72">
        <v>4877.5510000000004</v>
      </c>
      <c r="F72">
        <v>5784.8370000000004</v>
      </c>
      <c r="G72">
        <v>3235.069</v>
      </c>
      <c r="N72">
        <f>IF(ISBLANK($B72),NA(),IFERROR(SUM($B72:$B$177),NA()))</f>
        <v>1083564.888</v>
      </c>
      <c r="O72">
        <f>IF(ISBLANK($C72),NA(),IFERROR(SUM($C72:$C$177),NA()))</f>
        <v>1466224.4399999995</v>
      </c>
      <c r="P72">
        <f>IF(ISBLANK($D72),NA(),IFERROR(SUM($D72:$D$177),NA()))</f>
        <v>1658338.3459999997</v>
      </c>
      <c r="Q72">
        <f t="shared" si="18"/>
        <v>3124562.7859999994</v>
      </c>
      <c r="R72">
        <f t="shared" si="19"/>
        <v>34.678928292145386</v>
      </c>
      <c r="S72">
        <f t="shared" si="20"/>
        <v>46.925747389990192</v>
      </c>
      <c r="T72">
        <f>IF(ISBLANK($E72),NA(),IFERROR(SUM($E72:$E$177),NA()))</f>
        <v>1027716.8820000002</v>
      </c>
      <c r="U72">
        <f>IF(ISBLANK($F72),NA(),IFERROR(SUM($F72:$F$177),NA()))</f>
        <v>1340350.841</v>
      </c>
      <c r="V72">
        <f>IF(ISBLANK($G72),NA(),IFERROR(SUM($G72:$G$177),NA()))</f>
        <v>1412511.52</v>
      </c>
      <c r="W72">
        <f t="shared" si="21"/>
        <v>2752862.361</v>
      </c>
      <c r="X72">
        <f t="shared" si="22"/>
        <v>37.332664958471575</v>
      </c>
      <c r="Y72">
        <f t="shared" si="23"/>
        <v>48.689351853868438</v>
      </c>
      <c r="Z72" t="e">
        <f>IF(ISBLANK($H72),NA(),IFERROR(SUM($H72:$H$177),NA()))</f>
        <v>#N/A</v>
      </c>
      <c r="AA72" t="e">
        <f>IF(ISBLANK($I72),NA(),IFERROR(SUM($I72:$I$177),NA()))</f>
        <v>#N/A</v>
      </c>
      <c r="AB72" t="e">
        <f>IF(ISBLANK($J72),NA(),IFERROR(SUM($J72:$J$177),NA()))</f>
        <v>#N/A</v>
      </c>
      <c r="AC72" t="str">
        <f t="shared" si="24"/>
        <v/>
      </c>
      <c r="AD72" t="e">
        <f t="shared" si="25"/>
        <v>#N/A</v>
      </c>
      <c r="AE72" t="e">
        <f t="shared" si="26"/>
        <v>#N/A</v>
      </c>
    </row>
    <row r="73" spans="1:31" x14ac:dyDescent="0.35">
      <c r="A73">
        <v>1920</v>
      </c>
      <c r="B73">
        <v>5814.09</v>
      </c>
      <c r="C73">
        <v>7087.6679999999997</v>
      </c>
      <c r="D73">
        <v>3993.3249999999998</v>
      </c>
      <c r="E73">
        <v>5313.1379999999999</v>
      </c>
      <c r="F73">
        <v>6303.1490000000003</v>
      </c>
      <c r="G73">
        <v>3303.9279999999999</v>
      </c>
      <c r="N73">
        <f>IF(ISBLANK($B73),NA(),IFERROR(SUM($B73:$B$177),NA()))</f>
        <v>1078206.74</v>
      </c>
      <c r="O73">
        <f>IF(ISBLANK($C73),NA(),IFERROR(SUM($C73:$C$177),NA()))</f>
        <v>1459811.5619999995</v>
      </c>
      <c r="P73">
        <f>IF(ISBLANK($D73),NA(),IFERROR(SUM($D73:$D$177),NA()))</f>
        <v>1654638.9689999998</v>
      </c>
      <c r="Q73">
        <f t="shared" si="18"/>
        <v>3114450.5309999995</v>
      </c>
      <c r="R73">
        <f t="shared" si="19"/>
        <v>34.619485179422817</v>
      </c>
      <c r="S73">
        <f t="shared" si="20"/>
        <v>46.872202575369776</v>
      </c>
      <c r="T73">
        <f>IF(ISBLANK($E73),NA(),IFERROR(SUM($E73:$E$177),NA()))</f>
        <v>1022839.3310000002</v>
      </c>
      <c r="U73">
        <f>IF(ISBLANK($F73),NA(),IFERROR(SUM($F73:$F$177),NA()))</f>
        <v>1334566.004</v>
      </c>
      <c r="V73">
        <f>IF(ISBLANK($G73),NA(),IFERROR(SUM($G73:$G$177),NA()))</f>
        <v>1409276.4509999999</v>
      </c>
      <c r="W73">
        <f t="shared" si="21"/>
        <v>2743842.4550000001</v>
      </c>
      <c r="X73">
        <f t="shared" si="22"/>
        <v>37.277626094607541</v>
      </c>
      <c r="Y73">
        <f t="shared" si="23"/>
        <v>48.638579870650773</v>
      </c>
      <c r="Z73" t="e">
        <f>IF(ISBLANK($H73),NA(),IFERROR(SUM($H73:$H$177),NA()))</f>
        <v>#N/A</v>
      </c>
      <c r="AA73" t="e">
        <f>IF(ISBLANK($I73),NA(),IFERROR(SUM($I73:$I$177),NA()))</f>
        <v>#N/A</v>
      </c>
      <c r="AB73" t="e">
        <f>IF(ISBLANK($J73),NA(),IFERROR(SUM($J73:$J$177),NA()))</f>
        <v>#N/A</v>
      </c>
      <c r="AC73" t="str">
        <f t="shared" si="24"/>
        <v/>
      </c>
      <c r="AD73" t="e">
        <f t="shared" si="25"/>
        <v>#N/A</v>
      </c>
      <c r="AE73" t="e">
        <f t="shared" si="26"/>
        <v>#N/A</v>
      </c>
    </row>
    <row r="74" spans="1:31" x14ac:dyDescent="0.35">
      <c r="A74">
        <v>1921</v>
      </c>
      <c r="B74">
        <v>5340.72</v>
      </c>
      <c r="C74">
        <v>6672.9859999999999</v>
      </c>
      <c r="D74">
        <v>4147.04</v>
      </c>
      <c r="E74">
        <v>4765.9859999999999</v>
      </c>
      <c r="F74">
        <v>5766.0789999999997</v>
      </c>
      <c r="G74">
        <v>3528.7179999999998</v>
      </c>
      <c r="N74">
        <f>IF(ISBLANK($B74),NA(),IFERROR(SUM($B74:$B$177),NA()))</f>
        <v>1072392.6500000001</v>
      </c>
      <c r="O74">
        <f>IF(ISBLANK($C74),NA(),IFERROR(SUM($C74:$C$177),NA()))</f>
        <v>1452723.8939999996</v>
      </c>
      <c r="P74">
        <f>IF(ISBLANK($D74),NA(),IFERROR(SUM($D74:$D$177),NA()))</f>
        <v>1650645.6439999996</v>
      </c>
      <c r="Q74">
        <f t="shared" si="18"/>
        <v>3103369.5379999992</v>
      </c>
      <c r="R74">
        <f t="shared" si="19"/>
        <v>34.555750994807902</v>
      </c>
      <c r="S74">
        <f t="shared" si="20"/>
        <v>46.811179790603461</v>
      </c>
      <c r="T74">
        <f>IF(ISBLANK($E74),NA(),IFERROR(SUM($E74:$E$177),NA()))</f>
        <v>1017526.1930000002</v>
      </c>
      <c r="U74">
        <f>IF(ISBLANK($F74),NA(),IFERROR(SUM($F74:$F$177),NA()))</f>
        <v>1328262.8550000002</v>
      </c>
      <c r="V74">
        <f>IF(ISBLANK($G74),NA(),IFERROR(SUM($G74:$G$177),NA()))</f>
        <v>1405972.523</v>
      </c>
      <c r="W74">
        <f t="shared" si="21"/>
        <v>2734235.3780000005</v>
      </c>
      <c r="X74">
        <f t="shared" si="22"/>
        <v>37.214286713833893</v>
      </c>
      <c r="Y74">
        <f t="shared" si="23"/>
        <v>48.578950652433548</v>
      </c>
      <c r="Z74" t="e">
        <f>IF(ISBLANK($H74),NA(),IFERROR(SUM($H74:$H$177),NA()))</f>
        <v>#N/A</v>
      </c>
      <c r="AA74" t="e">
        <f>IF(ISBLANK($I74),NA(),IFERROR(SUM($I74:$I$177),NA()))</f>
        <v>#N/A</v>
      </c>
      <c r="AB74" t="e">
        <f>IF(ISBLANK($J74),NA(),IFERROR(SUM($J74:$J$177),NA()))</f>
        <v>#N/A</v>
      </c>
      <c r="AC74" t="str">
        <f t="shared" si="24"/>
        <v/>
      </c>
      <c r="AD74" t="e">
        <f t="shared" si="25"/>
        <v>#N/A</v>
      </c>
      <c r="AE74" t="e">
        <f t="shared" si="26"/>
        <v>#N/A</v>
      </c>
    </row>
    <row r="75" spans="1:31" x14ac:dyDescent="0.35">
      <c r="A75">
        <v>1922</v>
      </c>
      <c r="B75">
        <v>5530.3729999999996</v>
      </c>
      <c r="C75">
        <v>6881.9560000000001</v>
      </c>
      <c r="D75">
        <v>4214.4210000000003</v>
      </c>
      <c r="E75">
        <v>4866.3680000000004</v>
      </c>
      <c r="F75">
        <v>5878.26</v>
      </c>
      <c r="G75">
        <v>3612.3040000000001</v>
      </c>
      <c r="N75">
        <f>IF(ISBLANK($B75),NA(),IFERROR(SUM($B75:$B$177),NA()))</f>
        <v>1067051.93</v>
      </c>
      <c r="O75">
        <f>IF(ISBLANK($C75),NA(),IFERROR(SUM($C75:$C$177),NA()))</f>
        <v>1446050.9079999998</v>
      </c>
      <c r="P75">
        <f>IF(ISBLANK($D75),NA(),IFERROR(SUM($D75:$D$177),NA()))</f>
        <v>1646498.6039999996</v>
      </c>
      <c r="Q75">
        <f t="shared" si="18"/>
        <v>3092549.5119999992</v>
      </c>
      <c r="R75">
        <f t="shared" si="19"/>
        <v>34.503956229626247</v>
      </c>
      <c r="S75">
        <f t="shared" si="20"/>
        <v>46.759183721680067</v>
      </c>
      <c r="T75">
        <f>IF(ISBLANK($E75),NA(),IFERROR(SUM($E75:$E$177),NA()))</f>
        <v>1012760.2070000003</v>
      </c>
      <c r="U75">
        <f>IF(ISBLANK($F75),NA(),IFERROR(SUM($F75:$F$177),NA()))</f>
        <v>1322496.7760000001</v>
      </c>
      <c r="V75">
        <f>IF(ISBLANK($G75),NA(),IFERROR(SUM($G75:$G$177),NA()))</f>
        <v>1402443.8049999997</v>
      </c>
      <c r="W75">
        <f t="shared" si="21"/>
        <v>2724940.5809999998</v>
      </c>
      <c r="X75">
        <f t="shared" si="22"/>
        <v>37.166322600265183</v>
      </c>
      <c r="Y75">
        <f t="shared" si="23"/>
        <v>48.533050049651713</v>
      </c>
      <c r="Z75" t="e">
        <f>IF(ISBLANK($H75),NA(),IFERROR(SUM($H75:$H$177),NA()))</f>
        <v>#N/A</v>
      </c>
      <c r="AA75" t="e">
        <f>IF(ISBLANK($I75),NA(),IFERROR(SUM($I75:$I$177),NA()))</f>
        <v>#N/A</v>
      </c>
      <c r="AB75" t="e">
        <f>IF(ISBLANK($J75),NA(),IFERROR(SUM($J75:$J$177),NA()))</f>
        <v>#N/A</v>
      </c>
      <c r="AC75" t="str">
        <f t="shared" si="24"/>
        <v/>
      </c>
      <c r="AD75" t="e">
        <f t="shared" si="25"/>
        <v>#N/A</v>
      </c>
      <c r="AE75" t="e">
        <f t="shared" si="26"/>
        <v>#N/A</v>
      </c>
    </row>
    <row r="76" spans="1:31" x14ac:dyDescent="0.35">
      <c r="A76">
        <v>1923</v>
      </c>
      <c r="B76">
        <v>5991.6639999999998</v>
      </c>
      <c r="C76">
        <v>7391.1959999999999</v>
      </c>
      <c r="D76">
        <v>4340.8230000000003</v>
      </c>
      <c r="E76">
        <v>5349.27</v>
      </c>
      <c r="F76">
        <v>6360.643</v>
      </c>
      <c r="G76">
        <v>3697.4580000000001</v>
      </c>
      <c r="N76">
        <f>IF(ISBLANK($B76),NA(),IFERROR(SUM($B76:$B$177),NA()))</f>
        <v>1061521.557</v>
      </c>
      <c r="O76">
        <f>IF(ISBLANK($C76),NA(),IFERROR(SUM($C76:$C$177),NA()))</f>
        <v>1439168.9519999996</v>
      </c>
      <c r="P76">
        <f>IF(ISBLANK($D76),NA(),IFERROR(SUM($D76:$D$177),NA()))</f>
        <v>1642284.1829999995</v>
      </c>
      <c r="Q76">
        <f t="shared" si="18"/>
        <v>3081453.1349999988</v>
      </c>
      <c r="R76">
        <f t="shared" si="19"/>
        <v>34.448732805407424</v>
      </c>
      <c r="S76">
        <f t="shared" si="20"/>
        <v>46.704229756199098</v>
      </c>
      <c r="T76">
        <f>IF(ISBLANK($E76),NA(),IFERROR(SUM($E76:$E$177),NA()))</f>
        <v>1007893.8390000002</v>
      </c>
      <c r="U76">
        <f>IF(ISBLANK($F76),NA(),IFERROR(SUM($F76:$F$177),NA()))</f>
        <v>1316618.5160000001</v>
      </c>
      <c r="V76">
        <f>IF(ISBLANK($G76),NA(),IFERROR(SUM($G76:$G$177),NA()))</f>
        <v>1398831.5009999997</v>
      </c>
      <c r="W76">
        <f t="shared" si="21"/>
        <v>2715450.017</v>
      </c>
      <c r="X76">
        <f t="shared" si="22"/>
        <v>37.117009434536023</v>
      </c>
      <c r="Y76">
        <f t="shared" si="23"/>
        <v>48.486199626483497</v>
      </c>
      <c r="Z76" t="e">
        <f>IF(ISBLANK($H76),NA(),IFERROR(SUM($H76:$H$177),NA()))</f>
        <v>#N/A</v>
      </c>
      <c r="AA76" t="e">
        <f>IF(ISBLANK($I76),NA(),IFERROR(SUM($I76:$I$177),NA()))</f>
        <v>#N/A</v>
      </c>
      <c r="AB76" t="e">
        <f>IF(ISBLANK($J76),NA(),IFERROR(SUM($J76:$J$177),NA()))</f>
        <v>#N/A</v>
      </c>
      <c r="AC76" t="str">
        <f t="shared" si="24"/>
        <v/>
      </c>
      <c r="AD76" t="e">
        <f t="shared" si="25"/>
        <v>#N/A</v>
      </c>
      <c r="AE76" t="e">
        <f t="shared" si="26"/>
        <v>#N/A</v>
      </c>
    </row>
    <row r="77" spans="1:31" x14ac:dyDescent="0.35">
      <c r="A77">
        <v>1924</v>
      </c>
      <c r="B77">
        <v>5966.78</v>
      </c>
      <c r="C77">
        <v>7319.4129999999996</v>
      </c>
      <c r="D77">
        <v>4405.6530000000002</v>
      </c>
      <c r="E77">
        <v>5317.3140000000003</v>
      </c>
      <c r="F77">
        <v>6356.73</v>
      </c>
      <c r="G77">
        <v>3779.569</v>
      </c>
      <c r="N77">
        <f>IF(ISBLANK($B77),NA(),IFERROR(SUM($B77:$B$177),NA()))</f>
        <v>1055529.8929999999</v>
      </c>
      <c r="O77">
        <f>IF(ISBLANK($C77),NA(),IFERROR(SUM($C77:$C$177),NA()))</f>
        <v>1431777.7559999996</v>
      </c>
      <c r="P77">
        <f>IF(ISBLANK($D77),NA(),IFERROR(SUM($D77:$D$177),NA()))</f>
        <v>1637943.3599999996</v>
      </c>
      <c r="Q77">
        <f t="shared" si="18"/>
        <v>3069721.1159999995</v>
      </c>
      <c r="R77">
        <f t="shared" si="19"/>
        <v>34.385204815459211</v>
      </c>
      <c r="S77">
        <f t="shared" si="20"/>
        <v>46.641948955469864</v>
      </c>
      <c r="T77">
        <f>IF(ISBLANK($E77),NA(),IFERROR(SUM($E77:$E$177),NA()))</f>
        <v>1002544.5690000001</v>
      </c>
      <c r="U77">
        <f>IF(ISBLANK($F77),NA(),IFERROR(SUM($F77:$F$177),NA()))</f>
        <v>1310257.8730000001</v>
      </c>
      <c r="V77">
        <f>IF(ISBLANK($G77),NA(),IFERROR(SUM($G77:$G$177),NA()))</f>
        <v>1395134.0430000001</v>
      </c>
      <c r="W77">
        <f t="shared" si="21"/>
        <v>2705391.9160000002</v>
      </c>
      <c r="X77">
        <f t="shared" si="22"/>
        <v>37.057276732100654</v>
      </c>
      <c r="Y77">
        <f t="shared" si="23"/>
        <v>48.431351674076637</v>
      </c>
      <c r="Z77" t="e">
        <f>IF(ISBLANK($H77),NA(),IFERROR(SUM($H77:$H$177),NA()))</f>
        <v>#N/A</v>
      </c>
      <c r="AA77" t="e">
        <f>IF(ISBLANK($I77),NA(),IFERROR(SUM($I77:$I$177),NA()))</f>
        <v>#N/A</v>
      </c>
      <c r="AB77" t="e">
        <f>IF(ISBLANK($J77),NA(),IFERROR(SUM($J77:$J$177),NA()))</f>
        <v>#N/A</v>
      </c>
      <c r="AC77" t="str">
        <f t="shared" si="24"/>
        <v/>
      </c>
      <c r="AD77" t="e">
        <f t="shared" si="25"/>
        <v>#N/A</v>
      </c>
      <c r="AE77" t="e">
        <f t="shared" si="26"/>
        <v>#N/A</v>
      </c>
    </row>
    <row r="78" spans="1:31" x14ac:dyDescent="0.35">
      <c r="A78">
        <v>1925</v>
      </c>
      <c r="B78">
        <v>6018.6360000000004</v>
      </c>
      <c r="C78">
        <v>7453.9290000000001</v>
      </c>
      <c r="D78">
        <v>4459.6580000000004</v>
      </c>
      <c r="E78">
        <v>5347.2049999999999</v>
      </c>
      <c r="F78">
        <v>6394.0709999999999</v>
      </c>
      <c r="G78">
        <v>3836.393</v>
      </c>
      <c r="N78">
        <f>IF(ISBLANK($B78),NA(),IFERROR(SUM($B78:$B$177),NA()))</f>
        <v>1049563.1129999999</v>
      </c>
      <c r="O78">
        <f>IF(ISBLANK($C78),NA(),IFERROR(SUM($C78:$C$177),NA()))</f>
        <v>1424458.3429999996</v>
      </c>
      <c r="P78">
        <f>IF(ISBLANK($D78),NA(),IFERROR(SUM($D78:$D$177),NA()))</f>
        <v>1633537.7069999997</v>
      </c>
      <c r="Q78">
        <f t="shared" si="18"/>
        <v>3057996.0499999993</v>
      </c>
      <c r="R78">
        <f t="shared" si="19"/>
        <v>34.321925072466982</v>
      </c>
      <c r="S78">
        <f t="shared" si="20"/>
        <v>46.581431751685876</v>
      </c>
      <c r="T78">
        <f>IF(ISBLANK($E78),NA(),IFERROR(SUM($E78:$E$177),NA()))</f>
        <v>997227.25500000012</v>
      </c>
      <c r="U78">
        <f>IF(ISBLANK($F78),NA(),IFERROR(SUM($F78:$F$177),NA()))</f>
        <v>1303901.1430000002</v>
      </c>
      <c r="V78">
        <f>IF(ISBLANK($G78),NA(),IFERROR(SUM($G78:$G$177),NA()))</f>
        <v>1391354.4739999999</v>
      </c>
      <c r="W78">
        <f t="shared" si="21"/>
        <v>2695255.6170000001</v>
      </c>
      <c r="X78">
        <f t="shared" si="22"/>
        <v>36.999357267270291</v>
      </c>
      <c r="Y78">
        <f t="shared" si="23"/>
        <v>48.377643099073822</v>
      </c>
      <c r="Z78" t="e">
        <f>IF(ISBLANK($H78),NA(),IFERROR(SUM($H78:$H$177),NA()))</f>
        <v>#N/A</v>
      </c>
      <c r="AA78" t="e">
        <f>IF(ISBLANK($I78),NA(),IFERROR(SUM($I78:$I$177),NA()))</f>
        <v>#N/A</v>
      </c>
      <c r="AB78" t="e">
        <f>IF(ISBLANK($J78),NA(),IFERROR(SUM($J78:$J$177),NA()))</f>
        <v>#N/A</v>
      </c>
      <c r="AC78" t="str">
        <f t="shared" si="24"/>
        <v/>
      </c>
      <c r="AD78" t="e">
        <f t="shared" si="25"/>
        <v>#N/A</v>
      </c>
      <c r="AE78" t="e">
        <f t="shared" si="26"/>
        <v>#N/A</v>
      </c>
    </row>
    <row r="79" spans="1:31" x14ac:dyDescent="0.35">
      <c r="A79">
        <v>1926</v>
      </c>
      <c r="B79">
        <v>5894.7730000000001</v>
      </c>
      <c r="C79">
        <v>7383.9229999999998</v>
      </c>
      <c r="D79">
        <v>4497.3329999999996</v>
      </c>
      <c r="E79">
        <v>5223.1499999999996</v>
      </c>
      <c r="F79">
        <v>6334.1760000000004</v>
      </c>
      <c r="G79">
        <v>3874.1080000000002</v>
      </c>
      <c r="N79">
        <f>IF(ISBLANK($B79),NA(),IFERROR(SUM($B79:$B$177),NA()))</f>
        <v>1043544.4769999998</v>
      </c>
      <c r="O79">
        <f>IF(ISBLANK($C79),NA(),IFERROR(SUM($C79:$C$177),NA()))</f>
        <v>1417004.4139999996</v>
      </c>
      <c r="P79">
        <f>IF(ISBLANK($D79),NA(),IFERROR(SUM($D79:$D$177),NA()))</f>
        <v>1629078.0489999994</v>
      </c>
      <c r="Q79">
        <f t="shared" si="18"/>
        <v>3046082.4629999991</v>
      </c>
      <c r="R79">
        <f t="shared" si="19"/>
        <v>34.258576045647921</v>
      </c>
      <c r="S79">
        <f t="shared" si="20"/>
        <v>46.518911789552561</v>
      </c>
      <c r="T79">
        <f>IF(ISBLANK($E79),NA(),IFERROR(SUM($E79:$E$177),NA()))</f>
        <v>991880.05000000016</v>
      </c>
      <c r="U79">
        <f>IF(ISBLANK($F79),NA(),IFERROR(SUM($F79:$F$177),NA()))</f>
        <v>1297507.0719999999</v>
      </c>
      <c r="V79">
        <f>IF(ISBLANK($G79),NA(),IFERROR(SUM($G79:$G$177),NA()))</f>
        <v>1387518.0809999998</v>
      </c>
      <c r="W79">
        <f t="shared" si="21"/>
        <v>2685025.1529999999</v>
      </c>
      <c r="X79">
        <f t="shared" si="22"/>
        <v>36.941182800159794</v>
      </c>
      <c r="Y79">
        <f t="shared" si="23"/>
        <v>48.323833039339874</v>
      </c>
      <c r="Z79" t="e">
        <f>IF(ISBLANK($H79),NA(),IFERROR(SUM($H79:$H$177),NA()))</f>
        <v>#N/A</v>
      </c>
      <c r="AA79" t="e">
        <f>IF(ISBLANK($I79),NA(),IFERROR(SUM($I79:$I$177),NA()))</f>
        <v>#N/A</v>
      </c>
      <c r="AB79" t="e">
        <f>IF(ISBLANK($J79),NA(),IFERROR(SUM($J79:$J$177),NA()))</f>
        <v>#N/A</v>
      </c>
      <c r="AC79" t="str">
        <f t="shared" si="24"/>
        <v/>
      </c>
      <c r="AD79" t="e">
        <f t="shared" si="25"/>
        <v>#N/A</v>
      </c>
      <c r="AE79" t="e">
        <f t="shared" si="26"/>
        <v>#N/A</v>
      </c>
    </row>
    <row r="80" spans="1:31" x14ac:dyDescent="0.35">
      <c r="A80">
        <v>1927</v>
      </c>
      <c r="B80">
        <v>6201.12</v>
      </c>
      <c r="C80">
        <v>7746.2190000000001</v>
      </c>
      <c r="D80">
        <v>4554.3069999999998</v>
      </c>
      <c r="E80">
        <v>5719.0870000000004</v>
      </c>
      <c r="F80">
        <v>6889.6629999999996</v>
      </c>
      <c r="G80">
        <v>3915.4630000000002</v>
      </c>
      <c r="N80">
        <f>IF(ISBLANK($B80),NA(),IFERROR(SUM($B80:$B$177),NA()))</f>
        <v>1037649.7039999999</v>
      </c>
      <c r="O80">
        <f>IF(ISBLANK($C80),NA(),IFERROR(SUM($C80:$C$177),NA()))</f>
        <v>1409620.4909999997</v>
      </c>
      <c r="P80">
        <f>IF(ISBLANK($D80),NA(),IFERROR(SUM($D80:$D$177),NA()))</f>
        <v>1624580.7159999998</v>
      </c>
      <c r="Q80">
        <f t="shared" si="18"/>
        <v>3034201.2069999995</v>
      </c>
      <c r="R80">
        <f t="shared" si="19"/>
        <v>34.198447407050949</v>
      </c>
      <c r="S80">
        <f t="shared" si="20"/>
        <v>46.45771307940818</v>
      </c>
      <c r="T80">
        <f>IF(ISBLANK($E80),NA(),IFERROR(SUM($E80:$E$177),NA()))</f>
        <v>986656.90000000014</v>
      </c>
      <c r="U80">
        <f>IF(ISBLANK($F80),NA(),IFERROR(SUM($F80:$F$177),NA()))</f>
        <v>1291172.8959999999</v>
      </c>
      <c r="V80">
        <f>IF(ISBLANK($G80),NA(),IFERROR(SUM($G80:$G$177),NA()))</f>
        <v>1383643.9729999998</v>
      </c>
      <c r="W80">
        <f t="shared" si="21"/>
        <v>2674816.8689999999</v>
      </c>
      <c r="X80">
        <f t="shared" si="22"/>
        <v>36.886895377210223</v>
      </c>
      <c r="Y80">
        <f t="shared" si="23"/>
        <v>48.27145031737124</v>
      </c>
      <c r="Z80" t="e">
        <f>IF(ISBLANK($H80),NA(),IFERROR(SUM($H80:$H$177),NA()))</f>
        <v>#N/A</v>
      </c>
      <c r="AA80" t="e">
        <f>IF(ISBLANK($I80),NA(),IFERROR(SUM($I80:$I$177),NA()))</f>
        <v>#N/A</v>
      </c>
      <c r="AB80" t="e">
        <f>IF(ISBLANK($J80),NA(),IFERROR(SUM($J80:$J$177),NA()))</f>
        <v>#N/A</v>
      </c>
      <c r="AC80" t="str">
        <f t="shared" si="24"/>
        <v/>
      </c>
      <c r="AD80" t="e">
        <f t="shared" si="25"/>
        <v>#N/A</v>
      </c>
      <c r="AE80" t="e">
        <f t="shared" si="26"/>
        <v>#N/A</v>
      </c>
    </row>
    <row r="81" spans="1:31" x14ac:dyDescent="0.35">
      <c r="A81">
        <v>1928</v>
      </c>
      <c r="B81">
        <v>6146.3590000000004</v>
      </c>
      <c r="C81">
        <v>7720.2529999999997</v>
      </c>
      <c r="D81">
        <v>4640.3239999999996</v>
      </c>
      <c r="E81">
        <v>5656.5069999999996</v>
      </c>
      <c r="F81">
        <v>6855.0150000000003</v>
      </c>
      <c r="G81">
        <v>3971.68</v>
      </c>
      <c r="N81">
        <f>IF(ISBLANK($B81),NA(),IFERROR(SUM($B81:$B$177),NA()))</f>
        <v>1031448.584</v>
      </c>
      <c r="O81">
        <f>IF(ISBLANK($C81),NA(),IFERROR(SUM($C81:$C$177),NA()))</f>
        <v>1401874.2719999996</v>
      </c>
      <c r="P81">
        <f>IF(ISBLANK($D81),NA(),IFERROR(SUM($D81:$D$177),NA()))</f>
        <v>1620026.4089999998</v>
      </c>
      <c r="Q81">
        <f t="shared" si="18"/>
        <v>3021900.6809999994</v>
      </c>
      <c r="R81">
        <f t="shared" si="19"/>
        <v>34.13244487104307</v>
      </c>
      <c r="S81">
        <f t="shared" si="20"/>
        <v>46.39048135546583</v>
      </c>
      <c r="T81">
        <f>IF(ISBLANK($E81),NA(),IFERROR(SUM($E81:$E$177),NA()))</f>
        <v>980937.81300000008</v>
      </c>
      <c r="U81">
        <f>IF(ISBLANK($F81),NA(),IFERROR(SUM($F81:$F$177),NA()))</f>
        <v>1284283.233</v>
      </c>
      <c r="V81">
        <f>IF(ISBLANK($G81),NA(),IFERROR(SUM($G81:$G$177),NA()))</f>
        <v>1379728.5099999998</v>
      </c>
      <c r="W81">
        <f t="shared" si="21"/>
        <v>2664011.7429999998</v>
      </c>
      <c r="X81">
        <f t="shared" si="22"/>
        <v>36.821827665644797</v>
      </c>
      <c r="Y81">
        <f t="shared" si="23"/>
        <v>48.208617562388881</v>
      </c>
      <c r="Z81" t="e">
        <f>IF(ISBLANK($H81),NA(),IFERROR(SUM($H81:$H$177),NA()))</f>
        <v>#N/A</v>
      </c>
      <c r="AA81" t="e">
        <f>IF(ISBLANK($I81),NA(),IFERROR(SUM($I81:$I$177),NA()))</f>
        <v>#N/A</v>
      </c>
      <c r="AB81" t="e">
        <f>IF(ISBLANK($J81),NA(),IFERROR(SUM($J81:$J$177),NA()))</f>
        <v>#N/A</v>
      </c>
      <c r="AC81" t="str">
        <f t="shared" si="24"/>
        <v/>
      </c>
      <c r="AD81" t="e">
        <f t="shared" si="25"/>
        <v>#N/A</v>
      </c>
      <c r="AE81" t="e">
        <f t="shared" si="26"/>
        <v>#N/A</v>
      </c>
    </row>
    <row r="82" spans="1:31" x14ac:dyDescent="0.35">
      <c r="A82">
        <v>1929</v>
      </c>
      <c r="B82">
        <v>6412.66</v>
      </c>
      <c r="C82">
        <v>8088.2240000000002</v>
      </c>
      <c r="D82">
        <v>4682.6139999999996</v>
      </c>
      <c r="E82">
        <v>6042.5280000000002</v>
      </c>
      <c r="F82">
        <v>7280.5749999999998</v>
      </c>
      <c r="G82">
        <v>4028.1419999999998</v>
      </c>
      <c r="N82">
        <f>IF(ISBLANK($B82),NA(),IFERROR(SUM($B82:$B$177),NA()))</f>
        <v>1025302.225</v>
      </c>
      <c r="O82">
        <f>IF(ISBLANK($C82),NA(),IFERROR(SUM($C82:$C$177),NA()))</f>
        <v>1394154.0189999996</v>
      </c>
      <c r="P82">
        <f>IF(ISBLANK($D82),NA(),IFERROR(SUM($D82:$D$177),NA()))</f>
        <v>1615386.0849999997</v>
      </c>
      <c r="Q82">
        <f t="shared" si="18"/>
        <v>3009540.1039999994</v>
      </c>
      <c r="R82">
        <f t="shared" si="19"/>
        <v>34.06840213351083</v>
      </c>
      <c r="S82">
        <f t="shared" si="20"/>
        <v>46.324487158254527</v>
      </c>
      <c r="T82">
        <f>IF(ISBLANK($E82),NA(),IFERROR(SUM($E82:$E$177),NA()))</f>
        <v>975281.3060000001</v>
      </c>
      <c r="U82">
        <f>IF(ISBLANK($F82),NA(),IFERROR(SUM($F82:$F$177),NA()))</f>
        <v>1277428.2180000001</v>
      </c>
      <c r="V82">
        <f>IF(ISBLANK($G82),NA(),IFERROR(SUM($G82:$G$177),NA()))</f>
        <v>1375756.8299999996</v>
      </c>
      <c r="W82">
        <f t="shared" si="21"/>
        <v>2653185.0479999995</v>
      </c>
      <c r="X82">
        <f t="shared" si="22"/>
        <v>36.75888746377408</v>
      </c>
      <c r="Y82">
        <f t="shared" si="23"/>
        <v>48.146970335255723</v>
      </c>
      <c r="Z82" t="e">
        <f>IF(ISBLANK($H82),NA(),IFERROR(SUM($H82:$H$177),NA()))</f>
        <v>#N/A</v>
      </c>
      <c r="AA82" t="e">
        <f>IF(ISBLANK($I82),NA(),IFERROR(SUM($I82:$I$177),NA()))</f>
        <v>#N/A</v>
      </c>
      <c r="AB82" t="e">
        <f>IF(ISBLANK($J82),NA(),IFERROR(SUM($J82:$J$177),NA()))</f>
        <v>#N/A</v>
      </c>
      <c r="AC82" t="str">
        <f t="shared" si="24"/>
        <v/>
      </c>
      <c r="AD82" t="e">
        <f t="shared" si="25"/>
        <v>#N/A</v>
      </c>
      <c r="AE82" t="e">
        <f t="shared" si="26"/>
        <v>#N/A</v>
      </c>
    </row>
    <row r="83" spans="1:31" x14ac:dyDescent="0.35">
      <c r="A83">
        <v>1930</v>
      </c>
      <c r="B83">
        <v>5942.415</v>
      </c>
      <c r="C83">
        <v>7805.951</v>
      </c>
      <c r="D83">
        <v>4695.4930000000004</v>
      </c>
      <c r="E83">
        <v>5917.59</v>
      </c>
      <c r="F83">
        <v>7188.92</v>
      </c>
      <c r="G83">
        <v>4072.1439999999998</v>
      </c>
      <c r="N83">
        <f>IF(ISBLANK($B83),NA(),IFERROR(SUM($B83:$B$177),NA()))</f>
        <v>1018889.5649999999</v>
      </c>
      <c r="O83">
        <f>IF(ISBLANK($C83),NA(),IFERROR(SUM($C83:$C$177),NA()))</f>
        <v>1386065.7949999997</v>
      </c>
      <c r="P83">
        <f>IF(ISBLANK($D83),NA(),IFERROR(SUM($D83:$D$177),NA()))</f>
        <v>1610703.4709999997</v>
      </c>
      <c r="Q83">
        <f t="shared" si="18"/>
        <v>2996769.2659999994</v>
      </c>
      <c r="R83">
        <f t="shared" si="19"/>
        <v>33.999600054627635</v>
      </c>
      <c r="S83">
        <f t="shared" si="20"/>
        <v>46.252002472318466</v>
      </c>
      <c r="T83">
        <f>IF(ISBLANK($E83),NA(),IFERROR(SUM($E83:$E$177),NA()))</f>
        <v>969238.77800000005</v>
      </c>
      <c r="U83">
        <f>IF(ISBLANK($F83),NA(),IFERROR(SUM($F83:$F$177),NA()))</f>
        <v>1270147.6430000002</v>
      </c>
      <c r="V83">
        <f>IF(ISBLANK($G83),NA(),IFERROR(SUM($G83:$G$177),NA()))</f>
        <v>1371728.6879999996</v>
      </c>
      <c r="W83">
        <f t="shared" si="21"/>
        <v>2641876.3309999998</v>
      </c>
      <c r="X83">
        <f t="shared" si="22"/>
        <v>36.687515105338974</v>
      </c>
      <c r="Y83">
        <f t="shared" si="23"/>
        <v>48.077482965269056</v>
      </c>
      <c r="Z83" t="e">
        <f>IF(ISBLANK($H83),NA(),IFERROR(SUM($H83:$H$177),NA()))</f>
        <v>#N/A</v>
      </c>
      <c r="AA83" t="e">
        <f>IF(ISBLANK($I83),NA(),IFERROR(SUM($I83:$I$177),NA()))</f>
        <v>#N/A</v>
      </c>
      <c r="AB83" t="e">
        <f>IF(ISBLANK($J83),NA(),IFERROR(SUM($J83:$J$177),NA()))</f>
        <v>#N/A</v>
      </c>
      <c r="AC83" t="str">
        <f t="shared" si="24"/>
        <v/>
      </c>
      <c r="AD83" t="e">
        <f t="shared" si="25"/>
        <v>#N/A</v>
      </c>
      <c r="AE83" t="e">
        <f t="shared" si="26"/>
        <v>#N/A</v>
      </c>
    </row>
    <row r="84" spans="1:31" x14ac:dyDescent="0.35">
      <c r="A84">
        <v>1931</v>
      </c>
      <c r="B84">
        <v>5447.2219999999998</v>
      </c>
      <c r="C84">
        <v>7416.0460000000003</v>
      </c>
      <c r="D84">
        <v>4740.8459999999995</v>
      </c>
      <c r="E84">
        <v>5404.7280000000001</v>
      </c>
      <c r="F84">
        <v>6715.7330000000002</v>
      </c>
      <c r="G84">
        <v>4128.7449999999999</v>
      </c>
      <c r="N84">
        <f>IF(ISBLANK($B84),NA(),IFERROR(SUM($B84:$B$177),NA()))</f>
        <v>1012947.15</v>
      </c>
      <c r="O84">
        <f>IF(ISBLANK($C84),NA(),IFERROR(SUM($C84:$C$177),NA()))</f>
        <v>1378259.8439999998</v>
      </c>
      <c r="P84">
        <f>IF(ISBLANK($D84),NA(),IFERROR(SUM($D84:$D$177),NA()))</f>
        <v>1606007.9779999994</v>
      </c>
      <c r="Q84">
        <f t="shared" si="18"/>
        <v>2984267.8219999992</v>
      </c>
      <c r="R84">
        <f t="shared" si="19"/>
        <v>33.942903600426263</v>
      </c>
      <c r="S84">
        <f t="shared" si="20"/>
        <v>46.184187419087486</v>
      </c>
      <c r="T84">
        <f>IF(ISBLANK($E84),NA(),IFERROR(SUM($E84:$E$177),NA()))</f>
        <v>963321.18799999997</v>
      </c>
      <c r="U84">
        <f>IF(ISBLANK($F84),NA(),IFERROR(SUM($F84:$F$177),NA()))</f>
        <v>1262958.723</v>
      </c>
      <c r="V84">
        <f>IF(ISBLANK($G84),NA(),IFERROR(SUM($G84:$G$177),NA()))</f>
        <v>1367656.5439999998</v>
      </c>
      <c r="W84">
        <f t="shared" si="21"/>
        <v>2630615.267</v>
      </c>
      <c r="X84">
        <f t="shared" si="22"/>
        <v>36.619615193619268</v>
      </c>
      <c r="Y84">
        <f t="shared" si="23"/>
        <v>48.010012670545336</v>
      </c>
      <c r="Z84" t="e">
        <f>IF(ISBLANK($H84),NA(),IFERROR(SUM($H84:$H$177),NA()))</f>
        <v>#N/A</v>
      </c>
      <c r="AA84" t="e">
        <f>IF(ISBLANK($I84),NA(),IFERROR(SUM($I84:$I$177),NA()))</f>
        <v>#N/A</v>
      </c>
      <c r="AB84" t="e">
        <f>IF(ISBLANK($J84),NA(),IFERROR(SUM($J84:$J$177),NA()))</f>
        <v>#N/A</v>
      </c>
      <c r="AC84" t="str">
        <f t="shared" si="24"/>
        <v/>
      </c>
      <c r="AD84" t="e">
        <f t="shared" si="25"/>
        <v>#N/A</v>
      </c>
      <c r="AE84" t="e">
        <f t="shared" si="26"/>
        <v>#N/A</v>
      </c>
    </row>
    <row r="85" spans="1:31" x14ac:dyDescent="0.35">
      <c r="A85">
        <v>1932</v>
      </c>
      <c r="B85">
        <v>5005.7389999999996</v>
      </c>
      <c r="C85">
        <v>7028.2280000000001</v>
      </c>
      <c r="D85">
        <v>4821.2520000000004</v>
      </c>
      <c r="E85">
        <v>4620.1980000000003</v>
      </c>
      <c r="F85">
        <v>5939.1509999999998</v>
      </c>
      <c r="G85">
        <v>4176.7929999999997</v>
      </c>
      <c r="N85">
        <f>IF(ISBLANK($B85),NA(),IFERROR(SUM($B85:$B$177),NA()))</f>
        <v>1007499.928</v>
      </c>
      <c r="O85">
        <f>IF(ISBLANK($C85),NA(),IFERROR(SUM($C85:$C$177),NA()))</f>
        <v>1370843.7979999997</v>
      </c>
      <c r="P85">
        <f>IF(ISBLANK($D85),NA(),IFERROR(SUM($D85:$D$177),NA()))</f>
        <v>1601267.1319999995</v>
      </c>
      <c r="Q85">
        <f t="shared" si="18"/>
        <v>2972110.9299999992</v>
      </c>
      <c r="R85">
        <f t="shared" si="19"/>
        <v>33.898463137107747</v>
      </c>
      <c r="S85">
        <f t="shared" si="20"/>
        <v>46.123574465640829</v>
      </c>
      <c r="T85">
        <f>IF(ISBLANK($E85),NA(),IFERROR(SUM($E85:$E$177),NA()))</f>
        <v>957916.46000000008</v>
      </c>
      <c r="U85">
        <f>IF(ISBLANK($F85),NA(),IFERROR(SUM($F85:$F$177),NA()))</f>
        <v>1256242.99</v>
      </c>
      <c r="V85">
        <f>IF(ISBLANK($G85),NA(),IFERROR(SUM($G85:$G$177),NA()))</f>
        <v>1363527.7989999996</v>
      </c>
      <c r="W85">
        <f t="shared" si="21"/>
        <v>2619770.7889999999</v>
      </c>
      <c r="X85">
        <f t="shared" si="22"/>
        <v>36.56489583066346</v>
      </c>
      <c r="Y85">
        <f t="shared" si="23"/>
        <v>47.952400846469629</v>
      </c>
      <c r="Z85" t="e">
        <f>IF(ISBLANK($H85),NA(),IFERROR(SUM($H85:$H$177),NA()))</f>
        <v>#N/A</v>
      </c>
      <c r="AA85" t="e">
        <f>IF(ISBLANK($I85),NA(),IFERROR(SUM($I85:$I$177),NA()))</f>
        <v>#N/A</v>
      </c>
      <c r="AB85" t="e">
        <f>IF(ISBLANK($J85),NA(),IFERROR(SUM($J85:$J$177),NA()))</f>
        <v>#N/A</v>
      </c>
      <c r="AC85" t="str">
        <f t="shared" si="24"/>
        <v/>
      </c>
      <c r="AD85" t="e">
        <f t="shared" si="25"/>
        <v>#N/A</v>
      </c>
      <c r="AE85" t="e">
        <f t="shared" si="26"/>
        <v>#N/A</v>
      </c>
    </row>
    <row r="86" spans="1:31" x14ac:dyDescent="0.35">
      <c r="A86">
        <v>1933</v>
      </c>
      <c r="B86">
        <v>5121.2560000000003</v>
      </c>
      <c r="C86">
        <v>7163.9949999999999</v>
      </c>
      <c r="D86">
        <v>4857.4359999999997</v>
      </c>
      <c r="E86">
        <v>4738.4560000000001</v>
      </c>
      <c r="F86">
        <v>6084.8320000000003</v>
      </c>
      <c r="G86">
        <v>4240.3620000000001</v>
      </c>
      <c r="N86">
        <f>IF(ISBLANK($B86),NA(),IFERROR(SUM($B86:$B$177),NA()))</f>
        <v>1002494.189</v>
      </c>
      <c r="O86">
        <f>IF(ISBLANK($C86),NA(),IFERROR(SUM($C86:$C$177),NA()))</f>
        <v>1363815.5699999998</v>
      </c>
      <c r="P86">
        <f>IF(ISBLANK($D86),NA(),IFERROR(SUM($D86:$D$177),NA()))</f>
        <v>1596445.8799999997</v>
      </c>
      <c r="Q86">
        <f t="shared" si="18"/>
        <v>2960261.4499999993</v>
      </c>
      <c r="R86">
        <f t="shared" si="19"/>
        <v>33.865055703103529</v>
      </c>
      <c r="S86">
        <f t="shared" si="20"/>
        <v>46.070781011589375</v>
      </c>
      <c r="T86">
        <f>IF(ISBLANK($E86),NA(),IFERROR(SUM($E86:$E$177),NA()))</f>
        <v>953296.26199999999</v>
      </c>
      <c r="U86">
        <f>IF(ISBLANK($F86),NA(),IFERROR(SUM($F86:$F$177),NA()))</f>
        <v>1250303.8390000002</v>
      </c>
      <c r="V86">
        <f>IF(ISBLANK($G86),NA(),IFERROR(SUM($G86:$G$177),NA()))</f>
        <v>1359351.0059999996</v>
      </c>
      <c r="W86">
        <f t="shared" si="21"/>
        <v>2609654.8449999997</v>
      </c>
      <c r="X86">
        <f t="shared" si="22"/>
        <v>36.529591789752573</v>
      </c>
      <c r="Y86">
        <f t="shared" si="23"/>
        <v>47.910697516015773</v>
      </c>
      <c r="Z86" t="e">
        <f>IF(ISBLANK($H86),NA(),IFERROR(SUM($H86:$H$177),NA()))</f>
        <v>#N/A</v>
      </c>
      <c r="AA86" t="e">
        <f>IF(ISBLANK($I86),NA(),IFERROR(SUM($I86:$I$177),NA()))</f>
        <v>#N/A</v>
      </c>
      <c r="AB86" t="e">
        <f>IF(ISBLANK($J86),NA(),IFERROR(SUM($J86:$J$177),NA()))</f>
        <v>#N/A</v>
      </c>
      <c r="AC86" t="str">
        <f t="shared" si="24"/>
        <v/>
      </c>
      <c r="AD86" t="e">
        <f t="shared" si="25"/>
        <v>#N/A</v>
      </c>
      <c r="AE86" t="e">
        <f t="shared" si="26"/>
        <v>#N/A</v>
      </c>
    </row>
    <row r="87" spans="1:31" x14ac:dyDescent="0.35">
      <c r="A87">
        <v>1934</v>
      </c>
      <c r="B87">
        <v>5342.0360000000001</v>
      </c>
      <c r="C87">
        <v>7466.7489999999998</v>
      </c>
      <c r="D87">
        <v>4970.3149999999996</v>
      </c>
      <c r="E87">
        <v>4943.6540000000005</v>
      </c>
      <c r="F87">
        <v>6351.817</v>
      </c>
      <c r="G87">
        <v>4308.18</v>
      </c>
      <c r="N87">
        <f>IF(ISBLANK($B87),NA(),IFERROR(SUM($B87:$B$177),NA()))</f>
        <v>997372.93299999996</v>
      </c>
      <c r="O87">
        <f>IF(ISBLANK($C87),NA(),IFERROR(SUM($C87:$C$177),NA()))</f>
        <v>1356651.5749999997</v>
      </c>
      <c r="P87">
        <f>IF(ISBLANK($D87),NA(),IFERROR(SUM($D87:$D$177),NA()))</f>
        <v>1591588.4439999994</v>
      </c>
      <c r="Q87">
        <f t="shared" si="18"/>
        <v>2948240.0189999994</v>
      </c>
      <c r="R87">
        <f t="shared" si="19"/>
        <v>33.829434733007069</v>
      </c>
      <c r="S87">
        <f t="shared" si="20"/>
        <v>46.015642086703522</v>
      </c>
      <c r="T87">
        <f>IF(ISBLANK($E87),NA(),IFERROR(SUM($E87:$E$177),NA()))</f>
        <v>948557.80599999998</v>
      </c>
      <c r="U87">
        <f>IF(ISBLANK($F87),NA(),IFERROR(SUM($F87:$F$177),NA()))</f>
        <v>1244219.007</v>
      </c>
      <c r="V87">
        <f>IF(ISBLANK($G87),NA(),IFERROR(SUM($G87:$G$177),NA()))</f>
        <v>1355110.6439999999</v>
      </c>
      <c r="W87">
        <f t="shared" si="21"/>
        <v>2599329.6509999996</v>
      </c>
      <c r="X87">
        <f t="shared" si="22"/>
        <v>36.492401247955456</v>
      </c>
      <c r="Y87">
        <f t="shared" si="23"/>
        <v>47.866918554225357</v>
      </c>
      <c r="Z87" t="e">
        <f>IF(ISBLANK($H87),NA(),IFERROR(SUM($H87:$H$177),NA()))</f>
        <v>#N/A</v>
      </c>
      <c r="AA87" t="e">
        <f>IF(ISBLANK($I87),NA(),IFERROR(SUM($I87:$I$177),NA()))</f>
        <v>#N/A</v>
      </c>
      <c r="AB87" t="e">
        <f>IF(ISBLANK($J87),NA(),IFERROR(SUM($J87:$J$177),NA()))</f>
        <v>#N/A</v>
      </c>
      <c r="AC87" t="str">
        <f t="shared" si="24"/>
        <v/>
      </c>
      <c r="AD87" t="e">
        <f t="shared" si="25"/>
        <v>#N/A</v>
      </c>
      <c r="AE87" t="e">
        <f t="shared" si="26"/>
        <v>#N/A</v>
      </c>
    </row>
    <row r="88" spans="1:31" x14ac:dyDescent="0.35">
      <c r="A88">
        <v>1935</v>
      </c>
      <c r="B88">
        <v>5420.1260000000002</v>
      </c>
      <c r="C88">
        <v>7632.7969999999996</v>
      </c>
      <c r="D88">
        <v>4973.9870000000001</v>
      </c>
      <c r="E88">
        <v>5057.7619999999997</v>
      </c>
      <c r="F88">
        <v>6505.6719999999996</v>
      </c>
      <c r="G88">
        <v>4396.7650000000003</v>
      </c>
      <c r="N88">
        <f>IF(ISBLANK($B88),NA(),IFERROR(SUM($B88:$B$177),NA()))</f>
        <v>992030.89700000011</v>
      </c>
      <c r="O88">
        <f>IF(ISBLANK($C88),NA(),IFERROR(SUM($C88:$C$177),NA()))</f>
        <v>1349184.8259999999</v>
      </c>
      <c r="P88">
        <f>IF(ISBLANK($D88),NA(),IFERROR(SUM($D88:$D$177),NA()))</f>
        <v>1586618.1289999995</v>
      </c>
      <c r="Q88">
        <f t="shared" si="18"/>
        <v>2935802.9549999991</v>
      </c>
      <c r="R88">
        <f t="shared" si="19"/>
        <v>33.790786105397878</v>
      </c>
      <c r="S88">
        <f t="shared" si="20"/>
        <v>45.95624592931852</v>
      </c>
      <c r="T88">
        <f>IF(ISBLANK($E88),NA(),IFERROR(SUM($E88:$E$177),NA()))</f>
        <v>943614.152</v>
      </c>
      <c r="U88">
        <f>IF(ISBLANK($F88),NA(),IFERROR(SUM($F88:$F$177),NA()))</f>
        <v>1237867.1900000002</v>
      </c>
      <c r="V88">
        <f>IF(ISBLANK($G88),NA(),IFERROR(SUM($G88:$G$177),NA()))</f>
        <v>1350802.4639999997</v>
      </c>
      <c r="W88">
        <f t="shared" si="21"/>
        <v>2588669.6540000001</v>
      </c>
      <c r="X88">
        <f t="shared" si="22"/>
        <v>36.451702152954581</v>
      </c>
      <c r="Y88">
        <f t="shared" si="23"/>
        <v>47.818661917222762</v>
      </c>
      <c r="Z88" t="e">
        <f>IF(ISBLANK($H88),NA(),IFERROR(SUM($H88:$H$177),NA()))</f>
        <v>#N/A</v>
      </c>
      <c r="AA88" t="e">
        <f>IF(ISBLANK($I88),NA(),IFERROR(SUM($I88:$I$177),NA()))</f>
        <v>#N/A</v>
      </c>
      <c r="AB88" t="e">
        <f>IF(ISBLANK($J88),NA(),IFERROR(SUM($J88:$J$177),NA()))</f>
        <v>#N/A</v>
      </c>
      <c r="AC88" t="str">
        <f t="shared" si="24"/>
        <v/>
      </c>
      <c r="AD88" t="e">
        <f t="shared" si="25"/>
        <v>#N/A</v>
      </c>
      <c r="AE88" t="e">
        <f t="shared" si="26"/>
        <v>#N/A</v>
      </c>
    </row>
    <row r="89" spans="1:31" x14ac:dyDescent="0.35">
      <c r="A89">
        <v>1936</v>
      </c>
      <c r="B89">
        <v>5746.7280000000001</v>
      </c>
      <c r="C89">
        <v>8088.3040000000001</v>
      </c>
      <c r="D89">
        <v>5105.6899999999996</v>
      </c>
      <c r="E89">
        <v>5367.4260000000004</v>
      </c>
      <c r="F89">
        <v>6872.4229999999998</v>
      </c>
      <c r="G89">
        <v>4530.9650000000001</v>
      </c>
      <c r="N89">
        <f>IF(ISBLANK($B89),NA(),IFERROR(SUM($B89:$B$177),NA()))</f>
        <v>986610.77100000018</v>
      </c>
      <c r="O89">
        <f>IF(ISBLANK($C89),NA(),IFERROR(SUM($C89:$C$177),NA()))</f>
        <v>1341552.0289999999</v>
      </c>
      <c r="P89">
        <f>IF(ISBLANK($D89),NA(),IFERROR(SUM($D89:$D$177),NA()))</f>
        <v>1581644.1419999993</v>
      </c>
      <c r="Q89">
        <f t="shared" si="18"/>
        <v>2923196.1709999992</v>
      </c>
      <c r="R89">
        <f t="shared" si="19"/>
        <v>33.751096857194142</v>
      </c>
      <c r="S89">
        <f t="shared" si="20"/>
        <v>45.893328758058239</v>
      </c>
      <c r="T89">
        <f>IF(ISBLANK($E89),NA(),IFERROR(SUM($E89:$E$177),NA()))</f>
        <v>938556.39</v>
      </c>
      <c r="U89">
        <f>IF(ISBLANK($F89),NA(),IFERROR(SUM($F89:$F$177),NA()))</f>
        <v>1231361.5180000002</v>
      </c>
      <c r="V89">
        <f>IF(ISBLANK($G89),NA(),IFERROR(SUM($G89:$G$177),NA()))</f>
        <v>1346405.6989999996</v>
      </c>
      <c r="W89">
        <f t="shared" si="21"/>
        <v>2577767.2169999997</v>
      </c>
      <c r="X89">
        <f t="shared" si="22"/>
        <v>36.409664294369065</v>
      </c>
      <c r="Y89">
        <f t="shared" si="23"/>
        <v>47.768530450668706</v>
      </c>
      <c r="Z89" t="e">
        <f>IF(ISBLANK($H89),NA(),IFERROR(SUM($H89:$H$177),NA()))</f>
        <v>#N/A</v>
      </c>
      <c r="AA89" t="e">
        <f>IF(ISBLANK($I89),NA(),IFERROR(SUM($I89:$I$177),NA()))</f>
        <v>#N/A</v>
      </c>
      <c r="AB89" t="e">
        <f>IF(ISBLANK($J89),NA(),IFERROR(SUM($J89:$J$177),NA()))</f>
        <v>#N/A</v>
      </c>
      <c r="AC89" t="str">
        <f t="shared" si="24"/>
        <v/>
      </c>
      <c r="AD89" t="e">
        <f t="shared" si="25"/>
        <v>#N/A</v>
      </c>
      <c r="AE89" t="e">
        <f t="shared" si="26"/>
        <v>#N/A</v>
      </c>
    </row>
    <row r="90" spans="1:31" x14ac:dyDescent="0.35">
      <c r="A90">
        <v>1937</v>
      </c>
      <c r="B90">
        <v>5969.5010000000002</v>
      </c>
      <c r="C90">
        <v>8340.4330000000009</v>
      </c>
      <c r="D90">
        <v>5189.2960000000003</v>
      </c>
      <c r="E90">
        <v>5546.1390000000001</v>
      </c>
      <c r="F90">
        <v>7066.6149999999998</v>
      </c>
      <c r="G90">
        <v>4631.9570000000003</v>
      </c>
      <c r="N90">
        <f>IF(ISBLANK($B90),NA(),IFERROR(SUM($B90:$B$177),NA()))</f>
        <v>980864.04300000018</v>
      </c>
      <c r="O90">
        <f>IF(ISBLANK($C90),NA(),IFERROR(SUM($C90:$C$177),NA()))</f>
        <v>1333463.7250000001</v>
      </c>
      <c r="P90">
        <f>IF(ISBLANK($D90),NA(),IFERROR(SUM($D90:$D$177),NA()))</f>
        <v>1576538.4519999993</v>
      </c>
      <c r="Q90">
        <f t="shared" si="18"/>
        <v>2910002.1769999992</v>
      </c>
      <c r="R90">
        <f t="shared" si="19"/>
        <v>33.706642928054428</v>
      </c>
      <c r="S90">
        <f t="shared" si="20"/>
        <v>45.823461423479216</v>
      </c>
      <c r="T90">
        <f>IF(ISBLANK($E90),NA(),IFERROR(SUM($E90:$E$177),NA()))</f>
        <v>933188.96400000015</v>
      </c>
      <c r="U90">
        <f>IF(ISBLANK($F90),NA(),IFERROR(SUM($F90:$F$177),NA()))</f>
        <v>1224489.095</v>
      </c>
      <c r="V90">
        <f>IF(ISBLANK($G90),NA(),IFERROR(SUM($G90:$G$177),NA()))</f>
        <v>1341874.7339999997</v>
      </c>
      <c r="W90">
        <f t="shared" si="21"/>
        <v>2566363.8289999999</v>
      </c>
      <c r="X90">
        <f t="shared" si="22"/>
        <v>36.362301925195979</v>
      </c>
      <c r="Y90">
        <f t="shared" si="23"/>
        <v>47.712996932205435</v>
      </c>
      <c r="Z90" t="e">
        <f>IF(ISBLANK($H90),NA(),IFERROR(SUM($H90:$H$177),NA()))</f>
        <v>#N/A</v>
      </c>
      <c r="AA90" t="e">
        <f>IF(ISBLANK($I90),NA(),IFERROR(SUM($I90:$I$177),NA()))</f>
        <v>#N/A</v>
      </c>
      <c r="AB90" t="e">
        <f>IF(ISBLANK($J90),NA(),IFERROR(SUM($J90:$J$177),NA()))</f>
        <v>#N/A</v>
      </c>
      <c r="AC90" t="str">
        <f t="shared" si="24"/>
        <v/>
      </c>
      <c r="AD90" t="e">
        <f t="shared" si="25"/>
        <v>#N/A</v>
      </c>
      <c r="AE90" t="e">
        <f t="shared" si="26"/>
        <v>#N/A</v>
      </c>
    </row>
    <row r="91" spans="1:31" x14ac:dyDescent="0.35">
      <c r="A91">
        <v>1938</v>
      </c>
      <c r="B91">
        <v>5631.9189999999999</v>
      </c>
      <c r="C91">
        <v>8068.9740000000002</v>
      </c>
      <c r="D91">
        <v>5244.4949999999999</v>
      </c>
      <c r="E91">
        <v>5191.951</v>
      </c>
      <c r="F91">
        <v>6741.7619999999997</v>
      </c>
      <c r="G91">
        <v>4696.6970000000001</v>
      </c>
      <c r="N91">
        <f>IF(ISBLANK($B91),NA(),IFERROR(SUM($B91:$B$177),NA()))</f>
        <v>974894.54200000013</v>
      </c>
      <c r="O91">
        <f>IF(ISBLANK($C91),NA(),IFERROR(SUM($C91:$C$177),NA()))</f>
        <v>1325123.2919999999</v>
      </c>
      <c r="P91">
        <f>IF(ISBLANK($D91),NA(),IFERROR(SUM($D91:$D$177),NA()))</f>
        <v>1571349.1559999997</v>
      </c>
      <c r="Q91">
        <f t="shared" si="18"/>
        <v>2896472.4479999999</v>
      </c>
      <c r="R91">
        <f t="shared" si="19"/>
        <v>33.65799466427378</v>
      </c>
      <c r="S91">
        <f t="shared" si="20"/>
        <v>45.749556254712218</v>
      </c>
      <c r="T91">
        <f>IF(ISBLANK($E91),NA(),IFERROR(SUM($E91:$E$177),NA()))</f>
        <v>927642.82500000019</v>
      </c>
      <c r="U91">
        <f>IF(ISBLANK($F91),NA(),IFERROR(SUM($F91:$F$177),NA()))</f>
        <v>1217422.48</v>
      </c>
      <c r="V91">
        <f>IF(ISBLANK($G91),NA(),IFERROR(SUM($G91:$G$177),NA()))</f>
        <v>1337242.7769999998</v>
      </c>
      <c r="W91">
        <f t="shared" si="21"/>
        <v>2554665.2569999998</v>
      </c>
      <c r="X91">
        <f t="shared" si="22"/>
        <v>36.311717257600776</v>
      </c>
      <c r="Y91">
        <f t="shared" si="23"/>
        <v>47.654872851312277</v>
      </c>
      <c r="Z91" t="e">
        <f>IF(ISBLANK($H91),NA(),IFERROR(SUM($H91:$H$177),NA()))</f>
        <v>#N/A</v>
      </c>
      <c r="AA91" t="e">
        <f>IF(ISBLANK($I91),NA(),IFERROR(SUM($I91:$I$177),NA()))</f>
        <v>#N/A</v>
      </c>
      <c r="AB91" t="e">
        <f>IF(ISBLANK($J91),NA(),IFERROR(SUM($J91:$J$177),NA()))</f>
        <v>#N/A</v>
      </c>
      <c r="AC91" t="str">
        <f t="shared" si="24"/>
        <v/>
      </c>
      <c r="AD91" t="e">
        <f t="shared" si="25"/>
        <v>#N/A</v>
      </c>
      <c r="AE91" t="e">
        <f t="shared" si="26"/>
        <v>#N/A</v>
      </c>
    </row>
    <row r="92" spans="1:31" x14ac:dyDescent="0.35">
      <c r="A92">
        <v>1939</v>
      </c>
      <c r="B92">
        <v>5840.942</v>
      </c>
      <c r="C92">
        <v>8282.4940000000006</v>
      </c>
      <c r="D92">
        <v>5302.6639999999998</v>
      </c>
      <c r="E92">
        <v>5427.9589999999998</v>
      </c>
      <c r="F92">
        <v>6972.058</v>
      </c>
      <c r="G92">
        <v>4785.3019999999997</v>
      </c>
      <c r="N92">
        <f>IF(ISBLANK($B92),NA(),IFERROR(SUM($B92:$B$177),NA()))</f>
        <v>969262.62300000014</v>
      </c>
      <c r="O92">
        <f>IF(ISBLANK($C92),NA(),IFERROR(SUM($C92:$C$177),NA()))</f>
        <v>1317054.3179999997</v>
      </c>
      <c r="P92">
        <f>IF(ISBLANK($D92),NA(),IFERROR(SUM($D92:$D$177),NA()))</f>
        <v>1566104.6609999996</v>
      </c>
      <c r="Q92">
        <f t="shared" si="18"/>
        <v>2883158.9789999994</v>
      </c>
      <c r="R92">
        <f t="shared" si="19"/>
        <v>33.618077603760206</v>
      </c>
      <c r="S92">
        <f t="shared" si="20"/>
        <v>45.680946752953929</v>
      </c>
      <c r="T92">
        <f>IF(ISBLANK($E92),NA(),IFERROR(SUM($E92:$E$177),NA()))</f>
        <v>922450.87400000019</v>
      </c>
      <c r="U92">
        <f>IF(ISBLANK($F92),NA(),IFERROR(SUM($F92:$F$177),NA()))</f>
        <v>1210680.7179999996</v>
      </c>
      <c r="V92">
        <f>IF(ISBLANK($G92),NA(),IFERROR(SUM($G92:$G$177),NA()))</f>
        <v>1332546.0799999996</v>
      </c>
      <c r="W92">
        <f t="shared" si="21"/>
        <v>2543226.7979999995</v>
      </c>
      <c r="X92">
        <f t="shared" si="22"/>
        <v>36.270885267700784</v>
      </c>
      <c r="Y92">
        <f t="shared" si="23"/>
        <v>47.604119261093125</v>
      </c>
      <c r="Z92" t="e">
        <f>IF(ISBLANK($H92),NA(),IFERROR(SUM($H92:$H$177),NA()))</f>
        <v>#N/A</v>
      </c>
      <c r="AA92" t="e">
        <f>IF(ISBLANK($I92),NA(),IFERROR(SUM($I92:$I$177),NA()))</f>
        <v>#N/A</v>
      </c>
      <c r="AB92" t="e">
        <f>IF(ISBLANK($J92),NA(),IFERROR(SUM($J92:$J$177),NA()))</f>
        <v>#N/A</v>
      </c>
      <c r="AC92" t="str">
        <f t="shared" si="24"/>
        <v/>
      </c>
      <c r="AD92" t="e">
        <f t="shared" si="25"/>
        <v>#N/A</v>
      </c>
      <c r="AE92" t="e">
        <f t="shared" si="26"/>
        <v>#N/A</v>
      </c>
    </row>
    <row r="93" spans="1:31" x14ac:dyDescent="0.35">
      <c r="A93">
        <v>1940</v>
      </c>
      <c r="B93">
        <v>6057.268</v>
      </c>
      <c r="C93">
        <v>8406.8639999999996</v>
      </c>
      <c r="D93">
        <v>5770.5590000000002</v>
      </c>
      <c r="E93">
        <v>5542.5330000000004</v>
      </c>
      <c r="F93">
        <v>7299.4870000000001</v>
      </c>
      <c r="G93">
        <v>4852.2190000000001</v>
      </c>
      <c r="N93">
        <f>IF(ISBLANK($B93),NA(),IFERROR(SUM($B93:$B$177),NA()))</f>
        <v>963421.68100000022</v>
      </c>
      <c r="O93">
        <f>IF(ISBLANK($C93),NA(),IFERROR(SUM($C93:$C$177),NA()))</f>
        <v>1308771.8239999998</v>
      </c>
      <c r="P93">
        <f>IF(ISBLANK($D93),NA(),IFERROR(SUM($D93:$D$177),NA()))</f>
        <v>1560801.9969999997</v>
      </c>
      <c r="Q93">
        <f t="shared" si="18"/>
        <v>2869573.8209999995</v>
      </c>
      <c r="R93">
        <f t="shared" si="19"/>
        <v>33.573685191491734</v>
      </c>
      <c r="S93">
        <f t="shared" si="20"/>
        <v>45.608578333904447</v>
      </c>
      <c r="T93">
        <f>IF(ISBLANK($E93),NA(),IFERROR(SUM($E93:$E$177),NA()))</f>
        <v>917022.91500000027</v>
      </c>
      <c r="U93">
        <f>IF(ISBLANK($F93),NA(),IFERROR(SUM($F93:$F$177),NA()))</f>
        <v>1203708.6599999997</v>
      </c>
      <c r="V93">
        <f>IF(ISBLANK($G93),NA(),IFERROR(SUM($G93:$G$177),NA()))</f>
        <v>1327760.7779999995</v>
      </c>
      <c r="W93">
        <f t="shared" si="21"/>
        <v>2531469.4379999992</v>
      </c>
      <c r="X93">
        <f t="shared" si="22"/>
        <v>36.224925382646497</v>
      </c>
      <c r="Y93">
        <f t="shared" si="23"/>
        <v>47.549800204224312</v>
      </c>
      <c r="Z93" t="e">
        <f>IF(ISBLANK($H93),NA(),IFERROR(SUM($H93:$H$177),NA()))</f>
        <v>#N/A</v>
      </c>
      <c r="AA93" t="e">
        <f>IF(ISBLANK($I93),NA(),IFERROR(SUM($I93:$I$177),NA()))</f>
        <v>#N/A</v>
      </c>
      <c r="AB93" t="e">
        <f>IF(ISBLANK($J93),NA(),IFERROR(SUM($J93:$J$177),NA()))</f>
        <v>#N/A</v>
      </c>
      <c r="AC93" t="str">
        <f t="shared" si="24"/>
        <v/>
      </c>
      <c r="AD93" t="e">
        <f t="shared" si="25"/>
        <v>#N/A</v>
      </c>
      <c r="AE93" t="e">
        <f t="shared" si="26"/>
        <v>#N/A</v>
      </c>
    </row>
    <row r="94" spans="1:31" x14ac:dyDescent="0.35">
      <c r="A94">
        <v>1941</v>
      </c>
      <c r="B94">
        <v>6264.692</v>
      </c>
      <c r="C94">
        <v>8426.9169999999995</v>
      </c>
      <c r="D94">
        <v>6081.0159999999996</v>
      </c>
      <c r="E94">
        <v>5727.6509999999998</v>
      </c>
      <c r="F94">
        <v>7360.6270000000004</v>
      </c>
      <c r="G94">
        <v>4909.6819999999998</v>
      </c>
      <c r="N94">
        <f>IF(ISBLANK($B94),NA(),IFERROR(SUM($B94:$B$177),NA()))</f>
        <v>957364.41300000018</v>
      </c>
      <c r="O94">
        <f>IF(ISBLANK($C94),NA(),IFERROR(SUM($C94:$C$177),NA()))</f>
        <v>1300364.96</v>
      </c>
      <c r="P94">
        <f>IF(ISBLANK($D94),NA(),IFERROR(SUM($D94:$D$177),NA()))</f>
        <v>1555031.4379999994</v>
      </c>
      <c r="Q94">
        <f t="shared" si="18"/>
        <v>2855396.3979999991</v>
      </c>
      <c r="R94">
        <f t="shared" si="19"/>
        <v>33.528248955926593</v>
      </c>
      <c r="S94">
        <f t="shared" si="20"/>
        <v>45.540610785627258</v>
      </c>
      <c r="T94">
        <f>IF(ISBLANK($E94),NA(),IFERROR(SUM($E94:$E$177),NA()))</f>
        <v>911480.38200000022</v>
      </c>
      <c r="U94">
        <f>IF(ISBLANK($F94),NA(),IFERROR(SUM($F94:$F$177),NA()))</f>
        <v>1196409.1729999997</v>
      </c>
      <c r="V94">
        <f>IF(ISBLANK($G94),NA(),IFERROR(SUM($G94:$G$177),NA()))</f>
        <v>1322908.5589999999</v>
      </c>
      <c r="W94">
        <f t="shared" si="21"/>
        <v>2519317.7319999998</v>
      </c>
      <c r="X94">
        <f t="shared" si="22"/>
        <v>36.179651753429575</v>
      </c>
      <c r="Y94">
        <f t="shared" si="23"/>
        <v>47.489411827789247</v>
      </c>
      <c r="Z94" t="e">
        <f>IF(ISBLANK($H94),NA(),IFERROR(SUM($H94:$H$177),NA()))</f>
        <v>#N/A</v>
      </c>
      <c r="AA94" t="e">
        <f>IF(ISBLANK($I94),NA(),IFERROR(SUM($I94:$I$177),NA()))</f>
        <v>#N/A</v>
      </c>
      <c r="AB94" t="e">
        <f>IF(ISBLANK($J94),NA(),IFERROR(SUM($J94:$J$177),NA()))</f>
        <v>#N/A</v>
      </c>
      <c r="AC94" t="str">
        <f t="shared" si="24"/>
        <v/>
      </c>
      <c r="AD94" t="e">
        <f t="shared" si="25"/>
        <v>#N/A</v>
      </c>
      <c r="AE94" t="e">
        <f t="shared" si="26"/>
        <v>#N/A</v>
      </c>
    </row>
    <row r="95" spans="1:31" x14ac:dyDescent="0.35">
      <c r="A95">
        <v>1942</v>
      </c>
      <c r="B95">
        <v>6471.5479999999998</v>
      </c>
      <c r="C95">
        <v>8350.9120000000003</v>
      </c>
      <c r="D95">
        <v>6227.7089999999998</v>
      </c>
      <c r="E95">
        <v>5976.6909999999998</v>
      </c>
      <c r="F95">
        <v>7474.7359999999999</v>
      </c>
      <c r="G95">
        <v>4956.1400000000003</v>
      </c>
      <c r="N95">
        <f>IF(ISBLANK($B95),NA(),IFERROR(SUM($B95:$B$177),NA()))</f>
        <v>951099.72100000025</v>
      </c>
      <c r="O95">
        <f>IF(ISBLANK($C95),NA(),IFERROR(SUM($C95:$C$177),NA()))</f>
        <v>1291938.0430000001</v>
      </c>
      <c r="P95">
        <f>IF(ISBLANK($D95),NA(),IFERROR(SUM($D95:$D$177),NA()))</f>
        <v>1548950.4219999996</v>
      </c>
      <c r="Q95">
        <f t="shared" si="18"/>
        <v>2840888.4649999999</v>
      </c>
      <c r="R95">
        <f t="shared" si="19"/>
        <v>33.47895324711385</v>
      </c>
      <c r="S95">
        <f t="shared" si="20"/>
        <v>45.476549287900333</v>
      </c>
      <c r="T95">
        <f>IF(ISBLANK($E95),NA(),IFERROR(SUM($E95:$E$177),NA()))</f>
        <v>905752.73100000015</v>
      </c>
      <c r="U95">
        <f>IF(ISBLANK($F95),NA(),IFERROR(SUM($F95:$F$177),NA()))</f>
        <v>1189048.5459999999</v>
      </c>
      <c r="V95">
        <f>IF(ISBLANK($G95),NA(),IFERROR(SUM($G95:$G$177),NA()))</f>
        <v>1317998.8769999999</v>
      </c>
      <c r="W95">
        <f t="shared" si="21"/>
        <v>2507047.4229999995</v>
      </c>
      <c r="X95">
        <f t="shared" si="22"/>
        <v>36.12826477435167</v>
      </c>
      <c r="Y95">
        <f t="shared" si="23"/>
        <v>47.428243083537396</v>
      </c>
      <c r="Z95" t="e">
        <f>IF(ISBLANK($H95),NA(),IFERROR(SUM($H95:$H$177),NA()))</f>
        <v>#N/A</v>
      </c>
      <c r="AA95" t="e">
        <f>IF(ISBLANK($I95),NA(),IFERROR(SUM($I95:$I$177),NA()))</f>
        <v>#N/A</v>
      </c>
      <c r="AB95" t="e">
        <f>IF(ISBLANK($J95),NA(),IFERROR(SUM($J95:$J$177),NA()))</f>
        <v>#N/A</v>
      </c>
      <c r="AC95" t="str">
        <f t="shared" si="24"/>
        <v/>
      </c>
      <c r="AD95" t="e">
        <f t="shared" si="25"/>
        <v>#N/A</v>
      </c>
      <c r="AE95" t="e">
        <f t="shared" si="26"/>
        <v>#N/A</v>
      </c>
    </row>
    <row r="96" spans="1:31" x14ac:dyDescent="0.35">
      <c r="A96">
        <v>1943</v>
      </c>
      <c r="B96">
        <v>6563.65</v>
      </c>
      <c r="C96">
        <v>8402.1110000000008</v>
      </c>
      <c r="D96">
        <v>6374.2349999999997</v>
      </c>
      <c r="E96">
        <v>6015.0749999999998</v>
      </c>
      <c r="F96">
        <v>7601.0910000000003</v>
      </c>
      <c r="G96">
        <v>5097.4830000000002</v>
      </c>
      <c r="N96">
        <f>IF(ISBLANK($B96),NA(),IFERROR(SUM($B96:$B$177),NA()))</f>
        <v>944628.17300000018</v>
      </c>
      <c r="O96">
        <f>IF(ISBLANK($C96),NA(),IFERROR(SUM($C96:$C$177),NA()))</f>
        <v>1283587.1310000001</v>
      </c>
      <c r="P96">
        <f>IF(ISBLANK($D96),NA(),IFERROR(SUM($D96:$D$177),NA()))</f>
        <v>1542722.7129999998</v>
      </c>
      <c r="Q96">
        <f t="shared" si="18"/>
        <v>2826309.8439999996</v>
      </c>
      <c r="R96">
        <f t="shared" si="19"/>
        <v>33.422668608162702</v>
      </c>
      <c r="S96">
        <f t="shared" si="20"/>
        <v>45.415655106779589</v>
      </c>
      <c r="T96">
        <f>IF(ISBLANK($E96),NA(),IFERROR(SUM($E96:$E$177),NA()))</f>
        <v>899776.04000000015</v>
      </c>
      <c r="U96">
        <f>IF(ISBLANK($F96),NA(),IFERROR(SUM($F96:$F$177),NA()))</f>
        <v>1181573.8099999998</v>
      </c>
      <c r="V96">
        <f>IF(ISBLANK($G96),NA(),IFERROR(SUM($G96:$G$177),NA()))</f>
        <v>1313042.7369999997</v>
      </c>
      <c r="W96">
        <f t="shared" si="21"/>
        <v>2494616.5469999993</v>
      </c>
      <c r="X96">
        <f t="shared" si="22"/>
        <v>36.068711284788904</v>
      </c>
      <c r="Y96">
        <f t="shared" si="23"/>
        <v>47.364947186811079</v>
      </c>
      <c r="Z96" t="e">
        <f>IF(ISBLANK($H96),NA(),IFERROR(SUM($H96:$H$177),NA()))</f>
        <v>#N/A</v>
      </c>
      <c r="AA96" t="e">
        <f>IF(ISBLANK($I96),NA(),IFERROR(SUM($I96:$I$177),NA()))</f>
        <v>#N/A</v>
      </c>
      <c r="AB96" t="e">
        <f>IF(ISBLANK($J96),NA(),IFERROR(SUM($J96:$J$177),NA()))</f>
        <v>#N/A</v>
      </c>
      <c r="AC96" t="str">
        <f t="shared" si="24"/>
        <v/>
      </c>
      <c r="AD96" t="e">
        <f t="shared" si="25"/>
        <v>#N/A</v>
      </c>
      <c r="AE96" t="e">
        <f t="shared" si="26"/>
        <v>#N/A</v>
      </c>
    </row>
    <row r="97" spans="1:31" x14ac:dyDescent="0.35">
      <c r="A97">
        <v>1944</v>
      </c>
      <c r="B97">
        <v>6584.0360000000001</v>
      </c>
      <c r="C97">
        <v>8388.5789999999997</v>
      </c>
      <c r="D97">
        <v>6515.723</v>
      </c>
      <c r="E97">
        <v>5987.2370000000001</v>
      </c>
      <c r="F97">
        <v>7511.6549999999997</v>
      </c>
      <c r="G97">
        <v>5252.99</v>
      </c>
      <c r="N97">
        <f>IF(ISBLANK($B97),NA(),IFERROR(SUM($B97:$B$177),NA()))</f>
        <v>938064.52300000004</v>
      </c>
      <c r="O97">
        <f>IF(ISBLANK($C97),NA(),IFERROR(SUM($C97:$C$177),NA()))</f>
        <v>1275185.02</v>
      </c>
      <c r="P97">
        <f>IF(ISBLANK($D97),NA(),IFERROR(SUM($D97:$D$177),NA()))</f>
        <v>1536348.4779999999</v>
      </c>
      <c r="Q97">
        <f t="shared" si="18"/>
        <v>2811533.4979999997</v>
      </c>
      <c r="R97">
        <f t="shared" si="19"/>
        <v>33.364870938485971</v>
      </c>
      <c r="S97">
        <f t="shared" si="20"/>
        <v>45.355498019394403</v>
      </c>
      <c r="T97">
        <f>IF(ISBLANK($E97),NA(),IFERROR(SUM($E97:$E$177),NA()))</f>
        <v>893760.96500000008</v>
      </c>
      <c r="U97">
        <f>IF(ISBLANK($F97),NA(),IFERROR(SUM($F97:$F$177),NA()))</f>
        <v>1173972.7189999998</v>
      </c>
      <c r="V97">
        <f>IF(ISBLANK($G97),NA(),IFERROR(SUM($G97:$G$177),NA()))</f>
        <v>1307945.2539999997</v>
      </c>
      <c r="W97">
        <f t="shared" si="21"/>
        <v>2481917.9729999993</v>
      </c>
      <c r="X97">
        <f t="shared" si="22"/>
        <v>36.010898616430637</v>
      </c>
      <c r="Y97">
        <f t="shared" si="23"/>
        <v>47.301028147234426</v>
      </c>
      <c r="Z97" t="e">
        <f>IF(ISBLANK($H97),NA(),IFERROR(SUM($H97:$H$177),NA()))</f>
        <v>#N/A</v>
      </c>
      <c r="AA97" t="e">
        <f>IF(ISBLANK($I97),NA(),IFERROR(SUM($I97:$I$177),NA()))</f>
        <v>#N/A</v>
      </c>
      <c r="AB97" t="e">
        <f>IF(ISBLANK($J97),NA(),IFERROR(SUM($J97:$J$177),NA()))</f>
        <v>#N/A</v>
      </c>
      <c r="AC97" t="str">
        <f t="shared" si="24"/>
        <v/>
      </c>
      <c r="AD97" t="e">
        <f t="shared" si="25"/>
        <v>#N/A</v>
      </c>
      <c r="AE97" t="e">
        <f t="shared" si="26"/>
        <v>#N/A</v>
      </c>
    </row>
    <row r="98" spans="1:31" x14ac:dyDescent="0.35">
      <c r="A98">
        <v>1945</v>
      </c>
      <c r="B98">
        <v>5891.1469999999999</v>
      </c>
      <c r="C98">
        <v>7481.8459999999995</v>
      </c>
      <c r="D98">
        <v>6618.2870000000003</v>
      </c>
      <c r="E98">
        <v>5232.808</v>
      </c>
      <c r="F98">
        <v>6547.5749999999998</v>
      </c>
      <c r="G98">
        <v>5362.652</v>
      </c>
      <c r="N98">
        <f>IF(ISBLANK($B98),NA(),IFERROR(SUM($B98:$B$177),NA()))</f>
        <v>931480.48700000008</v>
      </c>
      <c r="O98">
        <f>IF(ISBLANK($C98),NA(),IFERROR(SUM($C98:$C$177),NA()))</f>
        <v>1266796.4410000001</v>
      </c>
      <c r="P98">
        <f>IF(ISBLANK($D98),NA(),IFERROR(SUM($D98:$D$177),NA()))</f>
        <v>1529832.7549999997</v>
      </c>
      <c r="Q98">
        <f t="shared" si="18"/>
        <v>2796629.1959999995</v>
      </c>
      <c r="R98">
        <f t="shared" si="19"/>
        <v>33.30725747740496</v>
      </c>
      <c r="S98">
        <f t="shared" si="20"/>
        <v>45.297261532272167</v>
      </c>
      <c r="T98">
        <f>IF(ISBLANK($E98),NA(),IFERROR(SUM($E98:$E$177),NA()))</f>
        <v>887773.72800000012</v>
      </c>
      <c r="U98">
        <f>IF(ISBLANK($F98),NA(),IFERROR(SUM($F98:$F$177),NA()))</f>
        <v>1166461.0639999998</v>
      </c>
      <c r="V98">
        <f>IF(ISBLANK($G98),NA(),IFERROR(SUM($G98:$G$177),NA()))</f>
        <v>1302692.2639999995</v>
      </c>
      <c r="W98">
        <f t="shared" si="21"/>
        <v>2469153.3279999993</v>
      </c>
      <c r="X98">
        <f t="shared" si="22"/>
        <v>35.954580784138344</v>
      </c>
      <c r="Y98">
        <f t="shared" si="23"/>
        <v>47.241337780543056</v>
      </c>
      <c r="Z98" t="e">
        <f>IF(ISBLANK($H98),NA(),IFERROR(SUM($H98:$H$177),NA()))</f>
        <v>#N/A</v>
      </c>
      <c r="AA98" t="e">
        <f>IF(ISBLANK($I98),NA(),IFERROR(SUM($I98:$I$177),NA()))</f>
        <v>#N/A</v>
      </c>
      <c r="AB98" t="e">
        <f>IF(ISBLANK($J98),NA(),IFERROR(SUM($J98:$J$177),NA()))</f>
        <v>#N/A</v>
      </c>
      <c r="AC98" t="str">
        <f t="shared" si="24"/>
        <v/>
      </c>
      <c r="AD98" t="e">
        <f t="shared" si="25"/>
        <v>#N/A</v>
      </c>
      <c r="AE98" t="e">
        <f t="shared" si="26"/>
        <v>#N/A</v>
      </c>
    </row>
    <row r="99" spans="1:31" x14ac:dyDescent="0.35">
      <c r="A99">
        <v>1946</v>
      </c>
      <c r="B99">
        <v>6125.5140000000001</v>
      </c>
      <c r="C99">
        <v>7755.2629999999999</v>
      </c>
      <c r="D99">
        <v>6792.2719999999999</v>
      </c>
      <c r="E99">
        <v>5513.8090000000002</v>
      </c>
      <c r="F99">
        <v>6936.4859999999999</v>
      </c>
      <c r="G99">
        <v>5881.74</v>
      </c>
      <c r="N99">
        <f>IF(ISBLANK($B99),NA(),IFERROR(SUM($B99:$B$177),NA()))</f>
        <v>925589.34000000008</v>
      </c>
      <c r="O99">
        <f>IF(ISBLANK($C99),NA(),IFERROR(SUM($C99:$C$177),NA()))</f>
        <v>1259314.595</v>
      </c>
      <c r="P99">
        <f>IF(ISBLANK($D99),NA(),IFERROR(SUM($D99:$D$177),NA()))</f>
        <v>1523214.4679999996</v>
      </c>
      <c r="Q99">
        <f t="shared" ref="Q99:Q130" si="27">IFERROR(O99+P99,"")</f>
        <v>2782529.0629999996</v>
      </c>
      <c r="R99">
        <f t="shared" ref="R99:R130" si="28">IFERROR(N99/Q99*100,NA())</f>
        <v>33.2643188640075</v>
      </c>
      <c r="S99">
        <f t="shared" ref="S99:S130" si="29">IFERROR(O99/Q99*100,NA())</f>
        <v>45.257913448072408</v>
      </c>
      <c r="T99">
        <f>IF(ISBLANK($E99),NA(),IFERROR(SUM($E99:$E$177),NA()))</f>
        <v>882540.92000000016</v>
      </c>
      <c r="U99">
        <f>IF(ISBLANK($F99),NA(),IFERROR(SUM($F99:$F$177),NA()))</f>
        <v>1159913.4889999998</v>
      </c>
      <c r="V99">
        <f>IF(ISBLANK($G99),NA(),IFERROR(SUM($G99:$G$177),NA()))</f>
        <v>1297329.6119999997</v>
      </c>
      <c r="W99">
        <f t="shared" ref="W99:W130" si="30">IFERROR(U99+V99,"")</f>
        <v>2457243.1009999998</v>
      </c>
      <c r="X99">
        <f t="shared" ref="X99:X130" si="31">IFERROR(T99/W99*100,NA())</f>
        <v>35.915897765298077</v>
      </c>
      <c r="Y99">
        <f t="shared" ref="Y99:Y130" si="32">IFERROR(U99/W99*100,NA())</f>
        <v>47.203855757208615</v>
      </c>
      <c r="Z99" t="e">
        <f>IF(ISBLANK($H99),NA(),IFERROR(SUM($H99:$H$177),NA()))</f>
        <v>#N/A</v>
      </c>
      <c r="AA99" t="e">
        <f>IF(ISBLANK($I99),NA(),IFERROR(SUM($I99:$I$177),NA()))</f>
        <v>#N/A</v>
      </c>
      <c r="AB99" t="e">
        <f>IF(ISBLANK($J99),NA(),IFERROR(SUM($J99:$J$177),NA()))</f>
        <v>#N/A</v>
      </c>
      <c r="AC99" t="str">
        <f t="shared" ref="AC99:AC130" si="33">IFERROR(AA99+AB99,"")</f>
        <v/>
      </c>
      <c r="AD99" t="e">
        <f t="shared" ref="AD99:AD130" si="34">IFERROR(Z99/AC99*100,NA())</f>
        <v>#N/A</v>
      </c>
      <c r="AE99" t="e">
        <f t="shared" ref="AE99:AE130" si="35">IFERROR(AA99/AC99*100,NA())</f>
        <v>#N/A</v>
      </c>
    </row>
    <row r="100" spans="1:31" x14ac:dyDescent="0.35">
      <c r="A100">
        <v>1947</v>
      </c>
      <c r="B100">
        <v>6642.0309999999999</v>
      </c>
      <c r="C100">
        <v>8283.8189999999995</v>
      </c>
      <c r="D100">
        <v>6946.1940000000004</v>
      </c>
      <c r="E100">
        <v>6127.9290000000001</v>
      </c>
      <c r="F100">
        <v>7637.9219999999996</v>
      </c>
      <c r="G100">
        <v>6044.902</v>
      </c>
      <c r="N100">
        <f>IF(ISBLANK($B100),NA(),IFERROR(SUM($B100:$B$177),NA()))</f>
        <v>919463.82600000012</v>
      </c>
      <c r="O100">
        <f>IF(ISBLANK($C100),NA(),IFERROR(SUM($C100:$C$177),NA()))</f>
        <v>1251559.3319999999</v>
      </c>
      <c r="P100">
        <f>IF(ISBLANK($D100),NA(),IFERROR(SUM($D100:$D$177),NA()))</f>
        <v>1516422.1959999998</v>
      </c>
      <c r="Q100">
        <f t="shared" si="27"/>
        <v>2767981.5279999999</v>
      </c>
      <c r="R100">
        <f t="shared" si="28"/>
        <v>33.217845447991742</v>
      </c>
      <c r="S100">
        <f t="shared" si="29"/>
        <v>45.215595528352814</v>
      </c>
      <c r="T100">
        <f>IF(ISBLANK($E100),NA(),IFERROR(SUM($E100:$E$177),NA()))</f>
        <v>877027.11100000015</v>
      </c>
      <c r="U100">
        <f>IF(ISBLANK($F100),NA(),IFERROR(SUM($F100:$F$177),NA()))</f>
        <v>1152977.0029999998</v>
      </c>
      <c r="V100">
        <f>IF(ISBLANK($G100),NA(),IFERROR(SUM($G100:$G$177),NA()))</f>
        <v>1291447.872</v>
      </c>
      <c r="W100">
        <f t="shared" si="30"/>
        <v>2444424.875</v>
      </c>
      <c r="X100">
        <f t="shared" si="31"/>
        <v>35.87866904684482</v>
      </c>
      <c r="Y100">
        <f t="shared" si="32"/>
        <v>47.167618640765134</v>
      </c>
      <c r="Z100" t="e">
        <f>IF(ISBLANK($H100),NA(),IFERROR(SUM($H100:$H$177),NA()))</f>
        <v>#N/A</v>
      </c>
      <c r="AA100" t="e">
        <f>IF(ISBLANK($I100),NA(),IFERROR(SUM($I100:$I$177),NA()))</f>
        <v>#N/A</v>
      </c>
      <c r="AB100" t="e">
        <f>IF(ISBLANK($J100),NA(),IFERROR(SUM($J100:$J$177),NA()))</f>
        <v>#N/A</v>
      </c>
      <c r="AC100" t="str">
        <f t="shared" si="33"/>
        <v/>
      </c>
      <c r="AD100" t="e">
        <f t="shared" si="34"/>
        <v>#N/A</v>
      </c>
      <c r="AE100" t="e">
        <f t="shared" si="35"/>
        <v>#N/A</v>
      </c>
    </row>
    <row r="101" spans="1:31" x14ac:dyDescent="0.35">
      <c r="A101">
        <v>1948</v>
      </c>
      <c r="B101">
        <v>6932.8810000000003</v>
      </c>
      <c r="C101">
        <v>8556.4830000000002</v>
      </c>
      <c r="D101">
        <v>7011.1289999999999</v>
      </c>
      <c r="E101">
        <v>6408.1350000000002</v>
      </c>
      <c r="F101">
        <v>7964.37</v>
      </c>
      <c r="G101">
        <v>6149.4309999999996</v>
      </c>
      <c r="N101">
        <f>IF(ISBLANK($B101),NA(),IFERROR(SUM($B101:$B$177),NA()))</f>
        <v>912821.79500000004</v>
      </c>
      <c r="O101">
        <f>IF(ISBLANK($C101),NA(),IFERROR(SUM($C101:$C$177),NA()))</f>
        <v>1243275.5129999998</v>
      </c>
      <c r="P101">
        <f>IF(ISBLANK($D101),NA(),IFERROR(SUM($D101:$D$177),NA()))</f>
        <v>1509476.0019999996</v>
      </c>
      <c r="Q101">
        <f t="shared" si="27"/>
        <v>2752751.5149999997</v>
      </c>
      <c r="R101">
        <f t="shared" si="28"/>
        <v>33.160341208639757</v>
      </c>
      <c r="S101">
        <f t="shared" si="29"/>
        <v>45.164828943886711</v>
      </c>
      <c r="T101">
        <f>IF(ISBLANK($E101),NA(),IFERROR(SUM($E101:$E$177),NA()))</f>
        <v>870899.18200000003</v>
      </c>
      <c r="U101">
        <f>IF(ISBLANK($F101),NA(),IFERROR(SUM($F101:$F$177),NA()))</f>
        <v>1145339.0809999998</v>
      </c>
      <c r="V101">
        <f>IF(ISBLANK($G101),NA(),IFERROR(SUM($G101:$G$177),NA()))</f>
        <v>1285402.9699999997</v>
      </c>
      <c r="W101">
        <f t="shared" si="30"/>
        <v>2430742.0509999995</v>
      </c>
      <c r="X101">
        <f t="shared" si="31"/>
        <v>35.828531523602635</v>
      </c>
      <c r="Y101">
        <f t="shared" si="32"/>
        <v>47.118906776998855</v>
      </c>
      <c r="Z101" t="e">
        <f>IF(ISBLANK($H101),NA(),IFERROR(SUM($H101:$H$177),NA()))</f>
        <v>#N/A</v>
      </c>
      <c r="AA101" t="e">
        <f>IF(ISBLANK($I101),NA(),IFERROR(SUM($I101:$I$177),NA()))</f>
        <v>#N/A</v>
      </c>
      <c r="AB101" t="e">
        <f>IF(ISBLANK($J101),NA(),IFERROR(SUM($J101:$J$177),NA()))</f>
        <v>#N/A</v>
      </c>
      <c r="AC101" t="str">
        <f t="shared" si="33"/>
        <v/>
      </c>
      <c r="AD101" t="e">
        <f t="shared" si="34"/>
        <v>#N/A</v>
      </c>
      <c r="AE101" t="e">
        <f t="shared" si="35"/>
        <v>#N/A</v>
      </c>
    </row>
    <row r="102" spans="1:31" x14ac:dyDescent="0.35">
      <c r="A102">
        <v>1949</v>
      </c>
      <c r="B102">
        <v>6582.4290000000001</v>
      </c>
      <c r="C102">
        <v>8232.9220000000005</v>
      </c>
      <c r="D102">
        <v>7135.4979999999996</v>
      </c>
      <c r="E102">
        <v>6058.8360000000002</v>
      </c>
      <c r="F102">
        <v>7719.4380000000001</v>
      </c>
      <c r="G102">
        <v>6308.8459999999995</v>
      </c>
      <c r="N102">
        <f>IF(ISBLANK($B102),NA(),IFERROR(SUM($B102:$B$177),NA()))</f>
        <v>905888.91400000011</v>
      </c>
      <c r="O102">
        <f>IF(ISBLANK($C102),NA(),IFERROR(SUM($C102:$C$177),NA()))</f>
        <v>1234719.0299999998</v>
      </c>
      <c r="P102">
        <f>IF(ISBLANK($D102),NA(),IFERROR(SUM($D102:$D$177),NA()))</f>
        <v>1502464.8729999999</v>
      </c>
      <c r="Q102">
        <f t="shared" si="27"/>
        <v>2737183.9029999999</v>
      </c>
      <c r="R102">
        <f t="shared" si="28"/>
        <v>33.095654004363048</v>
      </c>
      <c r="S102">
        <f t="shared" si="29"/>
        <v>45.109100219635472</v>
      </c>
      <c r="T102">
        <f>IF(ISBLANK($E102),NA(),IFERROR(SUM($E102:$E$177),NA()))</f>
        <v>864491.04700000002</v>
      </c>
      <c r="U102">
        <f>IF(ISBLANK($F102),NA(),IFERROR(SUM($F102:$F$177),NA()))</f>
        <v>1137374.7109999999</v>
      </c>
      <c r="V102">
        <f>IF(ISBLANK($G102),NA(),IFERROR(SUM($G102:$G$177),NA()))</f>
        <v>1279253.5389999999</v>
      </c>
      <c r="W102">
        <f t="shared" si="30"/>
        <v>2416628.25</v>
      </c>
      <c r="X102">
        <f t="shared" si="31"/>
        <v>35.772611985314661</v>
      </c>
      <c r="Y102">
        <f t="shared" si="32"/>
        <v>47.064529308552103</v>
      </c>
      <c r="Z102" t="e">
        <f>IF(ISBLANK($H102),NA(),IFERROR(SUM($H102:$H$177),NA()))</f>
        <v>#N/A</v>
      </c>
      <c r="AA102" t="e">
        <f>IF(ISBLANK($I102),NA(),IFERROR(SUM($I102:$I$177),NA()))</f>
        <v>#N/A</v>
      </c>
      <c r="AB102" t="e">
        <f>IF(ISBLANK($J102),NA(),IFERROR(SUM($J102:$J$177),NA()))</f>
        <v>#N/A</v>
      </c>
      <c r="AC102" t="str">
        <f t="shared" si="33"/>
        <v/>
      </c>
      <c r="AD102" t="e">
        <f t="shared" si="34"/>
        <v>#N/A</v>
      </c>
      <c r="AE102" t="e">
        <f t="shared" si="35"/>
        <v>#N/A</v>
      </c>
    </row>
    <row r="103" spans="1:31" x14ac:dyDescent="0.35">
      <c r="A103">
        <v>1950</v>
      </c>
      <c r="B103">
        <v>7105.4</v>
      </c>
      <c r="C103">
        <v>9052.2379999999994</v>
      </c>
      <c r="D103">
        <v>7988.0190000000002</v>
      </c>
      <c r="E103">
        <v>6587.4179999999997</v>
      </c>
      <c r="F103">
        <v>8330.8209999999999</v>
      </c>
      <c r="G103">
        <v>6289.1639999999998</v>
      </c>
      <c r="N103">
        <f>IF(ISBLANK($B103),NA(),IFERROR(SUM($B103:$B$177),NA()))</f>
        <v>899306.4850000001</v>
      </c>
      <c r="O103">
        <f>IF(ISBLANK($C103),NA(),IFERROR(SUM($C103:$C$177),NA()))</f>
        <v>1226486.1079999998</v>
      </c>
      <c r="P103">
        <f>IF(ISBLANK($D103),NA(),IFERROR(SUM($D103:$D$177),NA()))</f>
        <v>1495329.3749999998</v>
      </c>
      <c r="Q103">
        <f t="shared" si="27"/>
        <v>2721815.4829999995</v>
      </c>
      <c r="R103">
        <f t="shared" si="28"/>
        <v>33.040685182993364</v>
      </c>
      <c r="S103">
        <f t="shared" si="29"/>
        <v>45.061324533585214</v>
      </c>
      <c r="T103">
        <f>IF(ISBLANK($E103),NA(),IFERROR(SUM($E103:$E$177),NA()))</f>
        <v>858432.21100000001</v>
      </c>
      <c r="U103">
        <f>IF(ISBLANK($F103),NA(),IFERROR(SUM($F103:$F$177),NA()))</f>
        <v>1129655.273</v>
      </c>
      <c r="V103">
        <f>IF(ISBLANK($G103),NA(),IFERROR(SUM($G103:$G$177),NA()))</f>
        <v>1272944.693</v>
      </c>
      <c r="W103">
        <f t="shared" si="30"/>
        <v>2402599.966</v>
      </c>
      <c r="X103">
        <f t="shared" si="31"/>
        <v>35.729302553398938</v>
      </c>
      <c r="Y103">
        <f t="shared" si="32"/>
        <v>47.018034170737188</v>
      </c>
      <c r="Z103" t="e">
        <f>IF(ISBLANK($H103),NA(),IFERROR(SUM($H103:$H$177),NA()))</f>
        <v>#N/A</v>
      </c>
      <c r="AA103" t="e">
        <f>IF(ISBLANK($I103),NA(),IFERROR(SUM($I103:$I$177),NA()))</f>
        <v>#N/A</v>
      </c>
      <c r="AB103" t="e">
        <f>IF(ISBLANK($J103),NA(),IFERROR(SUM($J103:$J$177),NA()))</f>
        <v>#N/A</v>
      </c>
      <c r="AC103" t="str">
        <f t="shared" si="33"/>
        <v/>
      </c>
      <c r="AD103" t="e">
        <f t="shared" si="34"/>
        <v>#N/A</v>
      </c>
      <c r="AE103" t="e">
        <f t="shared" si="35"/>
        <v>#N/A</v>
      </c>
    </row>
    <row r="104" spans="1:31" x14ac:dyDescent="0.35">
      <c r="A104">
        <v>1951</v>
      </c>
      <c r="B104">
        <v>7403.8019999999997</v>
      </c>
      <c r="C104">
        <v>9564.94</v>
      </c>
      <c r="D104">
        <v>8573.8909999999996</v>
      </c>
      <c r="E104">
        <v>7113.192</v>
      </c>
      <c r="F104">
        <v>9317.3919999999998</v>
      </c>
      <c r="G104">
        <v>6715.7079999999996</v>
      </c>
      <c r="N104">
        <f>IF(ISBLANK($B104),NA(),IFERROR(SUM($B104:$B$177),NA()))</f>
        <v>892201.0850000002</v>
      </c>
      <c r="O104">
        <f>IF(ISBLANK($C104),NA(),IFERROR(SUM($C104:$C$177),NA()))</f>
        <v>1217433.8699999999</v>
      </c>
      <c r="P104">
        <f>IF(ISBLANK($D104),NA(),IFERROR(SUM($D104:$D$177),NA()))</f>
        <v>1487341.3559999999</v>
      </c>
      <c r="Q104">
        <f t="shared" si="27"/>
        <v>2704775.2259999998</v>
      </c>
      <c r="R104">
        <f t="shared" si="28"/>
        <v>32.986145259820574</v>
      </c>
      <c r="S104">
        <f t="shared" si="29"/>
        <v>45.010537596516713</v>
      </c>
      <c r="T104">
        <f>IF(ISBLANK($E104),NA(),IFERROR(SUM($E104:$E$177),NA()))</f>
        <v>851844.79300000006</v>
      </c>
      <c r="U104">
        <f>IF(ISBLANK($F104),NA(),IFERROR(SUM($F104:$F$177),NA()))</f>
        <v>1121324.452</v>
      </c>
      <c r="V104">
        <f>IF(ISBLANK($G104),NA(),IFERROR(SUM($G104:$G$177),NA()))</f>
        <v>1266655.5289999996</v>
      </c>
      <c r="W104">
        <f t="shared" si="30"/>
        <v>2387979.9809999997</v>
      </c>
      <c r="X104">
        <f t="shared" si="31"/>
        <v>35.672191550084861</v>
      </c>
      <c r="Y104">
        <f t="shared" si="32"/>
        <v>46.957028991944476</v>
      </c>
      <c r="Z104" t="e">
        <f>IF(ISBLANK($H104),NA(),IFERROR(SUM($H104:$H$177),NA()))</f>
        <v>#N/A</v>
      </c>
      <c r="AA104" t="e">
        <f>IF(ISBLANK($I104),NA(),IFERROR(SUM($I104:$I$177),NA()))</f>
        <v>#N/A</v>
      </c>
      <c r="AB104" t="e">
        <f>IF(ISBLANK($J104),NA(),IFERROR(SUM($J104:$J$177),NA()))</f>
        <v>#N/A</v>
      </c>
      <c r="AC104" t="str">
        <f t="shared" si="33"/>
        <v/>
      </c>
      <c r="AD104" t="e">
        <f t="shared" si="34"/>
        <v>#N/A</v>
      </c>
      <c r="AE104" t="e">
        <f t="shared" si="35"/>
        <v>#N/A</v>
      </c>
    </row>
    <row r="105" spans="1:31" x14ac:dyDescent="0.35">
      <c r="A105">
        <v>1952</v>
      </c>
      <c r="B105">
        <v>7394.84</v>
      </c>
      <c r="C105">
        <v>9699.0339999999997</v>
      </c>
      <c r="D105">
        <v>8676.4959999999992</v>
      </c>
      <c r="E105">
        <v>6953.8450000000003</v>
      </c>
      <c r="F105">
        <v>9324.0429999999997</v>
      </c>
      <c r="G105">
        <v>6990.2489999999998</v>
      </c>
      <c r="N105">
        <f>IF(ISBLANK($B105),NA(),IFERROR(SUM($B105:$B$177),NA()))</f>
        <v>884797.28300000017</v>
      </c>
      <c r="O105">
        <f>IF(ISBLANK($C105),NA(),IFERROR(SUM($C105:$C$177),NA()))</f>
        <v>1207868.9300000002</v>
      </c>
      <c r="P105">
        <f>IF(ISBLANK($D105),NA(),IFERROR(SUM($D105:$D$177),NA()))</f>
        <v>1478767.4649999996</v>
      </c>
      <c r="Q105">
        <f t="shared" si="27"/>
        <v>2686636.3949999996</v>
      </c>
      <c r="R105">
        <f t="shared" si="28"/>
        <v>32.933272423714051</v>
      </c>
      <c r="S105">
        <f t="shared" si="29"/>
        <v>44.958407183343482</v>
      </c>
      <c r="T105">
        <f>IF(ISBLANK($E105),NA(),IFERROR(SUM($E105:$E$177),NA()))</f>
        <v>844731.60100000002</v>
      </c>
      <c r="U105">
        <f>IF(ISBLANK($F105),NA(),IFERROR(SUM($F105:$F$177),NA()))</f>
        <v>1112007.06</v>
      </c>
      <c r="V105">
        <f>IF(ISBLANK($G105),NA(),IFERROR(SUM($G105:$G$177),NA()))</f>
        <v>1259939.8209999995</v>
      </c>
      <c r="W105">
        <f t="shared" si="30"/>
        <v>2371946.8809999996</v>
      </c>
      <c r="X105">
        <f t="shared" si="31"/>
        <v>35.613428267156891</v>
      </c>
      <c r="Y105">
        <f t="shared" si="32"/>
        <v>46.881617329102419</v>
      </c>
      <c r="Z105" t="e">
        <f>IF(ISBLANK($H105),NA(),IFERROR(SUM($H105:$H$177),NA()))</f>
        <v>#N/A</v>
      </c>
      <c r="AA105" t="e">
        <f>IF(ISBLANK($I105),NA(),IFERROR(SUM($I105:$I$177),NA()))</f>
        <v>#N/A</v>
      </c>
      <c r="AB105" t="e">
        <f>IF(ISBLANK($J105),NA(),IFERROR(SUM($J105:$J$177),NA()))</f>
        <v>#N/A</v>
      </c>
      <c r="AC105" t="str">
        <f t="shared" si="33"/>
        <v/>
      </c>
      <c r="AD105" t="e">
        <f t="shared" si="34"/>
        <v>#N/A</v>
      </c>
      <c r="AE105" t="e">
        <f t="shared" si="35"/>
        <v>#N/A</v>
      </c>
    </row>
    <row r="106" spans="1:31" x14ac:dyDescent="0.35">
      <c r="A106">
        <v>1953</v>
      </c>
      <c r="B106">
        <v>7506.1930000000002</v>
      </c>
      <c r="C106">
        <v>9952.0460000000003</v>
      </c>
      <c r="D106">
        <v>8840.4879999999994</v>
      </c>
      <c r="E106">
        <v>7022.3590000000004</v>
      </c>
      <c r="F106">
        <v>9553.8259999999991</v>
      </c>
      <c r="G106">
        <v>7053.72</v>
      </c>
      <c r="N106">
        <f>IF(ISBLANK($B106),NA(),IFERROR(SUM($B106:$B$177),NA()))</f>
        <v>877402.44300000009</v>
      </c>
      <c r="O106">
        <f>IF(ISBLANK($C106),NA(),IFERROR(SUM($C106:$C$177),NA()))</f>
        <v>1198169.8959999999</v>
      </c>
      <c r="P106">
        <f>IF(ISBLANK($D106),NA(),IFERROR(SUM($D106:$D$177),NA()))</f>
        <v>1470090.9689999998</v>
      </c>
      <c r="Q106">
        <f t="shared" si="27"/>
        <v>2668260.8649999998</v>
      </c>
      <c r="R106">
        <f t="shared" si="28"/>
        <v>32.88293339339593</v>
      </c>
      <c r="S106">
        <f t="shared" si="29"/>
        <v>44.904526079761695</v>
      </c>
      <c r="T106">
        <f>IF(ISBLANK($E106),NA(),IFERROR(SUM($E106:$E$177),NA()))</f>
        <v>837777.75599999994</v>
      </c>
      <c r="U106">
        <f>IF(ISBLANK($F106),NA(),IFERROR(SUM($F106:$F$177),NA()))</f>
        <v>1102683.017</v>
      </c>
      <c r="V106">
        <f>IF(ISBLANK($G106),NA(),IFERROR(SUM($G106:$G$177),NA()))</f>
        <v>1252949.5719999997</v>
      </c>
      <c r="W106">
        <f t="shared" si="30"/>
        <v>2355632.5889999997</v>
      </c>
      <c r="X106">
        <f t="shared" si="31"/>
        <v>35.564873737616651</v>
      </c>
      <c r="Y106">
        <f t="shared" si="32"/>
        <v>46.810484035123025</v>
      </c>
      <c r="Z106" t="e">
        <f>IF(ISBLANK($H106),NA(),IFERROR(SUM($H106:$H$177),NA()))</f>
        <v>#N/A</v>
      </c>
      <c r="AA106" t="e">
        <f>IF(ISBLANK($I106),NA(),IFERROR(SUM($I106:$I$177),NA()))</f>
        <v>#N/A</v>
      </c>
      <c r="AB106" t="e">
        <f>IF(ISBLANK($J106),NA(),IFERROR(SUM($J106:$J$177),NA()))</f>
        <v>#N/A</v>
      </c>
      <c r="AC106" t="str">
        <f t="shared" si="33"/>
        <v/>
      </c>
      <c r="AD106" t="e">
        <f t="shared" si="34"/>
        <v>#N/A</v>
      </c>
      <c r="AE106" t="e">
        <f t="shared" si="35"/>
        <v>#N/A</v>
      </c>
    </row>
    <row r="107" spans="1:31" x14ac:dyDescent="0.35">
      <c r="A107">
        <v>1954</v>
      </c>
      <c r="B107">
        <v>7496.509</v>
      </c>
      <c r="C107">
        <v>10123.982</v>
      </c>
      <c r="D107">
        <v>9341.6569999999992</v>
      </c>
      <c r="E107">
        <v>7047.9279999999999</v>
      </c>
      <c r="F107">
        <v>9767.5830000000005</v>
      </c>
      <c r="G107">
        <v>7328.4250000000002</v>
      </c>
      <c r="N107">
        <f>IF(ISBLANK($B107),NA(),IFERROR(SUM($B107:$B$177),NA()))</f>
        <v>869896.25000000012</v>
      </c>
      <c r="O107">
        <f>IF(ISBLANK($C107),NA(),IFERROR(SUM($C107:$C$177),NA()))</f>
        <v>1188217.8500000001</v>
      </c>
      <c r="P107">
        <f>IF(ISBLANK($D107),NA(),IFERROR(SUM($D107:$D$177),NA()))</f>
        <v>1461250.4809999994</v>
      </c>
      <c r="Q107">
        <f t="shared" si="27"/>
        <v>2649468.3309999993</v>
      </c>
      <c r="R107">
        <f t="shared" si="28"/>
        <v>32.832860835580234</v>
      </c>
      <c r="S107">
        <f t="shared" si="29"/>
        <v>44.847407160799172</v>
      </c>
      <c r="T107">
        <f>IF(ISBLANK($E107),NA(),IFERROR(SUM($E107:$E$177),NA()))</f>
        <v>830755.397</v>
      </c>
      <c r="U107">
        <f>IF(ISBLANK($F107),NA(),IFERROR(SUM($F107:$F$177),NA()))</f>
        <v>1093129.1909999999</v>
      </c>
      <c r="V107">
        <f>IF(ISBLANK($G107),NA(),IFERROR(SUM($G107:$G$177),NA()))</f>
        <v>1245895.8519999995</v>
      </c>
      <c r="W107">
        <f t="shared" si="30"/>
        <v>2339025.0429999996</v>
      </c>
      <c r="X107">
        <f t="shared" si="31"/>
        <v>35.51716555947965</v>
      </c>
      <c r="Y107">
        <f t="shared" si="32"/>
        <v>46.734394497887386</v>
      </c>
      <c r="Z107" t="e">
        <f>IF(ISBLANK($H107),NA(),IFERROR(SUM($H107:$H$177),NA()))</f>
        <v>#N/A</v>
      </c>
      <c r="AA107" t="e">
        <f>IF(ISBLANK($I107),NA(),IFERROR(SUM($I107:$I$177),NA()))</f>
        <v>#N/A</v>
      </c>
      <c r="AB107" t="e">
        <f>IF(ISBLANK($J107),NA(),IFERROR(SUM($J107:$J$177),NA()))</f>
        <v>#N/A</v>
      </c>
      <c r="AC107" t="str">
        <f t="shared" si="33"/>
        <v/>
      </c>
      <c r="AD107" t="e">
        <f t="shared" si="34"/>
        <v>#N/A</v>
      </c>
      <c r="AE107" t="e">
        <f t="shared" si="35"/>
        <v>#N/A</v>
      </c>
    </row>
    <row r="108" spans="1:31" x14ac:dyDescent="0.35">
      <c r="A108">
        <v>1955</v>
      </c>
      <c r="B108">
        <v>7951.7690000000002</v>
      </c>
      <c r="C108">
        <v>10789.407999999999</v>
      </c>
      <c r="D108">
        <v>9707.9779999999992</v>
      </c>
      <c r="E108">
        <v>7502.7650000000003</v>
      </c>
      <c r="F108">
        <v>10457.197</v>
      </c>
      <c r="G108">
        <v>7678.192</v>
      </c>
      <c r="N108">
        <f>IF(ISBLANK($B108),NA(),IFERROR(SUM($B108:$B$177),NA()))</f>
        <v>862399.74100000015</v>
      </c>
      <c r="O108">
        <f>IF(ISBLANK($C108),NA(),IFERROR(SUM($C108:$C$177),NA()))</f>
        <v>1178093.868</v>
      </c>
      <c r="P108">
        <f>IF(ISBLANK($D108),NA(),IFERROR(SUM($D108:$D$177),NA()))</f>
        <v>1451908.8239999998</v>
      </c>
      <c r="Q108">
        <f t="shared" si="27"/>
        <v>2630002.6919999998</v>
      </c>
      <c r="R108">
        <f t="shared" si="28"/>
        <v>32.790831112959189</v>
      </c>
      <c r="S108">
        <f t="shared" si="29"/>
        <v>44.794397799802709</v>
      </c>
      <c r="T108">
        <f>IF(ISBLANK($E108),NA(),IFERROR(SUM($E108:$E$177),NA()))</f>
        <v>823707.46899999992</v>
      </c>
      <c r="U108">
        <f>IF(ISBLANK($F108),NA(),IFERROR(SUM($F108:$F$177),NA()))</f>
        <v>1083361.6079999998</v>
      </c>
      <c r="V108">
        <f>IF(ISBLANK($G108),NA(),IFERROR(SUM($G108:$G$177),NA()))</f>
        <v>1238567.4269999997</v>
      </c>
      <c r="W108">
        <f t="shared" si="30"/>
        <v>2321929.0349999992</v>
      </c>
      <c r="X108">
        <f t="shared" si="31"/>
        <v>35.475135397495052</v>
      </c>
      <c r="Y108">
        <f t="shared" si="32"/>
        <v>46.657825957200288</v>
      </c>
      <c r="Z108" t="e">
        <f>IF(ISBLANK($H108),NA(),IFERROR(SUM($H108:$H$177),NA()))</f>
        <v>#N/A</v>
      </c>
      <c r="AA108" t="e">
        <f>IF(ISBLANK($I108),NA(),IFERROR(SUM($I108:$I$177),NA()))</f>
        <v>#N/A</v>
      </c>
      <c r="AB108" t="e">
        <f>IF(ISBLANK($J108),NA(),IFERROR(SUM($J108:$J$177),NA()))</f>
        <v>#N/A</v>
      </c>
      <c r="AC108" t="str">
        <f t="shared" si="33"/>
        <v/>
      </c>
      <c r="AD108" t="e">
        <f t="shared" si="34"/>
        <v>#N/A</v>
      </c>
      <c r="AE108" t="e">
        <f t="shared" si="35"/>
        <v>#N/A</v>
      </c>
    </row>
    <row r="109" spans="1:31" x14ac:dyDescent="0.35">
      <c r="A109">
        <v>1956</v>
      </c>
      <c r="B109">
        <v>8264.7929999999997</v>
      </c>
      <c r="C109">
        <v>11275.028</v>
      </c>
      <c r="D109">
        <v>9904.7800000000007</v>
      </c>
      <c r="E109">
        <v>7890.9409999999998</v>
      </c>
      <c r="F109">
        <v>11071.411</v>
      </c>
      <c r="G109">
        <v>7941.29</v>
      </c>
      <c r="N109">
        <f>IF(ISBLANK($B109),NA(),IFERROR(SUM($B109:$B$177),NA()))</f>
        <v>854447.97200000018</v>
      </c>
      <c r="O109">
        <f>IF(ISBLANK($C109),NA(),IFERROR(SUM($C109:$C$177),NA()))</f>
        <v>1167304.46</v>
      </c>
      <c r="P109">
        <f>IF(ISBLANK($D109),NA(),IFERROR(SUM($D109:$D$177),NA()))</f>
        <v>1442200.8459999997</v>
      </c>
      <c r="Q109">
        <f t="shared" si="27"/>
        <v>2609505.3059999999</v>
      </c>
      <c r="R109">
        <f t="shared" si="28"/>
        <v>32.743676360242674</v>
      </c>
      <c r="S109">
        <f t="shared" si="29"/>
        <v>44.732787372228479</v>
      </c>
      <c r="T109">
        <f>IF(ISBLANK($E109),NA(),IFERROR(SUM($E109:$E$177),NA()))</f>
        <v>816204.70400000003</v>
      </c>
      <c r="U109">
        <f>IF(ISBLANK($F109),NA(),IFERROR(SUM($F109:$F$177),NA()))</f>
        <v>1072904.4109999998</v>
      </c>
      <c r="V109">
        <f>IF(ISBLANK($G109),NA(),IFERROR(SUM($G109:$G$177),NA()))</f>
        <v>1230889.2349999999</v>
      </c>
      <c r="W109">
        <f t="shared" si="30"/>
        <v>2303793.6459999997</v>
      </c>
      <c r="X109">
        <f t="shared" si="31"/>
        <v>35.428724504781457</v>
      </c>
      <c r="Y109">
        <f t="shared" si="32"/>
        <v>46.571202801207825</v>
      </c>
      <c r="Z109" t="e">
        <f>IF(ISBLANK($H109),NA(),IFERROR(SUM($H109:$H$177),NA()))</f>
        <v>#N/A</v>
      </c>
      <c r="AA109" t="e">
        <f>IF(ISBLANK($I109),NA(),IFERROR(SUM($I109:$I$177),NA()))</f>
        <v>#N/A</v>
      </c>
      <c r="AB109" t="e">
        <f>IF(ISBLANK($J109),NA(),IFERROR(SUM($J109:$J$177),NA()))</f>
        <v>#N/A</v>
      </c>
      <c r="AC109" t="str">
        <f t="shared" si="33"/>
        <v/>
      </c>
      <c r="AD109" t="e">
        <f t="shared" si="34"/>
        <v>#N/A</v>
      </c>
      <c r="AE109" t="e">
        <f t="shared" si="35"/>
        <v>#N/A</v>
      </c>
    </row>
    <row r="110" spans="1:31" x14ac:dyDescent="0.35">
      <c r="A110">
        <v>1957</v>
      </c>
      <c r="B110">
        <v>8324.7999999999993</v>
      </c>
      <c r="C110">
        <v>11519.003000000001</v>
      </c>
      <c r="D110">
        <v>10273.614</v>
      </c>
      <c r="E110">
        <v>7948.8149999999996</v>
      </c>
      <c r="F110">
        <v>11370.933999999999</v>
      </c>
      <c r="G110">
        <v>8178.2060000000001</v>
      </c>
      <c r="N110">
        <f>IF(ISBLANK($B110),NA(),IFERROR(SUM($B110:$B$177),NA()))</f>
        <v>846183.17900000012</v>
      </c>
      <c r="O110">
        <f>IF(ISBLANK($C110),NA(),IFERROR(SUM($C110:$C$177),NA()))</f>
        <v>1156029.432</v>
      </c>
      <c r="P110">
        <f>IF(ISBLANK($D110),NA(),IFERROR(SUM($D110:$D$177),NA()))</f>
        <v>1432296.0659999994</v>
      </c>
      <c r="Q110">
        <f t="shared" si="27"/>
        <v>2588325.4979999997</v>
      </c>
      <c r="R110">
        <f t="shared" si="28"/>
        <v>32.692301631067892</v>
      </c>
      <c r="S110">
        <f t="shared" si="29"/>
        <v>44.663216928986117</v>
      </c>
      <c r="T110">
        <f>IF(ISBLANK($E110),NA(),IFERROR(SUM($E110:$E$177),NA()))</f>
        <v>808313.76300000004</v>
      </c>
      <c r="U110">
        <f>IF(ISBLANK($F110),NA(),IFERROR(SUM($F110:$F$177),NA()))</f>
        <v>1061833</v>
      </c>
      <c r="V110">
        <f>IF(ISBLANK($G110),NA(),IFERROR(SUM($G110:$G$177),NA()))</f>
        <v>1222947.9449999998</v>
      </c>
      <c r="W110">
        <f t="shared" si="30"/>
        <v>2284780.9449999998</v>
      </c>
      <c r="X110">
        <f t="shared" si="31"/>
        <v>35.378173332936299</v>
      </c>
      <c r="Y110">
        <f t="shared" si="32"/>
        <v>46.474170853171223</v>
      </c>
      <c r="Z110" t="e">
        <f>IF(ISBLANK($H110),NA(),IFERROR(SUM($H110:$H$177),NA()))</f>
        <v>#N/A</v>
      </c>
      <c r="AA110" t="e">
        <f>IF(ISBLANK($I110),NA(),IFERROR(SUM($I110:$I$177),NA()))</f>
        <v>#N/A</v>
      </c>
      <c r="AB110" t="e">
        <f>IF(ISBLANK($J110),NA(),IFERROR(SUM($J110:$J$177),NA()))</f>
        <v>#N/A</v>
      </c>
      <c r="AC110" t="str">
        <f t="shared" si="33"/>
        <v/>
      </c>
      <c r="AD110" t="e">
        <f t="shared" si="34"/>
        <v>#N/A</v>
      </c>
      <c r="AE110" t="e">
        <f t="shared" si="35"/>
        <v>#N/A</v>
      </c>
    </row>
    <row r="111" spans="1:31" x14ac:dyDescent="0.35">
      <c r="A111">
        <v>1958</v>
      </c>
      <c r="B111">
        <v>8167.18</v>
      </c>
      <c r="C111">
        <v>11497.611000000001</v>
      </c>
      <c r="D111">
        <v>10591.391</v>
      </c>
      <c r="E111">
        <v>7957.9520000000002</v>
      </c>
      <c r="F111">
        <v>11574.75</v>
      </c>
      <c r="G111">
        <v>8556.4989999999998</v>
      </c>
      <c r="N111">
        <f>IF(ISBLANK($B111),NA(),IFERROR(SUM($B111:$B$177),NA()))</f>
        <v>837858.37899999996</v>
      </c>
      <c r="O111">
        <f>IF(ISBLANK($C111),NA(),IFERROR(SUM($C111:$C$177),NA()))</f>
        <v>1144510.429</v>
      </c>
      <c r="P111">
        <f>IF(ISBLANK($D111),NA(),IFERROR(SUM($D111:$D$177),NA()))</f>
        <v>1422022.4519999993</v>
      </c>
      <c r="Q111">
        <f t="shared" si="27"/>
        <v>2566532.8809999991</v>
      </c>
      <c r="R111">
        <f t="shared" si="28"/>
        <v>32.645534573223351</v>
      </c>
      <c r="S111">
        <f t="shared" si="29"/>
        <v>44.593639827207824</v>
      </c>
      <c r="T111">
        <f>IF(ISBLANK($E111),NA(),IFERROR(SUM($E111:$E$177),NA()))</f>
        <v>800364.94799999997</v>
      </c>
      <c r="U111">
        <f>IF(ISBLANK($F111),NA(),IFERROR(SUM($F111:$F$177),NA()))</f>
        <v>1050462.0660000001</v>
      </c>
      <c r="V111">
        <f>IF(ISBLANK($G111),NA(),IFERROR(SUM($G111:$G$177),NA()))</f>
        <v>1214769.7389999996</v>
      </c>
      <c r="W111">
        <f t="shared" si="30"/>
        <v>2265231.8049999997</v>
      </c>
      <c r="X111">
        <f t="shared" si="31"/>
        <v>35.332584781538515</v>
      </c>
      <c r="Y111">
        <f t="shared" si="32"/>
        <v>46.37327021814442</v>
      </c>
      <c r="Z111" t="e">
        <f>IF(ISBLANK($H111),NA(),IFERROR(SUM($H111:$H$177),NA()))</f>
        <v>#N/A</v>
      </c>
      <c r="AA111" t="e">
        <f>IF(ISBLANK($I111),NA(),IFERROR(SUM($I111:$I$177),NA()))</f>
        <v>#N/A</v>
      </c>
      <c r="AB111" t="e">
        <f>IF(ISBLANK($J111),NA(),IFERROR(SUM($J111:$J$177),NA()))</f>
        <v>#N/A</v>
      </c>
      <c r="AC111" t="str">
        <f t="shared" si="33"/>
        <v/>
      </c>
      <c r="AD111" t="e">
        <f t="shared" si="34"/>
        <v>#N/A</v>
      </c>
      <c r="AE111" t="e">
        <f t="shared" si="35"/>
        <v>#N/A</v>
      </c>
    </row>
    <row r="112" spans="1:31" x14ac:dyDescent="0.35">
      <c r="A112">
        <v>1959</v>
      </c>
      <c r="B112">
        <v>8252.5689999999995</v>
      </c>
      <c r="C112">
        <v>11992.004999999999</v>
      </c>
      <c r="D112">
        <v>11234.089</v>
      </c>
      <c r="E112">
        <v>7979.7690000000002</v>
      </c>
      <c r="F112">
        <v>11464.53</v>
      </c>
      <c r="G112">
        <v>8906.0660000000007</v>
      </c>
      <c r="N112">
        <f>IF(ISBLANK($B112),NA(),IFERROR(SUM($B112:$B$177),NA()))</f>
        <v>829691.19900000002</v>
      </c>
      <c r="O112">
        <f>IF(ISBLANK($C112),NA(),IFERROR(SUM($C112:$C$177),NA()))</f>
        <v>1133012.8180000002</v>
      </c>
      <c r="P112">
        <f>IF(ISBLANK($D112),NA(),IFERROR(SUM($D112:$D$177),NA()))</f>
        <v>1411431.0609999995</v>
      </c>
      <c r="Q112">
        <f t="shared" si="27"/>
        <v>2544443.8789999997</v>
      </c>
      <c r="R112">
        <f t="shared" si="28"/>
        <v>32.607958298772921</v>
      </c>
      <c r="S112">
        <f t="shared" si="29"/>
        <v>44.528897939194842</v>
      </c>
      <c r="T112">
        <f>IF(ISBLANK($E112),NA(),IFERROR(SUM($E112:$E$177),NA()))</f>
        <v>792406.99600000004</v>
      </c>
      <c r="U112">
        <f>IF(ISBLANK($F112),NA(),IFERROR(SUM($F112:$F$177),NA()))</f>
        <v>1038887.316</v>
      </c>
      <c r="V112">
        <f>IF(ISBLANK($G112),NA(),IFERROR(SUM($G112:$G$177),NA()))</f>
        <v>1206213.2399999998</v>
      </c>
      <c r="W112">
        <f t="shared" si="30"/>
        <v>2245100.5559999999</v>
      </c>
      <c r="X112">
        <f t="shared" si="31"/>
        <v>35.294944535214846</v>
      </c>
      <c r="Y112">
        <f t="shared" si="32"/>
        <v>46.273531634188423</v>
      </c>
      <c r="Z112" t="e">
        <f>IF(ISBLANK($H112),NA(),IFERROR(SUM($H112:$H$177),NA()))</f>
        <v>#N/A</v>
      </c>
      <c r="AA112" t="e">
        <f>IF(ISBLANK($I112),NA(),IFERROR(SUM($I112:$I$177),NA()))</f>
        <v>#N/A</v>
      </c>
      <c r="AB112" t="e">
        <f>IF(ISBLANK($J112),NA(),IFERROR(SUM($J112:$J$177),NA()))</f>
        <v>#N/A</v>
      </c>
      <c r="AC112" t="str">
        <f t="shared" si="33"/>
        <v/>
      </c>
      <c r="AD112" t="e">
        <f t="shared" si="34"/>
        <v>#N/A</v>
      </c>
      <c r="AE112" t="e">
        <f t="shared" si="35"/>
        <v>#N/A</v>
      </c>
    </row>
    <row r="113" spans="1:31" x14ac:dyDescent="0.35">
      <c r="A113">
        <v>1960</v>
      </c>
      <c r="B113">
        <v>8525.4699999999993</v>
      </c>
      <c r="C113">
        <v>12105.671</v>
      </c>
      <c r="D113">
        <v>10714.763999999999</v>
      </c>
      <c r="E113">
        <v>8322.8240000000005</v>
      </c>
      <c r="F113">
        <v>11919.21</v>
      </c>
      <c r="G113">
        <v>9095.0229999999992</v>
      </c>
      <c r="N113">
        <f>IF(ISBLANK($B113),NA(),IFERROR(SUM($B113:$B$177),NA()))</f>
        <v>821438.63</v>
      </c>
      <c r="O113">
        <f>IF(ISBLANK($C113),NA(),IFERROR(SUM($C113:$C$177),NA()))</f>
        <v>1121020.8130000003</v>
      </c>
      <c r="P113">
        <f>IF(ISBLANK($D113),NA(),IFERROR(SUM($D113:$D$177),NA()))</f>
        <v>1400196.9719999998</v>
      </c>
      <c r="Q113">
        <f t="shared" si="27"/>
        <v>2521217.7850000001</v>
      </c>
      <c r="R113">
        <f t="shared" si="28"/>
        <v>32.581026315423998</v>
      </c>
      <c r="S113">
        <f t="shared" si="29"/>
        <v>44.463466015094774</v>
      </c>
      <c r="T113">
        <f>IF(ISBLANK($E113),NA(),IFERROR(SUM($E113:$E$177),NA()))</f>
        <v>784427.22699999996</v>
      </c>
      <c r="U113">
        <f>IF(ISBLANK($F113),NA(),IFERROR(SUM($F113:$F$177),NA()))</f>
        <v>1027422.786</v>
      </c>
      <c r="V113">
        <f>IF(ISBLANK($G113),NA(),IFERROR(SUM($G113:$G$177),NA()))</f>
        <v>1197307.1739999996</v>
      </c>
      <c r="W113">
        <f t="shared" si="30"/>
        <v>2224729.9599999995</v>
      </c>
      <c r="X113">
        <f t="shared" si="31"/>
        <v>35.259435576621627</v>
      </c>
      <c r="Y113">
        <f t="shared" si="32"/>
        <v>46.181909915934256</v>
      </c>
      <c r="Z113" t="e">
        <f>IF(ISBLANK($H113),NA(),IFERROR(SUM($H113:$H$177),NA()))</f>
        <v>#N/A</v>
      </c>
      <c r="AA113" t="e">
        <f>IF(ISBLANK($I113),NA(),IFERROR(SUM($I113:$I$177),NA()))</f>
        <v>#N/A</v>
      </c>
      <c r="AB113" t="e">
        <f>IF(ISBLANK($J113),NA(),IFERROR(SUM($J113:$J$177),NA()))</f>
        <v>#N/A</v>
      </c>
      <c r="AC113" t="str">
        <f t="shared" si="33"/>
        <v/>
      </c>
      <c r="AD113" t="e">
        <f t="shared" si="34"/>
        <v>#N/A</v>
      </c>
      <c r="AE113" t="e">
        <f t="shared" si="35"/>
        <v>#N/A</v>
      </c>
    </row>
    <row r="114" spans="1:31" x14ac:dyDescent="0.35">
      <c r="A114">
        <v>1961</v>
      </c>
      <c r="B114">
        <v>8599.73</v>
      </c>
      <c r="C114">
        <v>12265.846</v>
      </c>
      <c r="D114">
        <v>10690.52</v>
      </c>
      <c r="E114">
        <v>8455.0580000000009</v>
      </c>
      <c r="F114">
        <v>12119.944</v>
      </c>
      <c r="G114">
        <v>9305.2749999999996</v>
      </c>
      <c r="N114">
        <f>IF(ISBLANK($B114),NA(),IFERROR(SUM($B114:$B$177),NA()))</f>
        <v>812913.16</v>
      </c>
      <c r="O114">
        <f>IF(ISBLANK($C114),NA(),IFERROR(SUM($C114:$C$177),NA()))</f>
        <v>1108915.1420000002</v>
      </c>
      <c r="P114">
        <f>IF(ISBLANK($D114),NA(),IFERROR(SUM($D114:$D$177),NA()))</f>
        <v>1389482.2079999999</v>
      </c>
      <c r="Q114">
        <f t="shared" si="27"/>
        <v>2498397.35</v>
      </c>
      <c r="R114">
        <f t="shared" si="28"/>
        <v>32.537384815910087</v>
      </c>
      <c r="S114">
        <f t="shared" si="29"/>
        <v>44.385059166028981</v>
      </c>
      <c r="T114">
        <f>IF(ISBLANK($E114),NA(),IFERROR(SUM($E114:$E$177),NA()))</f>
        <v>776104.40300000005</v>
      </c>
      <c r="U114">
        <f>IF(ISBLANK($F114),NA(),IFERROR(SUM($F114:$F$177),NA()))</f>
        <v>1015503.576</v>
      </c>
      <c r="V114">
        <f>IF(ISBLANK($G114),NA(),IFERROR(SUM($G114:$G$177),NA()))</f>
        <v>1188212.1509999996</v>
      </c>
      <c r="W114">
        <f t="shared" si="30"/>
        <v>2203715.7269999995</v>
      </c>
      <c r="X114">
        <f t="shared" si="31"/>
        <v>35.217990845694963</v>
      </c>
      <c r="Y114">
        <f t="shared" si="32"/>
        <v>46.08142345938797</v>
      </c>
      <c r="Z114" t="e">
        <f>IF(ISBLANK($H114),NA(),IFERROR(SUM($H114:$H$177),NA()))</f>
        <v>#N/A</v>
      </c>
      <c r="AA114" t="e">
        <f>IF(ISBLANK($I114),NA(),IFERROR(SUM($I114:$I$177),NA()))</f>
        <v>#N/A</v>
      </c>
      <c r="AB114" t="e">
        <f>IF(ISBLANK($J114),NA(),IFERROR(SUM($J114:$J$177),NA()))</f>
        <v>#N/A</v>
      </c>
      <c r="AC114" t="str">
        <f t="shared" si="33"/>
        <v/>
      </c>
      <c r="AD114" t="e">
        <f t="shared" si="34"/>
        <v>#N/A</v>
      </c>
      <c r="AE114" t="e">
        <f t="shared" si="35"/>
        <v>#N/A</v>
      </c>
    </row>
    <row r="115" spans="1:31" x14ac:dyDescent="0.35">
      <c r="A115">
        <v>1962</v>
      </c>
      <c r="B115">
        <v>8955.973</v>
      </c>
      <c r="C115">
        <v>12458.481</v>
      </c>
      <c r="D115">
        <v>10450.813</v>
      </c>
      <c r="E115">
        <v>8836.85</v>
      </c>
      <c r="F115">
        <v>12631.05</v>
      </c>
      <c r="G115">
        <v>9286.8680000000004</v>
      </c>
      <c r="N115">
        <f>IF(ISBLANK($B115),NA(),IFERROR(SUM($B115:$B$177),NA()))</f>
        <v>804313.43</v>
      </c>
      <c r="O115">
        <f>IF(ISBLANK($C115),NA(),IFERROR(SUM($C115:$C$177),NA()))</f>
        <v>1096649.2960000003</v>
      </c>
      <c r="P115">
        <f>IF(ISBLANK($D115),NA(),IFERROR(SUM($D115:$D$177),NA()))</f>
        <v>1378791.6879999998</v>
      </c>
      <c r="Q115">
        <f t="shared" si="27"/>
        <v>2475440.9840000002</v>
      </c>
      <c r="R115">
        <f t="shared" si="28"/>
        <v>32.491723098982192</v>
      </c>
      <c r="S115">
        <f t="shared" si="29"/>
        <v>44.301169088182156</v>
      </c>
      <c r="T115">
        <f>IF(ISBLANK($E115),NA(),IFERROR(SUM($E115:$E$177),NA()))</f>
        <v>767649.34500000009</v>
      </c>
      <c r="U115">
        <f>IF(ISBLANK($F115),NA(),IFERROR(SUM($F115:$F$177),NA()))</f>
        <v>1003383.632</v>
      </c>
      <c r="V115">
        <f>IF(ISBLANK($G115),NA(),IFERROR(SUM($G115:$G$177),NA()))</f>
        <v>1178906.8759999997</v>
      </c>
      <c r="W115">
        <f t="shared" si="30"/>
        <v>2182290.5079999994</v>
      </c>
      <c r="X115">
        <f t="shared" si="31"/>
        <v>35.176313244542612</v>
      </c>
      <c r="Y115">
        <f t="shared" si="32"/>
        <v>45.97846291874172</v>
      </c>
      <c r="Z115" t="e">
        <f>IF(ISBLANK($H115),NA(),IFERROR(SUM($H115:$H$177),NA()))</f>
        <v>#N/A</v>
      </c>
      <c r="AA115" t="e">
        <f>IF(ISBLANK($I115),NA(),IFERROR(SUM($I115:$I$177),NA()))</f>
        <v>#N/A</v>
      </c>
      <c r="AB115" t="e">
        <f>IF(ISBLANK($J115),NA(),IFERROR(SUM($J115:$J$177),NA()))</f>
        <v>#N/A</v>
      </c>
      <c r="AC115" t="str">
        <f t="shared" si="33"/>
        <v/>
      </c>
      <c r="AD115" t="e">
        <f t="shared" si="34"/>
        <v>#N/A</v>
      </c>
      <c r="AE115" t="e">
        <f t="shared" si="35"/>
        <v>#N/A</v>
      </c>
    </row>
    <row r="116" spans="1:31" x14ac:dyDescent="0.35">
      <c r="A116">
        <v>1963</v>
      </c>
      <c r="B116">
        <v>9232.9869999999992</v>
      </c>
      <c r="C116">
        <v>12879.036</v>
      </c>
      <c r="D116">
        <v>10519.512000000001</v>
      </c>
      <c r="E116">
        <v>9270.5310000000009</v>
      </c>
      <c r="F116">
        <v>13233.602000000001</v>
      </c>
      <c r="G116">
        <v>9522.1630000000005</v>
      </c>
      <c r="N116">
        <f>IF(ISBLANK($B116),NA(),IFERROR(SUM($B116:$B$177),NA()))</f>
        <v>795357.45700000017</v>
      </c>
      <c r="O116">
        <f>IF(ISBLANK($C116),NA(),IFERROR(SUM($C116:$C$177),NA()))</f>
        <v>1084190.8150000004</v>
      </c>
      <c r="P116">
        <f>IF(ISBLANK($D116),NA(),IFERROR(SUM($D116:$D$177),NA()))</f>
        <v>1368340.8749999998</v>
      </c>
      <c r="Q116">
        <f t="shared" si="27"/>
        <v>2452531.6900000004</v>
      </c>
      <c r="R116">
        <f t="shared" si="28"/>
        <v>32.430058304363847</v>
      </c>
      <c r="S116">
        <f t="shared" si="29"/>
        <v>44.20700533333374</v>
      </c>
      <c r="T116">
        <f>IF(ISBLANK($E116),NA(),IFERROR(SUM($E116:$E$177),NA()))</f>
        <v>758812.49500000011</v>
      </c>
      <c r="U116">
        <f>IF(ISBLANK($F116),NA(),IFERROR(SUM($F116:$F$177),NA()))</f>
        <v>990752.58200000005</v>
      </c>
      <c r="V116">
        <f>IF(ISBLANK($G116),NA(),IFERROR(SUM($G116:$G$177),NA()))</f>
        <v>1169620.0079999999</v>
      </c>
      <c r="W116">
        <f t="shared" si="30"/>
        <v>2160372.59</v>
      </c>
      <c r="X116">
        <f t="shared" si="31"/>
        <v>35.12414934870101</v>
      </c>
      <c r="Y116">
        <f t="shared" si="32"/>
        <v>45.860264409298033</v>
      </c>
      <c r="Z116" t="e">
        <f>IF(ISBLANK($H116),NA(),IFERROR(SUM($H116:$H$177),NA()))</f>
        <v>#N/A</v>
      </c>
      <c r="AA116" t="e">
        <f>IF(ISBLANK($I116),NA(),IFERROR(SUM($I116:$I$177),NA()))</f>
        <v>#N/A</v>
      </c>
      <c r="AB116" t="e">
        <f>IF(ISBLANK($J116),NA(),IFERROR(SUM($J116:$J$177),NA()))</f>
        <v>#N/A</v>
      </c>
      <c r="AC116" t="str">
        <f t="shared" si="33"/>
        <v/>
      </c>
      <c r="AD116" t="e">
        <f t="shared" si="34"/>
        <v>#N/A</v>
      </c>
      <c r="AE116" t="e">
        <f t="shared" si="35"/>
        <v>#N/A</v>
      </c>
    </row>
    <row r="117" spans="1:31" x14ac:dyDescent="0.35">
      <c r="A117">
        <v>1964</v>
      </c>
      <c r="B117">
        <v>9570.4670000000006</v>
      </c>
      <c r="C117">
        <v>13286.556</v>
      </c>
      <c r="D117">
        <v>10498.4</v>
      </c>
      <c r="E117">
        <v>9643.0190000000002</v>
      </c>
      <c r="F117">
        <v>13756.813</v>
      </c>
      <c r="G117">
        <v>9738.8179999999993</v>
      </c>
      <c r="N117">
        <f>IF(ISBLANK($B117),NA(),IFERROR(SUM($B117:$B$177),NA()))</f>
        <v>786124.4700000002</v>
      </c>
      <c r="O117">
        <f>IF(ISBLANK($C117),NA(),IFERROR(SUM($C117:$C$177),NA()))</f>
        <v>1071311.7790000003</v>
      </c>
      <c r="P117">
        <f>IF(ISBLANK($D117),NA(),IFERROR(SUM($D117:$D$177),NA()))</f>
        <v>1357821.3630000001</v>
      </c>
      <c r="Q117">
        <f t="shared" si="27"/>
        <v>2429133.1420000005</v>
      </c>
      <c r="R117">
        <f t="shared" si="28"/>
        <v>32.362345908827095</v>
      </c>
      <c r="S117">
        <f t="shared" si="29"/>
        <v>44.102637293810396</v>
      </c>
      <c r="T117">
        <f>IF(ISBLANK($E117),NA(),IFERROR(SUM($E117:$E$177),NA()))</f>
        <v>749541.96400000004</v>
      </c>
      <c r="U117">
        <f>IF(ISBLANK($F117),NA(),IFERROR(SUM($F117:$F$177),NA()))</f>
        <v>977518.98</v>
      </c>
      <c r="V117">
        <f>IF(ISBLANK($G117),NA(),IFERROR(SUM($G117:$G$177),NA()))</f>
        <v>1160097.8449999997</v>
      </c>
      <c r="W117">
        <f t="shared" si="30"/>
        <v>2137616.8249999997</v>
      </c>
      <c r="X117">
        <f t="shared" si="31"/>
        <v>35.064374271099787</v>
      </c>
      <c r="Y117">
        <f t="shared" si="32"/>
        <v>45.729382767185136</v>
      </c>
      <c r="Z117" t="e">
        <f>IF(ISBLANK($H117),NA(),IFERROR(SUM($H117:$H$177),NA()))</f>
        <v>#N/A</v>
      </c>
      <c r="AA117" t="e">
        <f>IF(ISBLANK($I117),NA(),IFERROR(SUM($I117:$I$177),NA()))</f>
        <v>#N/A</v>
      </c>
      <c r="AB117" t="e">
        <f>IF(ISBLANK($J117),NA(),IFERROR(SUM($J117:$J$177),NA()))</f>
        <v>#N/A</v>
      </c>
      <c r="AC117" t="str">
        <f t="shared" si="33"/>
        <v/>
      </c>
      <c r="AD117" t="e">
        <f t="shared" si="34"/>
        <v>#N/A</v>
      </c>
      <c r="AE117" t="e">
        <f t="shared" si="35"/>
        <v>#N/A</v>
      </c>
    </row>
    <row r="118" spans="1:31" x14ac:dyDescent="0.35">
      <c r="A118">
        <v>1965</v>
      </c>
      <c r="B118">
        <v>9853.6409999999996</v>
      </c>
      <c r="C118">
        <v>13646.052</v>
      </c>
      <c r="D118">
        <v>10535.766</v>
      </c>
      <c r="E118">
        <v>9967.1329999999998</v>
      </c>
      <c r="F118">
        <v>14208.742</v>
      </c>
      <c r="G118">
        <v>10076.523999999999</v>
      </c>
      <c r="N118">
        <f>IF(ISBLANK($B118),NA(),IFERROR(SUM($B118:$B$177),NA()))</f>
        <v>776554.00300000014</v>
      </c>
      <c r="O118">
        <f>IF(ISBLANK($C118),NA(),IFERROR(SUM($C118:$C$177),NA()))</f>
        <v>1058025.2230000002</v>
      </c>
      <c r="P118">
        <f>IF(ISBLANK($D118),NA(),IFERROR(SUM($D118:$D$177),NA()))</f>
        <v>1347322.9629999998</v>
      </c>
      <c r="Q118">
        <f t="shared" si="27"/>
        <v>2405348.1859999998</v>
      </c>
      <c r="R118">
        <f t="shared" si="28"/>
        <v>32.284473720679046</v>
      </c>
      <c r="S118">
        <f t="shared" si="29"/>
        <v>43.986364600272481</v>
      </c>
      <c r="T118">
        <f>IF(ISBLANK($E118),NA(),IFERROR(SUM($E118:$E$177),NA()))</f>
        <v>739898.94500000007</v>
      </c>
      <c r="U118">
        <f>IF(ISBLANK($F118),NA(),IFERROR(SUM($F118:$F$177),NA()))</f>
        <v>963762.16700000002</v>
      </c>
      <c r="V118">
        <f>IF(ISBLANK($G118),NA(),IFERROR(SUM($G118:$G$177),NA()))</f>
        <v>1150359.0269999998</v>
      </c>
      <c r="W118">
        <f t="shared" si="30"/>
        <v>2114121.1939999997</v>
      </c>
      <c r="X118">
        <f t="shared" si="31"/>
        <v>34.997943689315299</v>
      </c>
      <c r="Y118">
        <f t="shared" si="32"/>
        <v>45.586893018962854</v>
      </c>
      <c r="Z118" t="e">
        <f>IF(ISBLANK($H118),NA(),IFERROR(SUM($H118:$H$177),NA()))</f>
        <v>#N/A</v>
      </c>
      <c r="AA118" t="e">
        <f>IF(ISBLANK($I118),NA(),IFERROR(SUM($I118:$I$177),NA()))</f>
        <v>#N/A</v>
      </c>
      <c r="AB118" t="e">
        <f>IF(ISBLANK($J118),NA(),IFERROR(SUM($J118:$J$177),NA()))</f>
        <v>#N/A</v>
      </c>
      <c r="AC118" t="str">
        <f t="shared" si="33"/>
        <v/>
      </c>
      <c r="AD118" t="e">
        <f t="shared" si="34"/>
        <v>#N/A</v>
      </c>
      <c r="AE118" t="e">
        <f t="shared" si="35"/>
        <v>#N/A</v>
      </c>
    </row>
    <row r="119" spans="1:31" x14ac:dyDescent="0.35">
      <c r="A119">
        <v>1966</v>
      </c>
      <c r="B119">
        <v>10099.212</v>
      </c>
      <c r="C119">
        <v>13954.907999999999</v>
      </c>
      <c r="D119">
        <v>10550.011</v>
      </c>
      <c r="E119">
        <v>10423.724</v>
      </c>
      <c r="F119">
        <v>14784.147999999999</v>
      </c>
      <c r="G119">
        <v>10446.643</v>
      </c>
      <c r="N119">
        <f>IF(ISBLANK($B119),NA(),IFERROR(SUM($B119:$B$177),NA()))</f>
        <v>766700.3620000002</v>
      </c>
      <c r="O119">
        <f>IF(ISBLANK($C119),NA(),IFERROR(SUM($C119:$C$177),NA()))</f>
        <v>1044379.1710000003</v>
      </c>
      <c r="P119">
        <f>IF(ISBLANK($D119),NA(),IFERROR(SUM($D119:$D$177),NA()))</f>
        <v>1336787.1969999999</v>
      </c>
      <c r="Q119">
        <f t="shared" si="27"/>
        <v>2381166.3680000002</v>
      </c>
      <c r="R119">
        <f t="shared" si="28"/>
        <v>32.198521376058679</v>
      </c>
      <c r="S119">
        <f t="shared" si="29"/>
        <v>43.859983285300636</v>
      </c>
      <c r="T119">
        <f>IF(ISBLANK($E119),NA(),IFERROR(SUM($E119:$E$177),NA()))</f>
        <v>729931.81200000003</v>
      </c>
      <c r="U119">
        <f>IF(ISBLANK($F119),NA(),IFERROR(SUM($F119:$F$177),NA()))</f>
        <v>949553.42499999993</v>
      </c>
      <c r="V119">
        <f>IF(ISBLANK($G119),NA(),IFERROR(SUM($G119:$G$177),NA()))</f>
        <v>1140282.503</v>
      </c>
      <c r="W119">
        <f t="shared" si="30"/>
        <v>2089835.9279999998</v>
      </c>
      <c r="X119">
        <f t="shared" si="31"/>
        <v>34.927709023480816</v>
      </c>
      <c r="Y119">
        <f t="shared" si="32"/>
        <v>45.436745166341112</v>
      </c>
      <c r="Z119" t="e">
        <f>IF(ISBLANK($H119),NA(),IFERROR(SUM($H119:$H$177),NA()))</f>
        <v>#N/A</v>
      </c>
      <c r="AA119" t="e">
        <f>IF(ISBLANK($I119),NA(),IFERROR(SUM($I119:$I$177),NA()))</f>
        <v>#N/A</v>
      </c>
      <c r="AB119" t="e">
        <f>IF(ISBLANK($J119),NA(),IFERROR(SUM($J119:$J$177),NA()))</f>
        <v>#N/A</v>
      </c>
      <c r="AC119" t="str">
        <f t="shared" si="33"/>
        <v/>
      </c>
      <c r="AD119" t="e">
        <f t="shared" si="34"/>
        <v>#N/A</v>
      </c>
      <c r="AE119" t="e">
        <f t="shared" si="35"/>
        <v>#N/A</v>
      </c>
    </row>
    <row r="120" spans="1:31" x14ac:dyDescent="0.35">
      <c r="A120">
        <v>1967</v>
      </c>
      <c r="B120">
        <v>10892.242</v>
      </c>
      <c r="C120">
        <v>14885.298000000001</v>
      </c>
      <c r="D120">
        <v>10419.719999999999</v>
      </c>
      <c r="E120">
        <v>10785.081</v>
      </c>
      <c r="F120">
        <v>15238.2</v>
      </c>
      <c r="G120">
        <v>10465.718999999999</v>
      </c>
      <c r="N120">
        <f>IF(ISBLANK($B120),NA(),IFERROR(SUM($B120:$B$177),NA()))</f>
        <v>756601.15000000014</v>
      </c>
      <c r="O120">
        <f>IF(ISBLANK($C120),NA(),IFERROR(SUM($C120:$C$177),NA()))</f>
        <v>1030424.2630000003</v>
      </c>
      <c r="P120">
        <f>IF(ISBLANK($D120),NA(),IFERROR(SUM($D120:$D$177),NA()))</f>
        <v>1326237.186</v>
      </c>
      <c r="Q120">
        <f t="shared" si="27"/>
        <v>2356661.449</v>
      </c>
      <c r="R120">
        <f t="shared" si="28"/>
        <v>32.10478748744535</v>
      </c>
      <c r="S120">
        <f t="shared" si="29"/>
        <v>43.723898629446296</v>
      </c>
      <c r="T120">
        <f>IF(ISBLANK($E120),NA(),IFERROR(SUM($E120:$E$177),NA()))</f>
        <v>719508.08799999999</v>
      </c>
      <c r="U120">
        <f>IF(ISBLANK($F120),NA(),IFERROR(SUM($F120:$F$177),NA()))</f>
        <v>934769.27699999989</v>
      </c>
      <c r="V120">
        <f>IF(ISBLANK($G120),NA(),IFERROR(SUM($G120:$G$177),NA()))</f>
        <v>1129835.8599999999</v>
      </c>
      <c r="W120">
        <f t="shared" si="30"/>
        <v>2064605.1369999996</v>
      </c>
      <c r="X120">
        <f t="shared" si="31"/>
        <v>34.849670530486534</v>
      </c>
      <c r="Y120">
        <f t="shared" si="32"/>
        <v>45.275934862696218</v>
      </c>
      <c r="Z120" t="e">
        <f>IF(ISBLANK($H120),NA(),IFERROR(SUM($H120:$H$177),NA()))</f>
        <v>#N/A</v>
      </c>
      <c r="AA120" t="e">
        <f>IF(ISBLANK($I120),NA(),IFERROR(SUM($I120:$I$177),NA()))</f>
        <v>#N/A</v>
      </c>
      <c r="AB120" t="e">
        <f>IF(ISBLANK($J120),NA(),IFERROR(SUM($J120:$J$177),NA()))</f>
        <v>#N/A</v>
      </c>
      <c r="AC120" t="str">
        <f t="shared" si="33"/>
        <v/>
      </c>
      <c r="AD120" t="e">
        <f t="shared" si="34"/>
        <v>#N/A</v>
      </c>
      <c r="AE120" t="e">
        <f t="shared" si="35"/>
        <v>#N/A</v>
      </c>
    </row>
    <row r="121" spans="1:31" x14ac:dyDescent="0.35">
      <c r="A121">
        <v>1968</v>
      </c>
      <c r="B121">
        <v>11447.433999999999</v>
      </c>
      <c r="C121">
        <v>15616.718000000001</v>
      </c>
      <c r="D121">
        <v>10557.741</v>
      </c>
      <c r="E121">
        <v>11277.314</v>
      </c>
      <c r="F121">
        <v>15802.995000000001</v>
      </c>
      <c r="G121">
        <v>10539.215</v>
      </c>
      <c r="N121">
        <f>IF(ISBLANK($B121),NA(),IFERROR(SUM($B121:$B$177),NA()))</f>
        <v>745708.90800000017</v>
      </c>
      <c r="O121">
        <f>IF(ISBLANK($C121),NA(),IFERROR(SUM($C121:$C$177),NA()))</f>
        <v>1015538.9650000003</v>
      </c>
      <c r="P121">
        <f>IF(ISBLANK($D121),NA(),IFERROR(SUM($D121:$D$177),NA()))</f>
        <v>1315817.4659999998</v>
      </c>
      <c r="Q121">
        <f t="shared" si="27"/>
        <v>2331356.4309999999</v>
      </c>
      <c r="R121">
        <f t="shared" si="28"/>
        <v>31.986053187077008</v>
      </c>
      <c r="S121">
        <f t="shared" si="29"/>
        <v>43.560004446184159</v>
      </c>
      <c r="T121">
        <f>IF(ISBLANK($E121),NA(),IFERROR(SUM($E121:$E$177),NA()))</f>
        <v>708723.00699999998</v>
      </c>
      <c r="U121">
        <f>IF(ISBLANK($F121),NA(),IFERROR(SUM($F121:$F$177),NA()))</f>
        <v>919531.07699999993</v>
      </c>
      <c r="V121">
        <f>IF(ISBLANK($G121),NA(),IFERROR(SUM($G121:$G$177),NA()))</f>
        <v>1119370.1409999998</v>
      </c>
      <c r="W121">
        <f t="shared" si="30"/>
        <v>2038901.2179999999</v>
      </c>
      <c r="X121">
        <f t="shared" si="31"/>
        <v>34.760046280967003</v>
      </c>
      <c r="Y121">
        <f t="shared" si="32"/>
        <v>45.09934414095779</v>
      </c>
      <c r="Z121" t="e">
        <f>IF(ISBLANK($H121),NA(),IFERROR(SUM($H121:$H$177),NA()))</f>
        <v>#N/A</v>
      </c>
      <c r="AA121" t="e">
        <f>IF(ISBLANK($I121),NA(),IFERROR(SUM($I121:$I$177),NA()))</f>
        <v>#N/A</v>
      </c>
      <c r="AB121" t="e">
        <f>IF(ISBLANK($J121),NA(),IFERROR(SUM($J121:$J$177),NA()))</f>
        <v>#N/A</v>
      </c>
      <c r="AC121" t="str">
        <f t="shared" si="33"/>
        <v/>
      </c>
      <c r="AD121" t="e">
        <f t="shared" si="34"/>
        <v>#N/A</v>
      </c>
      <c r="AE121" t="e">
        <f t="shared" si="35"/>
        <v>#N/A</v>
      </c>
    </row>
    <row r="122" spans="1:31" x14ac:dyDescent="0.35">
      <c r="A122">
        <v>1969</v>
      </c>
      <c r="B122">
        <v>11668.79</v>
      </c>
      <c r="C122">
        <v>15917.13</v>
      </c>
      <c r="D122">
        <v>11927.9</v>
      </c>
      <c r="E122">
        <v>11904.407999999999</v>
      </c>
      <c r="F122">
        <v>16540.192999999999</v>
      </c>
      <c r="G122">
        <v>10935.757</v>
      </c>
      <c r="N122">
        <f>IF(ISBLANK($B122),NA(),IFERROR(SUM($B122:$B$177),NA()))</f>
        <v>734261.47400000016</v>
      </c>
      <c r="O122">
        <f>IF(ISBLANK($C122),NA(),IFERROR(SUM($C122:$C$177),NA()))</f>
        <v>999922.24700000021</v>
      </c>
      <c r="P122">
        <f>IF(ISBLANK($D122),NA(),IFERROR(SUM($D122:$D$177),NA()))</f>
        <v>1305259.7249999999</v>
      </c>
      <c r="Q122">
        <f t="shared" si="27"/>
        <v>2305181.9720000001</v>
      </c>
      <c r="R122">
        <f t="shared" si="28"/>
        <v>31.852646902445937</v>
      </c>
      <c r="S122">
        <f t="shared" si="29"/>
        <v>43.377150226993024</v>
      </c>
      <c r="T122">
        <f>IF(ISBLANK($E122),NA(),IFERROR(SUM($E122:$E$177),NA()))</f>
        <v>697445.69299999985</v>
      </c>
      <c r="U122">
        <f>IF(ISBLANK($F122),NA(),IFERROR(SUM($F122:$F$177),NA()))</f>
        <v>903728.08199999994</v>
      </c>
      <c r="V122">
        <f>IF(ISBLANK($G122),NA(),IFERROR(SUM($G122:$G$177),NA()))</f>
        <v>1108830.926</v>
      </c>
      <c r="W122">
        <f t="shared" si="30"/>
        <v>2012559.0079999999</v>
      </c>
      <c r="X122">
        <f t="shared" si="31"/>
        <v>34.654670507926788</v>
      </c>
      <c r="Y122">
        <f t="shared" si="32"/>
        <v>44.904426573712662</v>
      </c>
      <c r="Z122" t="e">
        <f>IF(ISBLANK($H122),NA(),IFERROR(SUM($H122:$H$177),NA()))</f>
        <v>#N/A</v>
      </c>
      <c r="AA122" t="e">
        <f>IF(ISBLANK($I122),NA(),IFERROR(SUM($I122:$I$177),NA()))</f>
        <v>#N/A</v>
      </c>
      <c r="AB122" t="e">
        <f>IF(ISBLANK($J122),NA(),IFERROR(SUM($J122:$J$177),NA()))</f>
        <v>#N/A</v>
      </c>
      <c r="AC122" t="str">
        <f t="shared" si="33"/>
        <v/>
      </c>
      <c r="AD122" t="e">
        <f t="shared" si="34"/>
        <v>#N/A</v>
      </c>
      <c r="AE122" t="e">
        <f t="shared" si="35"/>
        <v>#N/A</v>
      </c>
    </row>
    <row r="123" spans="1:31" x14ac:dyDescent="0.35">
      <c r="A123">
        <v>1970</v>
      </c>
      <c r="B123">
        <v>12039.522999999999</v>
      </c>
      <c r="C123">
        <v>16545.331999999999</v>
      </c>
      <c r="D123">
        <v>12339.508</v>
      </c>
      <c r="E123">
        <v>12435.165000000001</v>
      </c>
      <c r="F123">
        <v>17129.992999999999</v>
      </c>
      <c r="G123">
        <v>11468.986000000001</v>
      </c>
      <c r="N123">
        <f>IF(ISBLANK($B123),NA(),IFERROR(SUM($B123:$B$177),NA()))</f>
        <v>722592.68400000024</v>
      </c>
      <c r="O123">
        <f>IF(ISBLANK($C123),NA(),IFERROR(SUM($C123:$C$177),NA()))</f>
        <v>984005.11700000032</v>
      </c>
      <c r="P123">
        <f>IF(ISBLANK($D123),NA(),IFERROR(SUM($D123:$D$177),NA()))</f>
        <v>1293331.825</v>
      </c>
      <c r="Q123">
        <f t="shared" si="27"/>
        <v>2277336.9420000003</v>
      </c>
      <c r="R123">
        <f t="shared" si="28"/>
        <v>31.72972214491044</v>
      </c>
      <c r="S123">
        <f t="shared" si="29"/>
        <v>43.208587137563775</v>
      </c>
      <c r="T123">
        <f>IF(ISBLANK($E123),NA(),IFERROR(SUM($E123:$E$177),NA()))</f>
        <v>685541.2849999998</v>
      </c>
      <c r="U123">
        <f>IF(ISBLANK($F123),NA(),IFERROR(SUM($F123:$F$177),NA()))</f>
        <v>887187.88899999997</v>
      </c>
      <c r="V123">
        <f>IF(ISBLANK($G123),NA(),IFERROR(SUM($G123:$G$177),NA()))</f>
        <v>1097895.1690000002</v>
      </c>
      <c r="W123">
        <f t="shared" si="30"/>
        <v>1985083.0580000002</v>
      </c>
      <c r="X123">
        <f t="shared" si="31"/>
        <v>34.534639859890426</v>
      </c>
      <c r="Y123">
        <f t="shared" si="32"/>
        <v>44.692733909776784</v>
      </c>
      <c r="Z123" t="e">
        <f>IF(ISBLANK($H123),NA(),IFERROR(SUM($H123:$H$177),NA()))</f>
        <v>#N/A</v>
      </c>
      <c r="AA123" t="e">
        <f>IF(ISBLANK($I123),NA(),IFERROR(SUM($I123:$I$177),NA()))</f>
        <v>#N/A</v>
      </c>
      <c r="AB123" t="e">
        <f>IF(ISBLANK($J123),NA(),IFERROR(SUM($J123:$J$177),NA()))</f>
        <v>#N/A</v>
      </c>
      <c r="AC123" t="str">
        <f t="shared" si="33"/>
        <v/>
      </c>
      <c r="AD123" t="e">
        <f t="shared" si="34"/>
        <v>#N/A</v>
      </c>
      <c r="AE123" t="e">
        <f t="shared" si="35"/>
        <v>#N/A</v>
      </c>
    </row>
    <row r="124" spans="1:31" x14ac:dyDescent="0.35">
      <c r="A124">
        <v>1971</v>
      </c>
      <c r="B124">
        <v>12184.334000000001</v>
      </c>
      <c r="C124">
        <v>16707.112000000001</v>
      </c>
      <c r="D124">
        <v>12217.963</v>
      </c>
      <c r="E124">
        <v>12326.415000000001</v>
      </c>
      <c r="F124">
        <v>17115.121999999999</v>
      </c>
      <c r="G124">
        <v>11477.143</v>
      </c>
      <c r="N124">
        <f>IF(ISBLANK($B124),NA(),IFERROR(SUM($B124:$B$177),NA()))</f>
        <v>710553.1610000002</v>
      </c>
      <c r="O124">
        <f>IF(ISBLANK($C124),NA(),IFERROR(SUM($C124:$C$177),NA()))</f>
        <v>967459.78500000015</v>
      </c>
      <c r="P124">
        <f>IF(ISBLANK($D124),NA(),IFERROR(SUM($D124:$D$177),NA()))</f>
        <v>1280992.317</v>
      </c>
      <c r="Q124">
        <f t="shared" si="27"/>
        <v>2248452.102</v>
      </c>
      <c r="R124">
        <f t="shared" si="28"/>
        <v>31.601881150501832</v>
      </c>
      <c r="S124">
        <f t="shared" si="29"/>
        <v>43.027813852002623</v>
      </c>
      <c r="T124">
        <f>IF(ISBLANK($E124),NA(),IFERROR(SUM($E124:$E$177),NA()))</f>
        <v>673106.11999999976</v>
      </c>
      <c r="U124">
        <f>IF(ISBLANK($F124),NA(),IFERROR(SUM($F124:$F$177),NA()))</f>
        <v>870057.89599999995</v>
      </c>
      <c r="V124">
        <f>IF(ISBLANK($G124),NA(),IFERROR(SUM($G124:$G$177),NA()))</f>
        <v>1086426.1830000002</v>
      </c>
      <c r="W124">
        <f t="shared" si="30"/>
        <v>1956484.0790000001</v>
      </c>
      <c r="X124">
        <f t="shared" si="31"/>
        <v>34.403863912045651</v>
      </c>
      <c r="Y124">
        <f t="shared" si="32"/>
        <v>44.470481786118327</v>
      </c>
      <c r="Z124" t="e">
        <f>IF(ISBLANK($H124),NA(),IFERROR(SUM($H124:$H$177),NA()))</f>
        <v>#N/A</v>
      </c>
      <c r="AA124" t="e">
        <f>IF(ISBLANK($I124),NA(),IFERROR(SUM($I124:$I$177),NA()))</f>
        <v>#N/A</v>
      </c>
      <c r="AB124" t="e">
        <f>IF(ISBLANK($J124),NA(),IFERROR(SUM($J124:$J$177),NA()))</f>
        <v>#N/A</v>
      </c>
      <c r="AC124" t="str">
        <f t="shared" si="33"/>
        <v/>
      </c>
      <c r="AD124" t="e">
        <f t="shared" si="34"/>
        <v>#N/A</v>
      </c>
      <c r="AE124" t="e">
        <f t="shared" si="35"/>
        <v>#N/A</v>
      </c>
    </row>
    <row r="125" spans="1:31" x14ac:dyDescent="0.35">
      <c r="A125">
        <v>1972</v>
      </c>
      <c r="B125">
        <v>12487.412</v>
      </c>
      <c r="C125">
        <v>17155.807000000001</v>
      </c>
      <c r="D125">
        <v>12946.379000000001</v>
      </c>
      <c r="E125">
        <v>12768.758</v>
      </c>
      <c r="F125">
        <v>17704.847000000002</v>
      </c>
      <c r="G125">
        <v>11659.407999999999</v>
      </c>
      <c r="N125">
        <f>IF(ISBLANK($B125),NA(),IFERROR(SUM($B125:$B$177),NA()))</f>
        <v>698368.82700000016</v>
      </c>
      <c r="O125">
        <f>IF(ISBLANK($C125),NA(),IFERROR(SUM($C125:$C$177),NA()))</f>
        <v>950752.67300000018</v>
      </c>
      <c r="P125">
        <f>IF(ISBLANK($D125),NA(),IFERROR(SUM($D125:$D$177),NA()))</f>
        <v>1268774.3540000001</v>
      </c>
      <c r="Q125">
        <f t="shared" si="27"/>
        <v>2219527.0270000002</v>
      </c>
      <c r="R125">
        <f t="shared" si="28"/>
        <v>31.464758865493199</v>
      </c>
      <c r="S125">
        <f t="shared" si="29"/>
        <v>42.835823192704026</v>
      </c>
      <c r="T125">
        <f>IF(ISBLANK($E125),NA(),IFERROR(SUM($E125:$E$177),NA()))</f>
        <v>660779.70499999984</v>
      </c>
      <c r="U125">
        <f>IF(ISBLANK($F125),NA(),IFERROR(SUM($F125:$F$177),NA()))</f>
        <v>852942.77399999998</v>
      </c>
      <c r="V125">
        <f>IF(ISBLANK($G125),NA(),IFERROR(SUM($G125:$G$177),NA()))</f>
        <v>1074949.04</v>
      </c>
      <c r="W125">
        <f t="shared" si="30"/>
        <v>1927891.814</v>
      </c>
      <c r="X125">
        <f t="shared" si="31"/>
        <v>34.274729536249787</v>
      </c>
      <c r="Y125">
        <f t="shared" si="32"/>
        <v>44.242253004348306</v>
      </c>
      <c r="Z125" t="e">
        <f>IF(ISBLANK($H125),NA(),IFERROR(SUM($H125:$H$177),NA()))</f>
        <v>#N/A</v>
      </c>
      <c r="AA125" t="e">
        <f>IF(ISBLANK($I125),NA(),IFERROR(SUM($I125:$I$177),NA()))</f>
        <v>#N/A</v>
      </c>
      <c r="AB125" t="e">
        <f>IF(ISBLANK($J125),NA(),IFERROR(SUM($J125:$J$177),NA()))</f>
        <v>#N/A</v>
      </c>
      <c r="AC125" t="str">
        <f t="shared" si="33"/>
        <v/>
      </c>
      <c r="AD125" t="e">
        <f t="shared" si="34"/>
        <v>#N/A</v>
      </c>
      <c r="AE125" t="e">
        <f t="shared" si="35"/>
        <v>#N/A</v>
      </c>
    </row>
    <row r="126" spans="1:31" x14ac:dyDescent="0.35">
      <c r="A126">
        <v>1973</v>
      </c>
      <c r="B126">
        <v>12918</v>
      </c>
      <c r="C126">
        <v>17781.893</v>
      </c>
      <c r="D126">
        <v>13172.752</v>
      </c>
      <c r="E126">
        <v>13227.263999999999</v>
      </c>
      <c r="F126">
        <v>18296.350999999999</v>
      </c>
      <c r="G126">
        <v>12115.494000000001</v>
      </c>
      <c r="N126">
        <f>IF(ISBLANK($B126),NA(),IFERROR(SUM($B126:$B$177),NA()))</f>
        <v>685881.41500000015</v>
      </c>
      <c r="O126">
        <f>IF(ISBLANK($C126),NA(),IFERROR(SUM($C126:$C$177),NA()))</f>
        <v>933596.86600000015</v>
      </c>
      <c r="P126">
        <f>IF(ISBLANK($D126),NA(),IFERROR(SUM($D126:$D$177),NA()))</f>
        <v>1255827.9750000003</v>
      </c>
      <c r="Q126">
        <f t="shared" si="27"/>
        <v>2189424.8410000005</v>
      </c>
      <c r="R126">
        <f t="shared" si="28"/>
        <v>31.327013476595518</v>
      </c>
      <c r="S126">
        <f t="shared" si="29"/>
        <v>42.641192724094061</v>
      </c>
      <c r="T126">
        <f>IF(ISBLANK($E126),NA(),IFERROR(SUM($E126:$E$177),NA()))</f>
        <v>648010.94699999993</v>
      </c>
      <c r="U126">
        <f>IF(ISBLANK($F126),NA(),IFERROR(SUM($F126:$F$177),NA()))</f>
        <v>835237.92700000003</v>
      </c>
      <c r="V126">
        <f>IF(ISBLANK($G126),NA(),IFERROR(SUM($G126:$G$177),NA()))</f>
        <v>1063289.6320000002</v>
      </c>
      <c r="W126">
        <f t="shared" si="30"/>
        <v>1898527.5590000004</v>
      </c>
      <c r="X126">
        <f t="shared" si="31"/>
        <v>34.132290781247484</v>
      </c>
      <c r="Y126">
        <f t="shared" si="32"/>
        <v>43.993984866879664</v>
      </c>
      <c r="Z126" t="e">
        <f>IF(ISBLANK($H126),NA(),IFERROR(SUM($H126:$H$177),NA()))</f>
        <v>#N/A</v>
      </c>
      <c r="AA126" t="e">
        <f>IF(ISBLANK($I126),NA(),IFERROR(SUM($I126:$I$177),NA()))</f>
        <v>#N/A</v>
      </c>
      <c r="AB126" t="e">
        <f>IF(ISBLANK($J126),NA(),IFERROR(SUM($J126:$J$177),NA()))</f>
        <v>#N/A</v>
      </c>
      <c r="AC126" t="str">
        <f t="shared" si="33"/>
        <v/>
      </c>
      <c r="AD126" t="e">
        <f t="shared" si="34"/>
        <v>#N/A</v>
      </c>
      <c r="AE126" t="e">
        <f t="shared" si="35"/>
        <v>#N/A</v>
      </c>
    </row>
    <row r="127" spans="1:31" x14ac:dyDescent="0.35">
      <c r="A127">
        <v>1974</v>
      </c>
      <c r="B127">
        <v>12679.605</v>
      </c>
      <c r="C127">
        <v>17683.400000000001</v>
      </c>
      <c r="D127">
        <v>13320.019</v>
      </c>
      <c r="E127">
        <v>12938.991</v>
      </c>
      <c r="F127">
        <v>18098.866000000002</v>
      </c>
      <c r="G127">
        <v>12271.073</v>
      </c>
      <c r="N127">
        <f>IF(ISBLANK($B127),NA(),IFERROR(SUM($B127:$B$177),NA()))</f>
        <v>672963.41500000004</v>
      </c>
      <c r="O127">
        <f>IF(ISBLANK($C127),NA(),IFERROR(SUM($C127:$C$177),NA()))</f>
        <v>915814.97300000023</v>
      </c>
      <c r="P127">
        <f>IF(ISBLANK($D127),NA(),IFERROR(SUM($D127:$D$177),NA()))</f>
        <v>1242655.2230000005</v>
      </c>
      <c r="Q127">
        <f t="shared" si="27"/>
        <v>2158470.1960000005</v>
      </c>
      <c r="R127">
        <f t="shared" si="28"/>
        <v>31.177795099840232</v>
      </c>
      <c r="S127">
        <f t="shared" si="29"/>
        <v>42.428891290561047</v>
      </c>
      <c r="T127">
        <f>IF(ISBLANK($E127),NA(),IFERROR(SUM($E127:$E$177),NA()))</f>
        <v>634783.68299999996</v>
      </c>
      <c r="U127">
        <f>IF(ISBLANK($F127),NA(),IFERROR(SUM($F127:$F$177),NA()))</f>
        <v>816941.576</v>
      </c>
      <c r="V127">
        <f>IF(ISBLANK($G127),NA(),IFERROR(SUM($G127:$G$177),NA()))</f>
        <v>1051174.138</v>
      </c>
      <c r="W127">
        <f t="shared" si="30"/>
        <v>1868115.7140000002</v>
      </c>
      <c r="X127">
        <f t="shared" si="31"/>
        <v>33.979890980136574</v>
      </c>
      <c r="Y127">
        <f t="shared" si="32"/>
        <v>43.730780158728429</v>
      </c>
      <c r="Z127" t="e">
        <f>IF(ISBLANK($H127),NA(),IFERROR(SUM($H127:$H$177),NA()))</f>
        <v>#N/A</v>
      </c>
      <c r="AA127" t="e">
        <f>IF(ISBLANK($I127),NA(),IFERROR(SUM($I127:$I$177),NA()))</f>
        <v>#N/A</v>
      </c>
      <c r="AB127" t="e">
        <f>IF(ISBLANK($J127),NA(),IFERROR(SUM($J127:$J$177),NA()))</f>
        <v>#N/A</v>
      </c>
      <c r="AC127" t="str">
        <f t="shared" si="33"/>
        <v/>
      </c>
      <c r="AD127" t="e">
        <f t="shared" si="34"/>
        <v>#N/A</v>
      </c>
      <c r="AE127" t="e">
        <f t="shared" si="35"/>
        <v>#N/A</v>
      </c>
    </row>
    <row r="128" spans="1:31" x14ac:dyDescent="0.35">
      <c r="A128">
        <v>1975</v>
      </c>
      <c r="B128">
        <v>12335.092000000001</v>
      </c>
      <c r="C128">
        <v>17506.486000000001</v>
      </c>
      <c r="D128">
        <v>13482.918</v>
      </c>
      <c r="E128">
        <v>12536.319</v>
      </c>
      <c r="F128">
        <v>17877.756000000001</v>
      </c>
      <c r="G128">
        <v>12602.621999999999</v>
      </c>
      <c r="N128">
        <f>IF(ISBLANK($B128),NA(),IFERROR(SUM($B128:$B$177),NA()))</f>
        <v>660283.81000000006</v>
      </c>
      <c r="O128">
        <f>IF(ISBLANK($C128),NA(),IFERROR(SUM($C128:$C$177),NA()))</f>
        <v>898131.57300000009</v>
      </c>
      <c r="P128">
        <f>IF(ISBLANK($D128),NA(),IFERROR(SUM($D128:$D$177),NA()))</f>
        <v>1229335.2040000001</v>
      </c>
      <c r="Q128">
        <f t="shared" si="27"/>
        <v>2127466.7770000002</v>
      </c>
      <c r="R128">
        <f t="shared" si="28"/>
        <v>31.036151404962691</v>
      </c>
      <c r="S128">
        <f t="shared" si="29"/>
        <v>42.216009326664093</v>
      </c>
      <c r="T128">
        <f>IF(ISBLANK($E128),NA(),IFERROR(SUM($E128:$E$177),NA()))</f>
        <v>621844.69199999992</v>
      </c>
      <c r="U128">
        <f>IF(ISBLANK($F128),NA(),IFERROR(SUM($F128:$F$177),NA()))</f>
        <v>798842.71000000008</v>
      </c>
      <c r="V128">
        <f>IF(ISBLANK($G128),NA(),IFERROR(SUM($G128:$G$177),NA()))</f>
        <v>1038903.0650000001</v>
      </c>
      <c r="W128">
        <f t="shared" si="30"/>
        <v>1837745.7750000001</v>
      </c>
      <c r="X128">
        <f t="shared" si="31"/>
        <v>33.837362080182167</v>
      </c>
      <c r="Y128">
        <f t="shared" si="32"/>
        <v>43.46861904770261</v>
      </c>
      <c r="Z128" t="e">
        <f>IF(ISBLANK($H128),NA(),IFERROR(SUM($H128:$H$177),NA()))</f>
        <v>#N/A</v>
      </c>
      <c r="AA128" t="e">
        <f>IF(ISBLANK($I128),NA(),IFERROR(SUM($I128:$I$177),NA()))</f>
        <v>#N/A</v>
      </c>
      <c r="AB128" t="e">
        <f>IF(ISBLANK($J128),NA(),IFERROR(SUM($J128:$J$177),NA()))</f>
        <v>#N/A</v>
      </c>
      <c r="AC128" t="str">
        <f t="shared" si="33"/>
        <v/>
      </c>
      <c r="AD128" t="e">
        <f t="shared" si="34"/>
        <v>#N/A</v>
      </c>
      <c r="AE128" t="e">
        <f t="shared" si="35"/>
        <v>#N/A</v>
      </c>
    </row>
    <row r="129" spans="1:31" x14ac:dyDescent="0.35">
      <c r="A129">
        <v>1976</v>
      </c>
      <c r="B129">
        <v>12841.450999999999</v>
      </c>
      <c r="C129">
        <v>18224.866000000002</v>
      </c>
      <c r="D129">
        <v>13718.549000000001</v>
      </c>
      <c r="E129">
        <v>13149.370999999999</v>
      </c>
      <c r="F129">
        <v>18671.108</v>
      </c>
      <c r="G129">
        <v>13100.183000000001</v>
      </c>
      <c r="N129">
        <f>IF(ISBLANK($B129),NA(),IFERROR(SUM($B129:$B$177),NA()))</f>
        <v>647948.71800000011</v>
      </c>
      <c r="O129">
        <f>IF(ISBLANK($C129),NA(),IFERROR(SUM($C129:$C$177),NA()))</f>
        <v>880625.08700000006</v>
      </c>
      <c r="P129">
        <f>IF(ISBLANK($D129),NA(),IFERROR(SUM($D129:$D$177),NA()))</f>
        <v>1215852.2860000001</v>
      </c>
      <c r="Q129">
        <f t="shared" si="27"/>
        <v>2096477.3730000001</v>
      </c>
      <c r="R129">
        <f t="shared" si="28"/>
        <v>30.906544775763724</v>
      </c>
      <c r="S129">
        <f t="shared" si="29"/>
        <v>42.004988860902913</v>
      </c>
      <c r="T129">
        <f>IF(ISBLANK($E129),NA(),IFERROR(SUM($E129:$E$177),NA()))</f>
        <v>609308.37300000002</v>
      </c>
      <c r="U129">
        <f>IF(ISBLANK($F129),NA(),IFERROR(SUM($F129:$F$177),NA()))</f>
        <v>780964.95400000003</v>
      </c>
      <c r="V129">
        <f>IF(ISBLANK($G129),NA(),IFERROR(SUM($G129:$G$177),NA()))</f>
        <v>1026300.4430000001</v>
      </c>
      <c r="W129">
        <f t="shared" si="30"/>
        <v>1807265.3970000001</v>
      </c>
      <c r="X129">
        <f t="shared" si="31"/>
        <v>33.714382736007195</v>
      </c>
      <c r="Y129">
        <f t="shared" si="32"/>
        <v>43.21252181867564</v>
      </c>
      <c r="Z129" t="e">
        <f>IF(ISBLANK($H129),NA(),IFERROR(SUM($H129:$H$177),NA()))</f>
        <v>#N/A</v>
      </c>
      <c r="AA129" t="e">
        <f>IF(ISBLANK($I129),NA(),IFERROR(SUM($I129:$I$177),NA()))</f>
        <v>#N/A</v>
      </c>
      <c r="AB129" t="e">
        <f>IF(ISBLANK($J129),NA(),IFERROR(SUM($J129:$J$177),NA()))</f>
        <v>#N/A</v>
      </c>
      <c r="AC129" t="str">
        <f t="shared" si="33"/>
        <v/>
      </c>
      <c r="AD129" t="e">
        <f t="shared" si="34"/>
        <v>#N/A</v>
      </c>
      <c r="AE129" t="e">
        <f t="shared" si="35"/>
        <v>#N/A</v>
      </c>
    </row>
    <row r="130" spans="1:31" x14ac:dyDescent="0.35">
      <c r="A130">
        <v>1977</v>
      </c>
      <c r="B130">
        <v>13082.07</v>
      </c>
      <c r="C130">
        <v>18598.952000000001</v>
      </c>
      <c r="D130">
        <v>14527.929</v>
      </c>
      <c r="E130">
        <v>13227.078</v>
      </c>
      <c r="F130">
        <v>18870.391</v>
      </c>
      <c r="G130">
        <v>13486.758</v>
      </c>
      <c r="N130">
        <f>IF(ISBLANK($B130),NA(),IFERROR(SUM($B130:$B$177),NA()))</f>
        <v>635107.26699999999</v>
      </c>
      <c r="O130">
        <f>IF(ISBLANK($C130),NA(),IFERROR(SUM($C130:$C$177),NA()))</f>
        <v>862400.22100000014</v>
      </c>
      <c r="P130">
        <f>IF(ISBLANK($D130),NA(),IFERROR(SUM($D130:$D$177),NA()))</f>
        <v>1202133.7370000004</v>
      </c>
      <c r="Q130">
        <f t="shared" si="27"/>
        <v>2064533.9580000006</v>
      </c>
      <c r="R130">
        <f t="shared" si="28"/>
        <v>30.762742581151571</v>
      </c>
      <c r="S130">
        <f t="shared" si="29"/>
        <v>41.77214996431654</v>
      </c>
      <c r="T130">
        <f>IF(ISBLANK($E130),NA(),IFERROR(SUM($E130:$E$177),NA()))</f>
        <v>596159.00199999998</v>
      </c>
      <c r="U130">
        <f>IF(ISBLANK($F130),NA(),IFERROR(SUM($F130:$F$177),NA()))</f>
        <v>762293.84600000002</v>
      </c>
      <c r="V130">
        <f>IF(ISBLANK($G130),NA(),IFERROR(SUM($G130:$G$177),NA()))</f>
        <v>1013200.2600000001</v>
      </c>
      <c r="W130">
        <f t="shared" si="30"/>
        <v>1775494.1060000001</v>
      </c>
      <c r="X130">
        <f t="shared" si="31"/>
        <v>33.57707581148118</v>
      </c>
      <c r="Y130">
        <f t="shared" si="32"/>
        <v>42.934180599301861</v>
      </c>
      <c r="Z130" t="e">
        <f>IF(ISBLANK($H130),NA(),IFERROR(SUM($H130:$H$177),NA()))</f>
        <v>#N/A</v>
      </c>
      <c r="AA130" t="e">
        <f>IF(ISBLANK($I130),NA(),IFERROR(SUM($I130:$I$177),NA()))</f>
        <v>#N/A</v>
      </c>
      <c r="AB130" t="e">
        <f>IF(ISBLANK($J130),NA(),IFERROR(SUM($J130:$J$177),NA()))</f>
        <v>#N/A</v>
      </c>
      <c r="AC130" t="str">
        <f t="shared" si="33"/>
        <v/>
      </c>
      <c r="AD130" t="e">
        <f t="shared" si="34"/>
        <v>#N/A</v>
      </c>
      <c r="AE130" t="e">
        <f t="shared" si="35"/>
        <v>#N/A</v>
      </c>
    </row>
    <row r="131" spans="1:31" x14ac:dyDescent="0.35">
      <c r="A131">
        <v>1978</v>
      </c>
      <c r="B131">
        <v>13154.111000000001</v>
      </c>
      <c r="C131">
        <v>18845.444</v>
      </c>
      <c r="D131">
        <v>14955.882</v>
      </c>
      <c r="E131">
        <v>13486.94</v>
      </c>
      <c r="F131">
        <v>19276.017</v>
      </c>
      <c r="G131">
        <v>13860.380999999999</v>
      </c>
      <c r="N131">
        <f>IF(ISBLANK($B131),NA(),IFERROR(SUM($B131:$B$177),NA()))</f>
        <v>622025.19700000004</v>
      </c>
      <c r="O131">
        <f>IF(ISBLANK($C131),NA(),IFERROR(SUM($C131:$C$177),NA()))</f>
        <v>843801.26900000009</v>
      </c>
      <c r="P131">
        <f>IF(ISBLANK($D131),NA(),IFERROR(SUM($D131:$D$177),NA()))</f>
        <v>1187605.8080000004</v>
      </c>
      <c r="Q131">
        <f t="shared" ref="Q131:Q162" si="36">IFERROR(O131+P131,"")</f>
        <v>2031407.0770000005</v>
      </c>
      <c r="R131">
        <f t="shared" ref="R131:R162" si="37">IFERROR(N131/Q131*100,NA())</f>
        <v>30.620411046249391</v>
      </c>
      <c r="S131">
        <f t="shared" ref="S131:S162" si="38">IFERROR(O131/Q131*100,NA())</f>
        <v>41.537773425803607</v>
      </c>
      <c r="T131">
        <f>IF(ISBLANK($E131),NA(),IFERROR(SUM($E131:$E$177),NA()))</f>
        <v>582931.924</v>
      </c>
      <c r="U131">
        <f>IF(ISBLANK($F131),NA(),IFERROR(SUM($F131:$F$177),NA()))</f>
        <v>743423.45499999996</v>
      </c>
      <c r="V131">
        <f>IF(ISBLANK($G131),NA(),IFERROR(SUM($G131:$G$177),NA()))</f>
        <v>999713.50200000009</v>
      </c>
      <c r="W131">
        <f t="shared" ref="W131:W162" si="39">IFERROR(U131+V131,"")</f>
        <v>1743136.9569999999</v>
      </c>
      <c r="X131">
        <f t="shared" ref="X131:X162" si="40">IFERROR(T131/W131*100,NA())</f>
        <v>33.441544662287832</v>
      </c>
      <c r="Y131">
        <f t="shared" ref="Y131:Y162" si="41">IFERROR(U131/W131*100,NA())</f>
        <v>42.648596945558303</v>
      </c>
      <c r="Z131" t="e">
        <f>IF(ISBLANK($H131),NA(),IFERROR(SUM($H131:$H$177),NA()))</f>
        <v>#N/A</v>
      </c>
      <c r="AA131" t="e">
        <f>IF(ISBLANK($I131),NA(),IFERROR(SUM($I131:$I$177),NA()))</f>
        <v>#N/A</v>
      </c>
      <c r="AB131" t="e">
        <f>IF(ISBLANK($J131),NA(),IFERROR(SUM($J131:$J$177),NA()))</f>
        <v>#N/A</v>
      </c>
      <c r="AC131" t="str">
        <f t="shared" ref="AC131:AC162" si="42">IFERROR(AA131+AB131,"")</f>
        <v/>
      </c>
      <c r="AD131" t="e">
        <f t="shared" ref="AD131:AD162" si="43">IFERROR(Z131/AC131*100,NA())</f>
        <v>#N/A</v>
      </c>
      <c r="AE131" t="e">
        <f t="shared" ref="AE131:AE162" si="44">IFERROR(AA131/AC131*100,NA())</f>
        <v>#N/A</v>
      </c>
    </row>
    <row r="132" spans="1:31" x14ac:dyDescent="0.35">
      <c r="A132">
        <v>1979</v>
      </c>
      <c r="B132">
        <v>13438.103999999999</v>
      </c>
      <c r="C132">
        <v>19117.071</v>
      </c>
      <c r="D132">
        <v>14682.716</v>
      </c>
      <c r="E132">
        <v>13795.673000000001</v>
      </c>
      <c r="F132">
        <v>19613.164000000001</v>
      </c>
      <c r="G132">
        <v>14149.728999999999</v>
      </c>
      <c r="N132">
        <f>IF(ISBLANK($B132),NA(),IFERROR(SUM($B132:$B$177),NA()))</f>
        <v>608871.08600000001</v>
      </c>
      <c r="O132">
        <f>IF(ISBLANK($C132),NA(),IFERROR(SUM($C132:$C$177),NA()))</f>
        <v>824955.82500000019</v>
      </c>
      <c r="P132">
        <f>IF(ISBLANK($D132),NA(),IFERROR(SUM($D132:$D$177),NA()))</f>
        <v>1172649.9260000002</v>
      </c>
      <c r="Q132">
        <f t="shared" si="36"/>
        <v>1997605.7510000004</v>
      </c>
      <c r="R132">
        <f t="shared" si="37"/>
        <v>30.480042705884252</v>
      </c>
      <c r="S132">
        <f t="shared" si="38"/>
        <v>41.297229174827301</v>
      </c>
      <c r="T132">
        <f>IF(ISBLANK($E132),NA(),IFERROR(SUM($E132:$E$177),NA()))</f>
        <v>569444.98399999994</v>
      </c>
      <c r="U132">
        <f>IF(ISBLANK($F132),NA(),IFERROR(SUM($F132:$F$177),NA()))</f>
        <v>724147.43800000008</v>
      </c>
      <c r="V132">
        <f>IF(ISBLANK($G132),NA(),IFERROR(SUM($G132:$G$177),NA()))</f>
        <v>985853.12100000004</v>
      </c>
      <c r="W132">
        <f t="shared" si="39"/>
        <v>1710000.5590000001</v>
      </c>
      <c r="X132">
        <f t="shared" si="40"/>
        <v>33.30086537123757</v>
      </c>
      <c r="Y132">
        <f t="shared" si="41"/>
        <v>42.347789548295701</v>
      </c>
      <c r="Z132" t="e">
        <f>IF(ISBLANK($H132),NA(),IFERROR(SUM($H132:$H$177),NA()))</f>
        <v>#N/A</v>
      </c>
      <c r="AA132" t="e">
        <f>IF(ISBLANK($I132),NA(),IFERROR(SUM($I132:$I$177),NA()))</f>
        <v>#N/A</v>
      </c>
      <c r="AB132" t="e">
        <f>IF(ISBLANK($J132),NA(),IFERROR(SUM($J132:$J$177),NA()))</f>
        <v>#N/A</v>
      </c>
      <c r="AC132" t="str">
        <f t="shared" si="42"/>
        <v/>
      </c>
      <c r="AD132" t="e">
        <f t="shared" si="43"/>
        <v>#N/A</v>
      </c>
      <c r="AE132" t="e">
        <f t="shared" si="44"/>
        <v>#N/A</v>
      </c>
    </row>
    <row r="133" spans="1:31" x14ac:dyDescent="0.35">
      <c r="A133">
        <v>1980</v>
      </c>
      <c r="B133">
        <v>13179.019</v>
      </c>
      <c r="C133">
        <v>19122.404999999999</v>
      </c>
      <c r="D133">
        <v>14713.674999999999</v>
      </c>
      <c r="E133">
        <v>13409.076999999999</v>
      </c>
      <c r="F133">
        <v>19350.901000000002</v>
      </c>
      <c r="G133">
        <v>14089.218999999999</v>
      </c>
      <c r="N133">
        <f>IF(ISBLANK($B133),NA(),IFERROR(SUM($B133:$B$177),NA()))</f>
        <v>595432.98199999996</v>
      </c>
      <c r="O133">
        <f>IF(ISBLANK($C133),NA(),IFERROR(SUM($C133:$C$177),NA()))</f>
        <v>805838.75400000019</v>
      </c>
      <c r="P133">
        <f>IF(ISBLANK($D133),NA(),IFERROR(SUM($D133:$D$177),NA()))</f>
        <v>1157967.2100000002</v>
      </c>
      <c r="Q133">
        <f t="shared" si="36"/>
        <v>1963805.9640000004</v>
      </c>
      <c r="R133">
        <f t="shared" si="37"/>
        <v>30.320357149093567</v>
      </c>
      <c r="S133">
        <f t="shared" si="38"/>
        <v>41.034540518382904</v>
      </c>
      <c r="T133">
        <f>IF(ISBLANK($E133),NA(),IFERROR(SUM($E133:$E$177),NA()))</f>
        <v>555649.31099999987</v>
      </c>
      <c r="U133">
        <f>IF(ISBLANK($F133),NA(),IFERROR(SUM($F133:$F$177),NA()))</f>
        <v>704534.27400000009</v>
      </c>
      <c r="V133">
        <f>IF(ISBLANK($G133),NA(),IFERROR(SUM($G133:$G$177),NA()))</f>
        <v>971703.39200000011</v>
      </c>
      <c r="W133">
        <f t="shared" si="39"/>
        <v>1676237.6660000002</v>
      </c>
      <c r="X133">
        <f t="shared" si="40"/>
        <v>33.148599525623581</v>
      </c>
      <c r="Y133">
        <f t="shared" si="41"/>
        <v>42.030691010614717</v>
      </c>
      <c r="Z133" t="e">
        <f>IF(ISBLANK($H133),NA(),IFERROR(SUM($H133:$H$177),NA()))</f>
        <v>#N/A</v>
      </c>
      <c r="AA133" t="e">
        <f>IF(ISBLANK($I133),NA(),IFERROR(SUM($I133:$I$177),NA()))</f>
        <v>#N/A</v>
      </c>
      <c r="AB133" t="e">
        <f>IF(ISBLANK($J133),NA(),IFERROR(SUM($J133:$J$177),NA()))</f>
        <v>#N/A</v>
      </c>
      <c r="AC133" t="str">
        <f t="shared" si="42"/>
        <v/>
      </c>
      <c r="AD133" t="e">
        <f t="shared" si="43"/>
        <v>#N/A</v>
      </c>
      <c r="AE133" t="e">
        <f t="shared" si="44"/>
        <v>#N/A</v>
      </c>
    </row>
    <row r="134" spans="1:31" x14ac:dyDescent="0.35">
      <c r="A134">
        <v>1981</v>
      </c>
      <c r="B134">
        <v>12710.737999999999</v>
      </c>
      <c r="C134">
        <v>18391.236000000001</v>
      </c>
      <c r="D134">
        <v>14560.887000000001</v>
      </c>
      <c r="E134">
        <v>13018.56</v>
      </c>
      <c r="F134">
        <v>18823.841</v>
      </c>
      <c r="G134">
        <v>14120.948</v>
      </c>
      <c r="N134">
        <f>IF(ISBLANK($B134),NA(),IFERROR(SUM($B134:$B$177),NA()))</f>
        <v>582253.96299999999</v>
      </c>
      <c r="O134">
        <f>IF(ISBLANK($C134),NA(),IFERROR(SUM($C134:$C$177),NA()))</f>
        <v>786716.34900000016</v>
      </c>
      <c r="P134">
        <f>IF(ISBLANK($D134),NA(),IFERROR(SUM($D134:$D$177),NA()))</f>
        <v>1143253.5350000004</v>
      </c>
      <c r="Q134">
        <f t="shared" si="36"/>
        <v>1929969.8840000005</v>
      </c>
      <c r="R134">
        <f t="shared" si="37"/>
        <v>30.169069881714272</v>
      </c>
      <c r="S134">
        <f t="shared" si="38"/>
        <v>40.76314120350284</v>
      </c>
      <c r="T134">
        <f>IF(ISBLANK($E134),NA(),IFERROR(SUM($E134:$E$177),NA()))</f>
        <v>542240.23399999994</v>
      </c>
      <c r="U134">
        <f>IF(ISBLANK($F134),NA(),IFERROR(SUM($F134:$F$177),NA()))</f>
        <v>685183.37300000002</v>
      </c>
      <c r="V134">
        <f>IF(ISBLANK($G134),NA(),IFERROR(SUM($G134:$G$177),NA()))</f>
        <v>957614.17300000018</v>
      </c>
      <c r="W134">
        <f t="shared" si="39"/>
        <v>1642797.5460000001</v>
      </c>
      <c r="X134">
        <f t="shared" si="40"/>
        <v>33.007124664891599</v>
      </c>
      <c r="Y134">
        <f t="shared" si="41"/>
        <v>41.708327034474394</v>
      </c>
      <c r="Z134" t="e">
        <f>IF(ISBLANK($H134),NA(),IFERROR(SUM($H134:$H$177),NA()))</f>
        <v>#N/A</v>
      </c>
      <c r="AA134" t="e">
        <f>IF(ISBLANK($I134),NA(),IFERROR(SUM($I134:$I$177),NA()))</f>
        <v>#N/A</v>
      </c>
      <c r="AB134" t="e">
        <f>IF(ISBLANK($J134),NA(),IFERROR(SUM($J134:$J$177),NA()))</f>
        <v>#N/A</v>
      </c>
      <c r="AC134" t="str">
        <f t="shared" si="42"/>
        <v/>
      </c>
      <c r="AD134" t="e">
        <f t="shared" si="43"/>
        <v>#N/A</v>
      </c>
      <c r="AE134" t="e">
        <f t="shared" si="44"/>
        <v>#N/A</v>
      </c>
    </row>
    <row r="135" spans="1:31" x14ac:dyDescent="0.35">
      <c r="A135">
        <v>1982</v>
      </c>
      <c r="B135">
        <v>12246.287</v>
      </c>
      <c r="C135">
        <v>18048.564999999999</v>
      </c>
      <c r="D135">
        <v>14620.4</v>
      </c>
      <c r="E135">
        <v>12535.825999999999</v>
      </c>
      <c r="F135">
        <v>18425.731</v>
      </c>
      <c r="G135">
        <v>15106.401</v>
      </c>
      <c r="N135">
        <f>IF(ISBLANK($B135),NA(),IFERROR(SUM($B135:$B$177),NA()))</f>
        <v>569543.22500000009</v>
      </c>
      <c r="O135">
        <f>IF(ISBLANK($C135),NA(),IFERROR(SUM($C135:$C$177),NA()))</f>
        <v>768325.11300000013</v>
      </c>
      <c r="P135">
        <f>IF(ISBLANK($D135),NA(),IFERROR(SUM($D135:$D$177),NA()))</f>
        <v>1128692.6480000003</v>
      </c>
      <c r="Q135">
        <f t="shared" si="36"/>
        <v>1897017.7610000004</v>
      </c>
      <c r="R135">
        <f t="shared" si="37"/>
        <v>30.02308342647088</v>
      </c>
      <c r="S135">
        <f t="shared" si="38"/>
        <v>40.50173534458542</v>
      </c>
      <c r="T135">
        <f>IF(ISBLANK($E135),NA(),IFERROR(SUM($E135:$E$177),NA()))</f>
        <v>529221.674</v>
      </c>
      <c r="U135">
        <f>IF(ISBLANK($F135),NA(),IFERROR(SUM($F135:$F$177),NA()))</f>
        <v>666359.53200000012</v>
      </c>
      <c r="V135">
        <f>IF(ISBLANK($G135),NA(),IFERROR(SUM($G135:$G$177),NA()))</f>
        <v>943493.22500000009</v>
      </c>
      <c r="W135">
        <f t="shared" si="39"/>
        <v>1609852.7570000002</v>
      </c>
      <c r="X135">
        <f t="shared" si="40"/>
        <v>32.873917921923336</v>
      </c>
      <c r="Y135">
        <f t="shared" si="41"/>
        <v>41.392576377095338</v>
      </c>
      <c r="Z135" t="e">
        <f>IF(ISBLANK($H135),NA(),IFERROR(SUM($H135:$H$177),NA()))</f>
        <v>#N/A</v>
      </c>
      <c r="AA135" t="e">
        <f>IF(ISBLANK($I135),NA(),IFERROR(SUM($I135:$I$177),NA()))</f>
        <v>#N/A</v>
      </c>
      <c r="AB135" t="e">
        <f>IF(ISBLANK($J135),NA(),IFERROR(SUM($J135:$J$177),NA()))</f>
        <v>#N/A</v>
      </c>
      <c r="AC135" t="str">
        <f t="shared" si="42"/>
        <v/>
      </c>
      <c r="AD135" t="e">
        <f t="shared" si="43"/>
        <v>#N/A</v>
      </c>
      <c r="AE135" t="e">
        <f t="shared" si="44"/>
        <v>#N/A</v>
      </c>
    </row>
    <row r="136" spans="1:31" x14ac:dyDescent="0.35">
      <c r="A136">
        <v>1983</v>
      </c>
      <c r="B136">
        <v>12218.709000000001</v>
      </c>
      <c r="C136">
        <v>18083.766</v>
      </c>
      <c r="D136">
        <v>15125.017</v>
      </c>
      <c r="E136">
        <v>12464.137000000001</v>
      </c>
      <c r="F136">
        <v>18413.732</v>
      </c>
      <c r="G136">
        <v>15560.825999999999</v>
      </c>
      <c r="N136">
        <f>IF(ISBLANK($B136),NA(),IFERROR(SUM($B136:$B$177),NA()))</f>
        <v>557296.93800000008</v>
      </c>
      <c r="O136">
        <f>IF(ISBLANK($C136),NA(),IFERROR(SUM($C136:$C$177),NA()))</f>
        <v>750276.54800000018</v>
      </c>
      <c r="P136">
        <f>IF(ISBLANK($D136),NA(),IFERROR(SUM($D136:$D$177),NA()))</f>
        <v>1114072.2480000004</v>
      </c>
      <c r="Q136">
        <f t="shared" si="36"/>
        <v>1864348.7960000006</v>
      </c>
      <c r="R136">
        <f t="shared" si="37"/>
        <v>29.892310880651323</v>
      </c>
      <c r="S136">
        <f t="shared" si="38"/>
        <v>40.243357337947401</v>
      </c>
      <c r="T136">
        <f>IF(ISBLANK($E136),NA(),IFERROR(SUM($E136:$E$177),NA()))</f>
        <v>516685.84799999994</v>
      </c>
      <c r="U136">
        <f>IF(ISBLANK($F136),NA(),IFERROR(SUM($F136:$F$177),NA()))</f>
        <v>647933.80100000021</v>
      </c>
      <c r="V136">
        <f>IF(ISBLANK($G136),NA(),IFERROR(SUM($G136:$G$177),NA()))</f>
        <v>928386.82400000014</v>
      </c>
      <c r="W136">
        <f t="shared" si="39"/>
        <v>1576320.6250000005</v>
      </c>
      <c r="X136">
        <f t="shared" si="40"/>
        <v>32.777966601813624</v>
      </c>
      <c r="Y136">
        <f t="shared" si="41"/>
        <v>41.104188495915928</v>
      </c>
      <c r="Z136" t="e">
        <f>IF(ISBLANK($H136),NA(),IFERROR(SUM($H136:$H$177),NA()))</f>
        <v>#N/A</v>
      </c>
      <c r="AA136" t="e">
        <f>IF(ISBLANK($I136),NA(),IFERROR(SUM($I136:$I$177),NA()))</f>
        <v>#N/A</v>
      </c>
      <c r="AB136" t="e">
        <f>IF(ISBLANK($J136),NA(),IFERROR(SUM($J136:$J$177),NA()))</f>
        <v>#N/A</v>
      </c>
      <c r="AC136" t="str">
        <f t="shared" si="42"/>
        <v/>
      </c>
      <c r="AD136" t="e">
        <f t="shared" si="43"/>
        <v>#N/A</v>
      </c>
      <c r="AE136" t="e">
        <f t="shared" si="44"/>
        <v>#N/A</v>
      </c>
    </row>
    <row r="137" spans="1:31" x14ac:dyDescent="0.35">
      <c r="A137">
        <v>1984</v>
      </c>
      <c r="B137">
        <v>12426.436</v>
      </c>
      <c r="C137">
        <v>18365.352999999999</v>
      </c>
      <c r="D137">
        <v>16070.306</v>
      </c>
      <c r="E137">
        <v>12718.941999999999</v>
      </c>
      <c r="F137">
        <v>18735.654999999999</v>
      </c>
      <c r="G137">
        <v>16137.922</v>
      </c>
      <c r="N137">
        <f>IF(ISBLANK($B137),NA(),IFERROR(SUM($B137:$B$177),NA()))</f>
        <v>545078.22899999993</v>
      </c>
      <c r="O137">
        <f>IF(ISBLANK($C137),NA(),IFERROR(SUM($C137:$C$177),NA()))</f>
        <v>732192.78200000012</v>
      </c>
      <c r="P137">
        <f>IF(ISBLANK($D137),NA(),IFERROR(SUM($D137:$D$177),NA()))</f>
        <v>1098947.2310000004</v>
      </c>
      <c r="Q137">
        <f t="shared" si="36"/>
        <v>1831140.0130000005</v>
      </c>
      <c r="R137">
        <f t="shared" si="37"/>
        <v>29.76715189064026</v>
      </c>
      <c r="S137">
        <f t="shared" si="38"/>
        <v>39.9856251734913</v>
      </c>
      <c r="T137">
        <f>IF(ISBLANK($E137),NA(),IFERROR(SUM($E137:$E$177),NA()))</f>
        <v>504221.71099999995</v>
      </c>
      <c r="U137">
        <f>IF(ISBLANK($F137),NA(),IFERROR(SUM($F137:$F$177),NA()))</f>
        <v>629520.06900000002</v>
      </c>
      <c r="V137">
        <f>IF(ISBLANK($G137),NA(),IFERROR(SUM($G137:$G$177),NA()))</f>
        <v>912825.99800000002</v>
      </c>
      <c r="W137">
        <f t="shared" si="39"/>
        <v>1542346.067</v>
      </c>
      <c r="X137">
        <f t="shared" si="40"/>
        <v>32.691866098556979</v>
      </c>
      <c r="Y137">
        <f t="shared" si="41"/>
        <v>40.815747027803717</v>
      </c>
      <c r="Z137" t="e">
        <f>IF(ISBLANK($H137),NA(),IFERROR(SUM($H137:$H$177),NA()))</f>
        <v>#N/A</v>
      </c>
      <c r="AA137" t="e">
        <f>IF(ISBLANK($I137),NA(),IFERROR(SUM($I137:$I$177),NA()))</f>
        <v>#N/A</v>
      </c>
      <c r="AB137" t="e">
        <f>IF(ISBLANK($J137),NA(),IFERROR(SUM($J137:$J$177),NA()))</f>
        <v>#N/A</v>
      </c>
      <c r="AC137" t="str">
        <f t="shared" si="42"/>
        <v/>
      </c>
      <c r="AD137" t="e">
        <f t="shared" si="43"/>
        <v>#N/A</v>
      </c>
      <c r="AE137" t="e">
        <f t="shared" si="44"/>
        <v>#N/A</v>
      </c>
    </row>
    <row r="138" spans="1:31" x14ac:dyDescent="0.35">
      <c r="A138">
        <v>1985</v>
      </c>
      <c r="B138">
        <v>12472.437</v>
      </c>
      <c r="C138">
        <v>18705.612000000001</v>
      </c>
      <c r="D138">
        <v>16859.393</v>
      </c>
      <c r="E138">
        <v>12763.718999999999</v>
      </c>
      <c r="F138">
        <v>19030.951000000001</v>
      </c>
      <c r="G138">
        <v>16633.281999999999</v>
      </c>
      <c r="N138">
        <f>IF(ISBLANK($B138),NA(),IFERROR(SUM($B138:$B$177),NA()))</f>
        <v>532651.79299999995</v>
      </c>
      <c r="O138">
        <f>IF(ISBLANK($C138),NA(),IFERROR(SUM($C138:$C$177),NA()))</f>
        <v>713827.42900000024</v>
      </c>
      <c r="P138">
        <f>IF(ISBLANK($D138),NA(),IFERROR(SUM($D138:$D$177),NA()))</f>
        <v>1082876.9250000003</v>
      </c>
      <c r="Q138">
        <f t="shared" si="36"/>
        <v>1796704.3540000005</v>
      </c>
      <c r="R138">
        <f t="shared" si="37"/>
        <v>29.646045650980806</v>
      </c>
      <c r="S138">
        <f t="shared" si="38"/>
        <v>39.729821292568651</v>
      </c>
      <c r="T138">
        <f>IF(ISBLANK($E138),NA(),IFERROR(SUM($E138:$E$177),NA()))</f>
        <v>491502.76899999997</v>
      </c>
      <c r="U138">
        <f>IF(ISBLANK($F138),NA(),IFERROR(SUM($F138:$F$177),NA()))</f>
        <v>610784.41399999999</v>
      </c>
      <c r="V138">
        <f>IF(ISBLANK($G138),NA(),IFERROR(SUM($G138:$G$177),NA()))</f>
        <v>896688.07600000012</v>
      </c>
      <c r="W138">
        <f t="shared" si="39"/>
        <v>1507472.4900000002</v>
      </c>
      <c r="X138">
        <f t="shared" si="40"/>
        <v>32.604427096377719</v>
      </c>
      <c r="Y138">
        <f t="shared" si="41"/>
        <v>40.517118425159445</v>
      </c>
      <c r="Z138" t="e">
        <f>IF(ISBLANK($H138),NA(),IFERROR(SUM($H138:$H$177),NA()))</f>
        <v>#N/A</v>
      </c>
      <c r="AA138" t="e">
        <f>IF(ISBLANK($I138),NA(),IFERROR(SUM($I138:$I$177),NA()))</f>
        <v>#N/A</v>
      </c>
      <c r="AB138" t="e">
        <f>IF(ISBLANK($J138),NA(),IFERROR(SUM($J138:$J$177),NA()))</f>
        <v>#N/A</v>
      </c>
      <c r="AC138" t="str">
        <f t="shared" si="42"/>
        <v/>
      </c>
      <c r="AD138" t="e">
        <f t="shared" si="43"/>
        <v>#N/A</v>
      </c>
      <c r="AE138" t="e">
        <f t="shared" si="44"/>
        <v>#N/A</v>
      </c>
    </row>
    <row r="139" spans="1:31" x14ac:dyDescent="0.35">
      <c r="A139">
        <v>1986</v>
      </c>
      <c r="B139">
        <v>12350.242</v>
      </c>
      <c r="C139">
        <v>18611.277999999998</v>
      </c>
      <c r="D139">
        <v>17480.02</v>
      </c>
      <c r="E139">
        <v>12720.044</v>
      </c>
      <c r="F139">
        <v>19058.894</v>
      </c>
      <c r="G139">
        <v>17041.917000000001</v>
      </c>
      <c r="N139">
        <f>IF(ISBLANK($B139),NA(),IFERROR(SUM($B139:$B$177),NA()))</f>
        <v>520179.35599999997</v>
      </c>
      <c r="O139">
        <f>IF(ISBLANK($C139),NA(),IFERROR(SUM($C139:$C$177),NA()))</f>
        <v>695121.81700000004</v>
      </c>
      <c r="P139">
        <f>IF(ISBLANK($D139),NA(),IFERROR(SUM($D139:$D$177),NA()))</f>
        <v>1066017.5320000001</v>
      </c>
      <c r="Q139">
        <f t="shared" si="36"/>
        <v>1761139.3490000002</v>
      </c>
      <c r="R139">
        <f t="shared" si="37"/>
        <v>29.536524539944281</v>
      </c>
      <c r="S139">
        <f t="shared" si="38"/>
        <v>39.470006583789072</v>
      </c>
      <c r="T139">
        <f>IF(ISBLANK($E139),NA(),IFERROR(SUM($E139:$E$177),NA()))</f>
        <v>478739.05</v>
      </c>
      <c r="U139">
        <f>IF(ISBLANK($F139),NA(),IFERROR(SUM($F139:$F$177),NA()))</f>
        <v>591753.46299999999</v>
      </c>
      <c r="V139">
        <f>IF(ISBLANK($G139),NA(),IFERROR(SUM($G139:$G$177),NA()))</f>
        <v>880054.79400000011</v>
      </c>
      <c r="W139">
        <f t="shared" si="39"/>
        <v>1471808.2570000002</v>
      </c>
      <c r="X139">
        <f t="shared" si="40"/>
        <v>32.527270296459541</v>
      </c>
      <c r="Y139">
        <f t="shared" si="41"/>
        <v>40.205880092436516</v>
      </c>
      <c r="Z139" t="e">
        <f>IF(ISBLANK($H139),NA(),IFERROR(SUM($H139:$H$177),NA()))</f>
        <v>#N/A</v>
      </c>
      <c r="AA139" t="e">
        <f>IF(ISBLANK($I139),NA(),IFERROR(SUM($I139:$I$177),NA()))</f>
        <v>#N/A</v>
      </c>
      <c r="AB139" t="e">
        <f>IF(ISBLANK($J139),NA(),IFERROR(SUM($J139:$J$177),NA()))</f>
        <v>#N/A</v>
      </c>
      <c r="AC139" t="str">
        <f t="shared" si="42"/>
        <v/>
      </c>
      <c r="AD139" t="e">
        <f t="shared" si="43"/>
        <v>#N/A</v>
      </c>
      <c r="AE139" t="e">
        <f t="shared" si="44"/>
        <v>#N/A</v>
      </c>
    </row>
    <row r="140" spans="1:31" x14ac:dyDescent="0.35">
      <c r="A140">
        <v>1987</v>
      </c>
      <c r="B140">
        <v>12542.266</v>
      </c>
      <c r="C140">
        <v>18798.812000000002</v>
      </c>
      <c r="D140">
        <v>17489.823</v>
      </c>
      <c r="E140">
        <v>12955.128000000001</v>
      </c>
      <c r="F140">
        <v>19330.481</v>
      </c>
      <c r="G140">
        <v>17495.941999999999</v>
      </c>
      <c r="N140">
        <f>IF(ISBLANK($B140),NA(),IFERROR(SUM($B140:$B$177),NA()))</f>
        <v>507829.11399999988</v>
      </c>
      <c r="O140">
        <f>IF(ISBLANK($C140),NA(),IFERROR(SUM($C140:$C$177),NA()))</f>
        <v>676510.53900000011</v>
      </c>
      <c r="P140">
        <f>IF(ISBLANK($D140),NA(),IFERROR(SUM($D140:$D$177),NA()))</f>
        <v>1048537.5120000002</v>
      </c>
      <c r="Q140">
        <f t="shared" si="36"/>
        <v>1725048.0510000004</v>
      </c>
      <c r="R140">
        <f t="shared" si="37"/>
        <v>29.43854889755762</v>
      </c>
      <c r="S140">
        <f t="shared" si="38"/>
        <v>39.216909848269495</v>
      </c>
      <c r="T140">
        <f>IF(ISBLANK($E140),NA(),IFERROR(SUM($E140:$E$177),NA()))</f>
        <v>466019.00599999999</v>
      </c>
      <c r="U140">
        <f>IF(ISBLANK($F140),NA(),IFERROR(SUM($F140:$F$177),NA()))</f>
        <v>572694.56900000013</v>
      </c>
      <c r="V140">
        <f>IF(ISBLANK($G140),NA(),IFERROR(SUM($G140:$G$177),NA()))</f>
        <v>863012.87700000021</v>
      </c>
      <c r="W140">
        <f t="shared" si="39"/>
        <v>1435707.4460000005</v>
      </c>
      <c r="X140">
        <f t="shared" si="40"/>
        <v>32.459189878715712</v>
      </c>
      <c r="Y140">
        <f t="shared" si="41"/>
        <v>39.889363992335241</v>
      </c>
      <c r="Z140" t="e">
        <f>IF(ISBLANK($H140),NA(),IFERROR(SUM($H140:$H$177),NA()))</f>
        <v>#N/A</v>
      </c>
      <c r="AA140" t="e">
        <f>IF(ISBLANK($I140),NA(),IFERROR(SUM($I140:$I$177),NA()))</f>
        <v>#N/A</v>
      </c>
      <c r="AB140" t="e">
        <f>IF(ISBLANK($J140),NA(),IFERROR(SUM($J140:$J$177),NA()))</f>
        <v>#N/A</v>
      </c>
      <c r="AC140" t="str">
        <f t="shared" si="42"/>
        <v/>
      </c>
      <c r="AD140" t="e">
        <f t="shared" si="43"/>
        <v>#N/A</v>
      </c>
      <c r="AE140" t="e">
        <f t="shared" si="44"/>
        <v>#N/A</v>
      </c>
    </row>
    <row r="141" spans="1:31" x14ac:dyDescent="0.35">
      <c r="A141">
        <v>1988</v>
      </c>
      <c r="B141">
        <v>12852.85</v>
      </c>
      <c r="C141">
        <v>19131.101999999999</v>
      </c>
      <c r="D141">
        <v>17717.401000000002</v>
      </c>
      <c r="E141">
        <v>13317.812</v>
      </c>
      <c r="F141">
        <v>19696.288</v>
      </c>
      <c r="G141">
        <v>18079.927</v>
      </c>
      <c r="N141">
        <f>IF(ISBLANK($B141),NA(),IFERROR(SUM($B141:$B$177),NA()))</f>
        <v>495286.84799999994</v>
      </c>
      <c r="O141">
        <f>IF(ISBLANK($C141),NA(),IFERROR(SUM($C141:$C$177),NA()))</f>
        <v>657711.72699999996</v>
      </c>
      <c r="P141">
        <f>IF(ISBLANK($D141),NA(),IFERROR(SUM($D141:$D$177),NA()))</f>
        <v>1031047.6890000001</v>
      </c>
      <c r="Q141">
        <f t="shared" si="36"/>
        <v>1688759.4160000002</v>
      </c>
      <c r="R141">
        <f t="shared" si="37"/>
        <v>29.328443312140788</v>
      </c>
      <c r="S141">
        <f t="shared" si="38"/>
        <v>38.946443215568124</v>
      </c>
      <c r="T141">
        <f>IF(ISBLANK($E141),NA(),IFERROR(SUM($E141:$E$177),NA()))</f>
        <v>453063.87800000003</v>
      </c>
      <c r="U141">
        <f>IF(ISBLANK($F141),NA(),IFERROR(SUM($F141:$F$177),NA()))</f>
        <v>553364.08800000011</v>
      </c>
      <c r="V141">
        <f>IF(ISBLANK($G141),NA(),IFERROR(SUM($G141:$G$177),NA()))</f>
        <v>845516.93500000017</v>
      </c>
      <c r="W141">
        <f t="shared" si="39"/>
        <v>1398881.0230000003</v>
      </c>
      <c r="X141">
        <f t="shared" si="40"/>
        <v>32.387591978935575</v>
      </c>
      <c r="Y141">
        <f t="shared" si="41"/>
        <v>39.557623479177039</v>
      </c>
      <c r="Z141" t="e">
        <f>IF(ISBLANK($H141),NA(),IFERROR(SUM($H141:$H$177),NA()))</f>
        <v>#N/A</v>
      </c>
      <c r="AA141" t="e">
        <f>IF(ISBLANK($I141),NA(),IFERROR(SUM($I141:$I$177),NA()))</f>
        <v>#N/A</v>
      </c>
      <c r="AB141" t="e">
        <f>IF(ISBLANK($J141),NA(),IFERROR(SUM($J141:$J$177),NA()))</f>
        <v>#N/A</v>
      </c>
      <c r="AC141" t="str">
        <f t="shared" si="42"/>
        <v/>
      </c>
      <c r="AD141" t="e">
        <f t="shared" si="43"/>
        <v>#N/A</v>
      </c>
      <c r="AE141" t="e">
        <f t="shared" si="44"/>
        <v>#N/A</v>
      </c>
    </row>
    <row r="142" spans="1:31" x14ac:dyDescent="0.35">
      <c r="A142">
        <v>1989</v>
      </c>
      <c r="B142">
        <v>13065.592000000001</v>
      </c>
      <c r="C142">
        <v>19183.045999999998</v>
      </c>
      <c r="D142">
        <v>17926.701000000001</v>
      </c>
      <c r="E142">
        <v>13533.434999999999</v>
      </c>
      <c r="F142">
        <v>19784.856</v>
      </c>
      <c r="G142">
        <v>18507.54</v>
      </c>
      <c r="N142">
        <f>IF(ISBLANK($B142),NA(),IFERROR(SUM($B142:$B$177),NA()))</f>
        <v>482433.99799999996</v>
      </c>
      <c r="O142">
        <f>IF(ISBLANK($C142),NA(),IFERROR(SUM($C142:$C$177),NA()))</f>
        <v>638580.625</v>
      </c>
      <c r="P142">
        <f>IF(ISBLANK($D142),NA(),IFERROR(SUM($D142:$D$177),NA()))</f>
        <v>1013330.2880000003</v>
      </c>
      <c r="Q142">
        <f t="shared" si="36"/>
        <v>1651910.9130000002</v>
      </c>
      <c r="R142">
        <f t="shared" si="37"/>
        <v>29.204601422716063</v>
      </c>
      <c r="S142">
        <f t="shared" si="38"/>
        <v>38.657086164549114</v>
      </c>
      <c r="T142">
        <f>IF(ISBLANK($E142),NA(),IFERROR(SUM($E142:$E$177),NA()))</f>
        <v>439746.06600000011</v>
      </c>
      <c r="U142">
        <f>IF(ISBLANK($F142),NA(),IFERROR(SUM($F142:$F$177),NA()))</f>
        <v>533667.80000000016</v>
      </c>
      <c r="V142">
        <f>IF(ISBLANK($G142),NA(),IFERROR(SUM($G142:$G$177),NA()))</f>
        <v>827437.00800000015</v>
      </c>
      <c r="W142">
        <f t="shared" si="39"/>
        <v>1361104.8080000002</v>
      </c>
      <c r="X142">
        <f t="shared" si="40"/>
        <v>32.308023850577719</v>
      </c>
      <c r="Y142">
        <f t="shared" si="41"/>
        <v>39.20842809924158</v>
      </c>
      <c r="Z142" t="e">
        <f>IF(ISBLANK($H142),NA(),IFERROR(SUM($H142:$H$177),NA()))</f>
        <v>#N/A</v>
      </c>
      <c r="AA142" t="e">
        <f>IF(ISBLANK($I142),NA(),IFERROR(SUM($I142:$I$177),NA()))</f>
        <v>#N/A</v>
      </c>
      <c r="AB142" t="e">
        <f>IF(ISBLANK($J142),NA(),IFERROR(SUM($J142:$J$177),NA()))</f>
        <v>#N/A</v>
      </c>
      <c r="AC142" t="str">
        <f t="shared" si="42"/>
        <v/>
      </c>
      <c r="AD142" t="e">
        <f t="shared" si="43"/>
        <v>#N/A</v>
      </c>
      <c r="AE142" t="e">
        <f t="shared" si="44"/>
        <v>#N/A</v>
      </c>
    </row>
    <row r="143" spans="1:31" x14ac:dyDescent="0.35">
      <c r="A143">
        <v>1990</v>
      </c>
      <c r="B143">
        <v>13567.904</v>
      </c>
      <c r="C143">
        <v>19712.12</v>
      </c>
      <c r="D143">
        <v>17852.914000000001</v>
      </c>
      <c r="E143">
        <v>12359.763999999999</v>
      </c>
      <c r="F143">
        <v>17237.502</v>
      </c>
      <c r="G143">
        <v>15440.382</v>
      </c>
      <c r="H143">
        <v>12677.704</v>
      </c>
      <c r="I143">
        <v>17381.156999999999</v>
      </c>
      <c r="J143">
        <v>15878.308999999999</v>
      </c>
      <c r="N143">
        <f>IF(ISBLANK($B143),NA(),IFERROR(SUM($B143:$B$177),NA()))</f>
        <v>469368.4059999999</v>
      </c>
      <c r="O143">
        <f>IF(ISBLANK($C143),NA(),IFERROR(SUM($C143:$C$177),NA()))</f>
        <v>619397.57899999991</v>
      </c>
      <c r="P143">
        <f>IF(ISBLANK($D143),NA(),IFERROR(SUM($D143:$D$177),NA()))</f>
        <v>995403.58700000017</v>
      </c>
      <c r="Q143">
        <f t="shared" si="36"/>
        <v>1614801.1660000002</v>
      </c>
      <c r="R143">
        <f t="shared" si="37"/>
        <v>29.066637793101506</v>
      </c>
      <c r="S143">
        <f t="shared" si="38"/>
        <v>38.357513732436814</v>
      </c>
      <c r="T143">
        <f>IF(ISBLANK($E143),NA(),IFERROR(SUM($E143:$E$177),NA()))</f>
        <v>426212.63100000005</v>
      </c>
      <c r="U143">
        <f>IF(ISBLANK($F143),NA(),IFERROR(SUM($F143:$F$177),NA()))</f>
        <v>513882.94400000008</v>
      </c>
      <c r="V143">
        <f>IF(ISBLANK($G143),NA(),IFERROR(SUM($G143:$G$177),NA()))</f>
        <v>808929.46800000023</v>
      </c>
      <c r="W143">
        <f t="shared" si="39"/>
        <v>1322812.4120000002</v>
      </c>
      <c r="X143">
        <f t="shared" si="40"/>
        <v>32.220186863502157</v>
      </c>
      <c r="Y143">
        <f t="shared" si="41"/>
        <v>38.847756442128087</v>
      </c>
      <c r="Z143">
        <f>IF(ISBLANK($H143),NA(),IFERROR(SUM($H143:$H$177),NA()))</f>
        <v>445567.68800000002</v>
      </c>
      <c r="AA143">
        <f>IF(ISBLANK($I143),NA(),IFERROR(SUM($I143:$I$177),NA()))</f>
        <v>540709.39100000006</v>
      </c>
      <c r="AB143">
        <f>IF(ISBLANK($J143),NA(),IFERROR(SUM($J143:$J$177),NA()))</f>
        <v>959906.41199999989</v>
      </c>
      <c r="AC143">
        <f t="shared" si="42"/>
        <v>1500615.8029999998</v>
      </c>
      <c r="AD143">
        <f t="shared" si="43"/>
        <v>29.692322785701069</v>
      </c>
      <c r="AE143">
        <f t="shared" si="44"/>
        <v>36.032500118886205</v>
      </c>
    </row>
    <row r="144" spans="1:31" x14ac:dyDescent="0.35">
      <c r="A144">
        <v>1991</v>
      </c>
      <c r="B144">
        <v>13491.061</v>
      </c>
      <c r="C144">
        <v>19277.760999999999</v>
      </c>
      <c r="D144">
        <v>18603.04</v>
      </c>
      <c r="E144">
        <v>12198.771000000001</v>
      </c>
      <c r="F144">
        <v>16499.663</v>
      </c>
      <c r="G144">
        <v>16181.271000000001</v>
      </c>
      <c r="H144">
        <v>12564.093000000001</v>
      </c>
      <c r="I144">
        <v>17090.046999999999</v>
      </c>
      <c r="J144">
        <v>16159.589</v>
      </c>
      <c r="N144">
        <f>IF(ISBLANK($B144),NA(),IFERROR(SUM($B144:$B$177),NA()))</f>
        <v>455800.50199999992</v>
      </c>
      <c r="O144">
        <f>IF(ISBLANK($C144),NA(),IFERROR(SUM($C144:$C$177),NA()))</f>
        <v>599685.4589999998</v>
      </c>
      <c r="P144">
        <f>IF(ISBLANK($D144),NA(),IFERROR(SUM($D144:$D$177),NA()))</f>
        <v>977550.6730000003</v>
      </c>
      <c r="Q144">
        <f t="shared" si="36"/>
        <v>1577236.1320000002</v>
      </c>
      <c r="R144">
        <f t="shared" si="37"/>
        <v>28.898685032153438</v>
      </c>
      <c r="S144">
        <f t="shared" si="38"/>
        <v>38.021285895826772</v>
      </c>
      <c r="T144">
        <f>IF(ISBLANK($E144),NA(),IFERROR(SUM($E144:$E$177),NA()))</f>
        <v>413852.86700000003</v>
      </c>
      <c r="U144">
        <f>IF(ISBLANK($F144),NA(),IFERROR(SUM($F144:$F$177),NA()))</f>
        <v>496645.44200000004</v>
      </c>
      <c r="V144">
        <f>IF(ISBLANK($G144),NA(),IFERROR(SUM($G144:$G$177),NA()))</f>
        <v>793489.08600000013</v>
      </c>
      <c r="W144">
        <f t="shared" si="39"/>
        <v>1290134.5280000002</v>
      </c>
      <c r="X144">
        <f t="shared" si="40"/>
        <v>32.078272305568426</v>
      </c>
      <c r="Y144">
        <f t="shared" si="41"/>
        <v>38.495632139224476</v>
      </c>
      <c r="Z144">
        <f>IF(ISBLANK($H144),NA(),IFERROR(SUM($H144:$H$177),NA()))</f>
        <v>432889.984</v>
      </c>
      <c r="AA144">
        <f>IF(ISBLANK($I144),NA(),IFERROR(SUM($I144:$I$177),NA()))</f>
        <v>523328.234</v>
      </c>
      <c r="AB144">
        <f>IF(ISBLANK($J144),NA(),IFERROR(SUM($J144:$J$177),NA()))</f>
        <v>944028.103</v>
      </c>
      <c r="AC144">
        <f t="shared" si="42"/>
        <v>1467356.3370000001</v>
      </c>
      <c r="AD144">
        <f t="shared" si="43"/>
        <v>29.501353766941207</v>
      </c>
      <c r="AE144">
        <f t="shared" si="44"/>
        <v>35.66469989627339</v>
      </c>
    </row>
    <row r="145" spans="1:31" x14ac:dyDescent="0.35">
      <c r="A145">
        <v>1992</v>
      </c>
      <c r="B145">
        <v>13522.205</v>
      </c>
      <c r="C145">
        <v>18589.396000000001</v>
      </c>
      <c r="D145">
        <v>18858.056</v>
      </c>
      <c r="E145">
        <v>12202.289000000001</v>
      </c>
      <c r="F145">
        <v>15824.74</v>
      </c>
      <c r="G145">
        <v>16275.291999999999</v>
      </c>
      <c r="H145">
        <v>12571.454</v>
      </c>
      <c r="I145">
        <v>16623.475999999999</v>
      </c>
      <c r="J145">
        <v>16718.545999999998</v>
      </c>
      <c r="N145">
        <f>IF(ISBLANK($B145),NA(),IFERROR(SUM($B145:$B$177),NA()))</f>
        <v>442309.44099999993</v>
      </c>
      <c r="O145">
        <f>IF(ISBLANK($C145),NA(),IFERROR(SUM($C145:$C$177),NA()))</f>
        <v>580407.69799999974</v>
      </c>
      <c r="P145">
        <f>IF(ISBLANK($D145),NA(),IFERROR(SUM($D145:$D$177),NA()))</f>
        <v>958947.63300000026</v>
      </c>
      <c r="Q145">
        <f t="shared" si="36"/>
        <v>1539355.331</v>
      </c>
      <c r="R145">
        <f t="shared" si="37"/>
        <v>28.733420549020721</v>
      </c>
      <c r="S145">
        <f t="shared" si="38"/>
        <v>37.704595314127623</v>
      </c>
      <c r="T145">
        <f>IF(ISBLANK($E145),NA(),IFERROR(SUM($E145:$E$177),NA()))</f>
        <v>401654.09600000008</v>
      </c>
      <c r="U145">
        <f>IF(ISBLANK($F145),NA(),IFERROR(SUM($F145:$F$177),NA()))</f>
        <v>480145.77900000004</v>
      </c>
      <c r="V145">
        <f>IF(ISBLANK($G145),NA(),IFERROR(SUM($G145:$G$177),NA()))</f>
        <v>777307.81500000018</v>
      </c>
      <c r="W145">
        <f t="shared" si="39"/>
        <v>1257453.5940000003</v>
      </c>
      <c r="X145">
        <f t="shared" si="40"/>
        <v>31.941862341203819</v>
      </c>
      <c r="Y145">
        <f t="shared" si="41"/>
        <v>38.183976036256013</v>
      </c>
      <c r="Z145">
        <f>IF(ISBLANK($H145),NA(),IFERROR(SUM($H145:$H$177),NA()))</f>
        <v>420325.891</v>
      </c>
      <c r="AA145">
        <f>IF(ISBLANK($I145),NA(),IFERROR(SUM($I145:$I$177),NA()))</f>
        <v>506238.18700000003</v>
      </c>
      <c r="AB145">
        <f>IF(ISBLANK($J145),NA(),IFERROR(SUM($J145:$J$177),NA()))</f>
        <v>927868.51399999997</v>
      </c>
      <c r="AC145">
        <f t="shared" si="42"/>
        <v>1434106.7009999999</v>
      </c>
      <c r="AD145">
        <f t="shared" si="43"/>
        <v>29.309248098966943</v>
      </c>
      <c r="AE145">
        <f t="shared" si="44"/>
        <v>35.299896907740624</v>
      </c>
    </row>
    <row r="146" spans="1:31" x14ac:dyDescent="0.35">
      <c r="A146">
        <v>1993</v>
      </c>
      <c r="B146">
        <v>13522.06</v>
      </c>
      <c r="C146">
        <v>18278.925999999999</v>
      </c>
      <c r="D146">
        <v>19139.017</v>
      </c>
      <c r="E146">
        <v>12223.611000000001</v>
      </c>
      <c r="F146">
        <v>15433.86</v>
      </c>
      <c r="G146">
        <v>16683.197</v>
      </c>
      <c r="H146">
        <v>13038.341</v>
      </c>
      <c r="I146">
        <v>16492.651000000002</v>
      </c>
      <c r="J146">
        <v>17492.781999999999</v>
      </c>
      <c r="N146">
        <f>IF(ISBLANK($B146),NA(),IFERROR(SUM($B146:$B$177),NA()))</f>
        <v>428787.23599999998</v>
      </c>
      <c r="O146">
        <f>IF(ISBLANK($C146),NA(),IFERROR(SUM($C146:$C$177),NA()))</f>
        <v>561818.30199999979</v>
      </c>
      <c r="P146">
        <f>IF(ISBLANK($D146),NA(),IFERROR(SUM($D146:$D$177),NA()))</f>
        <v>940089.57699999993</v>
      </c>
      <c r="Q146">
        <f t="shared" si="36"/>
        <v>1501907.8789999997</v>
      </c>
      <c r="R146">
        <f t="shared" si="37"/>
        <v>28.549503068423547</v>
      </c>
      <c r="S146">
        <f t="shared" si="38"/>
        <v>37.406974812201511</v>
      </c>
      <c r="T146">
        <f>IF(ISBLANK($E146),NA(),IFERROR(SUM($E146:$E$177),NA()))</f>
        <v>389451.80700000003</v>
      </c>
      <c r="U146">
        <f>IF(ISBLANK($F146),NA(),IFERROR(SUM($F146:$F$177),NA()))</f>
        <v>464321.03900000005</v>
      </c>
      <c r="V146">
        <f>IF(ISBLANK($G146),NA(),IFERROR(SUM($G146:$G$177),NA()))</f>
        <v>761032.52300000004</v>
      </c>
      <c r="W146">
        <f t="shared" si="39"/>
        <v>1225353.5620000002</v>
      </c>
      <c r="X146">
        <f t="shared" si="40"/>
        <v>31.78281102511701</v>
      </c>
      <c r="Y146">
        <f t="shared" si="41"/>
        <v>37.892821582216932</v>
      </c>
      <c r="Z146">
        <f>IF(ISBLANK($H146),NA(),IFERROR(SUM($H146:$H$177),NA()))</f>
        <v>407754.43699999998</v>
      </c>
      <c r="AA146">
        <f>IF(ISBLANK($I146),NA(),IFERROR(SUM($I146:$I$177),NA()))</f>
        <v>489614.71100000001</v>
      </c>
      <c r="AB146">
        <f>IF(ISBLANK($J146),NA(),IFERROR(SUM($J146:$J$177),NA()))</f>
        <v>911149.96799999999</v>
      </c>
      <c r="AC146">
        <f t="shared" si="42"/>
        <v>1400764.679</v>
      </c>
      <c r="AD146">
        <f t="shared" si="43"/>
        <v>29.109417385587861</v>
      </c>
      <c r="AE146">
        <f t="shared" si="44"/>
        <v>34.953387841670441</v>
      </c>
    </row>
    <row r="147" spans="1:31" x14ac:dyDescent="0.35">
      <c r="A147">
        <v>1994</v>
      </c>
      <c r="B147">
        <v>13674.412</v>
      </c>
      <c r="C147">
        <v>17965.23</v>
      </c>
      <c r="D147">
        <v>20691.273000000001</v>
      </c>
      <c r="E147">
        <v>12394.957</v>
      </c>
      <c r="F147">
        <v>14986.861999999999</v>
      </c>
      <c r="G147">
        <v>14755.968000000001</v>
      </c>
      <c r="H147">
        <v>13069.005999999999</v>
      </c>
      <c r="I147">
        <v>16351.016</v>
      </c>
      <c r="J147">
        <v>17613.059000000001</v>
      </c>
      <c r="N147">
        <f>IF(ISBLANK($B147),NA(),IFERROR(SUM($B147:$B$177),NA()))</f>
        <v>415265.17599999992</v>
      </c>
      <c r="O147">
        <f>IF(ISBLANK($C147),NA(),IFERROR(SUM($C147:$C$177),NA()))</f>
        <v>543539.37599999981</v>
      </c>
      <c r="P147">
        <f>IF(ISBLANK($D147),NA(),IFERROR(SUM($D147:$D$177),NA()))</f>
        <v>920950.55999999994</v>
      </c>
      <c r="Q147">
        <f t="shared" si="36"/>
        <v>1464489.9359999998</v>
      </c>
      <c r="R147">
        <f t="shared" si="37"/>
        <v>28.355618279919675</v>
      </c>
      <c r="S147">
        <f t="shared" si="38"/>
        <v>37.114585948236922</v>
      </c>
      <c r="T147">
        <f>IF(ISBLANK($E147),NA(),IFERROR(SUM($E147:$E$177),NA()))</f>
        <v>377228.19600000005</v>
      </c>
      <c r="U147">
        <f>IF(ISBLANK($F147),NA(),IFERROR(SUM($F147:$F$177),NA()))</f>
        <v>448887.179</v>
      </c>
      <c r="V147">
        <f>IF(ISBLANK($G147),NA(),IFERROR(SUM($G147:$G$177),NA()))</f>
        <v>744349.32600000012</v>
      </c>
      <c r="W147">
        <f t="shared" si="39"/>
        <v>1193236.5050000001</v>
      </c>
      <c r="X147">
        <f t="shared" si="40"/>
        <v>31.613866523468459</v>
      </c>
      <c r="Y147">
        <f t="shared" si="41"/>
        <v>37.619296519930053</v>
      </c>
      <c r="Z147">
        <f>IF(ISBLANK($H147),NA(),IFERROR(SUM($H147:$H$177),NA()))</f>
        <v>394716.09599999996</v>
      </c>
      <c r="AA147">
        <f>IF(ISBLANK($I147),NA(),IFERROR(SUM($I147:$I$177),NA()))</f>
        <v>473122.06</v>
      </c>
      <c r="AB147">
        <f>IF(ISBLANK($J147),NA(),IFERROR(SUM($J147:$J$177),NA()))</f>
        <v>893657.18599999999</v>
      </c>
      <c r="AC147">
        <f t="shared" si="42"/>
        <v>1366779.246</v>
      </c>
      <c r="AD147">
        <f t="shared" si="43"/>
        <v>28.879286626217908</v>
      </c>
      <c r="AE147">
        <f t="shared" si="44"/>
        <v>34.615835833374952</v>
      </c>
    </row>
    <row r="148" spans="1:31" x14ac:dyDescent="0.35">
      <c r="A148">
        <v>1995</v>
      </c>
      <c r="B148">
        <v>13839.907999999999</v>
      </c>
      <c r="C148">
        <v>17977.053</v>
      </c>
      <c r="D148">
        <v>20947.259999999998</v>
      </c>
      <c r="E148">
        <v>12565.603999999999</v>
      </c>
      <c r="F148">
        <v>14976.334000000001</v>
      </c>
      <c r="G148">
        <v>16035.243</v>
      </c>
      <c r="H148">
        <v>13287.949000000001</v>
      </c>
      <c r="I148">
        <v>16518.199000000001</v>
      </c>
      <c r="J148">
        <v>18504.829000000002</v>
      </c>
      <c r="N148">
        <f>IF(ISBLANK($B148),NA(),IFERROR(SUM($B148:$B$177),NA()))</f>
        <v>401590.76399999991</v>
      </c>
      <c r="O148">
        <f>IF(ISBLANK($C148),NA(),IFERROR(SUM($C148:$C$177),NA()))</f>
        <v>525574.14599999983</v>
      </c>
      <c r="P148">
        <f>IF(ISBLANK($D148),NA(),IFERROR(SUM($D148:$D$177),NA()))</f>
        <v>900259.28700000013</v>
      </c>
      <c r="Q148">
        <f t="shared" si="36"/>
        <v>1425833.433</v>
      </c>
      <c r="R148">
        <f t="shared" si="37"/>
        <v>28.165335073890073</v>
      </c>
      <c r="S148">
        <f t="shared" si="38"/>
        <v>36.860837587050732</v>
      </c>
      <c r="T148">
        <f>IF(ISBLANK($E148),NA(),IFERROR(SUM($E148:$E$177),NA()))</f>
        <v>364833.23900000006</v>
      </c>
      <c r="U148">
        <f>IF(ISBLANK($F148),NA(),IFERROR(SUM($F148:$F$177),NA()))</f>
        <v>433900.31700000004</v>
      </c>
      <c r="V148">
        <f>IF(ISBLANK($G148),NA(),IFERROR(SUM($G148:$G$177),NA()))</f>
        <v>729593.35800000001</v>
      </c>
      <c r="W148">
        <f t="shared" si="39"/>
        <v>1163493.675</v>
      </c>
      <c r="X148">
        <f t="shared" si="40"/>
        <v>31.356701530844166</v>
      </c>
      <c r="Y148">
        <f t="shared" si="41"/>
        <v>37.292881458938744</v>
      </c>
      <c r="Z148">
        <f>IF(ISBLANK($H148),NA(),IFERROR(SUM($H148:$H$177),NA()))</f>
        <v>381647.09</v>
      </c>
      <c r="AA148">
        <f>IF(ISBLANK($I148),NA(),IFERROR(SUM($I148:$I$177),NA()))</f>
        <v>456771.04399999999</v>
      </c>
      <c r="AB148">
        <f>IF(ISBLANK($J148),NA(),IFERROR(SUM($J148:$J$177),NA()))</f>
        <v>876044.12699999998</v>
      </c>
      <c r="AC148">
        <f t="shared" si="42"/>
        <v>1332815.1710000001</v>
      </c>
      <c r="AD148">
        <f t="shared" si="43"/>
        <v>28.634659801602751</v>
      </c>
      <c r="AE148">
        <f t="shared" si="44"/>
        <v>34.271146813048993</v>
      </c>
    </row>
    <row r="149" spans="1:31" x14ac:dyDescent="0.35">
      <c r="A149">
        <v>1996</v>
      </c>
      <c r="B149">
        <v>14139.195</v>
      </c>
      <c r="C149">
        <v>18597.606</v>
      </c>
      <c r="D149">
        <v>21390.793000000001</v>
      </c>
      <c r="E149">
        <v>12825.447</v>
      </c>
      <c r="F149">
        <v>15432.814</v>
      </c>
      <c r="G149">
        <v>15886.050999999999</v>
      </c>
      <c r="H149">
        <v>13179.138000000001</v>
      </c>
      <c r="I149">
        <v>16113.56</v>
      </c>
      <c r="J149">
        <v>18908.149000000001</v>
      </c>
      <c r="N149">
        <f>IF(ISBLANK($B149),NA(),IFERROR(SUM($B149:$B$177),NA()))</f>
        <v>387750.85599999997</v>
      </c>
      <c r="O149">
        <f>IF(ISBLANK($C149),NA(),IFERROR(SUM($C149:$C$177),NA()))</f>
        <v>507597.09299999988</v>
      </c>
      <c r="P149">
        <f>IF(ISBLANK($D149),NA(),IFERROR(SUM($D149:$D$177),NA()))</f>
        <v>879312.02700000012</v>
      </c>
      <c r="Q149">
        <f t="shared" si="36"/>
        <v>1386909.12</v>
      </c>
      <c r="R149">
        <f t="shared" si="37"/>
        <v>27.957913781690319</v>
      </c>
      <c r="S149">
        <f t="shared" si="38"/>
        <v>36.599160368921638</v>
      </c>
      <c r="T149">
        <f>IF(ISBLANK($E149),NA(),IFERROR(SUM($E149:$E$177),NA()))</f>
        <v>352267.63500000007</v>
      </c>
      <c r="U149">
        <f>IF(ISBLANK($F149),NA(),IFERROR(SUM($F149:$F$177),NA()))</f>
        <v>418923.98300000001</v>
      </c>
      <c r="V149">
        <f>IF(ISBLANK($G149),NA(),IFERROR(SUM($G149:$G$177),NA()))</f>
        <v>713558.11499999999</v>
      </c>
      <c r="W149">
        <f t="shared" si="39"/>
        <v>1132482.098</v>
      </c>
      <c r="X149">
        <f t="shared" si="40"/>
        <v>31.105801638905913</v>
      </c>
      <c r="Y149">
        <f t="shared" si="41"/>
        <v>36.991664922547848</v>
      </c>
      <c r="Z149">
        <f>IF(ISBLANK($H149),NA(),IFERROR(SUM($H149:$H$177),NA()))</f>
        <v>368359.141</v>
      </c>
      <c r="AA149">
        <f>IF(ISBLANK($I149),NA(),IFERROR(SUM($I149:$I$177),NA()))</f>
        <v>440252.84500000003</v>
      </c>
      <c r="AB149">
        <f>IF(ISBLANK($J149),NA(),IFERROR(SUM($J149:$J$177),NA()))</f>
        <v>857539.29800000007</v>
      </c>
      <c r="AC149">
        <f t="shared" si="42"/>
        <v>1297792.1430000002</v>
      </c>
      <c r="AD149">
        <f t="shared" si="43"/>
        <v>28.383523739671766</v>
      </c>
      <c r="AE149">
        <f t="shared" si="44"/>
        <v>33.923217009335829</v>
      </c>
    </row>
    <row r="150" spans="1:31" x14ac:dyDescent="0.35">
      <c r="A150">
        <v>1997</v>
      </c>
      <c r="B150">
        <v>14059.181</v>
      </c>
      <c r="C150">
        <v>17971.185000000001</v>
      </c>
      <c r="D150">
        <v>23539.388999999999</v>
      </c>
      <c r="E150">
        <v>12841.267</v>
      </c>
      <c r="F150">
        <v>15041.124</v>
      </c>
      <c r="G150">
        <v>15774.950999999999</v>
      </c>
      <c r="H150">
        <v>13241.811</v>
      </c>
      <c r="I150">
        <v>15891.883</v>
      </c>
      <c r="J150">
        <v>18297.173999999999</v>
      </c>
      <c r="N150">
        <f>IF(ISBLANK($B150),NA(),IFERROR(SUM($B150:$B$177),NA()))</f>
        <v>373611.66099999996</v>
      </c>
      <c r="O150">
        <f>IF(ISBLANK($C150),NA(),IFERROR(SUM($C150:$C$177),NA()))</f>
        <v>488999.48699999985</v>
      </c>
      <c r="P150">
        <f>IF(ISBLANK($D150),NA(),IFERROR(SUM($D150:$D$177),NA()))</f>
        <v>857921.23400000005</v>
      </c>
      <c r="Q150">
        <f t="shared" si="36"/>
        <v>1346920.7209999999</v>
      </c>
      <c r="R150">
        <f t="shared" si="37"/>
        <v>27.738207243750612</v>
      </c>
      <c r="S150">
        <f t="shared" si="38"/>
        <v>36.304994004171967</v>
      </c>
      <c r="T150">
        <f>IF(ISBLANK($E150),NA(),IFERROR(SUM($E150:$E$177),NA()))</f>
        <v>339442.18800000008</v>
      </c>
      <c r="U150">
        <f>IF(ISBLANK($F150),NA(),IFERROR(SUM($F150:$F$177),NA()))</f>
        <v>403491.16900000005</v>
      </c>
      <c r="V150">
        <f>IF(ISBLANK($G150),NA(),IFERROR(SUM($G150:$G$177),NA()))</f>
        <v>697672.06400000001</v>
      </c>
      <c r="W150">
        <f t="shared" si="39"/>
        <v>1101163.233</v>
      </c>
      <c r="X150">
        <f t="shared" si="40"/>
        <v>30.825782938214036</v>
      </c>
      <c r="Y150">
        <f t="shared" si="41"/>
        <v>36.642266732855951</v>
      </c>
      <c r="Z150">
        <f>IF(ISBLANK($H150),NA(),IFERROR(SUM($H150:$H$177),NA()))</f>
        <v>355180.00299999997</v>
      </c>
      <c r="AA150">
        <f>IF(ISBLANK($I150),NA(),IFERROR(SUM($I150:$I$177),NA()))</f>
        <v>424139.28500000003</v>
      </c>
      <c r="AB150">
        <f>IF(ISBLANK($J150),NA(),IFERROR(SUM($J150:$J$177),NA()))</f>
        <v>838631.14899999998</v>
      </c>
      <c r="AC150">
        <f t="shared" si="42"/>
        <v>1262770.4339999999</v>
      </c>
      <c r="AD150">
        <f t="shared" si="43"/>
        <v>28.127044586791456</v>
      </c>
      <c r="AE150">
        <f t="shared" si="44"/>
        <v>33.587996169381334</v>
      </c>
    </row>
    <row r="151" spans="1:31" x14ac:dyDescent="0.35">
      <c r="A151">
        <v>1998</v>
      </c>
      <c r="B151">
        <v>14144.731</v>
      </c>
      <c r="C151">
        <v>17979.267</v>
      </c>
      <c r="D151">
        <v>22144.786</v>
      </c>
      <c r="E151">
        <v>12865.704</v>
      </c>
      <c r="F151">
        <v>15244.956</v>
      </c>
      <c r="G151">
        <v>16165.741</v>
      </c>
      <c r="H151">
        <v>13862.611999999999</v>
      </c>
      <c r="I151">
        <v>15990.967000000001</v>
      </c>
      <c r="J151">
        <v>19706.054</v>
      </c>
      <c r="N151">
        <f>IF(ISBLANK($B151),NA(),IFERROR(SUM($B151:$B$177),NA()))</f>
        <v>359552.48</v>
      </c>
      <c r="O151">
        <f>IF(ISBLANK($C151),NA(),IFERROR(SUM($C151:$C$177),NA()))</f>
        <v>471028.30199999991</v>
      </c>
      <c r="P151">
        <f>IF(ISBLANK($D151),NA(),IFERROR(SUM($D151:$D$177),NA()))</f>
        <v>834381.84500000009</v>
      </c>
      <c r="Q151">
        <f t="shared" si="36"/>
        <v>1305410.1469999999</v>
      </c>
      <c r="R151">
        <f t="shared" si="37"/>
        <v>27.543257636406288</v>
      </c>
      <c r="S151">
        <f t="shared" si="38"/>
        <v>36.082782341050695</v>
      </c>
      <c r="T151">
        <f>IF(ISBLANK($E151),NA(),IFERROR(SUM($E151:$E$177),NA()))</f>
        <v>326600.92100000009</v>
      </c>
      <c r="U151">
        <f>IF(ISBLANK($F151),NA(),IFERROR(SUM($F151:$F$177),NA()))</f>
        <v>388450.04500000004</v>
      </c>
      <c r="V151">
        <f>IF(ISBLANK($G151),NA(),IFERROR(SUM($G151:$G$177),NA()))</f>
        <v>681897.11300000001</v>
      </c>
      <c r="W151">
        <f t="shared" si="39"/>
        <v>1070347.1580000001</v>
      </c>
      <c r="X151">
        <f t="shared" si="40"/>
        <v>30.513550539085944</v>
      </c>
      <c r="Y151">
        <f t="shared" si="41"/>
        <v>36.291967713152005</v>
      </c>
      <c r="Z151">
        <f>IF(ISBLANK($H151),NA(),IFERROR(SUM($H151:$H$177),NA()))</f>
        <v>341938.19200000004</v>
      </c>
      <c r="AA151">
        <f>IF(ISBLANK($I151),NA(),IFERROR(SUM($I151:$I$177),NA()))</f>
        <v>408247.402</v>
      </c>
      <c r="AB151">
        <f>IF(ISBLANK($J151),NA(),IFERROR(SUM($J151:$J$177),NA()))</f>
        <v>820333.97499999986</v>
      </c>
      <c r="AC151">
        <f t="shared" si="42"/>
        <v>1228581.3769999999</v>
      </c>
      <c r="AD151">
        <f t="shared" si="43"/>
        <v>27.831953047746715</v>
      </c>
      <c r="AE151">
        <f t="shared" si="44"/>
        <v>33.229170622533374</v>
      </c>
    </row>
    <row r="152" spans="1:31" x14ac:dyDescent="0.35">
      <c r="A152">
        <v>1999</v>
      </c>
      <c r="B152">
        <v>14247.844999999999</v>
      </c>
      <c r="C152">
        <v>18043.091</v>
      </c>
      <c r="D152">
        <v>22401.091</v>
      </c>
      <c r="E152">
        <v>12956.491</v>
      </c>
      <c r="F152">
        <v>14902.096</v>
      </c>
      <c r="G152">
        <v>16551.743999999999</v>
      </c>
      <c r="H152">
        <v>13778.123</v>
      </c>
      <c r="I152">
        <v>16395.072</v>
      </c>
      <c r="J152">
        <v>19888.217000000001</v>
      </c>
      <c r="N152">
        <f>IF(ISBLANK($B152),NA(),IFERROR(SUM($B152:$B$177),NA()))</f>
        <v>345407.74900000001</v>
      </c>
      <c r="O152">
        <f>IF(ISBLANK($C152),NA(),IFERROR(SUM($C152:$C$177),NA()))</f>
        <v>453049.03499999992</v>
      </c>
      <c r="P152">
        <f>IF(ISBLANK($D152),NA(),IFERROR(SUM($D152:$D$177),NA()))</f>
        <v>812237.05900000001</v>
      </c>
      <c r="Q152">
        <f t="shared" si="36"/>
        <v>1265286.094</v>
      </c>
      <c r="R152">
        <f t="shared" si="37"/>
        <v>27.29878646718139</v>
      </c>
      <c r="S152">
        <f t="shared" si="38"/>
        <v>35.806055021734863</v>
      </c>
      <c r="T152">
        <f>IF(ISBLANK($E152),NA(),IFERROR(SUM($E152:$E$177),NA()))</f>
        <v>313735.21700000006</v>
      </c>
      <c r="U152">
        <f>IF(ISBLANK($F152),NA(),IFERROR(SUM($F152:$F$177),NA()))</f>
        <v>373205.08899999998</v>
      </c>
      <c r="V152">
        <f>IF(ISBLANK($G152),NA(),IFERROR(SUM($G152:$G$177),NA()))</f>
        <v>665731.37199999997</v>
      </c>
      <c r="W152">
        <f t="shared" si="39"/>
        <v>1038936.4609999999</v>
      </c>
      <c r="X152">
        <f t="shared" si="40"/>
        <v>30.197729002409133</v>
      </c>
      <c r="Y152">
        <f t="shared" si="41"/>
        <v>35.921839593614955</v>
      </c>
      <c r="Z152">
        <f>IF(ISBLANK($H152),NA(),IFERROR(SUM($H152:$H$177),NA()))</f>
        <v>328075.58</v>
      </c>
      <c r="AA152">
        <f>IF(ISBLANK($I152),NA(),IFERROR(SUM($I152:$I$177),NA()))</f>
        <v>392256.435</v>
      </c>
      <c r="AB152">
        <f>IF(ISBLANK($J152),NA(),IFERROR(SUM($J152:$J$177),NA()))</f>
        <v>800627.92099999986</v>
      </c>
      <c r="AC152">
        <f t="shared" si="42"/>
        <v>1192884.3559999999</v>
      </c>
      <c r="AD152">
        <f t="shared" si="43"/>
        <v>27.502714605136465</v>
      </c>
      <c r="AE152">
        <f t="shared" si="44"/>
        <v>32.883022820025985</v>
      </c>
    </row>
    <row r="153" spans="1:31" x14ac:dyDescent="0.35">
      <c r="A153">
        <v>2000</v>
      </c>
      <c r="B153">
        <v>14590.566999999999</v>
      </c>
      <c r="C153">
        <v>18264.277999999998</v>
      </c>
      <c r="D153">
        <v>22515.535</v>
      </c>
      <c r="E153">
        <v>13262.195</v>
      </c>
      <c r="F153">
        <v>15297.981</v>
      </c>
      <c r="G153">
        <v>16364.483</v>
      </c>
      <c r="H153">
        <v>14301.141</v>
      </c>
      <c r="I153">
        <v>17278.166000000001</v>
      </c>
      <c r="J153">
        <v>21094.417000000001</v>
      </c>
      <c r="N153">
        <f>IF(ISBLANK($B153),NA(),IFERROR(SUM($B153:$B$177),NA()))</f>
        <v>331159.90399999998</v>
      </c>
      <c r="O153">
        <f>IF(ISBLANK($C153),NA(),IFERROR(SUM($C153:$C$177),NA()))</f>
        <v>435005.94400000002</v>
      </c>
      <c r="P153">
        <f>IF(ISBLANK($D153),NA(),IFERROR(SUM($D153:$D$177),NA()))</f>
        <v>789835.96799999999</v>
      </c>
      <c r="Q153">
        <f t="shared" si="36"/>
        <v>1224841.912</v>
      </c>
      <c r="R153">
        <f t="shared" si="37"/>
        <v>27.036950708133507</v>
      </c>
      <c r="S153">
        <f t="shared" si="38"/>
        <v>35.515272602787945</v>
      </c>
      <c r="T153">
        <f>IF(ISBLANK($E153),NA(),IFERROR(SUM($E153:$E$177),NA()))</f>
        <v>300778.72600000008</v>
      </c>
      <c r="U153">
        <f>IF(ISBLANK($F153),NA(),IFERROR(SUM($F153:$F$177),NA()))</f>
        <v>358302.99300000002</v>
      </c>
      <c r="V153">
        <f>IF(ISBLANK($G153),NA(),IFERROR(SUM($G153:$G$177),NA()))</f>
        <v>649179.62800000003</v>
      </c>
      <c r="W153">
        <f t="shared" si="39"/>
        <v>1007482.621</v>
      </c>
      <c r="X153">
        <f t="shared" si="40"/>
        <v>29.854482819907631</v>
      </c>
      <c r="Y153">
        <f t="shared" si="41"/>
        <v>35.564185975174254</v>
      </c>
      <c r="Z153">
        <f>IF(ISBLANK($H153),NA(),IFERROR(SUM($H153:$H$177),NA()))</f>
        <v>314297.45699999999</v>
      </c>
      <c r="AA153">
        <f>IF(ISBLANK($I153),NA(),IFERROR(SUM($I153:$I$177),NA()))</f>
        <v>375861.36299999995</v>
      </c>
      <c r="AB153">
        <f>IF(ISBLANK($J153),NA(),IFERROR(SUM($J153:$J$177),NA()))</f>
        <v>780739.70399999991</v>
      </c>
      <c r="AC153">
        <f t="shared" si="42"/>
        <v>1156601.0669999998</v>
      </c>
      <c r="AD153">
        <f t="shared" si="43"/>
        <v>27.174231977429091</v>
      </c>
      <c r="AE153">
        <f t="shared" si="44"/>
        <v>32.497061754828906</v>
      </c>
    </row>
    <row r="154" spans="1:31" x14ac:dyDescent="0.35">
      <c r="A154">
        <v>2001</v>
      </c>
      <c r="B154">
        <v>14331.77</v>
      </c>
      <c r="C154">
        <v>18038.995999999999</v>
      </c>
      <c r="D154">
        <v>22204.716</v>
      </c>
      <c r="E154">
        <v>13092.569</v>
      </c>
      <c r="F154">
        <v>15079.125</v>
      </c>
      <c r="G154">
        <v>16773.487000000001</v>
      </c>
      <c r="H154">
        <v>14158.627</v>
      </c>
      <c r="I154">
        <v>16597.361000000001</v>
      </c>
      <c r="J154">
        <v>21366.234</v>
      </c>
      <c r="N154">
        <f>IF(ISBLANK($B154),NA(),IFERROR(SUM($B154:$B$177),NA()))</f>
        <v>316569.337</v>
      </c>
      <c r="O154">
        <f>IF(ISBLANK($C154),NA(),IFERROR(SUM($C154:$C$177),NA()))</f>
        <v>416741.66599999997</v>
      </c>
      <c r="P154">
        <f>IF(ISBLANK($D154),NA(),IFERROR(SUM($D154:$D$177),NA()))</f>
        <v>767320.43299999984</v>
      </c>
      <c r="Q154">
        <f t="shared" si="36"/>
        <v>1184062.0989999999</v>
      </c>
      <c r="R154">
        <f t="shared" si="37"/>
        <v>26.735872828575353</v>
      </c>
      <c r="S154">
        <f t="shared" si="38"/>
        <v>35.195929871580155</v>
      </c>
      <c r="T154">
        <f>IF(ISBLANK($E154),NA(),IFERROR(SUM($E154:$E$177),NA()))</f>
        <v>287516.53100000008</v>
      </c>
      <c r="U154">
        <f>IF(ISBLANK($F154),NA(),IFERROR(SUM($F154:$F$177),NA()))</f>
        <v>343005.01199999999</v>
      </c>
      <c r="V154">
        <f>IF(ISBLANK($G154),NA(),IFERROR(SUM($G154:$G$177),NA()))</f>
        <v>632815.14500000002</v>
      </c>
      <c r="W154">
        <f t="shared" si="39"/>
        <v>975820.15700000001</v>
      </c>
      <c r="X154">
        <f t="shared" si="40"/>
        <v>29.464090174558677</v>
      </c>
      <c r="Y154">
        <f t="shared" si="41"/>
        <v>35.150433155071624</v>
      </c>
      <c r="Z154">
        <f>IF(ISBLANK($H154),NA(),IFERROR(SUM($H154:$H$177),NA()))</f>
        <v>299996.31599999999</v>
      </c>
      <c r="AA154">
        <f>IF(ISBLANK($I154),NA(),IFERROR(SUM($I154:$I$177),NA()))</f>
        <v>358583.19699999999</v>
      </c>
      <c r="AB154">
        <f>IF(ISBLANK($J154),NA(),IFERROR(SUM($J154:$J$177),NA()))</f>
        <v>759645.28699999989</v>
      </c>
      <c r="AC154">
        <f t="shared" si="42"/>
        <v>1118228.4839999999</v>
      </c>
      <c r="AD154">
        <f t="shared" si="43"/>
        <v>26.827819206222259</v>
      </c>
      <c r="AE154">
        <f t="shared" si="44"/>
        <v>32.067077715398277</v>
      </c>
    </row>
    <row r="155" spans="1:31" x14ac:dyDescent="0.35">
      <c r="A155">
        <v>2002</v>
      </c>
      <c r="B155">
        <v>14364.741</v>
      </c>
      <c r="C155">
        <v>17996.098000000002</v>
      </c>
      <c r="D155">
        <v>23410.516</v>
      </c>
      <c r="E155">
        <v>13251.282999999999</v>
      </c>
      <c r="F155">
        <v>15254.338</v>
      </c>
      <c r="G155">
        <v>17851.576000000001</v>
      </c>
      <c r="H155">
        <v>14403.73</v>
      </c>
      <c r="I155">
        <v>16613.227999999999</v>
      </c>
      <c r="J155">
        <v>22154.202000000001</v>
      </c>
      <c r="N155">
        <f>IF(ISBLANK($B155),NA(),IFERROR(SUM($B155:$B$177),NA()))</f>
        <v>302237.56700000004</v>
      </c>
      <c r="O155">
        <f>IF(ISBLANK($C155),NA(),IFERROR(SUM($C155:$C$177),NA()))</f>
        <v>398702.67000000004</v>
      </c>
      <c r="P155">
        <f>IF(ISBLANK($D155),NA(),IFERROR(SUM($D155:$D$177),NA()))</f>
        <v>745115.71699999983</v>
      </c>
      <c r="Q155">
        <f t="shared" si="36"/>
        <v>1143818.3869999999</v>
      </c>
      <c r="R155">
        <f t="shared" si="37"/>
        <v>26.423562554603354</v>
      </c>
      <c r="S155">
        <f t="shared" si="38"/>
        <v>34.857165659464087</v>
      </c>
      <c r="T155">
        <f>IF(ISBLANK($E155),NA(),IFERROR(SUM($E155:$E$177),NA()))</f>
        <v>274423.96200000006</v>
      </c>
      <c r="U155">
        <f>IF(ISBLANK($F155),NA(),IFERROR(SUM($F155:$F$177),NA()))</f>
        <v>327925.88699999999</v>
      </c>
      <c r="V155">
        <f>IF(ISBLANK($G155),NA(),IFERROR(SUM($G155:$G$177),NA()))</f>
        <v>616041.65800000005</v>
      </c>
      <c r="W155">
        <f t="shared" si="39"/>
        <v>943967.54500000004</v>
      </c>
      <c r="X155">
        <f t="shared" si="40"/>
        <v>29.07133443872798</v>
      </c>
      <c r="Y155">
        <f t="shared" si="41"/>
        <v>34.739106099246236</v>
      </c>
      <c r="Z155">
        <f>IF(ISBLANK($H155),NA(),IFERROR(SUM($H155:$H$177),NA()))</f>
        <v>285837.68900000001</v>
      </c>
      <c r="AA155">
        <f>IF(ISBLANK($I155),NA(),IFERROR(SUM($I155:$I$177),NA()))</f>
        <v>341985.83599999995</v>
      </c>
      <c r="AB155">
        <f>IF(ISBLANK($J155),NA(),IFERROR(SUM($J155:$J$177),NA()))</f>
        <v>738279.05300000007</v>
      </c>
      <c r="AC155">
        <f t="shared" si="42"/>
        <v>1080264.889</v>
      </c>
      <c r="AD155">
        <f t="shared" si="43"/>
        <v>26.459962913781236</v>
      </c>
      <c r="AE155">
        <f t="shared" si="44"/>
        <v>31.657590604150421</v>
      </c>
    </row>
    <row r="156" spans="1:31" x14ac:dyDescent="0.35">
      <c r="A156">
        <v>2003</v>
      </c>
      <c r="B156">
        <v>14667.239</v>
      </c>
      <c r="C156">
        <v>18473.633000000002</v>
      </c>
      <c r="D156">
        <v>25715.633999999998</v>
      </c>
      <c r="E156">
        <v>13364.656000000001</v>
      </c>
      <c r="F156">
        <v>15583.972</v>
      </c>
      <c r="G156">
        <v>20248.030999999999</v>
      </c>
      <c r="H156">
        <v>13603.048000000001</v>
      </c>
      <c r="I156">
        <v>16127.448</v>
      </c>
      <c r="J156">
        <v>22456.333999999999</v>
      </c>
      <c r="N156">
        <f>IF(ISBLANK($B156),NA(),IFERROR(SUM($B156:$B$177),NA()))</f>
        <v>287872.82600000006</v>
      </c>
      <c r="O156">
        <f>IF(ISBLANK($C156),NA(),IFERROR(SUM($C156:$C$177),NA()))</f>
        <v>380706.57199999999</v>
      </c>
      <c r="P156">
        <f>IF(ISBLANK($D156),NA(),IFERROR(SUM($D156:$D$177),NA()))</f>
        <v>721705.201</v>
      </c>
      <c r="Q156">
        <f t="shared" si="36"/>
        <v>1102411.773</v>
      </c>
      <c r="R156">
        <f t="shared" si="37"/>
        <v>26.113003602692842</v>
      </c>
      <c r="S156">
        <f t="shared" si="38"/>
        <v>34.533971908153774</v>
      </c>
      <c r="T156">
        <f>IF(ISBLANK($E156),NA(),IFERROR(SUM($E156:$E$177),NA()))</f>
        <v>261172.67900000003</v>
      </c>
      <c r="U156">
        <f>IF(ISBLANK($F156),NA(),IFERROR(SUM($F156:$F$177),NA()))</f>
        <v>312671.54899999994</v>
      </c>
      <c r="V156">
        <f>IF(ISBLANK($G156),NA(),IFERROR(SUM($G156:$G$177),NA()))</f>
        <v>598190.08200000005</v>
      </c>
      <c r="W156">
        <f t="shared" si="39"/>
        <v>910861.63100000005</v>
      </c>
      <c r="X156">
        <f t="shared" si="40"/>
        <v>28.673145306743088</v>
      </c>
      <c r="Y156">
        <f t="shared" si="41"/>
        <v>34.327008445479237</v>
      </c>
      <c r="Z156">
        <f>IF(ISBLANK($H156),NA(),IFERROR(SUM($H156:$H$177),NA()))</f>
        <v>271433.95900000003</v>
      </c>
      <c r="AA156">
        <f>IF(ISBLANK($I156),NA(),IFERROR(SUM($I156:$I$177),NA()))</f>
        <v>325372.60800000001</v>
      </c>
      <c r="AB156">
        <f>IF(ISBLANK($J156),NA(),IFERROR(SUM($J156:$J$177),NA()))</f>
        <v>716124.85100000002</v>
      </c>
      <c r="AC156">
        <f t="shared" si="42"/>
        <v>1041497.459</v>
      </c>
      <c r="AD156">
        <f t="shared" si="43"/>
        <v>26.061893541307242</v>
      </c>
      <c r="AE156">
        <f t="shared" si="44"/>
        <v>31.240845110885672</v>
      </c>
    </row>
    <row r="157" spans="1:31" x14ac:dyDescent="0.35">
      <c r="A157">
        <v>2004</v>
      </c>
      <c r="B157">
        <v>14741.705</v>
      </c>
      <c r="C157">
        <v>18532.89</v>
      </c>
      <c r="D157">
        <v>25870.444</v>
      </c>
      <c r="E157">
        <v>13493.121999999999</v>
      </c>
      <c r="F157">
        <v>15335.022999999999</v>
      </c>
      <c r="G157">
        <v>22014.905999999999</v>
      </c>
      <c r="H157">
        <v>14082.290999999999</v>
      </c>
      <c r="I157">
        <v>16461.981</v>
      </c>
      <c r="J157">
        <v>25065.057000000001</v>
      </c>
      <c r="N157">
        <f>IF(ISBLANK($B157),NA(),IFERROR(SUM($B157:$B$177),NA()))</f>
        <v>273205.58700000006</v>
      </c>
      <c r="O157">
        <f>IF(ISBLANK($C157),NA(),IFERROR(SUM($C157:$C$177),NA()))</f>
        <v>362232.93899999995</v>
      </c>
      <c r="P157">
        <f>IF(ISBLANK($D157),NA(),IFERROR(SUM($D157:$D$177),NA()))</f>
        <v>695989.56699999992</v>
      </c>
      <c r="Q157">
        <f t="shared" si="36"/>
        <v>1058222.5059999998</v>
      </c>
      <c r="R157">
        <f t="shared" si="37"/>
        <v>25.81740469995259</v>
      </c>
      <c r="S157">
        <f t="shared" si="38"/>
        <v>34.230318949576379</v>
      </c>
      <c r="T157">
        <f>IF(ISBLANK($E157),NA(),IFERROR(SUM($E157:$E$177),NA()))</f>
        <v>247808.02300000002</v>
      </c>
      <c r="U157">
        <f>IF(ISBLANK($F157),NA(),IFERROR(SUM($F157:$F$177),NA()))</f>
        <v>297087.57699999987</v>
      </c>
      <c r="V157">
        <f>IF(ISBLANK($G157),NA(),IFERROR(SUM($G157:$G$177),NA()))</f>
        <v>577942.05099999998</v>
      </c>
      <c r="W157">
        <f t="shared" si="39"/>
        <v>875029.62799999979</v>
      </c>
      <c r="X157">
        <f t="shared" si="40"/>
        <v>28.319957984325541</v>
      </c>
      <c r="Y157">
        <f t="shared" si="41"/>
        <v>33.951716318341617</v>
      </c>
      <c r="Z157">
        <f>IF(ISBLANK($H157),NA(),IFERROR(SUM($H157:$H$177),NA()))</f>
        <v>257830.91100000002</v>
      </c>
      <c r="AA157">
        <f>IF(ISBLANK($I157),NA(),IFERROR(SUM($I157:$I$177),NA()))</f>
        <v>309245.15999999997</v>
      </c>
      <c r="AB157">
        <f>IF(ISBLANK($J157),NA(),IFERROR(SUM($J157:$J$177),NA()))</f>
        <v>693668.51699999988</v>
      </c>
      <c r="AC157">
        <f t="shared" si="42"/>
        <v>1002913.6769999999</v>
      </c>
      <c r="AD157">
        <f t="shared" si="43"/>
        <v>25.708185750467138</v>
      </c>
      <c r="AE157">
        <f t="shared" si="44"/>
        <v>30.834673720378429</v>
      </c>
    </row>
    <row r="158" spans="1:31" x14ac:dyDescent="0.35">
      <c r="A158">
        <v>2005</v>
      </c>
      <c r="B158">
        <v>14715.933999999999</v>
      </c>
      <c r="C158">
        <v>18584.277999999998</v>
      </c>
      <c r="D158">
        <v>26404.707999999999</v>
      </c>
      <c r="E158">
        <v>13476.358</v>
      </c>
      <c r="F158">
        <v>15415.919</v>
      </c>
      <c r="G158">
        <v>22204.800999999999</v>
      </c>
      <c r="H158">
        <v>13649.374</v>
      </c>
      <c r="I158">
        <v>16005.239</v>
      </c>
      <c r="J158">
        <v>25890.391</v>
      </c>
      <c r="N158">
        <f>IF(ISBLANK($B158),NA(),IFERROR(SUM($B158:$B$177),NA()))</f>
        <v>258463.88200000004</v>
      </c>
      <c r="O158">
        <f>IF(ISBLANK($C158),NA(),IFERROR(SUM($C158:$C$177),NA()))</f>
        <v>343700.049</v>
      </c>
      <c r="P158">
        <f>IF(ISBLANK($D158),NA(),IFERROR(SUM($D158:$D$177),NA()))</f>
        <v>670119.12300000002</v>
      </c>
      <c r="Q158">
        <f t="shared" si="36"/>
        <v>1013819.172</v>
      </c>
      <c r="R158">
        <f t="shared" si="37"/>
        <v>25.494081108184059</v>
      </c>
      <c r="S158">
        <f t="shared" si="38"/>
        <v>33.901514046333304</v>
      </c>
      <c r="T158">
        <f>IF(ISBLANK($E158),NA(),IFERROR(SUM($E158:$E$177),NA()))</f>
        <v>234314.90100000004</v>
      </c>
      <c r="U158">
        <f>IF(ISBLANK($F158),NA(),IFERROR(SUM($F158:$F$177),NA()))</f>
        <v>281752.55399999989</v>
      </c>
      <c r="V158">
        <f>IF(ISBLANK($G158),NA(),IFERROR(SUM($G158:$G$177),NA()))</f>
        <v>555927.14500000002</v>
      </c>
      <c r="W158">
        <f t="shared" si="39"/>
        <v>837679.69899999991</v>
      </c>
      <c r="X158">
        <f t="shared" si="40"/>
        <v>27.971896809689795</v>
      </c>
      <c r="Y158">
        <f t="shared" si="41"/>
        <v>33.634879099535148</v>
      </c>
      <c r="Z158">
        <f>IF(ISBLANK($H158),NA(),IFERROR(SUM($H158:$H$177),NA()))</f>
        <v>243748.62</v>
      </c>
      <c r="AA158">
        <f>IF(ISBLANK($I158),NA(),IFERROR(SUM($I158:$I$177),NA()))</f>
        <v>292783.179</v>
      </c>
      <c r="AB158">
        <f>IF(ISBLANK($J158),NA(),IFERROR(SUM($J158:$J$177),NA()))</f>
        <v>668603.46</v>
      </c>
      <c r="AC158">
        <f t="shared" si="42"/>
        <v>961386.63899999997</v>
      </c>
      <c r="AD158">
        <f t="shared" si="43"/>
        <v>25.353859738839162</v>
      </c>
      <c r="AE158">
        <f t="shared" si="44"/>
        <v>30.454259204656996</v>
      </c>
    </row>
    <row r="159" spans="1:31" x14ac:dyDescent="0.35">
      <c r="A159">
        <v>2006</v>
      </c>
      <c r="B159">
        <v>14292</v>
      </c>
      <c r="C159">
        <v>18282.004000000001</v>
      </c>
      <c r="D159">
        <v>27917.294999999998</v>
      </c>
      <c r="E159">
        <v>13339.402</v>
      </c>
      <c r="F159">
        <v>15367.998</v>
      </c>
      <c r="G159">
        <v>22797.88</v>
      </c>
      <c r="H159">
        <v>13963.647999999999</v>
      </c>
      <c r="I159">
        <v>16423.181</v>
      </c>
      <c r="J159">
        <v>26669.582999999999</v>
      </c>
      <c r="N159">
        <f>IF(ISBLANK($B159),NA(),IFERROR(SUM($B159:$B$177),NA()))</f>
        <v>243747.94800000003</v>
      </c>
      <c r="O159">
        <f>IF(ISBLANK($C159),NA(),IFERROR(SUM($C159:$C$177),NA()))</f>
        <v>325115.77100000007</v>
      </c>
      <c r="P159">
        <f>IF(ISBLANK($D159),NA(),IFERROR(SUM($D159:$D$177),NA()))</f>
        <v>643714.41499999992</v>
      </c>
      <c r="Q159">
        <f t="shared" si="36"/>
        <v>968830.18599999999</v>
      </c>
      <c r="R159">
        <f t="shared" si="37"/>
        <v>25.158996026575085</v>
      </c>
      <c r="S159">
        <f t="shared" si="38"/>
        <v>33.557560003606248</v>
      </c>
      <c r="T159">
        <f>IF(ISBLANK($E159),NA(),IFERROR(SUM($E159:$E$177),NA()))</f>
        <v>220838.54300000003</v>
      </c>
      <c r="U159">
        <f>IF(ISBLANK($F159),NA(),IFERROR(SUM($F159:$F$177),NA()))</f>
        <v>266336.63499999995</v>
      </c>
      <c r="V159">
        <f>IF(ISBLANK($G159),NA(),IFERROR(SUM($G159:$G$177),NA()))</f>
        <v>533722.34399999992</v>
      </c>
      <c r="W159">
        <f t="shared" si="39"/>
        <v>800058.97899999982</v>
      </c>
      <c r="X159">
        <f t="shared" si="40"/>
        <v>27.602782894334606</v>
      </c>
      <c r="Y159">
        <f t="shared" si="41"/>
        <v>33.289625138998659</v>
      </c>
      <c r="Z159">
        <f>IF(ISBLANK($H159),NA(),IFERROR(SUM($H159:$H$177),NA()))</f>
        <v>230099.24599999998</v>
      </c>
      <c r="AA159">
        <f>IF(ISBLANK($I159),NA(),IFERROR(SUM($I159:$I$177),NA()))</f>
        <v>276777.94000000006</v>
      </c>
      <c r="AB159">
        <f>IF(ISBLANK($J159),NA(),IFERROR(SUM($J159:$J$177),NA()))</f>
        <v>642713.0689999999</v>
      </c>
      <c r="AC159">
        <f t="shared" si="42"/>
        <v>919491.00899999996</v>
      </c>
      <c r="AD159">
        <f t="shared" si="43"/>
        <v>25.024632513834614</v>
      </c>
      <c r="AE159">
        <f t="shared" si="44"/>
        <v>30.101212224033837</v>
      </c>
    </row>
    <row r="160" spans="1:31" x14ac:dyDescent="0.35">
      <c r="A160">
        <v>2007</v>
      </c>
      <c r="B160">
        <v>14435.58</v>
      </c>
      <c r="C160">
        <v>18569.150000000001</v>
      </c>
      <c r="D160">
        <v>28146.095000000001</v>
      </c>
      <c r="E160">
        <v>13476.138000000001</v>
      </c>
      <c r="F160">
        <v>15499.503000000001</v>
      </c>
      <c r="G160">
        <v>22937.248</v>
      </c>
      <c r="H160">
        <v>14056.117</v>
      </c>
      <c r="I160">
        <v>16562.108</v>
      </c>
      <c r="J160">
        <v>26930.560000000001</v>
      </c>
      <c r="N160">
        <f>IF(ISBLANK($B160),NA(),IFERROR(SUM($B160:$B$177),NA()))</f>
        <v>229455.948</v>
      </c>
      <c r="O160">
        <f>IF(ISBLANK($C160),NA(),IFERROR(SUM($C160:$C$177),NA()))</f>
        <v>306833.76700000005</v>
      </c>
      <c r="P160">
        <f>IF(ISBLANK($D160),NA(),IFERROR(SUM($D160:$D$177),NA()))</f>
        <v>615797.12</v>
      </c>
      <c r="Q160">
        <f t="shared" si="36"/>
        <v>922630.8870000001</v>
      </c>
      <c r="R160">
        <f t="shared" si="37"/>
        <v>24.869744903738518</v>
      </c>
      <c r="S160">
        <f t="shared" si="38"/>
        <v>33.256394439350693</v>
      </c>
      <c r="T160">
        <f>IF(ISBLANK($E160),NA(),IFERROR(SUM($E160:$E$177),NA()))</f>
        <v>207499.14100000003</v>
      </c>
      <c r="U160">
        <f>IF(ISBLANK($F160),NA(),IFERROR(SUM($F160:$F$177),NA()))</f>
        <v>250968.63699999999</v>
      </c>
      <c r="V160">
        <f>IF(ISBLANK($G160),NA(),IFERROR(SUM($G160:$G$177),NA()))</f>
        <v>510924.46399999992</v>
      </c>
      <c r="W160">
        <f t="shared" si="39"/>
        <v>761893.10099999991</v>
      </c>
      <c r="X160">
        <f t="shared" si="40"/>
        <v>27.234679081311182</v>
      </c>
      <c r="Y160">
        <f t="shared" si="41"/>
        <v>32.940137752999554</v>
      </c>
      <c r="Z160">
        <f>IF(ISBLANK($H160),NA(),IFERROR(SUM($H160:$H$177),NA()))</f>
        <v>216135.598</v>
      </c>
      <c r="AA160">
        <f>IF(ISBLANK($I160),NA(),IFERROR(SUM($I160:$I$177),NA()))</f>
        <v>260354.75900000005</v>
      </c>
      <c r="AB160">
        <f>IF(ISBLANK($J160),NA(),IFERROR(SUM($J160:$J$177),NA()))</f>
        <v>616043.48599999992</v>
      </c>
      <c r="AC160">
        <f t="shared" si="42"/>
        <v>876398.245</v>
      </c>
      <c r="AD160">
        <f t="shared" si="43"/>
        <v>24.661801781677461</v>
      </c>
      <c r="AE160">
        <f t="shared" si="44"/>
        <v>29.707357412610978</v>
      </c>
    </row>
    <row r="161" spans="1:31" x14ac:dyDescent="0.35">
      <c r="A161">
        <v>2008</v>
      </c>
      <c r="B161">
        <v>14223.795</v>
      </c>
      <c r="C161">
        <v>18297.382000000001</v>
      </c>
      <c r="D161">
        <v>29348.887999999999</v>
      </c>
      <c r="E161">
        <v>13027.143</v>
      </c>
      <c r="F161">
        <v>15141.92</v>
      </c>
      <c r="G161">
        <v>23721.710999999999</v>
      </c>
      <c r="H161">
        <v>12880.913</v>
      </c>
      <c r="I161">
        <v>15433.549000000001</v>
      </c>
      <c r="J161">
        <v>27266.767</v>
      </c>
      <c r="N161">
        <f>IF(ISBLANK($B161),NA(),IFERROR(SUM($B161:$B$177),NA()))</f>
        <v>215020.36799999999</v>
      </c>
      <c r="O161">
        <f>IF(ISBLANK($C161),NA(),IFERROR(SUM($C161:$C$177),NA()))</f>
        <v>288264.61700000003</v>
      </c>
      <c r="P161">
        <f>IF(ISBLANK($D161),NA(),IFERROR(SUM($D161:$D$177),NA()))</f>
        <v>587651.02499999991</v>
      </c>
      <c r="Q161">
        <f t="shared" si="36"/>
        <v>875915.64199999999</v>
      </c>
      <c r="R161">
        <f t="shared" si="37"/>
        <v>24.548068066125481</v>
      </c>
      <c r="S161">
        <f t="shared" si="38"/>
        <v>32.910088960370459</v>
      </c>
      <c r="T161">
        <f>IF(ISBLANK($E161),NA(),IFERROR(SUM($E161:$E$177),NA()))</f>
        <v>194023.00300000006</v>
      </c>
      <c r="U161">
        <f>IF(ISBLANK($F161),NA(),IFERROR(SUM($F161:$F$177),NA()))</f>
        <v>235469.13399999996</v>
      </c>
      <c r="V161">
        <f>IF(ISBLANK($G161),NA(),IFERROR(SUM($G161:$G$177),NA()))</f>
        <v>487987.21599999996</v>
      </c>
      <c r="W161">
        <f t="shared" si="39"/>
        <v>723456.34999999986</v>
      </c>
      <c r="X161">
        <f t="shared" si="40"/>
        <v>26.818895569857133</v>
      </c>
      <c r="Y161">
        <f t="shared" si="41"/>
        <v>32.547801121657166</v>
      </c>
      <c r="Z161">
        <f>IF(ISBLANK($H161),NA(),IFERROR(SUM($H161:$H$177),NA()))</f>
        <v>202079.48100000003</v>
      </c>
      <c r="AA161">
        <f>IF(ISBLANK($I161),NA(),IFERROR(SUM($I161:$I$177),NA()))</f>
        <v>243792.65100000004</v>
      </c>
      <c r="AB161">
        <f>IF(ISBLANK($J161),NA(),IFERROR(SUM($J161:$J$177),NA()))</f>
        <v>589112.92599999998</v>
      </c>
      <c r="AC161">
        <f t="shared" si="42"/>
        <v>832905.57700000005</v>
      </c>
      <c r="AD161">
        <f t="shared" si="43"/>
        <v>24.261991584671549</v>
      </c>
      <c r="AE161">
        <f t="shared" si="44"/>
        <v>29.270142706704437</v>
      </c>
    </row>
    <row r="162" spans="1:31" x14ac:dyDescent="0.35">
      <c r="A162">
        <v>2009</v>
      </c>
      <c r="B162">
        <v>13170.375</v>
      </c>
      <c r="C162">
        <v>17220.52</v>
      </c>
      <c r="D162">
        <v>30440.955999999998</v>
      </c>
      <c r="E162">
        <v>12185.001</v>
      </c>
      <c r="F162">
        <v>13962.259</v>
      </c>
      <c r="G162">
        <v>23758.166000000001</v>
      </c>
      <c r="H162">
        <v>11873.431</v>
      </c>
      <c r="I162">
        <v>13962.427</v>
      </c>
      <c r="J162">
        <v>28117.924999999999</v>
      </c>
      <c r="N162">
        <f>IF(ISBLANK($B162),NA(),IFERROR(SUM($B162:$B$177),NA()))</f>
        <v>200796.57299999997</v>
      </c>
      <c r="O162">
        <f>IF(ISBLANK($C162),NA(),IFERROR(SUM($C162:$C$177),NA()))</f>
        <v>269967.23500000004</v>
      </c>
      <c r="P162">
        <f>IF(ISBLANK($D162),NA(),IFERROR(SUM($D162:$D$177),NA()))</f>
        <v>558302.13699999999</v>
      </c>
      <c r="Q162">
        <f t="shared" si="36"/>
        <v>828269.37199999997</v>
      </c>
      <c r="R162">
        <f t="shared" si="37"/>
        <v>24.242906931973334</v>
      </c>
      <c r="S162">
        <f t="shared" si="38"/>
        <v>32.594134725532271</v>
      </c>
      <c r="T162">
        <f>IF(ISBLANK($E162),NA(),IFERROR(SUM($E162:$E$177),NA()))</f>
        <v>180995.86000000002</v>
      </c>
      <c r="U162">
        <f>IF(ISBLANK($F162),NA(),IFERROR(SUM($F162:$F$177),NA()))</f>
        <v>220327.21399999998</v>
      </c>
      <c r="V162">
        <f>IF(ISBLANK($G162),NA(),IFERROR(SUM($G162:$G$177),NA()))</f>
        <v>464265.50499999995</v>
      </c>
      <c r="W162">
        <f t="shared" si="39"/>
        <v>684592.71899999992</v>
      </c>
      <c r="X162">
        <f t="shared" si="40"/>
        <v>26.438472828689264</v>
      </c>
      <c r="Y162">
        <f t="shared" si="41"/>
        <v>32.1836922720763</v>
      </c>
      <c r="Z162">
        <f>IF(ISBLANK($H162),NA(),IFERROR(SUM($H162:$H$177),NA()))</f>
        <v>189198.56800000003</v>
      </c>
      <c r="AA162">
        <f>IF(ISBLANK($I162),NA(),IFERROR(SUM($I162:$I$177),NA()))</f>
        <v>228359.10199999998</v>
      </c>
      <c r="AB162">
        <f>IF(ISBLANK($J162),NA(),IFERROR(SUM($J162:$J$177),NA()))</f>
        <v>561846.15899999999</v>
      </c>
      <c r="AC162">
        <f t="shared" si="42"/>
        <v>790205.26099999994</v>
      </c>
      <c r="AD162">
        <f t="shared" si="43"/>
        <v>23.942964864669516</v>
      </c>
      <c r="AE162">
        <f t="shared" si="44"/>
        <v>28.898706863962527</v>
      </c>
    </row>
    <row r="163" spans="1:31" x14ac:dyDescent="0.35">
      <c r="A163">
        <v>2010</v>
      </c>
      <c r="B163">
        <v>13746.319</v>
      </c>
      <c r="C163">
        <v>18065.312000000002</v>
      </c>
      <c r="D163">
        <v>31517.054</v>
      </c>
      <c r="E163">
        <v>12524.359</v>
      </c>
      <c r="F163">
        <v>14443.476000000001</v>
      </c>
      <c r="G163">
        <v>24617.62</v>
      </c>
      <c r="H163">
        <v>12333.046</v>
      </c>
      <c r="I163">
        <v>14577.466</v>
      </c>
      <c r="J163">
        <v>29973.202000000001</v>
      </c>
      <c r="N163">
        <f>IF(ISBLANK($B163),NA(),IFERROR(SUM($B163:$B$177),NA()))</f>
        <v>187626.19799999995</v>
      </c>
      <c r="O163">
        <f>IF(ISBLANK($C163),NA(),IFERROR(SUM($C163:$C$177),NA()))</f>
        <v>252746.71500000003</v>
      </c>
      <c r="P163">
        <f>IF(ISBLANK($D163),NA(),IFERROR(SUM($D163:$D$177),NA()))</f>
        <v>527861.18099999998</v>
      </c>
      <c r="Q163">
        <f t="shared" ref="Q163:Q177" si="45">IFERROR(O163+P163,"")</f>
        <v>780607.89599999995</v>
      </c>
      <c r="R163">
        <f t="shared" ref="R163:R177" si="46">IFERROR(N163/Q163*100,NA())</f>
        <v>24.035908291657858</v>
      </c>
      <c r="S163">
        <f t="shared" ref="S163:S177" si="47">IFERROR(O163/Q163*100,NA())</f>
        <v>32.378190932365364</v>
      </c>
      <c r="T163">
        <f>IF(ISBLANK($E163),NA(),IFERROR(SUM($E163:$E$177),NA()))</f>
        <v>168810.859</v>
      </c>
      <c r="U163">
        <f>IF(ISBLANK($F163),NA(),IFERROR(SUM($F163:$F$177),NA()))</f>
        <v>206364.95500000002</v>
      </c>
      <c r="V163">
        <f>IF(ISBLANK($G163),NA(),IFERROR(SUM($G163:$G$177),NA()))</f>
        <v>440507.33899999992</v>
      </c>
      <c r="W163">
        <f t="shared" ref="W163:W177" si="48">IFERROR(U163+V163,"")</f>
        <v>646872.29399999999</v>
      </c>
      <c r="X163">
        <f t="shared" ref="X163:X177" si="49">IFERROR(T163/W163*100,NA())</f>
        <v>26.096473842795316</v>
      </c>
      <c r="Y163">
        <f t="shared" ref="Y163:Y177" si="50">IFERROR(U163/W163*100,NA())</f>
        <v>31.901962244189114</v>
      </c>
      <c r="Z163">
        <f>IF(ISBLANK($H163),NA(),IFERROR(SUM($H163:$H$177),NA()))</f>
        <v>177325.13700000005</v>
      </c>
      <c r="AA163">
        <f>IF(ISBLANK($I163),NA(),IFERROR(SUM($I163:$I$177),NA()))</f>
        <v>214396.67500000002</v>
      </c>
      <c r="AB163">
        <f>IF(ISBLANK($J163),NA(),IFERROR(SUM($J163:$J$177),NA()))</f>
        <v>533728.23399999994</v>
      </c>
      <c r="AC163">
        <f t="shared" ref="AC163:AC177" si="51">IFERROR(AA163+AB163,"")</f>
        <v>748124.90899999999</v>
      </c>
      <c r="AD163">
        <f t="shared" ref="AD163:AD177" si="52">IFERROR(Z163/AC163*100,NA())</f>
        <v>23.702611003425371</v>
      </c>
      <c r="AE163">
        <f t="shared" ref="AE163:AE177" si="53">IFERROR(AA163/AC163*100,NA())</f>
        <v>28.657871489211438</v>
      </c>
    </row>
    <row r="164" spans="1:31" x14ac:dyDescent="0.35">
      <c r="A164">
        <v>2011</v>
      </c>
      <c r="B164">
        <v>13376.062</v>
      </c>
      <c r="C164">
        <v>17565.224999999999</v>
      </c>
      <c r="D164">
        <v>33348.186000000002</v>
      </c>
      <c r="E164">
        <v>12180.875</v>
      </c>
      <c r="F164">
        <v>14580.798000000001</v>
      </c>
      <c r="G164">
        <v>26777.878000000001</v>
      </c>
      <c r="H164">
        <v>13372.288</v>
      </c>
      <c r="I164">
        <v>15870.251</v>
      </c>
      <c r="J164">
        <v>31629.795999999998</v>
      </c>
      <c r="N164">
        <f>IF(ISBLANK($B164),NA(),IFERROR(SUM($B164:$B$177),NA()))</f>
        <v>173879.87899999996</v>
      </c>
      <c r="O164">
        <f>IF(ISBLANK($C164),NA(),IFERROR(SUM($C164:$C$177),NA()))</f>
        <v>234681.40300000005</v>
      </c>
      <c r="P164">
        <f>IF(ISBLANK($D164),NA(),IFERROR(SUM($D164:$D$177),NA()))</f>
        <v>496344.12699999998</v>
      </c>
      <c r="Q164">
        <f t="shared" si="45"/>
        <v>731025.53</v>
      </c>
      <c r="R164">
        <f t="shared" si="46"/>
        <v>23.785746443082495</v>
      </c>
      <c r="S164">
        <f t="shared" si="47"/>
        <v>32.103037906213757</v>
      </c>
      <c r="T164">
        <f>IF(ISBLANK($E164),NA(),IFERROR(SUM($E164:$E$177),NA()))</f>
        <v>156286.5</v>
      </c>
      <c r="U164">
        <f>IF(ISBLANK($F164),NA(),IFERROR(SUM($F164:$F$177),NA()))</f>
        <v>191921.47900000002</v>
      </c>
      <c r="V164">
        <f>IF(ISBLANK($G164),NA(),IFERROR(SUM($G164:$G$177),NA()))</f>
        <v>415889.71900000004</v>
      </c>
      <c r="W164">
        <f t="shared" si="48"/>
        <v>607811.19800000009</v>
      </c>
      <c r="X164">
        <f t="shared" si="49"/>
        <v>25.713001095448718</v>
      </c>
      <c r="Y164">
        <f t="shared" si="50"/>
        <v>31.575837962761589</v>
      </c>
      <c r="Z164">
        <f>IF(ISBLANK($H164),NA(),IFERROR(SUM($H164:$H$177),NA()))</f>
        <v>164992.09100000001</v>
      </c>
      <c r="AA164">
        <f>IF(ISBLANK($I164),NA(),IFERROR(SUM($I164:$I$177),NA()))</f>
        <v>199819.209</v>
      </c>
      <c r="AB164">
        <f>IF(ISBLANK($J164),NA(),IFERROR(SUM($J164:$J$177),NA()))</f>
        <v>503755.03199999995</v>
      </c>
      <c r="AC164">
        <f t="shared" si="51"/>
        <v>703574.24099999992</v>
      </c>
      <c r="AD164">
        <f t="shared" si="52"/>
        <v>23.450558787583589</v>
      </c>
      <c r="AE164">
        <f t="shared" si="53"/>
        <v>28.400586228966279</v>
      </c>
    </row>
    <row r="165" spans="1:31" x14ac:dyDescent="0.35">
      <c r="A165">
        <v>2012</v>
      </c>
      <c r="B165">
        <v>13174.028</v>
      </c>
      <c r="C165">
        <v>17632.703000000001</v>
      </c>
      <c r="D165">
        <v>34132.99</v>
      </c>
      <c r="E165">
        <v>11929.063</v>
      </c>
      <c r="F165">
        <v>14736.448</v>
      </c>
      <c r="G165">
        <v>27569.804</v>
      </c>
      <c r="H165">
        <v>13017.941000000001</v>
      </c>
      <c r="I165">
        <v>15508.589</v>
      </c>
      <c r="J165">
        <v>33111.220999999998</v>
      </c>
      <c r="N165">
        <f>IF(ISBLANK($B165),NA(),IFERROR(SUM($B165:$B$177),NA()))</f>
        <v>160503.81700000001</v>
      </c>
      <c r="O165">
        <f>IF(ISBLANK($C165),NA(),IFERROR(SUM($C165:$C$177),NA()))</f>
        <v>217116.17800000001</v>
      </c>
      <c r="P165">
        <f>IF(ISBLANK($D165),NA(),IFERROR(SUM($D165:$D$177),NA()))</f>
        <v>462995.94099999999</v>
      </c>
      <c r="Q165">
        <f t="shared" si="45"/>
        <v>680112.11899999995</v>
      </c>
      <c r="R165">
        <f t="shared" si="46"/>
        <v>23.599611375253264</v>
      </c>
      <c r="S165">
        <f t="shared" si="47"/>
        <v>31.923586116835544</v>
      </c>
      <c r="T165">
        <f>IF(ISBLANK($E165),NA(),IFERROR(SUM($E165:$E$177),NA()))</f>
        <v>144105.625</v>
      </c>
      <c r="U165">
        <f>IF(ISBLANK($F165),NA(),IFERROR(SUM($F165:$F$177),NA()))</f>
        <v>177340.68100000001</v>
      </c>
      <c r="V165">
        <f>IF(ISBLANK($G165),NA(),IFERROR(SUM($G165:$G$177),NA()))</f>
        <v>389111.84100000001</v>
      </c>
      <c r="W165">
        <f t="shared" si="48"/>
        <v>566452.522</v>
      </c>
      <c r="X165">
        <f t="shared" si="49"/>
        <v>25.440018254521956</v>
      </c>
      <c r="Y165">
        <f t="shared" si="50"/>
        <v>31.307245375809273</v>
      </c>
      <c r="Z165">
        <f>IF(ISBLANK($H165),NA(),IFERROR(SUM($H165:$H$177),NA()))</f>
        <v>151619.80300000001</v>
      </c>
      <c r="AA165">
        <f>IF(ISBLANK($I165),NA(),IFERROR(SUM($I165:$I$177),NA()))</f>
        <v>183948.95799999998</v>
      </c>
      <c r="AB165">
        <f>IF(ISBLANK($J165),NA(),IFERROR(SUM($J165:$J$177),NA()))</f>
        <v>472125.23599999998</v>
      </c>
      <c r="AC165">
        <f t="shared" si="51"/>
        <v>656074.1939999999</v>
      </c>
      <c r="AD165">
        <f t="shared" si="52"/>
        <v>23.110161074251923</v>
      </c>
      <c r="AE165">
        <f t="shared" si="53"/>
        <v>28.037828599611096</v>
      </c>
    </row>
    <row r="166" spans="1:31" x14ac:dyDescent="0.35">
      <c r="A166">
        <v>2013</v>
      </c>
      <c r="B166">
        <v>13125.269</v>
      </c>
      <c r="C166">
        <v>17384.099999999999</v>
      </c>
      <c r="D166">
        <v>34283.438999999998</v>
      </c>
      <c r="E166">
        <v>12110.896000000001</v>
      </c>
      <c r="F166">
        <v>14331.868</v>
      </c>
      <c r="G166">
        <v>27878.397000000001</v>
      </c>
      <c r="H166">
        <v>12199.745000000001</v>
      </c>
      <c r="I166">
        <v>14593.489</v>
      </c>
      <c r="J166">
        <v>34489.622000000003</v>
      </c>
      <c r="N166">
        <f>IF(ISBLANK($B166),NA(),IFERROR(SUM($B166:$B$177),NA()))</f>
        <v>147329.78899999999</v>
      </c>
      <c r="O166">
        <f>IF(ISBLANK($C166),NA(),IFERROR(SUM($C166:$C$177),NA()))</f>
        <v>199483.47500000003</v>
      </c>
      <c r="P166">
        <f>IF(ISBLANK($D166),NA(),IFERROR(SUM($D166:$D$177),NA()))</f>
        <v>428862.951</v>
      </c>
      <c r="Q166">
        <f t="shared" si="45"/>
        <v>628346.42599999998</v>
      </c>
      <c r="R166">
        <f t="shared" si="46"/>
        <v>23.447223204226518</v>
      </c>
      <c r="S166">
        <f t="shared" si="47"/>
        <v>31.747371632221245</v>
      </c>
      <c r="T166">
        <f>IF(ISBLANK($E166),NA(),IFERROR(SUM($E166:$E$177),NA()))</f>
        <v>132176.56200000001</v>
      </c>
      <c r="U166">
        <f>IF(ISBLANK($F166),NA(),IFERROR(SUM($F166:$F$177),NA()))</f>
        <v>162604.23300000001</v>
      </c>
      <c r="V166">
        <f>IF(ISBLANK($G166),NA(),IFERROR(SUM($G166:$G$177),NA()))</f>
        <v>361542.03700000001</v>
      </c>
      <c r="W166">
        <f t="shared" si="48"/>
        <v>524146.27</v>
      </c>
      <c r="X166">
        <f t="shared" si="49"/>
        <v>25.217495490333263</v>
      </c>
      <c r="Y166">
        <f t="shared" si="50"/>
        <v>31.022682466098633</v>
      </c>
      <c r="Z166">
        <f>IF(ISBLANK($H166),NA(),IFERROR(SUM($H166:$H$177),NA()))</f>
        <v>138601.86199999999</v>
      </c>
      <c r="AA166">
        <f>IF(ISBLANK($I166),NA(),IFERROR(SUM($I166:$I$177),NA()))</f>
        <v>168440.36899999998</v>
      </c>
      <c r="AB166">
        <f>IF(ISBLANK($J166),NA(),IFERROR(SUM($J166:$J$177),NA()))</f>
        <v>439014.01499999996</v>
      </c>
      <c r="AC166">
        <f t="shared" si="51"/>
        <v>607454.38399999996</v>
      </c>
      <c r="AD166">
        <f t="shared" si="52"/>
        <v>22.81683458885038</v>
      </c>
      <c r="AE166">
        <f t="shared" si="53"/>
        <v>27.728891820788963</v>
      </c>
    </row>
    <row r="167" spans="1:31" x14ac:dyDescent="0.35">
      <c r="A167">
        <v>2014</v>
      </c>
      <c r="B167">
        <v>13018.089</v>
      </c>
      <c r="C167">
        <v>17124.001</v>
      </c>
      <c r="D167">
        <v>34939.535000000003</v>
      </c>
      <c r="E167">
        <v>11887.377</v>
      </c>
      <c r="F167">
        <v>14240.411</v>
      </c>
      <c r="G167">
        <v>28455.205000000002</v>
      </c>
      <c r="H167">
        <v>12234.455</v>
      </c>
      <c r="I167">
        <v>14645.405000000001</v>
      </c>
      <c r="J167">
        <v>35522.51</v>
      </c>
      <c r="N167">
        <f>IF(ISBLANK($B167),NA(),IFERROR(SUM($B167:$B$177),NA()))</f>
        <v>134204.51999999999</v>
      </c>
      <c r="O167">
        <f>IF(ISBLANK($C167),NA(),IFERROR(SUM($C167:$C$177),NA()))</f>
        <v>182099.37500000003</v>
      </c>
      <c r="P167">
        <f>IF(ISBLANK($D167),NA(),IFERROR(SUM($D167:$D$177),NA()))</f>
        <v>394579.51199999999</v>
      </c>
      <c r="Q167">
        <f t="shared" si="45"/>
        <v>576678.88699999999</v>
      </c>
      <c r="R167">
        <f t="shared" si="46"/>
        <v>23.27196695168762</v>
      </c>
      <c r="S167">
        <f t="shared" si="47"/>
        <v>31.577257136517993</v>
      </c>
      <c r="T167">
        <f>IF(ISBLANK($E167),NA(),IFERROR(SUM($E167:$E$177),NA()))</f>
        <v>120065.666</v>
      </c>
      <c r="U167">
        <f>IF(ISBLANK($F167),NA(),IFERROR(SUM($F167:$F$177),NA()))</f>
        <v>148272.36500000002</v>
      </c>
      <c r="V167">
        <f>IF(ISBLANK($G167),NA(),IFERROR(SUM($G167:$G$177),NA()))</f>
        <v>333663.64</v>
      </c>
      <c r="W167">
        <f t="shared" si="48"/>
        <v>481936.005</v>
      </c>
      <c r="X167">
        <f t="shared" si="49"/>
        <v>24.91319692953839</v>
      </c>
      <c r="Y167">
        <f t="shared" si="50"/>
        <v>30.765986243339512</v>
      </c>
      <c r="Z167">
        <f>IF(ISBLANK($H167),NA(),IFERROR(SUM($H167:$H$177),NA()))</f>
        <v>126402.117</v>
      </c>
      <c r="AA167">
        <f>IF(ISBLANK($I167),NA(),IFERROR(SUM($I167:$I$177),NA()))</f>
        <v>153846.87999999998</v>
      </c>
      <c r="AB167">
        <f>IF(ISBLANK($J167),NA(),IFERROR(SUM($J167:$J$177),NA()))</f>
        <v>404524.39299999998</v>
      </c>
      <c r="AC167">
        <f t="shared" si="51"/>
        <v>558371.27299999993</v>
      </c>
      <c r="AD167">
        <f t="shared" si="52"/>
        <v>22.637646869057324</v>
      </c>
      <c r="AE167">
        <f t="shared" si="53"/>
        <v>27.552792817119016</v>
      </c>
    </row>
    <row r="168" spans="1:31" x14ac:dyDescent="0.35">
      <c r="A168">
        <v>2015</v>
      </c>
      <c r="B168">
        <v>12782.51</v>
      </c>
      <c r="C168">
        <v>17155.285</v>
      </c>
      <c r="D168">
        <v>34939.697</v>
      </c>
      <c r="E168">
        <v>11805.423000000001</v>
      </c>
      <c r="F168">
        <v>14175.657999999999</v>
      </c>
      <c r="G168">
        <v>29732.957999999999</v>
      </c>
      <c r="H168">
        <v>12127.333000000001</v>
      </c>
      <c r="I168">
        <v>14397.364</v>
      </c>
      <c r="J168">
        <v>35964.750999999997</v>
      </c>
      <c r="N168">
        <f>IF(ISBLANK($B168),NA(),IFERROR(SUM($B168:$B$177),NA()))</f>
        <v>121186.43099999998</v>
      </c>
      <c r="O168">
        <f>IF(ISBLANK($C168),NA(),IFERROR(SUM($C168:$C$177),NA()))</f>
        <v>164975.37400000001</v>
      </c>
      <c r="P168">
        <f>IF(ISBLANK($D168),NA(),IFERROR(SUM($D168:$D$177),NA()))</f>
        <v>359639.97700000007</v>
      </c>
      <c r="Q168">
        <f t="shared" si="45"/>
        <v>524615.35100000002</v>
      </c>
      <c r="R168">
        <f t="shared" si="46"/>
        <v>23.100054310076789</v>
      </c>
      <c r="S168">
        <f t="shared" si="47"/>
        <v>31.446920812654604</v>
      </c>
      <c r="T168">
        <f>IF(ISBLANK($E168),NA(),IFERROR(SUM($E168:$E$177),NA()))</f>
        <v>108178.289</v>
      </c>
      <c r="U168">
        <f>IF(ISBLANK($F168),NA(),IFERROR(SUM($F168:$F$177),NA()))</f>
        <v>134031.954</v>
      </c>
      <c r="V168">
        <f>IF(ISBLANK($G168),NA(),IFERROR(SUM($G168:$G$177),NA()))</f>
        <v>305208.435</v>
      </c>
      <c r="W168">
        <f t="shared" si="48"/>
        <v>439240.38899999997</v>
      </c>
      <c r="X168">
        <f t="shared" si="49"/>
        <v>24.628493123386249</v>
      </c>
      <c r="Y168">
        <f t="shared" si="50"/>
        <v>30.51448759189584</v>
      </c>
      <c r="Z168">
        <f>IF(ISBLANK($H168),NA(),IFERROR(SUM($H168:$H$177),NA()))</f>
        <v>114167.662</v>
      </c>
      <c r="AA168">
        <f>IF(ISBLANK($I168),NA(),IFERROR(SUM($I168:$I$177),NA()))</f>
        <v>139201.47499999998</v>
      </c>
      <c r="AB168">
        <f>IF(ISBLANK($J168),NA(),IFERROR(SUM($J168:$J$177),NA()))</f>
        <v>369001.88299999997</v>
      </c>
      <c r="AC168">
        <f t="shared" si="51"/>
        <v>508203.35799999995</v>
      </c>
      <c r="AD168">
        <f t="shared" si="52"/>
        <v>22.464956242969176</v>
      </c>
      <c r="AE168">
        <f t="shared" si="53"/>
        <v>27.390900278152035</v>
      </c>
    </row>
    <row r="169" spans="1:31" x14ac:dyDescent="0.35">
      <c r="A169">
        <v>2016</v>
      </c>
      <c r="B169">
        <v>12637.306</v>
      </c>
      <c r="C169">
        <v>17051.407999999999</v>
      </c>
      <c r="D169">
        <v>33937.006000000001</v>
      </c>
      <c r="E169">
        <v>11467.754999999999</v>
      </c>
      <c r="F169">
        <v>14015.956</v>
      </c>
      <c r="G169">
        <v>29439.946</v>
      </c>
      <c r="H169">
        <v>11546.769</v>
      </c>
      <c r="I169">
        <v>13895.200999999999</v>
      </c>
      <c r="J169">
        <v>35829.447999999997</v>
      </c>
      <c r="N169">
        <f>IF(ISBLANK($B169),NA(),IFERROR(SUM($B169:$B$177),NA()))</f>
        <v>108403.92099999999</v>
      </c>
      <c r="O169">
        <f>IF(ISBLANK($C169),NA(),IFERROR(SUM($C169:$C$177),NA()))</f>
        <v>147820.08899999998</v>
      </c>
      <c r="P169">
        <f>IF(ISBLANK($D169),NA(),IFERROR(SUM($D169:$D$177),NA()))</f>
        <v>324700.27999999991</v>
      </c>
      <c r="Q169">
        <f t="shared" si="45"/>
        <v>472520.36899999989</v>
      </c>
      <c r="R169">
        <f t="shared" si="46"/>
        <v>22.941639792040373</v>
      </c>
      <c r="S169">
        <f t="shared" si="47"/>
        <v>31.283326327885774</v>
      </c>
      <c r="T169">
        <f>IF(ISBLANK($E169),NA(),IFERROR(SUM($E169:$E$177),NA()))</f>
        <v>96372.865999999995</v>
      </c>
      <c r="U169">
        <f>IF(ISBLANK($F169),NA(),IFERROR(SUM($F169:$F$177),NA()))</f>
        <v>119856.29599999999</v>
      </c>
      <c r="V169">
        <f>IF(ISBLANK($G169),NA(),IFERROR(SUM($G169:$G$177),NA()))</f>
        <v>275475.47699999996</v>
      </c>
      <c r="W169">
        <f t="shared" si="48"/>
        <v>395331.77299999993</v>
      </c>
      <c r="X169">
        <f t="shared" si="49"/>
        <v>24.377718306997807</v>
      </c>
      <c r="Y169">
        <f t="shared" si="50"/>
        <v>30.317901111378671</v>
      </c>
      <c r="Z169">
        <f>IF(ISBLANK($H169),NA(),IFERROR(SUM($H169:$H$177),NA()))</f>
        <v>102040.329</v>
      </c>
      <c r="AA169">
        <f>IF(ISBLANK($I169),NA(),IFERROR(SUM($I169:$I$177),NA()))</f>
        <v>124804.111</v>
      </c>
      <c r="AB169">
        <f>IF(ISBLANK($J169),NA(),IFERROR(SUM($J169:$J$177),NA()))</f>
        <v>333037.13199999998</v>
      </c>
      <c r="AC169">
        <f t="shared" si="51"/>
        <v>457841.24300000002</v>
      </c>
      <c r="AD169">
        <f t="shared" si="52"/>
        <v>22.287273276514323</v>
      </c>
      <c r="AE169">
        <f t="shared" si="53"/>
        <v>27.259254798065452</v>
      </c>
    </row>
    <row r="170" spans="1:31" x14ac:dyDescent="0.35">
      <c r="A170">
        <v>2017</v>
      </c>
      <c r="B170">
        <v>12702.748</v>
      </c>
      <c r="C170">
        <v>17168.690999999999</v>
      </c>
      <c r="D170">
        <v>34511.152999999998</v>
      </c>
      <c r="E170">
        <v>11487.383</v>
      </c>
      <c r="F170">
        <v>13986.623</v>
      </c>
      <c r="G170">
        <v>29973.044999999998</v>
      </c>
      <c r="H170">
        <v>12059.088</v>
      </c>
      <c r="I170">
        <v>14427.977000000001</v>
      </c>
      <c r="J170">
        <v>35335.377999999997</v>
      </c>
      <c r="N170">
        <f>IF(ISBLANK($B170),NA(),IFERROR(SUM($B170:$B$177),NA()))</f>
        <v>95766.614999999991</v>
      </c>
      <c r="O170">
        <f>IF(ISBLANK($C170),NA(),IFERROR(SUM($C170:$C$177),NA()))</f>
        <v>130768.681</v>
      </c>
      <c r="P170">
        <f>IF(ISBLANK($D170),NA(),IFERROR(SUM($D170:$D$177),NA()))</f>
        <v>290763.27399999998</v>
      </c>
      <c r="Q170">
        <f t="shared" si="45"/>
        <v>421531.95499999996</v>
      </c>
      <c r="R170">
        <f t="shared" si="46"/>
        <v>22.718708241229304</v>
      </c>
      <c r="S170">
        <f t="shared" si="47"/>
        <v>31.022246225674639</v>
      </c>
      <c r="T170">
        <f>IF(ISBLANK($E170),NA(),IFERROR(SUM($E170:$E$177),NA()))</f>
        <v>84905.11099999999</v>
      </c>
      <c r="U170">
        <f>IF(ISBLANK($F170),NA(),IFERROR(SUM($F170:$F$177),NA()))</f>
        <v>105840.34</v>
      </c>
      <c r="V170">
        <f>IF(ISBLANK($G170),NA(),IFERROR(SUM($G170:$G$177),NA()))</f>
        <v>246035.53100000002</v>
      </c>
      <c r="W170">
        <f t="shared" si="48"/>
        <v>351875.87100000004</v>
      </c>
      <c r="X170">
        <f t="shared" si="49"/>
        <v>24.129279100242705</v>
      </c>
      <c r="Y170">
        <f t="shared" si="50"/>
        <v>30.078885403313144</v>
      </c>
      <c r="Z170">
        <f>IF(ISBLANK($H170),NA(),IFERROR(SUM($H170:$H$177),NA()))</f>
        <v>90493.56</v>
      </c>
      <c r="AA170">
        <f>IF(ISBLANK($I170),NA(),IFERROR(SUM($I170:$I$177),NA()))</f>
        <v>110908.91</v>
      </c>
      <c r="AB170">
        <f>IF(ISBLANK($J170),NA(),IFERROR(SUM($J170:$J$177),NA()))</f>
        <v>297207.68400000001</v>
      </c>
      <c r="AC170">
        <f t="shared" si="51"/>
        <v>408116.59400000004</v>
      </c>
      <c r="AD170">
        <f t="shared" si="52"/>
        <v>22.173457617359215</v>
      </c>
      <c r="AE170">
        <f t="shared" si="53"/>
        <v>27.175790357595702</v>
      </c>
    </row>
    <row r="171" spans="1:31" x14ac:dyDescent="0.35">
      <c r="A171">
        <v>2018</v>
      </c>
      <c r="B171">
        <v>12716.782999999999</v>
      </c>
      <c r="C171">
        <v>17152.135999999999</v>
      </c>
      <c r="D171">
        <v>34964.718999999997</v>
      </c>
      <c r="E171">
        <v>11611.688</v>
      </c>
      <c r="F171">
        <v>14319.224</v>
      </c>
      <c r="G171">
        <v>30178.387999999999</v>
      </c>
      <c r="H171">
        <v>12140.973</v>
      </c>
      <c r="I171">
        <v>14833.147000000001</v>
      </c>
      <c r="J171">
        <v>35658.053</v>
      </c>
      <c r="N171">
        <f>IF(ISBLANK($B171),NA(),IFERROR(SUM($B171:$B$177),NA()))</f>
        <v>83063.867000000013</v>
      </c>
      <c r="O171">
        <f>IF(ISBLANK($C171),NA(),IFERROR(SUM($C171:$C$177),NA()))</f>
        <v>113599.99</v>
      </c>
      <c r="P171">
        <f>IF(ISBLANK($D171),NA(),IFERROR(SUM($D171:$D$177),NA()))</f>
        <v>256252.12099999998</v>
      </c>
      <c r="Q171">
        <f t="shared" si="45"/>
        <v>369852.11099999998</v>
      </c>
      <c r="R171">
        <f t="shared" si="46"/>
        <v>22.458670514388391</v>
      </c>
      <c r="S171">
        <f t="shared" si="47"/>
        <v>30.714976776217455</v>
      </c>
      <c r="T171">
        <f>IF(ISBLANK($E171),NA(),IFERROR(SUM($E171:$E$177),NA()))</f>
        <v>73417.728000000003</v>
      </c>
      <c r="U171">
        <f>IF(ISBLANK($F171),NA(),IFERROR(SUM($F171:$F$177),NA()))</f>
        <v>91853.71699999999</v>
      </c>
      <c r="V171">
        <f>IF(ISBLANK($G171),NA(),IFERROR(SUM($G171:$G$177),NA()))</f>
        <v>216062.48599999998</v>
      </c>
      <c r="W171">
        <f t="shared" si="48"/>
        <v>307916.20299999998</v>
      </c>
      <c r="X171">
        <f t="shared" si="49"/>
        <v>23.843411708996687</v>
      </c>
      <c r="Y171">
        <f t="shared" si="50"/>
        <v>29.830751387902765</v>
      </c>
      <c r="Z171">
        <f>IF(ISBLANK($H171),NA(),IFERROR(SUM($H171:$H$177),NA()))</f>
        <v>78434.471999999994</v>
      </c>
      <c r="AA171">
        <f>IF(ISBLANK($I171),NA(),IFERROR(SUM($I171:$I$177),NA()))</f>
        <v>96480.93299999999</v>
      </c>
      <c r="AB171">
        <f>IF(ISBLANK($J171),NA(),IFERROR(SUM($J171:$J$177),NA()))</f>
        <v>261872.30599999998</v>
      </c>
      <c r="AC171">
        <f t="shared" si="51"/>
        <v>358353.23899999994</v>
      </c>
      <c r="AD171">
        <f t="shared" si="52"/>
        <v>21.887473996014307</v>
      </c>
      <c r="AE171">
        <f t="shared" si="53"/>
        <v>26.923415920345565</v>
      </c>
    </row>
    <row r="172" spans="1:31" x14ac:dyDescent="0.35">
      <c r="A172">
        <v>2019</v>
      </c>
      <c r="B172">
        <v>12386.691999999999</v>
      </c>
      <c r="C172">
        <v>16741.491000000002</v>
      </c>
      <c r="D172">
        <v>35809.362999999998</v>
      </c>
      <c r="E172">
        <v>11306.42</v>
      </c>
      <c r="F172">
        <v>14085.705</v>
      </c>
      <c r="G172">
        <v>31086.960999999999</v>
      </c>
      <c r="H172">
        <v>11694.588</v>
      </c>
      <c r="I172">
        <v>14371.582</v>
      </c>
      <c r="J172">
        <v>36926.555999999997</v>
      </c>
      <c r="N172">
        <f>IF(ISBLANK($B172),NA(),IFERROR(SUM($B172:$B$177),NA()))</f>
        <v>70347.084000000003</v>
      </c>
      <c r="O172">
        <f>IF(ISBLANK($C172),NA(),IFERROR(SUM($C172:$C$177),NA()))</f>
        <v>96447.854000000007</v>
      </c>
      <c r="P172">
        <f>IF(ISBLANK($D172),NA(),IFERROR(SUM($D172:$D$177),NA()))</f>
        <v>221287.402</v>
      </c>
      <c r="Q172">
        <f t="shared" si="45"/>
        <v>317735.25599999999</v>
      </c>
      <c r="R172">
        <f t="shared" si="46"/>
        <v>22.140156835475633</v>
      </c>
      <c r="S172">
        <f t="shared" si="47"/>
        <v>30.354785054133249</v>
      </c>
      <c r="T172">
        <f>IF(ISBLANK($E172),NA(),IFERROR(SUM($E172:$E$177),NA()))</f>
        <v>61806.039999999994</v>
      </c>
      <c r="U172">
        <f>IF(ISBLANK($F172),NA(),IFERROR(SUM($F172:$F$177),NA()))</f>
        <v>77534.492999999988</v>
      </c>
      <c r="V172">
        <f>IF(ISBLANK($G172),NA(),IFERROR(SUM($G172:$G$177),NA()))</f>
        <v>185884.098</v>
      </c>
      <c r="W172">
        <f t="shared" si="48"/>
        <v>263418.59100000001</v>
      </c>
      <c r="X172">
        <f t="shared" si="49"/>
        <v>23.463051626451069</v>
      </c>
      <c r="Y172">
        <f t="shared" si="50"/>
        <v>29.433948722320814</v>
      </c>
      <c r="Z172">
        <f>IF(ISBLANK($H172),NA(),IFERROR(SUM($H172:$H$177),NA()))</f>
        <v>66293.498999999996</v>
      </c>
      <c r="AA172">
        <f>IF(ISBLANK($I172),NA(),IFERROR(SUM($I172:$I$177),NA()))</f>
        <v>81647.785999999993</v>
      </c>
      <c r="AB172">
        <f>IF(ISBLANK($J172),NA(),IFERROR(SUM($J172:$J$177),NA()))</f>
        <v>226214.25299999997</v>
      </c>
      <c r="AC172">
        <f t="shared" si="51"/>
        <v>307862.03899999999</v>
      </c>
      <c r="AD172">
        <f t="shared" si="52"/>
        <v>21.533508715571131</v>
      </c>
      <c r="AE172">
        <f t="shared" si="53"/>
        <v>26.520900811678178</v>
      </c>
    </row>
    <row r="173" spans="1:31" x14ac:dyDescent="0.35">
      <c r="A173">
        <v>2020</v>
      </c>
      <c r="B173">
        <v>11344.105</v>
      </c>
      <c r="C173">
        <v>15516.697</v>
      </c>
      <c r="D173">
        <v>35065.239000000001</v>
      </c>
      <c r="E173">
        <v>10245.014999999999</v>
      </c>
      <c r="F173">
        <v>12704.348</v>
      </c>
      <c r="G173">
        <v>30136.681</v>
      </c>
      <c r="H173">
        <v>10295.429</v>
      </c>
      <c r="I173">
        <v>12736.991</v>
      </c>
      <c r="J173">
        <v>35969.453999999998</v>
      </c>
      <c r="N173">
        <f>IF(ISBLANK($B173),NA(),IFERROR(SUM($B173:$B$177),NA()))</f>
        <v>57960.392000000007</v>
      </c>
      <c r="O173">
        <f>IF(ISBLANK($C173),NA(),IFERROR(SUM($C173:$C$177),NA()))</f>
        <v>79706.362999999998</v>
      </c>
      <c r="P173">
        <f>IF(ISBLANK($D173),NA(),IFERROR(SUM($D173:$D$177),NA()))</f>
        <v>185478.03900000002</v>
      </c>
      <c r="Q173">
        <f t="shared" si="45"/>
        <v>265184.402</v>
      </c>
      <c r="R173">
        <f t="shared" si="46"/>
        <v>21.856636952576121</v>
      </c>
      <c r="S173">
        <f t="shared" si="47"/>
        <v>30.056957497824477</v>
      </c>
      <c r="T173">
        <f>IF(ISBLANK($E173),NA(),IFERROR(SUM($E173:$E$177),NA()))</f>
        <v>50499.619999999995</v>
      </c>
      <c r="U173">
        <f>IF(ISBLANK($F173),NA(),IFERROR(SUM($F173:$F$177),NA()))</f>
        <v>63448.788</v>
      </c>
      <c r="V173">
        <f>IF(ISBLANK($G173),NA(),IFERROR(SUM($G173:$G$177),NA()))</f>
        <v>154797.13700000002</v>
      </c>
      <c r="W173">
        <f t="shared" si="48"/>
        <v>218245.92500000002</v>
      </c>
      <c r="X173">
        <f t="shared" si="49"/>
        <v>23.138860439204073</v>
      </c>
      <c r="Y173">
        <f t="shared" si="50"/>
        <v>29.072152435377657</v>
      </c>
      <c r="Z173">
        <f>IF(ISBLANK($H173),NA(),IFERROR(SUM($H173:$H$177),NA()))</f>
        <v>54598.911</v>
      </c>
      <c r="AA173">
        <f>IF(ISBLANK($I173),NA(),IFERROR(SUM($I173:$I$177),NA()))</f>
        <v>67276.203999999998</v>
      </c>
      <c r="AB173">
        <f>IF(ISBLANK($J173),NA(),IFERROR(SUM($J173:$J$177),NA()))</f>
        <v>189287.69699999999</v>
      </c>
      <c r="AC173">
        <f t="shared" si="51"/>
        <v>256563.90099999998</v>
      </c>
      <c r="AD173">
        <f t="shared" si="52"/>
        <v>21.28082352474053</v>
      </c>
      <c r="AE173">
        <f t="shared" si="53"/>
        <v>26.222006968938317</v>
      </c>
    </row>
    <row r="174" spans="1:31" x14ac:dyDescent="0.35">
      <c r="A174">
        <v>2021</v>
      </c>
      <c r="B174">
        <v>11925.713</v>
      </c>
      <c r="C174">
        <v>16310.691999999999</v>
      </c>
      <c r="D174">
        <v>36309.713000000003</v>
      </c>
      <c r="E174">
        <v>10688.112999999999</v>
      </c>
      <c r="F174">
        <v>13663.715</v>
      </c>
      <c r="G174">
        <v>32096.237000000001</v>
      </c>
      <c r="H174">
        <v>10907.333000000001</v>
      </c>
      <c r="I174">
        <v>13681.553</v>
      </c>
      <c r="J174">
        <v>36918.720000000001</v>
      </c>
      <c r="N174">
        <f>IF(ISBLANK($B174),NA(),IFERROR(SUM($B174:$B$177),NA()))</f>
        <v>46616.286999999997</v>
      </c>
      <c r="O174">
        <f>IF(ISBLANK($C174),NA(),IFERROR(SUM($C174:$C$177),NA()))</f>
        <v>64189.665999999997</v>
      </c>
      <c r="P174">
        <f>IF(ISBLANK($D174),NA(),IFERROR(SUM($D174:$D$177),NA()))</f>
        <v>150412.80000000002</v>
      </c>
      <c r="Q174">
        <f t="shared" si="45"/>
        <v>214602.46600000001</v>
      </c>
      <c r="R174">
        <f t="shared" si="46"/>
        <v>21.72215812282418</v>
      </c>
      <c r="S174">
        <f t="shared" si="47"/>
        <v>29.910963837666245</v>
      </c>
      <c r="T174">
        <f>IF(ISBLANK($E174),NA(),IFERROR(SUM($E174:$E$177),NA()))</f>
        <v>40254.604999999996</v>
      </c>
      <c r="U174">
        <f>IF(ISBLANK($F174),NA(),IFERROR(SUM($F174:$F$177),NA()))</f>
        <v>50744.44</v>
      </c>
      <c r="V174">
        <f>IF(ISBLANK($G174),NA(),IFERROR(SUM($G174:$G$177),NA()))</f>
        <v>124660.45600000001</v>
      </c>
      <c r="W174">
        <f t="shared" si="48"/>
        <v>175404.89600000001</v>
      </c>
      <c r="X174">
        <f t="shared" si="49"/>
        <v>22.949533290108388</v>
      </c>
      <c r="Y174">
        <f t="shared" si="50"/>
        <v>28.92988802319406</v>
      </c>
      <c r="Z174">
        <f>IF(ISBLANK($H174),NA(),IFERROR(SUM($H174:$H$177),NA()))</f>
        <v>44303.481999999996</v>
      </c>
      <c r="AA174">
        <f>IF(ISBLANK($I174),NA(),IFERROR(SUM($I174:$I$177),NA()))</f>
        <v>54539.212999999996</v>
      </c>
      <c r="AB174">
        <f>IF(ISBLANK($J174),NA(),IFERROR(SUM($J174:$J$177),NA()))</f>
        <v>153318.24300000002</v>
      </c>
      <c r="AC174">
        <f t="shared" si="51"/>
        <v>207857.45600000001</v>
      </c>
      <c r="AD174">
        <f t="shared" si="52"/>
        <v>21.314357854933043</v>
      </c>
      <c r="AE174">
        <f t="shared" si="53"/>
        <v>26.238757102848403</v>
      </c>
    </row>
    <row r="175" spans="1:31" x14ac:dyDescent="0.35">
      <c r="A175">
        <v>2022</v>
      </c>
      <c r="B175">
        <v>11837.419</v>
      </c>
      <c r="C175">
        <v>16193.2</v>
      </c>
      <c r="D175">
        <v>37302.514000000003</v>
      </c>
      <c r="E175">
        <v>10714.416999999999</v>
      </c>
      <c r="F175">
        <v>13085.791999999999</v>
      </c>
      <c r="G175">
        <v>33963.822</v>
      </c>
      <c r="H175">
        <v>10878.264999999999</v>
      </c>
      <c r="I175">
        <v>13331.507</v>
      </c>
      <c r="J175">
        <v>37745.442000000003</v>
      </c>
      <c r="N175">
        <f>IF(ISBLANK($B175),NA(),IFERROR(SUM($B175:$B$177),NA()))</f>
        <v>34690.574000000001</v>
      </c>
      <c r="O175">
        <f>IF(ISBLANK($C175),NA(),IFERROR(SUM($C175:$C$177),NA()))</f>
        <v>47878.974000000002</v>
      </c>
      <c r="P175">
        <f>IF(ISBLANK($D175),NA(),IFERROR(SUM($D175:$D$177),NA()))</f>
        <v>114103.087</v>
      </c>
      <c r="Q175">
        <f t="shared" si="45"/>
        <v>161982.06099999999</v>
      </c>
      <c r="R175">
        <f t="shared" si="46"/>
        <v>21.41630609330252</v>
      </c>
      <c r="S175">
        <f t="shared" si="47"/>
        <v>29.558195336210723</v>
      </c>
      <c r="T175">
        <f>IF(ISBLANK($E175),NA(),IFERROR(SUM($E175:$E$177),NA()))</f>
        <v>29566.491999999998</v>
      </c>
      <c r="U175">
        <f>IF(ISBLANK($F175),NA(),IFERROR(SUM($F175:$F$177),NA()))</f>
        <v>37080.724999999999</v>
      </c>
      <c r="V175">
        <f>IF(ISBLANK($G175),NA(),IFERROR(SUM($G175:$G$177),NA()))</f>
        <v>92564.219000000012</v>
      </c>
      <c r="W175">
        <f t="shared" si="48"/>
        <v>129644.94400000002</v>
      </c>
      <c r="X175">
        <f t="shared" si="49"/>
        <v>22.805742428335652</v>
      </c>
      <c r="Y175">
        <f t="shared" si="50"/>
        <v>28.601751719681406</v>
      </c>
      <c r="Z175">
        <f>IF(ISBLANK($H175),NA(),IFERROR(SUM($H175:$H$177),NA()))</f>
        <v>33396.148999999998</v>
      </c>
      <c r="AA175">
        <f>IF(ISBLANK($I175),NA(),IFERROR(SUM($I175:$I$177),NA()))</f>
        <v>40857.659999999996</v>
      </c>
      <c r="AB175">
        <f>IF(ISBLANK($J175),NA(),IFERROR(SUM($J175:$J$177),NA()))</f>
        <v>116399.52299999999</v>
      </c>
      <c r="AC175">
        <f t="shared" si="51"/>
        <v>157257.18299999999</v>
      </c>
      <c r="AD175">
        <f t="shared" si="52"/>
        <v>21.236644560776597</v>
      </c>
      <c r="AE175">
        <f t="shared" si="53"/>
        <v>25.981426870656836</v>
      </c>
    </row>
    <row r="176" spans="1:31" x14ac:dyDescent="0.35">
      <c r="A176">
        <v>2023</v>
      </c>
      <c r="B176">
        <v>11483.51</v>
      </c>
      <c r="C176">
        <v>15874.977000000001</v>
      </c>
      <c r="D176">
        <v>38197.728000000003</v>
      </c>
      <c r="E176">
        <v>10210.924000000001</v>
      </c>
      <c r="F176">
        <v>12545.828</v>
      </c>
      <c r="G176">
        <v>34525.696000000004</v>
      </c>
      <c r="H176">
        <v>11890.499</v>
      </c>
      <c r="I176">
        <v>14360.017</v>
      </c>
      <c r="J176">
        <v>39108.699999999997</v>
      </c>
      <c r="N176">
        <f>IF(ISBLANK($B176),NA(),IFERROR(SUM($B176:$B$177),NA()))</f>
        <v>22853.154999999999</v>
      </c>
      <c r="O176">
        <f>IF(ISBLANK($C176),NA(),IFERROR(SUM($C176:$C$177),NA()))</f>
        <v>31685.774000000001</v>
      </c>
      <c r="P176">
        <f>IF(ISBLANK($D176),NA(),IFERROR(SUM($D176:$D$177),NA()))</f>
        <v>76800.573000000004</v>
      </c>
      <c r="Q176">
        <f t="shared" si="45"/>
        <v>108486.34700000001</v>
      </c>
      <c r="R176">
        <f t="shared" si="46"/>
        <v>21.06546642224021</v>
      </c>
      <c r="S176">
        <f t="shared" si="47"/>
        <v>29.207153596940632</v>
      </c>
      <c r="T176">
        <f>IF(ISBLANK($E176),NA(),IFERROR(SUM($E176:$E$177),NA()))</f>
        <v>18852.075000000001</v>
      </c>
      <c r="U176">
        <f>IF(ISBLANK($F176),NA(),IFERROR(SUM($F176:$F$177),NA()))</f>
        <v>23994.932999999997</v>
      </c>
      <c r="V176">
        <f>IF(ISBLANK($G176),NA(),IFERROR(SUM($G176:$G$177),NA()))</f>
        <v>58600.397000000004</v>
      </c>
      <c r="W176">
        <f t="shared" si="48"/>
        <v>82595.33</v>
      </c>
      <c r="X176">
        <f t="shared" si="49"/>
        <v>22.824625799061522</v>
      </c>
      <c r="Y176">
        <f t="shared" si="50"/>
        <v>29.05119817306862</v>
      </c>
      <c r="Z176">
        <f>IF(ISBLANK($H176),NA(),IFERROR(SUM($H176:$H$177),NA()))</f>
        <v>22517.883999999998</v>
      </c>
      <c r="AA176">
        <f>IF(ISBLANK($I176),NA(),IFERROR(SUM($I176:$I$177),NA()))</f>
        <v>27526.152999999998</v>
      </c>
      <c r="AB176">
        <f>IF(ISBLANK($J176),NA(),IFERROR(SUM($J176:$J$177),NA()))</f>
        <v>78654.081000000006</v>
      </c>
      <c r="AC176">
        <f t="shared" si="51"/>
        <v>106180.234</v>
      </c>
      <c r="AD176">
        <f t="shared" si="52"/>
        <v>21.20722770303934</v>
      </c>
      <c r="AE176">
        <f t="shared" si="53"/>
        <v>25.923989770073401</v>
      </c>
    </row>
    <row r="177" spans="1:31" x14ac:dyDescent="0.35">
      <c r="A177">
        <v>2024</v>
      </c>
      <c r="B177">
        <v>11369.645</v>
      </c>
      <c r="C177">
        <v>15810.797</v>
      </c>
      <c r="D177">
        <v>38602.845000000001</v>
      </c>
      <c r="E177">
        <v>8641.1509999999998</v>
      </c>
      <c r="F177">
        <v>11449.105</v>
      </c>
      <c r="G177">
        <v>24074.701000000001</v>
      </c>
      <c r="H177">
        <v>10627.385</v>
      </c>
      <c r="I177">
        <v>13166.136</v>
      </c>
      <c r="J177">
        <v>39545.381000000001</v>
      </c>
      <c r="N177">
        <f>IF(ISBLANK($B177),NA(),IFERROR(SUM($B177:$B$177),NA()))</f>
        <v>11369.645</v>
      </c>
      <c r="O177">
        <f>IF(ISBLANK($C177),NA(),IFERROR(SUM($C177:$C$177),NA()))</f>
        <v>15810.797</v>
      </c>
      <c r="P177">
        <f>IF(ISBLANK($D177),NA(),IFERROR(SUM($D177:$D$177),NA()))</f>
        <v>38602.845000000001</v>
      </c>
      <c r="Q177">
        <f t="shared" si="45"/>
        <v>54413.642</v>
      </c>
      <c r="R177">
        <f t="shared" si="46"/>
        <v>20.89484287782097</v>
      </c>
      <c r="S177">
        <f t="shared" si="47"/>
        <v>29.056678470446805</v>
      </c>
      <c r="T177">
        <f>IF(ISBLANK($E177),NA(),IFERROR(SUM($E177:$E$177),NA()))</f>
        <v>8641.1509999999998</v>
      </c>
      <c r="U177">
        <f>IF(ISBLANK($F177),NA(),IFERROR(SUM($F177:$F$177),NA()))</f>
        <v>11449.105</v>
      </c>
      <c r="V177">
        <f>IF(ISBLANK($G177),NA(),IFERROR(SUM($G177:$G$177),NA()))</f>
        <v>24074.701000000001</v>
      </c>
      <c r="W177">
        <f t="shared" si="48"/>
        <v>35523.805999999997</v>
      </c>
      <c r="X177">
        <f t="shared" si="49"/>
        <v>24.324958311054846</v>
      </c>
      <c r="Y177">
        <f t="shared" si="50"/>
        <v>32.229387245274339</v>
      </c>
      <c r="Z177">
        <f>IF(ISBLANK($H177),NA(),IFERROR(SUM($H177:$H$177),NA()))</f>
        <v>10627.385</v>
      </c>
      <c r="AA177">
        <f>IF(ISBLANK($I177),NA(),IFERROR(SUM($I177:$I$177),NA()))</f>
        <v>13166.136</v>
      </c>
      <c r="AB177">
        <f>IF(ISBLANK($J177),NA(),IFERROR(SUM($J177:$J$177),NA()))</f>
        <v>39545.381000000001</v>
      </c>
      <c r="AC177">
        <f t="shared" si="51"/>
        <v>52711.517</v>
      </c>
      <c r="AD177">
        <f t="shared" si="52"/>
        <v>20.161409886951269</v>
      </c>
      <c r="AE177">
        <f t="shared" si="53"/>
        <v>24.977721661852382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FE41-78B4-478B-A136-22E23F3C92BB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9465-72C1-4C99-A99B-27113D5800D1}">
  <sheetPr>
    <tabColor rgb="FF0B4C5B"/>
  </sheetPr>
  <dimension ref="A1:S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 t="s">
        <v>64</v>
      </c>
      <c r="L2" s="1"/>
      <c r="M2" s="1" t="s">
        <v>15</v>
      </c>
      <c r="N2" s="1" t="s">
        <v>21</v>
      </c>
      <c r="O2" s="1" t="s">
        <v>65</v>
      </c>
      <c r="P2" s="1"/>
      <c r="Q2" s="2" t="s">
        <v>35</v>
      </c>
      <c r="R2" t="s">
        <v>73</v>
      </c>
      <c r="S2" t="s">
        <v>74</v>
      </c>
    </row>
    <row r="3" spans="1:19" x14ac:dyDescent="0.35">
      <c r="A3" s="6">
        <f>vals_ghg_incLUC!$A3</f>
        <v>1850</v>
      </c>
      <c r="B3" s="7">
        <f t="shared" ref="B3:B34" si="0">IFERROR(_xlfn.AGGREGATE(5,6,I3:L3),"")</f>
        <v>36.435551692977214</v>
      </c>
      <c r="C3" s="7">
        <f t="shared" ref="C3:C34" si="1">IFERROR(_xlfn.AGGREGATE(4,6,I3:L3),"")</f>
        <v>39.454284995586661</v>
      </c>
      <c r="D3" s="7">
        <f t="shared" ref="D3:D34" si="2">IFERROR(_xlfn.AGGREGATE(5,6,M3:P3),"")</f>
        <v>49.389955639381689</v>
      </c>
      <c r="E3" s="7">
        <f t="shared" ref="E3:E34" si="3">IFERROR(_xlfn.AGGREGATE(4,6,M3:P3),"")</f>
        <v>50.956620873612302</v>
      </c>
      <c r="F3" s="7">
        <f t="shared" ref="F3:F34" si="4">IFERROR(MIN(C3,D3)-B3,"")</f>
        <v>3.0187333026094478</v>
      </c>
      <c r="G3" s="7">
        <f t="shared" ref="G3:G34" si="5">IFERROR(MAX(0,C3-D3),"")</f>
        <v>0</v>
      </c>
      <c r="H3" s="7">
        <f t="shared" ref="H3:H34" si="6">IFERROR(MAX(0,D3-C3),"")</f>
        <v>9.935670643795028</v>
      </c>
      <c r="I3" s="8">
        <f>vals_ghg_incLUC!$R3</f>
        <v>36.435551692977214</v>
      </c>
      <c r="J3" s="8">
        <f>vals_ghg_incLUC!$X3</f>
        <v>39.454284995586661</v>
      </c>
      <c r="K3" s="8" t="e">
        <f>vals_ghg_incLUC!$AD3</f>
        <v>#N/A</v>
      </c>
      <c r="L3" s="8"/>
      <c r="M3" s="8">
        <f>vals_ghg_incLUC!$S3</f>
        <v>49.389955639381689</v>
      </c>
      <c r="N3" s="8">
        <f>vals_ghg_incLUC!$Y3</f>
        <v>50.956620873612302</v>
      </c>
      <c r="O3" s="8" t="e">
        <f>vals_ghg_incLUC!$AE3</f>
        <v>#N/A</v>
      </c>
      <c r="P3" s="8"/>
      <c r="Q3" s="9">
        <f t="shared" ref="Q3:Q34" si="7">IFERROR(MAX(0,$E3-MAX($C3,$D3)),"")</f>
        <v>1.5666652342306122</v>
      </c>
      <c r="R3" s="9">
        <v>34.289000000000001</v>
      </c>
      <c r="S3" s="9">
        <v>46.369</v>
      </c>
    </row>
    <row r="4" spans="1:19" x14ac:dyDescent="0.35">
      <c r="A4" s="3">
        <f>vals_ghg_incLUC!$A4</f>
        <v>1851</v>
      </c>
      <c r="B4" s="4">
        <f t="shared" si="0"/>
        <v>36.435930458879689</v>
      </c>
      <c r="C4" s="4">
        <f t="shared" si="1"/>
        <v>39.451870128543923</v>
      </c>
      <c r="D4" s="4">
        <f t="shared" si="2"/>
        <v>49.384256881743219</v>
      </c>
      <c r="E4" s="4">
        <f t="shared" si="3"/>
        <v>50.950950162517749</v>
      </c>
      <c r="F4" s="4">
        <f t="shared" si="4"/>
        <v>3.0159396696642347</v>
      </c>
      <c r="G4" s="4">
        <f t="shared" si="5"/>
        <v>0</v>
      </c>
      <c r="H4" s="4">
        <f t="shared" si="6"/>
        <v>9.932386753199296</v>
      </c>
      <c r="I4" s="5">
        <f>vals_ghg_incLUC!$R4</f>
        <v>36.435930458879689</v>
      </c>
      <c r="J4" s="5">
        <f>vals_ghg_incLUC!$X4</f>
        <v>39.451870128543923</v>
      </c>
      <c r="K4" s="5" t="e">
        <f>vals_ghg_incLUC!$AD4</f>
        <v>#N/A</v>
      </c>
      <c r="L4" s="5"/>
      <c r="M4" s="5">
        <f>vals_ghg_incLUC!$S4</f>
        <v>49.384256881743219</v>
      </c>
      <c r="N4" s="5">
        <f>vals_ghg_incLUC!$Y4</f>
        <v>50.950950162517749</v>
      </c>
      <c r="O4" s="5" t="e">
        <f>vals_ghg_incLUC!$AE4</f>
        <v>#N/A</v>
      </c>
      <c r="P4" s="5"/>
      <c r="Q4" s="9">
        <f t="shared" si="7"/>
        <v>1.5666932807745297</v>
      </c>
      <c r="R4" s="9">
        <v>34.289000000000001</v>
      </c>
      <c r="S4" s="9">
        <v>46.369</v>
      </c>
    </row>
    <row r="5" spans="1:19" x14ac:dyDescent="0.35">
      <c r="A5" s="6">
        <f>vals_ghg_incLUC!$A5</f>
        <v>1852</v>
      </c>
      <c r="B5" s="7">
        <f t="shared" si="0"/>
        <v>36.436122365108211</v>
      </c>
      <c r="C5" s="7">
        <f t="shared" si="1"/>
        <v>39.44887273003728</v>
      </c>
      <c r="D5" s="7">
        <f t="shared" si="2"/>
        <v>49.378730831473419</v>
      </c>
      <c r="E5" s="7">
        <f t="shared" si="3"/>
        <v>50.944532237376251</v>
      </c>
      <c r="F5" s="7">
        <f t="shared" si="4"/>
        <v>3.0127503649290688</v>
      </c>
      <c r="G5" s="7">
        <f t="shared" si="5"/>
        <v>0</v>
      </c>
      <c r="H5" s="7">
        <f t="shared" si="6"/>
        <v>9.9298581014361389</v>
      </c>
      <c r="I5" s="8">
        <f>vals_ghg_incLUC!$R5</f>
        <v>36.436122365108211</v>
      </c>
      <c r="J5" s="8">
        <f>vals_ghg_incLUC!$X5</f>
        <v>39.44887273003728</v>
      </c>
      <c r="K5" s="8" t="e">
        <f>vals_ghg_incLUC!$AD5</f>
        <v>#N/A</v>
      </c>
      <c r="L5" s="8"/>
      <c r="M5" s="8">
        <f>vals_ghg_incLUC!$S5</f>
        <v>49.378730831473419</v>
      </c>
      <c r="N5" s="8">
        <f>vals_ghg_incLUC!$Y5</f>
        <v>50.944532237376251</v>
      </c>
      <c r="O5" s="8" t="e">
        <f>vals_ghg_incLUC!$AE5</f>
        <v>#N/A</v>
      </c>
      <c r="P5" s="8"/>
      <c r="Q5" s="9">
        <f t="shared" si="7"/>
        <v>1.5658014059028318</v>
      </c>
      <c r="R5" s="9">
        <v>34.283000000000001</v>
      </c>
      <c r="S5" s="9">
        <v>46.356000000000002</v>
      </c>
    </row>
    <row r="6" spans="1:19" x14ac:dyDescent="0.35">
      <c r="A6" s="3">
        <f>vals_ghg_incLUC!$A6</f>
        <v>1853</v>
      </c>
      <c r="B6" s="4">
        <f t="shared" si="0"/>
        <v>36.436610425539804</v>
      </c>
      <c r="C6" s="4">
        <f t="shared" si="1"/>
        <v>39.440696470163061</v>
      </c>
      <c r="D6" s="4">
        <f t="shared" si="2"/>
        <v>49.37279548598007</v>
      </c>
      <c r="E6" s="4">
        <f t="shared" si="3"/>
        <v>50.933604869139614</v>
      </c>
      <c r="F6" s="4">
        <f t="shared" si="4"/>
        <v>3.0040860446232571</v>
      </c>
      <c r="G6" s="4">
        <f t="shared" si="5"/>
        <v>0</v>
      </c>
      <c r="H6" s="4">
        <f t="shared" si="6"/>
        <v>9.932099015817009</v>
      </c>
      <c r="I6" s="5">
        <f>vals_ghg_incLUC!$R6</f>
        <v>36.436610425539804</v>
      </c>
      <c r="J6" s="5">
        <f>vals_ghg_incLUC!$X6</f>
        <v>39.440696470163061</v>
      </c>
      <c r="K6" s="5" t="e">
        <f>vals_ghg_incLUC!$AD6</f>
        <v>#N/A</v>
      </c>
      <c r="L6" s="5"/>
      <c r="M6" s="5">
        <f>vals_ghg_incLUC!$S6</f>
        <v>49.37279548598007</v>
      </c>
      <c r="N6" s="5">
        <f>vals_ghg_incLUC!$Y6</f>
        <v>50.933604869139614</v>
      </c>
      <c r="O6" s="5" t="e">
        <f>vals_ghg_incLUC!$AE6</f>
        <v>#N/A</v>
      </c>
      <c r="P6" s="5"/>
      <c r="Q6" s="9">
        <f t="shared" si="7"/>
        <v>1.560809383159544</v>
      </c>
      <c r="R6" s="9">
        <v>34.277999999999999</v>
      </c>
      <c r="S6" s="9">
        <v>46.341999999999999</v>
      </c>
    </row>
    <row r="7" spans="1:19" x14ac:dyDescent="0.35">
      <c r="A7" s="6">
        <f>vals_ghg_incLUC!$A7</f>
        <v>1854</v>
      </c>
      <c r="B7" s="7">
        <f t="shared" si="0"/>
        <v>36.436022288691447</v>
      </c>
      <c r="C7" s="7">
        <f t="shared" si="1"/>
        <v>39.431261448934293</v>
      </c>
      <c r="D7" s="7">
        <f t="shared" si="2"/>
        <v>49.36657536877474</v>
      </c>
      <c r="E7" s="7">
        <f t="shared" si="3"/>
        <v>50.921345675173825</v>
      </c>
      <c r="F7" s="7">
        <f t="shared" si="4"/>
        <v>2.9952391602428463</v>
      </c>
      <c r="G7" s="7">
        <f t="shared" si="5"/>
        <v>0</v>
      </c>
      <c r="H7" s="7">
        <f t="shared" si="6"/>
        <v>9.9353139198404463</v>
      </c>
      <c r="I7" s="8">
        <f>vals_ghg_incLUC!$R7</f>
        <v>36.436022288691447</v>
      </c>
      <c r="J7" s="8">
        <f>vals_ghg_incLUC!$X7</f>
        <v>39.431261448934293</v>
      </c>
      <c r="K7" s="8" t="e">
        <f>vals_ghg_incLUC!$AD7</f>
        <v>#N/A</v>
      </c>
      <c r="L7" s="8"/>
      <c r="M7" s="8">
        <f>vals_ghg_incLUC!$S7</f>
        <v>49.36657536877474</v>
      </c>
      <c r="N7" s="8">
        <f>vals_ghg_incLUC!$Y7</f>
        <v>50.921345675173825</v>
      </c>
      <c r="O7" s="8" t="e">
        <f>vals_ghg_incLUC!$AE7</f>
        <v>#N/A</v>
      </c>
      <c r="P7" s="8"/>
      <c r="Q7" s="9">
        <f t="shared" si="7"/>
        <v>1.5547703063990852</v>
      </c>
      <c r="R7" s="9">
        <v>34.271000000000001</v>
      </c>
      <c r="S7" s="9">
        <v>46.328000000000003</v>
      </c>
    </row>
    <row r="8" spans="1:19" x14ac:dyDescent="0.35">
      <c r="A8" s="3">
        <f>vals_ghg_incLUC!$A8</f>
        <v>1855</v>
      </c>
      <c r="B8" s="4">
        <f t="shared" si="0"/>
        <v>36.434368503301947</v>
      </c>
      <c r="C8" s="4">
        <f t="shared" si="1"/>
        <v>39.41993557489554</v>
      </c>
      <c r="D8" s="4">
        <f t="shared" si="2"/>
        <v>49.358843689024177</v>
      </c>
      <c r="E8" s="4">
        <f t="shared" si="3"/>
        <v>50.907227108375999</v>
      </c>
      <c r="F8" s="4">
        <f t="shared" si="4"/>
        <v>2.9855670715935929</v>
      </c>
      <c r="G8" s="4">
        <f t="shared" si="5"/>
        <v>0</v>
      </c>
      <c r="H8" s="4">
        <f t="shared" si="6"/>
        <v>9.9389081141286368</v>
      </c>
      <c r="I8" s="5">
        <f>vals_ghg_incLUC!$R8</f>
        <v>36.434368503301947</v>
      </c>
      <c r="J8" s="5">
        <f>vals_ghg_incLUC!$X8</f>
        <v>39.41993557489554</v>
      </c>
      <c r="K8" s="5" t="e">
        <f>vals_ghg_incLUC!$AD8</f>
        <v>#N/A</v>
      </c>
      <c r="L8" s="5"/>
      <c r="M8" s="5">
        <f>vals_ghg_incLUC!$S8</f>
        <v>49.358843689024177</v>
      </c>
      <c r="N8" s="5">
        <f>vals_ghg_incLUC!$Y8</f>
        <v>50.907227108375999</v>
      </c>
      <c r="O8" s="5" t="e">
        <f>vals_ghg_incLUC!$AE8</f>
        <v>#N/A</v>
      </c>
      <c r="P8" s="5"/>
      <c r="Q8" s="9">
        <f t="shared" si="7"/>
        <v>1.548383419351822</v>
      </c>
      <c r="R8" s="9">
        <v>34.262</v>
      </c>
      <c r="S8" s="9">
        <v>46.311</v>
      </c>
    </row>
    <row r="9" spans="1:19" x14ac:dyDescent="0.35">
      <c r="A9" s="6">
        <f>vals_ghg_incLUC!$A9</f>
        <v>1856</v>
      </c>
      <c r="B9" s="7">
        <f t="shared" si="0"/>
        <v>36.432817229764566</v>
      </c>
      <c r="C9" s="7">
        <f t="shared" si="1"/>
        <v>39.407490965131558</v>
      </c>
      <c r="D9" s="7">
        <f t="shared" si="2"/>
        <v>49.35125798236939</v>
      </c>
      <c r="E9" s="7">
        <f t="shared" si="3"/>
        <v>50.891852818364249</v>
      </c>
      <c r="F9" s="7">
        <f t="shared" si="4"/>
        <v>2.9746737353669914</v>
      </c>
      <c r="G9" s="7">
        <f t="shared" si="5"/>
        <v>0</v>
      </c>
      <c r="H9" s="7">
        <f t="shared" si="6"/>
        <v>9.9437670172378319</v>
      </c>
      <c r="I9" s="8">
        <f>vals_ghg_incLUC!$R9</f>
        <v>36.432817229764566</v>
      </c>
      <c r="J9" s="8">
        <f>vals_ghg_incLUC!$X9</f>
        <v>39.407490965131558</v>
      </c>
      <c r="K9" s="8" t="e">
        <f>vals_ghg_incLUC!$AD9</f>
        <v>#N/A</v>
      </c>
      <c r="L9" s="8"/>
      <c r="M9" s="8">
        <f>vals_ghg_incLUC!$S9</f>
        <v>49.35125798236939</v>
      </c>
      <c r="N9" s="8">
        <f>vals_ghg_incLUC!$Y9</f>
        <v>50.891852818364249</v>
      </c>
      <c r="O9" s="8" t="e">
        <f>vals_ghg_incLUC!$AE9</f>
        <v>#N/A</v>
      </c>
      <c r="P9" s="8"/>
      <c r="Q9" s="9">
        <f t="shared" si="7"/>
        <v>1.5405948359948596</v>
      </c>
      <c r="R9" s="9">
        <v>34.253999999999998</v>
      </c>
      <c r="S9" s="9">
        <v>46.295000000000002</v>
      </c>
    </row>
    <row r="10" spans="1:19" x14ac:dyDescent="0.35">
      <c r="A10" s="3">
        <f>vals_ghg_incLUC!$A10</f>
        <v>1857</v>
      </c>
      <c r="B10" s="4">
        <f t="shared" si="0"/>
        <v>36.430832317549502</v>
      </c>
      <c r="C10" s="4">
        <f t="shared" si="1"/>
        <v>39.394055179112584</v>
      </c>
      <c r="D10" s="4">
        <f t="shared" si="2"/>
        <v>49.343161709523208</v>
      </c>
      <c r="E10" s="4">
        <f t="shared" si="3"/>
        <v>50.875524531592852</v>
      </c>
      <c r="F10" s="4">
        <f t="shared" si="4"/>
        <v>2.9632228615630822</v>
      </c>
      <c r="G10" s="4">
        <f t="shared" si="5"/>
        <v>0</v>
      </c>
      <c r="H10" s="4">
        <f t="shared" si="6"/>
        <v>9.9491065304106243</v>
      </c>
      <c r="I10" s="5">
        <f>vals_ghg_incLUC!$R10</f>
        <v>36.430832317549502</v>
      </c>
      <c r="J10" s="5">
        <f>vals_ghg_incLUC!$X10</f>
        <v>39.394055179112584</v>
      </c>
      <c r="K10" s="5" t="e">
        <f>vals_ghg_incLUC!$AD10</f>
        <v>#N/A</v>
      </c>
      <c r="L10" s="5"/>
      <c r="M10" s="5">
        <f>vals_ghg_incLUC!$S10</f>
        <v>49.343161709523208</v>
      </c>
      <c r="N10" s="5">
        <f>vals_ghg_incLUC!$Y10</f>
        <v>50.875524531592852</v>
      </c>
      <c r="O10" s="5" t="e">
        <f>vals_ghg_incLUC!$AE10</f>
        <v>#N/A</v>
      </c>
      <c r="P10" s="5"/>
      <c r="Q10" s="9">
        <f t="shared" si="7"/>
        <v>1.5323628220696435</v>
      </c>
      <c r="R10" s="9">
        <v>34.244999999999997</v>
      </c>
      <c r="S10" s="9">
        <v>46.279000000000003</v>
      </c>
    </row>
    <row r="11" spans="1:19" x14ac:dyDescent="0.35">
      <c r="A11" s="6">
        <f>vals_ghg_incLUC!$A11</f>
        <v>1858</v>
      </c>
      <c r="B11" s="7">
        <f t="shared" si="0"/>
        <v>36.428716869530575</v>
      </c>
      <c r="C11" s="7">
        <f t="shared" si="1"/>
        <v>39.379993568148578</v>
      </c>
      <c r="D11" s="7">
        <f t="shared" si="2"/>
        <v>49.33476943573573</v>
      </c>
      <c r="E11" s="7">
        <f t="shared" si="3"/>
        <v>50.858550237369485</v>
      </c>
      <c r="F11" s="7">
        <f t="shared" si="4"/>
        <v>2.9512766986180026</v>
      </c>
      <c r="G11" s="7">
        <f t="shared" si="5"/>
        <v>0</v>
      </c>
      <c r="H11" s="7">
        <f t="shared" si="6"/>
        <v>9.954775867587152</v>
      </c>
      <c r="I11" s="8">
        <f>vals_ghg_incLUC!$R11</f>
        <v>36.428716869530575</v>
      </c>
      <c r="J11" s="8">
        <f>vals_ghg_incLUC!$X11</f>
        <v>39.379993568148578</v>
      </c>
      <c r="K11" s="8" t="e">
        <f>vals_ghg_incLUC!$AD11</f>
        <v>#N/A</v>
      </c>
      <c r="L11" s="8"/>
      <c r="M11" s="8">
        <f>vals_ghg_incLUC!$S11</f>
        <v>49.33476943573573</v>
      </c>
      <c r="N11" s="8">
        <f>vals_ghg_incLUC!$Y11</f>
        <v>50.858550237369485</v>
      </c>
      <c r="O11" s="8" t="e">
        <f>vals_ghg_incLUC!$AE11</f>
        <v>#N/A</v>
      </c>
      <c r="P11" s="8"/>
      <c r="Q11" s="9">
        <f t="shared" si="7"/>
        <v>1.5237808016337553</v>
      </c>
      <c r="R11" s="9">
        <v>34.234999999999999</v>
      </c>
      <c r="S11" s="9">
        <v>46.261000000000003</v>
      </c>
    </row>
    <row r="12" spans="1:19" x14ac:dyDescent="0.35">
      <c r="A12" s="3">
        <f>vals_ghg_incLUC!$A12</f>
        <v>1859</v>
      </c>
      <c r="B12" s="4">
        <f t="shared" si="0"/>
        <v>36.426062821947511</v>
      </c>
      <c r="C12" s="4">
        <f t="shared" si="1"/>
        <v>39.365343095162771</v>
      </c>
      <c r="D12" s="4">
        <f t="shared" si="2"/>
        <v>49.325824493853219</v>
      </c>
      <c r="E12" s="4">
        <f t="shared" si="3"/>
        <v>50.840950587050301</v>
      </c>
      <c r="F12" s="4">
        <f t="shared" si="4"/>
        <v>2.9392802732152603</v>
      </c>
      <c r="G12" s="4">
        <f t="shared" si="5"/>
        <v>0</v>
      </c>
      <c r="H12" s="4">
        <f t="shared" si="6"/>
        <v>9.9604813986904475</v>
      </c>
      <c r="I12" s="5">
        <f>vals_ghg_incLUC!$R12</f>
        <v>36.426062821947511</v>
      </c>
      <c r="J12" s="5">
        <f>vals_ghg_incLUC!$X12</f>
        <v>39.365343095162771</v>
      </c>
      <c r="K12" s="5" t="e">
        <f>vals_ghg_incLUC!$AD12</f>
        <v>#N/A</v>
      </c>
      <c r="L12" s="5"/>
      <c r="M12" s="5">
        <f>vals_ghg_incLUC!$S12</f>
        <v>49.325824493853219</v>
      </c>
      <c r="N12" s="5">
        <f>vals_ghg_incLUC!$Y12</f>
        <v>50.840950587050301</v>
      </c>
      <c r="O12" s="5" t="e">
        <f>vals_ghg_incLUC!$AE12</f>
        <v>#N/A</v>
      </c>
      <c r="P12" s="5"/>
      <c r="Q12" s="9">
        <f t="shared" si="7"/>
        <v>1.5151260931970825</v>
      </c>
      <c r="R12" s="9">
        <v>34.225999999999999</v>
      </c>
      <c r="S12" s="9">
        <v>46.244</v>
      </c>
    </row>
    <row r="13" spans="1:19" x14ac:dyDescent="0.35">
      <c r="A13" s="6">
        <f>vals_ghg_incLUC!$A13</f>
        <v>1860</v>
      </c>
      <c r="B13" s="7">
        <f t="shared" si="0"/>
        <v>36.42269282293055</v>
      </c>
      <c r="C13" s="7">
        <f t="shared" si="1"/>
        <v>39.349765703455908</v>
      </c>
      <c r="D13" s="7">
        <f t="shared" si="2"/>
        <v>49.316171968005904</v>
      </c>
      <c r="E13" s="7">
        <f t="shared" si="3"/>
        <v>50.822491927688198</v>
      </c>
      <c r="F13" s="7">
        <f t="shared" si="4"/>
        <v>2.9270728805253583</v>
      </c>
      <c r="G13" s="7">
        <f t="shared" si="5"/>
        <v>0</v>
      </c>
      <c r="H13" s="7">
        <f t="shared" si="6"/>
        <v>9.9664062645499953</v>
      </c>
      <c r="I13" s="8">
        <f>vals_ghg_incLUC!$R13</f>
        <v>36.42269282293055</v>
      </c>
      <c r="J13" s="8">
        <f>vals_ghg_incLUC!$X13</f>
        <v>39.349765703455908</v>
      </c>
      <c r="K13" s="8" t="e">
        <f>vals_ghg_incLUC!$AD13</f>
        <v>#N/A</v>
      </c>
      <c r="L13" s="8"/>
      <c r="M13" s="8">
        <f>vals_ghg_incLUC!$S13</f>
        <v>49.316171968005904</v>
      </c>
      <c r="N13" s="8">
        <f>vals_ghg_incLUC!$Y13</f>
        <v>50.822491927688198</v>
      </c>
      <c r="O13" s="8" t="e">
        <f>vals_ghg_incLUC!$AE13</f>
        <v>#N/A</v>
      </c>
      <c r="P13" s="8"/>
      <c r="Q13" s="9">
        <f t="shared" si="7"/>
        <v>1.506319959682294</v>
      </c>
      <c r="R13" s="9">
        <v>34.215000000000003</v>
      </c>
      <c r="S13" s="9">
        <v>46.225000000000001</v>
      </c>
    </row>
    <row r="14" spans="1:19" x14ac:dyDescent="0.35">
      <c r="A14" s="3">
        <f>vals_ghg_incLUC!$A14</f>
        <v>1861</v>
      </c>
      <c r="B14" s="4">
        <f t="shared" si="0"/>
        <v>36.417718669741419</v>
      </c>
      <c r="C14" s="4">
        <f t="shared" si="1"/>
        <v>39.333015403320978</v>
      </c>
      <c r="D14" s="4">
        <f t="shared" si="2"/>
        <v>49.304961879143335</v>
      </c>
      <c r="E14" s="4">
        <f t="shared" si="3"/>
        <v>50.802935927440615</v>
      </c>
      <c r="F14" s="4">
        <f t="shared" si="4"/>
        <v>2.9152967335795594</v>
      </c>
      <c r="G14" s="4">
        <f t="shared" si="5"/>
        <v>0</v>
      </c>
      <c r="H14" s="4">
        <f t="shared" si="6"/>
        <v>9.9719464758223566</v>
      </c>
      <c r="I14" s="5">
        <f>vals_ghg_incLUC!$R14</f>
        <v>36.417718669741419</v>
      </c>
      <c r="J14" s="5">
        <f>vals_ghg_incLUC!$X14</f>
        <v>39.333015403320978</v>
      </c>
      <c r="K14" s="5" t="e">
        <f>vals_ghg_incLUC!$AD14</f>
        <v>#N/A</v>
      </c>
      <c r="L14" s="5"/>
      <c r="M14" s="5">
        <f>vals_ghg_incLUC!$S14</f>
        <v>49.304961879143335</v>
      </c>
      <c r="N14" s="5">
        <f>vals_ghg_incLUC!$Y14</f>
        <v>50.802935927440615</v>
      </c>
      <c r="O14" s="5" t="e">
        <f>vals_ghg_incLUC!$AE14</f>
        <v>#N/A</v>
      </c>
      <c r="P14" s="5"/>
      <c r="Q14" s="9">
        <f t="shared" si="7"/>
        <v>1.4979740482972801</v>
      </c>
      <c r="R14" s="9">
        <v>34.203000000000003</v>
      </c>
      <c r="S14" s="9">
        <v>46.204999999999998</v>
      </c>
    </row>
    <row r="15" spans="1:19" x14ac:dyDescent="0.35">
      <c r="A15" s="6">
        <f>vals_ghg_incLUC!$A15</f>
        <v>1862</v>
      </c>
      <c r="B15" s="7">
        <f t="shared" si="0"/>
        <v>36.412952249853291</v>
      </c>
      <c r="C15" s="7">
        <f t="shared" si="1"/>
        <v>39.315745291656071</v>
      </c>
      <c r="D15" s="7">
        <f t="shared" si="2"/>
        <v>49.293446924431414</v>
      </c>
      <c r="E15" s="7">
        <f t="shared" si="3"/>
        <v>50.782548924227555</v>
      </c>
      <c r="F15" s="7">
        <f t="shared" si="4"/>
        <v>2.9027930418027807</v>
      </c>
      <c r="G15" s="7">
        <f t="shared" si="5"/>
        <v>0</v>
      </c>
      <c r="H15" s="7">
        <f t="shared" si="6"/>
        <v>9.9777016327753429</v>
      </c>
      <c r="I15" s="8">
        <f>vals_ghg_incLUC!$R15</f>
        <v>36.412952249853291</v>
      </c>
      <c r="J15" s="8">
        <f>vals_ghg_incLUC!$X15</f>
        <v>39.315745291656071</v>
      </c>
      <c r="K15" s="8" t="e">
        <f>vals_ghg_incLUC!$AD15</f>
        <v>#N/A</v>
      </c>
      <c r="L15" s="8"/>
      <c r="M15" s="8">
        <f>vals_ghg_incLUC!$S15</f>
        <v>49.293446924431414</v>
      </c>
      <c r="N15" s="8">
        <f>vals_ghg_incLUC!$Y15</f>
        <v>50.782548924227555</v>
      </c>
      <c r="O15" s="8" t="e">
        <f>vals_ghg_incLUC!$AE15</f>
        <v>#N/A</v>
      </c>
      <c r="P15" s="8"/>
      <c r="Q15" s="9">
        <f t="shared" si="7"/>
        <v>1.4891019997961408</v>
      </c>
      <c r="R15" s="9">
        <v>34.19</v>
      </c>
      <c r="S15" s="9">
        <v>46.183999999999997</v>
      </c>
    </row>
    <row r="16" spans="1:19" x14ac:dyDescent="0.35">
      <c r="A16" s="3">
        <f>vals_ghg_incLUC!$A16</f>
        <v>1863</v>
      </c>
      <c r="B16" s="4">
        <f t="shared" si="0"/>
        <v>36.407312837100889</v>
      </c>
      <c r="C16" s="4">
        <f t="shared" si="1"/>
        <v>39.30165573844053</v>
      </c>
      <c r="D16" s="4">
        <f t="shared" si="2"/>
        <v>49.280982458834728</v>
      </c>
      <c r="E16" s="4">
        <f t="shared" si="3"/>
        <v>50.765316640110235</v>
      </c>
      <c r="F16" s="4">
        <f t="shared" si="4"/>
        <v>2.8943429013396411</v>
      </c>
      <c r="G16" s="4">
        <f t="shared" si="5"/>
        <v>0</v>
      </c>
      <c r="H16" s="4">
        <f t="shared" si="6"/>
        <v>9.979326720394198</v>
      </c>
      <c r="I16" s="5">
        <f>vals_ghg_incLUC!$R16</f>
        <v>36.407312837100889</v>
      </c>
      <c r="J16" s="5">
        <f>vals_ghg_incLUC!$X16</f>
        <v>39.30165573844053</v>
      </c>
      <c r="K16" s="5" t="e">
        <f>vals_ghg_incLUC!$AD16</f>
        <v>#N/A</v>
      </c>
      <c r="L16" s="5"/>
      <c r="M16" s="5">
        <f>vals_ghg_incLUC!$S16</f>
        <v>49.280982458834728</v>
      </c>
      <c r="N16" s="5">
        <f>vals_ghg_incLUC!$Y16</f>
        <v>50.765316640110235</v>
      </c>
      <c r="O16" s="5" t="e">
        <f>vals_ghg_incLUC!$AE16</f>
        <v>#N/A</v>
      </c>
      <c r="P16" s="5"/>
      <c r="Q16" s="9">
        <f t="shared" si="7"/>
        <v>1.4843341812755071</v>
      </c>
      <c r="R16" s="9">
        <v>34.177</v>
      </c>
      <c r="S16" s="9">
        <v>46.161999999999999</v>
      </c>
    </row>
    <row r="17" spans="1:19" x14ac:dyDescent="0.35">
      <c r="A17" s="6">
        <f>vals_ghg_incLUC!$A17</f>
        <v>1864</v>
      </c>
      <c r="B17" s="7">
        <f t="shared" si="0"/>
        <v>36.400856494566654</v>
      </c>
      <c r="C17" s="7">
        <f t="shared" si="1"/>
        <v>39.287106991688951</v>
      </c>
      <c r="D17" s="7">
        <f t="shared" si="2"/>
        <v>49.267994153229502</v>
      </c>
      <c r="E17" s="7">
        <f t="shared" si="3"/>
        <v>50.747540817306579</v>
      </c>
      <c r="F17" s="7">
        <f t="shared" si="4"/>
        <v>2.8862504971222975</v>
      </c>
      <c r="G17" s="7">
        <f t="shared" si="5"/>
        <v>0</v>
      </c>
      <c r="H17" s="7">
        <f t="shared" si="6"/>
        <v>9.9808871615405508</v>
      </c>
      <c r="I17" s="8">
        <f>vals_ghg_incLUC!$R17</f>
        <v>36.400856494566654</v>
      </c>
      <c r="J17" s="8">
        <f>vals_ghg_incLUC!$X17</f>
        <v>39.287106991688951</v>
      </c>
      <c r="K17" s="8" t="e">
        <f>vals_ghg_incLUC!$AD17</f>
        <v>#N/A</v>
      </c>
      <c r="L17" s="8"/>
      <c r="M17" s="8">
        <f>vals_ghg_incLUC!$S17</f>
        <v>49.267994153229502</v>
      </c>
      <c r="N17" s="8">
        <f>vals_ghg_incLUC!$Y17</f>
        <v>50.747540817306579</v>
      </c>
      <c r="O17" s="8" t="e">
        <f>vals_ghg_incLUC!$AE17</f>
        <v>#N/A</v>
      </c>
      <c r="P17" s="8"/>
      <c r="Q17" s="9">
        <f t="shared" si="7"/>
        <v>1.4795466640770769</v>
      </c>
      <c r="R17" s="9">
        <v>34.162999999999997</v>
      </c>
      <c r="S17" s="9">
        <v>46.14</v>
      </c>
    </row>
    <row r="18" spans="1:19" x14ac:dyDescent="0.35">
      <c r="A18" s="3">
        <f>vals_ghg_incLUC!$A18</f>
        <v>1865</v>
      </c>
      <c r="B18" s="4">
        <f t="shared" si="0"/>
        <v>36.394590204232337</v>
      </c>
      <c r="C18" s="4">
        <f t="shared" si="1"/>
        <v>39.271949123751398</v>
      </c>
      <c r="D18" s="4">
        <f t="shared" si="2"/>
        <v>49.254249443277082</v>
      </c>
      <c r="E18" s="4">
        <f t="shared" si="3"/>
        <v>50.729134812265741</v>
      </c>
      <c r="F18" s="4">
        <f t="shared" si="4"/>
        <v>2.877358919519061</v>
      </c>
      <c r="G18" s="4">
        <f t="shared" si="5"/>
        <v>0</v>
      </c>
      <c r="H18" s="4">
        <f t="shared" si="6"/>
        <v>9.9823003195256845</v>
      </c>
      <c r="I18" s="5">
        <f>vals_ghg_incLUC!$R18</f>
        <v>36.394590204232337</v>
      </c>
      <c r="J18" s="5">
        <f>vals_ghg_incLUC!$X18</f>
        <v>39.271949123751398</v>
      </c>
      <c r="K18" s="5" t="e">
        <f>vals_ghg_incLUC!$AD18</f>
        <v>#N/A</v>
      </c>
      <c r="L18" s="5"/>
      <c r="M18" s="5">
        <f>vals_ghg_incLUC!$S18</f>
        <v>49.254249443277082</v>
      </c>
      <c r="N18" s="5">
        <f>vals_ghg_incLUC!$Y18</f>
        <v>50.729134812265741</v>
      </c>
      <c r="O18" s="5" t="e">
        <f>vals_ghg_incLUC!$AE18</f>
        <v>#N/A</v>
      </c>
      <c r="P18" s="5"/>
      <c r="Q18" s="9">
        <f t="shared" si="7"/>
        <v>1.4748853689886587</v>
      </c>
      <c r="R18" s="9">
        <v>34.149000000000001</v>
      </c>
      <c r="S18" s="9">
        <v>46.116999999999997</v>
      </c>
    </row>
    <row r="19" spans="1:19" x14ac:dyDescent="0.35">
      <c r="A19" s="6">
        <f>vals_ghg_incLUC!$A19</f>
        <v>1866</v>
      </c>
      <c r="B19" s="7">
        <f t="shared" si="0"/>
        <v>36.387692633450953</v>
      </c>
      <c r="C19" s="7">
        <f t="shared" si="1"/>
        <v>39.2562795465359</v>
      </c>
      <c r="D19" s="7">
        <f t="shared" si="2"/>
        <v>49.240146727244507</v>
      </c>
      <c r="E19" s="7">
        <f t="shared" si="3"/>
        <v>50.710179148966802</v>
      </c>
      <c r="F19" s="7">
        <f t="shared" si="4"/>
        <v>2.8685869130849468</v>
      </c>
      <c r="G19" s="7">
        <f t="shared" si="5"/>
        <v>0</v>
      </c>
      <c r="H19" s="7">
        <f t="shared" si="6"/>
        <v>9.9838671807086072</v>
      </c>
      <c r="I19" s="8">
        <f>vals_ghg_incLUC!$R19</f>
        <v>36.387692633450953</v>
      </c>
      <c r="J19" s="8">
        <f>vals_ghg_incLUC!$X19</f>
        <v>39.2562795465359</v>
      </c>
      <c r="K19" s="8" t="e">
        <f>vals_ghg_incLUC!$AD19</f>
        <v>#N/A</v>
      </c>
      <c r="L19" s="8"/>
      <c r="M19" s="8">
        <f>vals_ghg_incLUC!$S19</f>
        <v>49.240146727244507</v>
      </c>
      <c r="N19" s="8">
        <f>vals_ghg_incLUC!$Y19</f>
        <v>50.710179148966802</v>
      </c>
      <c r="O19" s="8" t="e">
        <f>vals_ghg_incLUC!$AE19</f>
        <v>#N/A</v>
      </c>
      <c r="P19" s="8"/>
      <c r="Q19" s="9">
        <f t="shared" si="7"/>
        <v>1.4700324217222942</v>
      </c>
      <c r="R19" s="9">
        <v>34.134999999999998</v>
      </c>
      <c r="S19" s="9">
        <v>46.093000000000004</v>
      </c>
    </row>
    <row r="20" spans="1:19" x14ac:dyDescent="0.35">
      <c r="A20" s="3">
        <f>vals_ghg_incLUC!$A20</f>
        <v>1867</v>
      </c>
      <c r="B20" s="4">
        <f t="shared" si="0"/>
        <v>36.380974492937625</v>
      </c>
      <c r="C20" s="4">
        <f t="shared" si="1"/>
        <v>39.24028708658701</v>
      </c>
      <c r="D20" s="4">
        <f t="shared" si="2"/>
        <v>49.225186972960046</v>
      </c>
      <c r="E20" s="4">
        <f t="shared" si="3"/>
        <v>50.690816857907819</v>
      </c>
      <c r="F20" s="4">
        <f t="shared" si="4"/>
        <v>2.8593125936493848</v>
      </c>
      <c r="G20" s="4">
        <f t="shared" si="5"/>
        <v>0</v>
      </c>
      <c r="H20" s="4">
        <f t="shared" si="6"/>
        <v>9.9848998863730358</v>
      </c>
      <c r="I20" s="5">
        <f>vals_ghg_incLUC!$R20</f>
        <v>36.380974492937625</v>
      </c>
      <c r="J20" s="5">
        <f>vals_ghg_incLUC!$X20</f>
        <v>39.24028708658701</v>
      </c>
      <c r="K20" s="5" t="e">
        <f>vals_ghg_incLUC!$AD20</f>
        <v>#N/A</v>
      </c>
      <c r="L20" s="5"/>
      <c r="M20" s="5">
        <f>vals_ghg_incLUC!$S20</f>
        <v>49.225186972960046</v>
      </c>
      <c r="N20" s="5">
        <f>vals_ghg_incLUC!$Y20</f>
        <v>50.690816857907819</v>
      </c>
      <c r="O20" s="5" t="e">
        <f>vals_ghg_incLUC!$AE20</f>
        <v>#N/A</v>
      </c>
      <c r="P20" s="5"/>
      <c r="Q20" s="9">
        <f t="shared" si="7"/>
        <v>1.4656298849477736</v>
      </c>
      <c r="R20" s="9">
        <v>34.119999999999997</v>
      </c>
      <c r="S20" s="9">
        <v>46.067999999999998</v>
      </c>
    </row>
    <row r="21" spans="1:19" x14ac:dyDescent="0.35">
      <c r="A21" s="6">
        <f>vals_ghg_incLUC!$A21</f>
        <v>1868</v>
      </c>
      <c r="B21" s="7">
        <f t="shared" si="0"/>
        <v>36.372782607212571</v>
      </c>
      <c r="C21" s="7">
        <f t="shared" si="1"/>
        <v>39.223733169640731</v>
      </c>
      <c r="D21" s="7">
        <f t="shared" si="2"/>
        <v>49.209977552467024</v>
      </c>
      <c r="E21" s="7">
        <f t="shared" si="3"/>
        <v>50.670852721793267</v>
      </c>
      <c r="F21" s="7">
        <f t="shared" si="4"/>
        <v>2.8509505624281601</v>
      </c>
      <c r="G21" s="7">
        <f t="shared" si="5"/>
        <v>0</v>
      </c>
      <c r="H21" s="7">
        <f t="shared" si="6"/>
        <v>9.9862443828262926</v>
      </c>
      <c r="I21" s="8">
        <f>vals_ghg_incLUC!$R21</f>
        <v>36.372782607212571</v>
      </c>
      <c r="J21" s="8">
        <f>vals_ghg_incLUC!$X21</f>
        <v>39.223733169640731</v>
      </c>
      <c r="K21" s="8" t="e">
        <f>vals_ghg_incLUC!$AD21</f>
        <v>#N/A</v>
      </c>
      <c r="L21" s="8"/>
      <c r="M21" s="8">
        <f>vals_ghg_incLUC!$S21</f>
        <v>49.209977552467024</v>
      </c>
      <c r="N21" s="8">
        <f>vals_ghg_incLUC!$Y21</f>
        <v>50.670852721793267</v>
      </c>
      <c r="O21" s="8" t="e">
        <f>vals_ghg_incLUC!$AE21</f>
        <v>#N/A</v>
      </c>
      <c r="P21" s="8"/>
      <c r="Q21" s="9">
        <f t="shared" si="7"/>
        <v>1.4608751693262434</v>
      </c>
      <c r="R21" s="9">
        <v>34.103999999999999</v>
      </c>
      <c r="S21" s="9">
        <v>46.042999999999999</v>
      </c>
    </row>
    <row r="22" spans="1:19" x14ac:dyDescent="0.35">
      <c r="A22" s="3">
        <f>vals_ghg_incLUC!$A22</f>
        <v>1869</v>
      </c>
      <c r="B22" s="4">
        <f t="shared" si="0"/>
        <v>36.364548210298807</v>
      </c>
      <c r="C22" s="4">
        <f t="shared" si="1"/>
        <v>39.206989608608453</v>
      </c>
      <c r="D22" s="4">
        <f t="shared" si="2"/>
        <v>49.194196071527749</v>
      </c>
      <c r="E22" s="4">
        <f t="shared" si="3"/>
        <v>50.650598254561174</v>
      </c>
      <c r="F22" s="4">
        <f t="shared" si="4"/>
        <v>2.8424413983096457</v>
      </c>
      <c r="G22" s="4">
        <f t="shared" si="5"/>
        <v>0</v>
      </c>
      <c r="H22" s="4">
        <f t="shared" si="6"/>
        <v>9.9872064629192963</v>
      </c>
      <c r="I22" s="5">
        <f>vals_ghg_incLUC!$R22</f>
        <v>36.364548210298807</v>
      </c>
      <c r="J22" s="5">
        <f>vals_ghg_incLUC!$X22</f>
        <v>39.206989608608453</v>
      </c>
      <c r="K22" s="5" t="e">
        <f>vals_ghg_incLUC!$AD22</f>
        <v>#N/A</v>
      </c>
      <c r="L22" s="5"/>
      <c r="M22" s="5">
        <f>vals_ghg_incLUC!$S22</f>
        <v>49.194196071527749</v>
      </c>
      <c r="N22" s="5">
        <f>vals_ghg_incLUC!$Y22</f>
        <v>50.650598254561174</v>
      </c>
      <c r="O22" s="5" t="e">
        <f>vals_ghg_incLUC!$AE22</f>
        <v>#N/A</v>
      </c>
      <c r="P22" s="5"/>
      <c r="Q22" s="9">
        <f t="shared" si="7"/>
        <v>1.4564021830334255</v>
      </c>
      <c r="R22" s="9">
        <v>34.087000000000003</v>
      </c>
      <c r="S22" s="9">
        <v>46.017000000000003</v>
      </c>
    </row>
    <row r="23" spans="1:19" x14ac:dyDescent="0.35">
      <c r="A23" s="6">
        <f>vals_ghg_incLUC!$A23</f>
        <v>1870</v>
      </c>
      <c r="B23" s="7">
        <f t="shared" si="0"/>
        <v>36.356200676647425</v>
      </c>
      <c r="C23" s="7">
        <f t="shared" si="1"/>
        <v>39.189661576167538</v>
      </c>
      <c r="D23" s="7">
        <f t="shared" si="2"/>
        <v>49.178120853086206</v>
      </c>
      <c r="E23" s="7">
        <f t="shared" si="3"/>
        <v>50.629722579403257</v>
      </c>
      <c r="F23" s="7">
        <f t="shared" si="4"/>
        <v>2.8334608995201123</v>
      </c>
      <c r="G23" s="7">
        <f t="shared" si="5"/>
        <v>0</v>
      </c>
      <c r="H23" s="7">
        <f t="shared" si="6"/>
        <v>9.9884592769186682</v>
      </c>
      <c r="I23" s="8">
        <f>vals_ghg_incLUC!$R23</f>
        <v>36.356200676647425</v>
      </c>
      <c r="J23" s="8">
        <f>vals_ghg_incLUC!$X23</f>
        <v>39.189661576167538</v>
      </c>
      <c r="K23" s="8" t="e">
        <f>vals_ghg_incLUC!$AD23</f>
        <v>#N/A</v>
      </c>
      <c r="L23" s="8"/>
      <c r="M23" s="8">
        <f>vals_ghg_incLUC!$S23</f>
        <v>49.178120853086206</v>
      </c>
      <c r="N23" s="8">
        <f>vals_ghg_incLUC!$Y23</f>
        <v>50.629722579403257</v>
      </c>
      <c r="O23" s="8" t="e">
        <f>vals_ghg_incLUC!$AE23</f>
        <v>#N/A</v>
      </c>
      <c r="P23" s="8"/>
      <c r="Q23" s="9">
        <f t="shared" si="7"/>
        <v>1.4516017263170511</v>
      </c>
      <c r="R23" s="9">
        <v>34.070999999999998</v>
      </c>
      <c r="S23" s="9">
        <v>45.99</v>
      </c>
    </row>
    <row r="24" spans="1:19" x14ac:dyDescent="0.35">
      <c r="A24" s="3">
        <f>vals_ghg_incLUC!$A24</f>
        <v>1871</v>
      </c>
      <c r="B24" s="4">
        <f t="shared" si="0"/>
        <v>36.34454278093726</v>
      </c>
      <c r="C24" s="4">
        <f t="shared" si="1"/>
        <v>39.172212115394196</v>
      </c>
      <c r="D24" s="4">
        <f t="shared" si="2"/>
        <v>49.15807007245423</v>
      </c>
      <c r="E24" s="4">
        <f t="shared" si="3"/>
        <v>50.608622833798087</v>
      </c>
      <c r="F24" s="4">
        <f t="shared" si="4"/>
        <v>2.8276693344569352</v>
      </c>
      <c r="G24" s="4">
        <f t="shared" si="5"/>
        <v>0</v>
      </c>
      <c r="H24" s="4">
        <f t="shared" si="6"/>
        <v>9.9858579570600341</v>
      </c>
      <c r="I24" s="5">
        <f>vals_ghg_incLUC!$R24</f>
        <v>36.34454278093726</v>
      </c>
      <c r="J24" s="5">
        <f>vals_ghg_incLUC!$X24</f>
        <v>39.172212115394196</v>
      </c>
      <c r="K24" s="5" t="e">
        <f>vals_ghg_incLUC!$AD24</f>
        <v>#N/A</v>
      </c>
      <c r="L24" s="5"/>
      <c r="M24" s="5">
        <f>vals_ghg_incLUC!$S24</f>
        <v>49.15807007245423</v>
      </c>
      <c r="N24" s="5">
        <f>vals_ghg_incLUC!$Y24</f>
        <v>50.608622833798087</v>
      </c>
      <c r="O24" s="5" t="e">
        <f>vals_ghg_incLUC!$AE24</f>
        <v>#N/A</v>
      </c>
      <c r="P24" s="5"/>
      <c r="Q24" s="9">
        <f t="shared" si="7"/>
        <v>1.4505527613438574</v>
      </c>
      <c r="R24" s="9">
        <v>34.051000000000002</v>
      </c>
      <c r="S24" s="9">
        <v>45.96</v>
      </c>
    </row>
    <row r="25" spans="1:19" x14ac:dyDescent="0.35">
      <c r="A25" s="6">
        <f>vals_ghg_incLUC!$A25</f>
        <v>1872</v>
      </c>
      <c r="B25" s="7">
        <f t="shared" si="0"/>
        <v>36.330054088805085</v>
      </c>
      <c r="C25" s="7">
        <f t="shared" si="1"/>
        <v>39.154954300139941</v>
      </c>
      <c r="D25" s="7">
        <f t="shared" si="2"/>
        <v>49.136124549384391</v>
      </c>
      <c r="E25" s="7">
        <f t="shared" si="3"/>
        <v>50.588203612264216</v>
      </c>
      <c r="F25" s="7">
        <f t="shared" si="4"/>
        <v>2.8249002113348567</v>
      </c>
      <c r="G25" s="7">
        <f t="shared" si="5"/>
        <v>0</v>
      </c>
      <c r="H25" s="7">
        <f t="shared" si="6"/>
        <v>9.9811702492444496</v>
      </c>
      <c r="I25" s="8">
        <f>vals_ghg_incLUC!$R25</f>
        <v>36.330054088805085</v>
      </c>
      <c r="J25" s="8">
        <f>vals_ghg_incLUC!$X25</f>
        <v>39.154954300139941</v>
      </c>
      <c r="K25" s="8" t="e">
        <f>vals_ghg_incLUC!$AD25</f>
        <v>#N/A</v>
      </c>
      <c r="L25" s="8"/>
      <c r="M25" s="8">
        <f>vals_ghg_incLUC!$S25</f>
        <v>49.136124549384391</v>
      </c>
      <c r="N25" s="8">
        <f>vals_ghg_incLUC!$Y25</f>
        <v>50.588203612264216</v>
      </c>
      <c r="O25" s="8" t="e">
        <f>vals_ghg_incLUC!$AE25</f>
        <v>#N/A</v>
      </c>
      <c r="P25" s="8"/>
      <c r="Q25" s="9">
        <f t="shared" si="7"/>
        <v>1.4520790628798252</v>
      </c>
      <c r="R25" s="9">
        <v>34.027999999999999</v>
      </c>
      <c r="S25" s="9">
        <v>45.927</v>
      </c>
    </row>
    <row r="26" spans="1:19" x14ac:dyDescent="0.35">
      <c r="A26" s="3">
        <f>vals_ghg_incLUC!$A26</f>
        <v>1873</v>
      </c>
      <c r="B26" s="4">
        <f t="shared" si="0"/>
        <v>36.31425769145298</v>
      </c>
      <c r="C26" s="4">
        <f t="shared" si="1"/>
        <v>39.130638266107333</v>
      </c>
      <c r="D26" s="4">
        <f t="shared" si="2"/>
        <v>49.112302650597059</v>
      </c>
      <c r="E26" s="4">
        <f t="shared" si="3"/>
        <v>50.562015249865603</v>
      </c>
      <c r="F26" s="4">
        <f t="shared" si="4"/>
        <v>2.8163805746543531</v>
      </c>
      <c r="G26" s="4">
        <f t="shared" si="5"/>
        <v>0</v>
      </c>
      <c r="H26" s="4">
        <f t="shared" si="6"/>
        <v>9.9816643844897257</v>
      </c>
      <c r="I26" s="5">
        <f>vals_ghg_incLUC!$R26</f>
        <v>36.31425769145298</v>
      </c>
      <c r="J26" s="5">
        <f>vals_ghg_incLUC!$X26</f>
        <v>39.130638266107333</v>
      </c>
      <c r="K26" s="5" t="e">
        <f>vals_ghg_incLUC!$AD26</f>
        <v>#N/A</v>
      </c>
      <c r="L26" s="5"/>
      <c r="M26" s="5">
        <f>vals_ghg_incLUC!$S26</f>
        <v>49.112302650597059</v>
      </c>
      <c r="N26" s="5">
        <f>vals_ghg_incLUC!$Y26</f>
        <v>50.562015249865603</v>
      </c>
      <c r="O26" s="5" t="e">
        <f>vals_ghg_incLUC!$AE26</f>
        <v>#N/A</v>
      </c>
      <c r="P26" s="5"/>
      <c r="Q26" s="9">
        <f t="shared" si="7"/>
        <v>1.449712599268544</v>
      </c>
      <c r="R26" s="9">
        <v>34.003999999999998</v>
      </c>
      <c r="S26" s="9">
        <v>45.892000000000003</v>
      </c>
    </row>
    <row r="27" spans="1:19" x14ac:dyDescent="0.35">
      <c r="A27" s="6">
        <f>vals_ghg_incLUC!$A27</f>
        <v>1874</v>
      </c>
      <c r="B27" s="7">
        <f t="shared" si="0"/>
        <v>36.29614020282326</v>
      </c>
      <c r="C27" s="7">
        <f t="shared" si="1"/>
        <v>39.105085475687851</v>
      </c>
      <c r="D27" s="7">
        <f t="shared" si="2"/>
        <v>49.086807755118066</v>
      </c>
      <c r="E27" s="7">
        <f t="shared" si="3"/>
        <v>50.534769192263319</v>
      </c>
      <c r="F27" s="7">
        <f t="shared" si="4"/>
        <v>2.8089452728645909</v>
      </c>
      <c r="G27" s="7">
        <f t="shared" si="5"/>
        <v>0</v>
      </c>
      <c r="H27" s="7">
        <f t="shared" si="6"/>
        <v>9.9817222794302154</v>
      </c>
      <c r="I27" s="8">
        <f>vals_ghg_incLUC!$R27</f>
        <v>36.29614020282326</v>
      </c>
      <c r="J27" s="8">
        <f>vals_ghg_incLUC!$X27</f>
        <v>39.105085475687851</v>
      </c>
      <c r="K27" s="8" t="e">
        <f>vals_ghg_incLUC!$AD27</f>
        <v>#N/A</v>
      </c>
      <c r="L27" s="8"/>
      <c r="M27" s="8">
        <f>vals_ghg_incLUC!$S27</f>
        <v>49.086807755118066</v>
      </c>
      <c r="N27" s="8">
        <f>vals_ghg_incLUC!$Y27</f>
        <v>50.534769192263319</v>
      </c>
      <c r="O27" s="8" t="e">
        <f>vals_ghg_incLUC!$AE27</f>
        <v>#N/A</v>
      </c>
      <c r="P27" s="8"/>
      <c r="Q27" s="9">
        <f t="shared" si="7"/>
        <v>1.4479614371452527</v>
      </c>
      <c r="R27" s="9">
        <v>33.976999999999997</v>
      </c>
      <c r="S27" s="9">
        <v>45.856000000000002</v>
      </c>
    </row>
    <row r="28" spans="1:19" x14ac:dyDescent="0.35">
      <c r="A28" s="3">
        <f>vals_ghg_incLUC!$A28</f>
        <v>1875</v>
      </c>
      <c r="B28" s="4">
        <f t="shared" si="0"/>
        <v>36.278362214228885</v>
      </c>
      <c r="C28" s="4">
        <f t="shared" si="1"/>
        <v>39.080181115685605</v>
      </c>
      <c r="D28" s="4">
        <f t="shared" si="2"/>
        <v>49.060639380455981</v>
      </c>
      <c r="E28" s="4">
        <f t="shared" si="3"/>
        <v>50.507886511520852</v>
      </c>
      <c r="F28" s="4">
        <f t="shared" si="4"/>
        <v>2.8018189014567199</v>
      </c>
      <c r="G28" s="4">
        <f t="shared" si="5"/>
        <v>0</v>
      </c>
      <c r="H28" s="4">
        <f t="shared" si="6"/>
        <v>9.9804582647703768</v>
      </c>
      <c r="I28" s="5">
        <f>vals_ghg_incLUC!$R28</f>
        <v>36.278362214228885</v>
      </c>
      <c r="J28" s="5">
        <f>vals_ghg_incLUC!$X28</f>
        <v>39.080181115685605</v>
      </c>
      <c r="K28" s="5" t="e">
        <f>vals_ghg_incLUC!$AD28</f>
        <v>#N/A</v>
      </c>
      <c r="L28" s="5"/>
      <c r="M28" s="5">
        <f>vals_ghg_incLUC!$S28</f>
        <v>49.060639380455981</v>
      </c>
      <c r="N28" s="5">
        <f>vals_ghg_incLUC!$Y28</f>
        <v>50.507886511520852</v>
      </c>
      <c r="O28" s="5" t="e">
        <f>vals_ghg_incLUC!$AE28</f>
        <v>#N/A</v>
      </c>
      <c r="P28" s="5"/>
      <c r="Q28" s="9">
        <f t="shared" si="7"/>
        <v>1.44724713106487</v>
      </c>
      <c r="R28" s="9">
        <v>33.951000000000001</v>
      </c>
      <c r="S28" s="9">
        <v>45.819000000000003</v>
      </c>
    </row>
    <row r="29" spans="1:19" x14ac:dyDescent="0.35">
      <c r="A29" s="6">
        <f>vals_ghg_incLUC!$A29</f>
        <v>1876</v>
      </c>
      <c r="B29" s="7">
        <f t="shared" si="0"/>
        <v>36.258578405957834</v>
      </c>
      <c r="C29" s="7">
        <f t="shared" si="1"/>
        <v>39.053662666726574</v>
      </c>
      <c r="D29" s="7">
        <f t="shared" si="2"/>
        <v>49.033035524743809</v>
      </c>
      <c r="E29" s="7">
        <f t="shared" si="3"/>
        <v>50.47960757370555</v>
      </c>
      <c r="F29" s="7">
        <f t="shared" si="4"/>
        <v>2.7950842607687392</v>
      </c>
      <c r="G29" s="7">
        <f t="shared" si="5"/>
        <v>0</v>
      </c>
      <c r="H29" s="7">
        <f t="shared" si="6"/>
        <v>9.9793728580172356</v>
      </c>
      <c r="I29" s="8">
        <f>vals_ghg_incLUC!$R29</f>
        <v>36.258578405957834</v>
      </c>
      <c r="J29" s="8">
        <f>vals_ghg_incLUC!$X29</f>
        <v>39.053662666726574</v>
      </c>
      <c r="K29" s="8" t="e">
        <f>vals_ghg_incLUC!$AD29</f>
        <v>#N/A</v>
      </c>
      <c r="L29" s="8"/>
      <c r="M29" s="8">
        <f>vals_ghg_incLUC!$S29</f>
        <v>49.033035524743809</v>
      </c>
      <c r="N29" s="8">
        <f>vals_ghg_incLUC!$Y29</f>
        <v>50.47960757370555</v>
      </c>
      <c r="O29" s="8" t="e">
        <f>vals_ghg_incLUC!$AE29</f>
        <v>#N/A</v>
      </c>
      <c r="P29" s="8"/>
      <c r="Q29" s="9">
        <f t="shared" si="7"/>
        <v>1.4465720489617411</v>
      </c>
      <c r="R29" s="9">
        <v>33.923000000000002</v>
      </c>
      <c r="S29" s="9">
        <v>45.780999999999999</v>
      </c>
    </row>
    <row r="30" spans="1:19" x14ac:dyDescent="0.35">
      <c r="A30" s="3">
        <f>vals_ghg_incLUC!$A30</f>
        <v>1877</v>
      </c>
      <c r="B30" s="4">
        <f t="shared" si="0"/>
        <v>36.238240412671338</v>
      </c>
      <c r="C30" s="4">
        <f t="shared" si="1"/>
        <v>39.026853433047336</v>
      </c>
      <c r="D30" s="4">
        <f t="shared" si="2"/>
        <v>49.004408735513309</v>
      </c>
      <c r="E30" s="4">
        <f t="shared" si="3"/>
        <v>50.450701700564494</v>
      </c>
      <c r="F30" s="4">
        <f t="shared" si="4"/>
        <v>2.7886130203759976</v>
      </c>
      <c r="G30" s="4">
        <f t="shared" si="5"/>
        <v>0</v>
      </c>
      <c r="H30" s="4">
        <f t="shared" si="6"/>
        <v>9.9775553024659729</v>
      </c>
      <c r="I30" s="5">
        <f>vals_ghg_incLUC!$R30</f>
        <v>36.238240412671338</v>
      </c>
      <c r="J30" s="5">
        <f>vals_ghg_incLUC!$X30</f>
        <v>39.026853433047336</v>
      </c>
      <c r="K30" s="5" t="e">
        <f>vals_ghg_incLUC!$AD30</f>
        <v>#N/A</v>
      </c>
      <c r="L30" s="5"/>
      <c r="M30" s="5">
        <f>vals_ghg_incLUC!$S30</f>
        <v>49.004408735513309</v>
      </c>
      <c r="N30" s="5">
        <f>vals_ghg_incLUC!$Y30</f>
        <v>50.450701700564494</v>
      </c>
      <c r="O30" s="5" t="e">
        <f>vals_ghg_incLUC!$AE30</f>
        <v>#N/A</v>
      </c>
      <c r="P30" s="5"/>
      <c r="Q30" s="9">
        <f t="shared" si="7"/>
        <v>1.4462929650511853</v>
      </c>
      <c r="R30" s="9">
        <v>33.895000000000003</v>
      </c>
      <c r="S30" s="9">
        <v>45.741999999999997</v>
      </c>
    </row>
    <row r="31" spans="1:19" x14ac:dyDescent="0.35">
      <c r="A31" s="6">
        <f>vals_ghg_incLUC!$A31</f>
        <v>1878</v>
      </c>
      <c r="B31" s="7">
        <f t="shared" si="0"/>
        <v>36.217045073111009</v>
      </c>
      <c r="C31" s="7">
        <f t="shared" si="1"/>
        <v>38.999251940655718</v>
      </c>
      <c r="D31" s="7">
        <f t="shared" si="2"/>
        <v>48.97491815155584</v>
      </c>
      <c r="E31" s="7">
        <f t="shared" si="3"/>
        <v>50.421100170040276</v>
      </c>
      <c r="F31" s="7">
        <f t="shared" si="4"/>
        <v>2.7822068675447085</v>
      </c>
      <c r="G31" s="7">
        <f t="shared" si="5"/>
        <v>0</v>
      </c>
      <c r="H31" s="7">
        <f t="shared" si="6"/>
        <v>9.9756662109001226</v>
      </c>
      <c r="I31" s="8">
        <f>vals_ghg_incLUC!$R31</f>
        <v>36.217045073111009</v>
      </c>
      <c r="J31" s="8">
        <f>vals_ghg_incLUC!$X31</f>
        <v>38.999251940655718</v>
      </c>
      <c r="K31" s="8" t="e">
        <f>vals_ghg_incLUC!$AD31</f>
        <v>#N/A</v>
      </c>
      <c r="L31" s="8"/>
      <c r="M31" s="8">
        <f>vals_ghg_incLUC!$S31</f>
        <v>48.97491815155584</v>
      </c>
      <c r="N31" s="8">
        <f>vals_ghg_incLUC!$Y31</f>
        <v>50.421100170040276</v>
      </c>
      <c r="O31" s="8" t="e">
        <f>vals_ghg_incLUC!$AE31</f>
        <v>#N/A</v>
      </c>
      <c r="P31" s="8"/>
      <c r="Q31" s="9">
        <f t="shared" si="7"/>
        <v>1.4461820184844356</v>
      </c>
      <c r="R31" s="9">
        <v>33.866</v>
      </c>
      <c r="S31" s="9">
        <v>45.701999999999998</v>
      </c>
    </row>
    <row r="32" spans="1:19" x14ac:dyDescent="0.35">
      <c r="A32" s="3">
        <f>vals_ghg_incLUC!$A32</f>
        <v>1879</v>
      </c>
      <c r="B32" s="4">
        <f t="shared" si="0"/>
        <v>36.195159065305695</v>
      </c>
      <c r="C32" s="4">
        <f t="shared" si="1"/>
        <v>38.971308179414457</v>
      </c>
      <c r="D32" s="4">
        <f t="shared" si="2"/>
        <v>48.944303598156232</v>
      </c>
      <c r="E32" s="4">
        <f t="shared" si="3"/>
        <v>50.391041953290262</v>
      </c>
      <c r="F32" s="4">
        <f t="shared" si="4"/>
        <v>2.7761491141087618</v>
      </c>
      <c r="G32" s="4">
        <f t="shared" si="5"/>
        <v>0</v>
      </c>
      <c r="H32" s="4">
        <f t="shared" si="6"/>
        <v>9.9729954187417746</v>
      </c>
      <c r="I32" s="5">
        <f>vals_ghg_incLUC!$R32</f>
        <v>36.195159065305695</v>
      </c>
      <c r="J32" s="5">
        <f>vals_ghg_incLUC!$X32</f>
        <v>38.971308179414457</v>
      </c>
      <c r="K32" s="5" t="e">
        <f>vals_ghg_incLUC!$AD32</f>
        <v>#N/A</v>
      </c>
      <c r="L32" s="5"/>
      <c r="M32" s="5">
        <f>vals_ghg_incLUC!$S32</f>
        <v>48.944303598156232</v>
      </c>
      <c r="N32" s="5">
        <f>vals_ghg_incLUC!$Y32</f>
        <v>50.391041953290262</v>
      </c>
      <c r="O32" s="5" t="e">
        <f>vals_ghg_incLUC!$AE32</f>
        <v>#N/A</v>
      </c>
      <c r="P32" s="5"/>
      <c r="Q32" s="9">
        <f t="shared" si="7"/>
        <v>1.4467383551340305</v>
      </c>
      <c r="R32" s="9">
        <v>33.837000000000003</v>
      </c>
      <c r="S32" s="9">
        <v>45.661999999999999</v>
      </c>
    </row>
    <row r="33" spans="1:19" x14ac:dyDescent="0.35">
      <c r="A33" s="6">
        <f>vals_ghg_incLUC!$A33</f>
        <v>1880</v>
      </c>
      <c r="B33" s="7">
        <f t="shared" si="0"/>
        <v>36.171532779064528</v>
      </c>
      <c r="C33" s="7">
        <f t="shared" si="1"/>
        <v>38.94188011751735</v>
      </c>
      <c r="D33" s="7">
        <f t="shared" si="2"/>
        <v>48.911863631272617</v>
      </c>
      <c r="E33" s="7">
        <f t="shared" si="3"/>
        <v>50.35962294960796</v>
      </c>
      <c r="F33" s="7">
        <f t="shared" si="4"/>
        <v>2.7703473384528223</v>
      </c>
      <c r="G33" s="7">
        <f t="shared" si="5"/>
        <v>0</v>
      </c>
      <c r="H33" s="7">
        <f t="shared" si="6"/>
        <v>9.9699835137552668</v>
      </c>
      <c r="I33" s="8">
        <f>vals_ghg_incLUC!$R33</f>
        <v>36.171532779064528</v>
      </c>
      <c r="J33" s="8">
        <f>vals_ghg_incLUC!$X33</f>
        <v>38.94188011751735</v>
      </c>
      <c r="K33" s="8" t="e">
        <f>vals_ghg_incLUC!$AD33</f>
        <v>#N/A</v>
      </c>
      <c r="L33" s="8"/>
      <c r="M33" s="8">
        <f>vals_ghg_incLUC!$S33</f>
        <v>48.911863631272617</v>
      </c>
      <c r="N33" s="8">
        <f>vals_ghg_incLUC!$Y33</f>
        <v>50.35962294960796</v>
      </c>
      <c r="O33" s="8" t="e">
        <f>vals_ghg_incLUC!$AE33</f>
        <v>#N/A</v>
      </c>
      <c r="P33" s="8"/>
      <c r="Q33" s="9">
        <f t="shared" si="7"/>
        <v>1.4477593183353434</v>
      </c>
      <c r="R33" s="9">
        <v>33.805999999999997</v>
      </c>
      <c r="S33" s="9">
        <v>45.619</v>
      </c>
    </row>
    <row r="34" spans="1:19" x14ac:dyDescent="0.35">
      <c r="A34" s="3">
        <f>vals_ghg_incLUC!$A34</f>
        <v>1881</v>
      </c>
      <c r="B34" s="4">
        <f t="shared" si="0"/>
        <v>36.14886070154256</v>
      </c>
      <c r="C34" s="4">
        <f t="shared" si="1"/>
        <v>38.90979794199604</v>
      </c>
      <c r="D34" s="4">
        <f t="shared" si="2"/>
        <v>48.880105270903528</v>
      </c>
      <c r="E34" s="4">
        <f t="shared" si="3"/>
        <v>50.325900078590657</v>
      </c>
      <c r="F34" s="4">
        <f t="shared" si="4"/>
        <v>2.7609372404534795</v>
      </c>
      <c r="G34" s="4">
        <f t="shared" si="5"/>
        <v>0</v>
      </c>
      <c r="H34" s="4">
        <f t="shared" si="6"/>
        <v>9.9703073289074879</v>
      </c>
      <c r="I34" s="5">
        <f>vals_ghg_incLUC!$R34</f>
        <v>36.14886070154256</v>
      </c>
      <c r="J34" s="5">
        <f>vals_ghg_incLUC!$X34</f>
        <v>38.90979794199604</v>
      </c>
      <c r="K34" s="5" t="e">
        <f>vals_ghg_incLUC!$AD34</f>
        <v>#N/A</v>
      </c>
      <c r="L34" s="5"/>
      <c r="M34" s="5">
        <f>vals_ghg_incLUC!$S34</f>
        <v>48.880105270903528</v>
      </c>
      <c r="N34" s="5">
        <f>vals_ghg_incLUC!$Y34</f>
        <v>50.325900078590657</v>
      </c>
      <c r="O34" s="5" t="e">
        <f>vals_ghg_incLUC!$AE34</f>
        <v>#N/A</v>
      </c>
      <c r="P34" s="5"/>
      <c r="Q34" s="9">
        <f t="shared" si="7"/>
        <v>1.445794807687129</v>
      </c>
      <c r="R34" s="9">
        <v>33.774999999999999</v>
      </c>
      <c r="S34" s="9">
        <v>45.576999999999998</v>
      </c>
    </row>
    <row r="35" spans="1:19" x14ac:dyDescent="0.35">
      <c r="A35" s="6">
        <f>vals_ghg_incLUC!$A35</f>
        <v>1882</v>
      </c>
      <c r="B35" s="7">
        <f t="shared" ref="B35:B66" si="8">IFERROR(_xlfn.AGGREGATE(5,6,I35:L35),"")</f>
        <v>36.127622484136438</v>
      </c>
      <c r="C35" s="7">
        <f t="shared" ref="C35:C66" si="9">IFERROR(_xlfn.AGGREGATE(4,6,I35:L35),"")</f>
        <v>38.878288864827148</v>
      </c>
      <c r="D35" s="7">
        <f t="shared" ref="D35:D66" si="10">IFERROR(_xlfn.AGGREGATE(5,6,M35:P35),"")</f>
        <v>48.849621847979286</v>
      </c>
      <c r="E35" s="7">
        <f t="shared" ref="E35:E66" si="11">IFERROR(_xlfn.AGGREGATE(4,6,M35:P35),"")</f>
        <v>50.293235800834488</v>
      </c>
      <c r="F35" s="7">
        <f t="shared" ref="F35:F66" si="12">IFERROR(MIN(C35,D35)-B35,"")</f>
        <v>2.7506663806907099</v>
      </c>
      <c r="G35" s="7">
        <f t="shared" ref="G35:G66" si="13">IFERROR(MAX(0,C35-D35),"")</f>
        <v>0</v>
      </c>
      <c r="H35" s="7">
        <f t="shared" ref="H35:H66" si="14">IFERROR(MAX(0,D35-C35),"")</f>
        <v>9.9713329831521378</v>
      </c>
      <c r="I35" s="8">
        <f>vals_ghg_incLUC!$R35</f>
        <v>36.127622484136438</v>
      </c>
      <c r="J35" s="8">
        <f>vals_ghg_incLUC!$X35</f>
        <v>38.878288864827148</v>
      </c>
      <c r="K35" s="8" t="e">
        <f>vals_ghg_incLUC!$AD35</f>
        <v>#N/A</v>
      </c>
      <c r="L35" s="8"/>
      <c r="M35" s="8">
        <f>vals_ghg_incLUC!$S35</f>
        <v>48.849621847979286</v>
      </c>
      <c r="N35" s="8">
        <f>vals_ghg_incLUC!$Y35</f>
        <v>50.293235800834488</v>
      </c>
      <c r="O35" s="8" t="e">
        <f>vals_ghg_incLUC!$AE35</f>
        <v>#N/A</v>
      </c>
      <c r="P35" s="8"/>
      <c r="Q35" s="9">
        <f t="shared" ref="Q35:Q66" si="15">IFERROR(MAX(0,$E35-MAX($C35,$D35)),"")</f>
        <v>1.4436139528552019</v>
      </c>
      <c r="R35" s="9">
        <v>33.746000000000002</v>
      </c>
      <c r="S35" s="9">
        <v>45.534999999999997</v>
      </c>
    </row>
    <row r="36" spans="1:19" x14ac:dyDescent="0.35">
      <c r="A36" s="3">
        <f>vals_ghg_incLUC!$A36</f>
        <v>1883</v>
      </c>
      <c r="B36" s="4">
        <f t="shared" si="8"/>
        <v>36.105761254580862</v>
      </c>
      <c r="C36" s="4">
        <f t="shared" si="9"/>
        <v>38.850139163239554</v>
      </c>
      <c r="D36" s="4">
        <f t="shared" si="10"/>
        <v>48.81842300852032</v>
      </c>
      <c r="E36" s="4">
        <f t="shared" si="11"/>
        <v>50.263372738351741</v>
      </c>
      <c r="F36" s="4">
        <f t="shared" si="12"/>
        <v>2.7443779086586915</v>
      </c>
      <c r="G36" s="4">
        <f t="shared" si="13"/>
        <v>0</v>
      </c>
      <c r="H36" s="4">
        <f t="shared" si="14"/>
        <v>9.9682838452807658</v>
      </c>
      <c r="I36" s="5">
        <f>vals_ghg_incLUC!$R36</f>
        <v>36.105761254580862</v>
      </c>
      <c r="J36" s="5">
        <f>vals_ghg_incLUC!$X36</f>
        <v>38.850139163239554</v>
      </c>
      <c r="K36" s="5" t="e">
        <f>vals_ghg_incLUC!$AD36</f>
        <v>#N/A</v>
      </c>
      <c r="L36" s="5"/>
      <c r="M36" s="5">
        <f>vals_ghg_incLUC!$S36</f>
        <v>48.81842300852032</v>
      </c>
      <c r="N36" s="5">
        <f>vals_ghg_incLUC!$Y36</f>
        <v>50.263372738351741</v>
      </c>
      <c r="O36" s="5" t="e">
        <f>vals_ghg_incLUC!$AE36</f>
        <v>#N/A</v>
      </c>
      <c r="P36" s="5"/>
      <c r="Q36" s="9">
        <f t="shared" si="15"/>
        <v>1.4449497298314213</v>
      </c>
      <c r="R36" s="9">
        <v>33.716000000000001</v>
      </c>
      <c r="S36" s="9">
        <v>45.493000000000002</v>
      </c>
    </row>
    <row r="37" spans="1:19" x14ac:dyDescent="0.35">
      <c r="A37" s="6">
        <f>vals_ghg_incLUC!$A37</f>
        <v>1884</v>
      </c>
      <c r="B37" s="7">
        <f t="shared" si="8"/>
        <v>36.082718000229839</v>
      </c>
      <c r="C37" s="7">
        <f t="shared" si="9"/>
        <v>38.821272846868723</v>
      </c>
      <c r="D37" s="7">
        <f t="shared" si="10"/>
        <v>48.785947170875168</v>
      </c>
      <c r="E37" s="7">
        <f t="shared" si="11"/>
        <v>50.232820952361756</v>
      </c>
      <c r="F37" s="7">
        <f t="shared" si="12"/>
        <v>2.738554846638884</v>
      </c>
      <c r="G37" s="7">
        <f t="shared" si="13"/>
        <v>0</v>
      </c>
      <c r="H37" s="7">
        <f t="shared" si="14"/>
        <v>9.9646743240064453</v>
      </c>
      <c r="I37" s="8">
        <f>vals_ghg_incLUC!$R37</f>
        <v>36.082718000229839</v>
      </c>
      <c r="J37" s="8">
        <f>vals_ghg_incLUC!$X37</f>
        <v>38.821272846868723</v>
      </c>
      <c r="K37" s="8" t="e">
        <f>vals_ghg_incLUC!$AD37</f>
        <v>#N/A</v>
      </c>
      <c r="L37" s="8"/>
      <c r="M37" s="8">
        <f>vals_ghg_incLUC!$S37</f>
        <v>48.785947170875168</v>
      </c>
      <c r="N37" s="8">
        <f>vals_ghg_incLUC!$Y37</f>
        <v>50.232820952361756</v>
      </c>
      <c r="O37" s="8" t="e">
        <f>vals_ghg_incLUC!$AE37</f>
        <v>#N/A</v>
      </c>
      <c r="P37" s="8"/>
      <c r="Q37" s="9">
        <f t="shared" si="15"/>
        <v>1.4468737814865875</v>
      </c>
      <c r="R37" s="9">
        <v>33.685000000000002</v>
      </c>
      <c r="S37" s="9">
        <v>45.45</v>
      </c>
    </row>
    <row r="38" spans="1:19" x14ac:dyDescent="0.35">
      <c r="A38" s="3">
        <f>vals_ghg_incLUC!$A38</f>
        <v>1885</v>
      </c>
      <c r="B38" s="4">
        <f t="shared" si="8"/>
        <v>36.060057781762517</v>
      </c>
      <c r="C38" s="4">
        <f t="shared" si="9"/>
        <v>38.792632957086376</v>
      </c>
      <c r="D38" s="4">
        <f t="shared" si="10"/>
        <v>48.753124546164912</v>
      </c>
      <c r="E38" s="4">
        <f t="shared" si="11"/>
        <v>50.202443908781461</v>
      </c>
      <c r="F38" s="4">
        <f t="shared" si="12"/>
        <v>2.7325751753238592</v>
      </c>
      <c r="G38" s="4">
        <f t="shared" si="13"/>
        <v>0</v>
      </c>
      <c r="H38" s="4">
        <f t="shared" si="14"/>
        <v>9.9604915890785364</v>
      </c>
      <c r="I38" s="5">
        <f>vals_ghg_incLUC!$R38</f>
        <v>36.060057781762517</v>
      </c>
      <c r="J38" s="5">
        <f>vals_ghg_incLUC!$X38</f>
        <v>38.792632957086376</v>
      </c>
      <c r="K38" s="5" t="e">
        <f>vals_ghg_incLUC!$AD38</f>
        <v>#N/A</v>
      </c>
      <c r="L38" s="5"/>
      <c r="M38" s="5">
        <f>vals_ghg_incLUC!$S38</f>
        <v>48.753124546164912</v>
      </c>
      <c r="N38" s="5">
        <f>vals_ghg_incLUC!$Y38</f>
        <v>50.202443908781461</v>
      </c>
      <c r="O38" s="5" t="e">
        <f>vals_ghg_incLUC!$AE38</f>
        <v>#N/A</v>
      </c>
      <c r="P38" s="5"/>
      <c r="Q38" s="9">
        <f t="shared" si="15"/>
        <v>1.4493193626165493</v>
      </c>
      <c r="R38" s="9">
        <v>33.654000000000003</v>
      </c>
      <c r="S38" s="9">
        <v>45.405999999999999</v>
      </c>
    </row>
    <row r="39" spans="1:19" x14ac:dyDescent="0.35">
      <c r="A39" s="6">
        <f>vals_ghg_incLUC!$A39</f>
        <v>1886</v>
      </c>
      <c r="B39" s="7">
        <f t="shared" si="8"/>
        <v>36.038007308966961</v>
      </c>
      <c r="C39" s="7">
        <f t="shared" si="9"/>
        <v>38.76427543075431</v>
      </c>
      <c r="D39" s="7">
        <f t="shared" si="10"/>
        <v>48.720359898459996</v>
      </c>
      <c r="E39" s="7">
        <f t="shared" si="11"/>
        <v>50.172216448745232</v>
      </c>
      <c r="F39" s="7">
        <f t="shared" si="12"/>
        <v>2.7262681217873492</v>
      </c>
      <c r="G39" s="7">
        <f t="shared" si="13"/>
        <v>0</v>
      </c>
      <c r="H39" s="7">
        <f t="shared" si="14"/>
        <v>9.9560844677056863</v>
      </c>
      <c r="I39" s="8">
        <f>vals_ghg_incLUC!$R39</f>
        <v>36.038007308966961</v>
      </c>
      <c r="J39" s="8">
        <f>vals_ghg_incLUC!$X39</f>
        <v>38.76427543075431</v>
      </c>
      <c r="K39" s="8" t="e">
        <f>vals_ghg_incLUC!$AD39</f>
        <v>#N/A</v>
      </c>
      <c r="L39" s="8"/>
      <c r="M39" s="8">
        <f>vals_ghg_incLUC!$S39</f>
        <v>48.720359898459996</v>
      </c>
      <c r="N39" s="8">
        <f>vals_ghg_incLUC!$Y39</f>
        <v>50.172216448745232</v>
      </c>
      <c r="O39" s="8" t="e">
        <f>vals_ghg_incLUC!$AE39</f>
        <v>#N/A</v>
      </c>
      <c r="P39" s="8"/>
      <c r="Q39" s="9">
        <f t="shared" si="15"/>
        <v>1.4518565502852354</v>
      </c>
      <c r="R39" s="9">
        <v>33.625</v>
      </c>
      <c r="S39" s="9">
        <v>45.363</v>
      </c>
    </row>
    <row r="40" spans="1:19" x14ac:dyDescent="0.35">
      <c r="A40" s="3">
        <f>vals_ghg_incLUC!$A40</f>
        <v>1887</v>
      </c>
      <c r="B40" s="4">
        <f t="shared" si="8"/>
        <v>36.015630780569303</v>
      </c>
      <c r="C40" s="4">
        <f t="shared" si="9"/>
        <v>38.735876316255585</v>
      </c>
      <c r="D40" s="4">
        <f t="shared" si="10"/>
        <v>48.687647777443352</v>
      </c>
      <c r="E40" s="4">
        <f t="shared" si="11"/>
        <v>50.141873082769941</v>
      </c>
      <c r="F40" s="4">
        <f t="shared" si="12"/>
        <v>2.7202455356862814</v>
      </c>
      <c r="G40" s="4">
        <f t="shared" si="13"/>
        <v>0</v>
      </c>
      <c r="H40" s="4">
        <f t="shared" si="14"/>
        <v>9.9517714611877679</v>
      </c>
      <c r="I40" s="5">
        <f>vals_ghg_incLUC!$R40</f>
        <v>36.015630780569303</v>
      </c>
      <c r="J40" s="5">
        <f>vals_ghg_incLUC!$X40</f>
        <v>38.735876316255585</v>
      </c>
      <c r="K40" s="5" t="e">
        <f>vals_ghg_incLUC!$AD40</f>
        <v>#N/A</v>
      </c>
      <c r="L40" s="5"/>
      <c r="M40" s="5">
        <f>vals_ghg_incLUC!$S40</f>
        <v>48.687647777443352</v>
      </c>
      <c r="N40" s="5">
        <f>vals_ghg_incLUC!$Y40</f>
        <v>50.141873082769941</v>
      </c>
      <c r="O40" s="5" t="e">
        <f>vals_ghg_incLUC!$AE40</f>
        <v>#N/A</v>
      </c>
      <c r="P40" s="5"/>
      <c r="Q40" s="9">
        <f t="shared" si="15"/>
        <v>1.4542253053265881</v>
      </c>
      <c r="R40" s="9">
        <v>33.595999999999997</v>
      </c>
      <c r="S40" s="9">
        <v>45.320999999999998</v>
      </c>
    </row>
    <row r="41" spans="1:19" x14ac:dyDescent="0.35">
      <c r="A41" s="6">
        <f>vals_ghg_incLUC!$A41</f>
        <v>1888</v>
      </c>
      <c r="B41" s="7">
        <f t="shared" si="8"/>
        <v>35.991906746239991</v>
      </c>
      <c r="C41" s="7">
        <f t="shared" si="9"/>
        <v>38.706758509713133</v>
      </c>
      <c r="D41" s="7">
        <f t="shared" si="10"/>
        <v>48.654254229989178</v>
      </c>
      <c r="E41" s="7">
        <f t="shared" si="11"/>
        <v>50.110818015783963</v>
      </c>
      <c r="F41" s="7">
        <f t="shared" si="12"/>
        <v>2.7148517634731419</v>
      </c>
      <c r="G41" s="7">
        <f t="shared" si="13"/>
        <v>0</v>
      </c>
      <c r="H41" s="7">
        <f t="shared" si="14"/>
        <v>9.947495720276045</v>
      </c>
      <c r="I41" s="8">
        <f>vals_ghg_incLUC!$R41</f>
        <v>35.991906746239991</v>
      </c>
      <c r="J41" s="8">
        <f>vals_ghg_incLUC!$X41</f>
        <v>38.706758509713133</v>
      </c>
      <c r="K41" s="8" t="e">
        <f>vals_ghg_incLUC!$AD41</f>
        <v>#N/A</v>
      </c>
      <c r="L41" s="8"/>
      <c r="M41" s="8">
        <f>vals_ghg_incLUC!$S41</f>
        <v>48.654254229989178</v>
      </c>
      <c r="N41" s="8">
        <f>vals_ghg_incLUC!$Y41</f>
        <v>50.110818015783963</v>
      </c>
      <c r="O41" s="8" t="e">
        <f>vals_ghg_incLUC!$AE41</f>
        <v>#N/A</v>
      </c>
      <c r="P41" s="8"/>
      <c r="Q41" s="9">
        <f t="shared" si="15"/>
        <v>1.4565637857947848</v>
      </c>
      <c r="R41" s="9">
        <v>33.564999999999998</v>
      </c>
      <c r="S41" s="9">
        <v>45.277000000000001</v>
      </c>
    </row>
    <row r="42" spans="1:19" x14ac:dyDescent="0.35">
      <c r="A42" s="3">
        <f>vals_ghg_incLUC!$A42</f>
        <v>1889</v>
      </c>
      <c r="B42" s="4">
        <f t="shared" si="8"/>
        <v>35.966254733990517</v>
      </c>
      <c r="C42" s="4">
        <f t="shared" si="9"/>
        <v>38.675471893186831</v>
      </c>
      <c r="D42" s="4">
        <f t="shared" si="10"/>
        <v>48.618732922889919</v>
      </c>
      <c r="E42" s="4">
        <f t="shared" si="11"/>
        <v>50.077725519831532</v>
      </c>
      <c r="F42" s="4">
        <f t="shared" si="12"/>
        <v>2.7092171591963137</v>
      </c>
      <c r="G42" s="4">
        <f t="shared" si="13"/>
        <v>0</v>
      </c>
      <c r="H42" s="4">
        <f t="shared" si="14"/>
        <v>9.9432610297030877</v>
      </c>
      <c r="I42" s="5">
        <f>vals_ghg_incLUC!$R42</f>
        <v>35.966254733990517</v>
      </c>
      <c r="J42" s="5">
        <f>vals_ghg_incLUC!$X42</f>
        <v>38.675471893186831</v>
      </c>
      <c r="K42" s="5" t="e">
        <f>vals_ghg_incLUC!$AD42</f>
        <v>#N/A</v>
      </c>
      <c r="L42" s="5"/>
      <c r="M42" s="5">
        <f>vals_ghg_incLUC!$S42</f>
        <v>48.618732922889919</v>
      </c>
      <c r="N42" s="5">
        <f>vals_ghg_incLUC!$Y42</f>
        <v>50.077725519831532</v>
      </c>
      <c r="O42" s="5" t="e">
        <f>vals_ghg_incLUC!$AE42</f>
        <v>#N/A</v>
      </c>
      <c r="P42" s="5"/>
      <c r="Q42" s="9">
        <f t="shared" si="15"/>
        <v>1.4589925969416129</v>
      </c>
      <c r="R42" s="9">
        <v>33.531999999999996</v>
      </c>
      <c r="S42" s="9">
        <v>45.231000000000002</v>
      </c>
    </row>
    <row r="43" spans="1:19" x14ac:dyDescent="0.35">
      <c r="A43" s="6">
        <f>vals_ghg_incLUC!$A43</f>
        <v>1890</v>
      </c>
      <c r="B43" s="7">
        <f t="shared" si="8"/>
        <v>35.941823587404336</v>
      </c>
      <c r="C43" s="7">
        <f t="shared" si="9"/>
        <v>38.644730552326742</v>
      </c>
      <c r="D43" s="7">
        <f t="shared" si="10"/>
        <v>48.583900455314897</v>
      </c>
      <c r="E43" s="7">
        <f t="shared" si="11"/>
        <v>50.044820746127918</v>
      </c>
      <c r="F43" s="7">
        <f t="shared" si="12"/>
        <v>2.7029069649224056</v>
      </c>
      <c r="G43" s="7">
        <f t="shared" si="13"/>
        <v>0</v>
      </c>
      <c r="H43" s="7">
        <f t="shared" si="14"/>
        <v>9.9391699029881551</v>
      </c>
      <c r="I43" s="8">
        <f>vals_ghg_incLUC!$R43</f>
        <v>35.941823587404336</v>
      </c>
      <c r="J43" s="8">
        <f>vals_ghg_incLUC!$X43</f>
        <v>38.644730552326742</v>
      </c>
      <c r="K43" s="8" t="e">
        <f>vals_ghg_incLUC!$AD43</f>
        <v>#N/A</v>
      </c>
      <c r="L43" s="8"/>
      <c r="M43" s="8">
        <f>vals_ghg_incLUC!$S43</f>
        <v>48.583900455314897</v>
      </c>
      <c r="N43" s="8">
        <f>vals_ghg_incLUC!$Y43</f>
        <v>50.044820746127918</v>
      </c>
      <c r="O43" s="8" t="e">
        <f>vals_ghg_incLUC!$AE43</f>
        <v>#N/A</v>
      </c>
      <c r="P43" s="8"/>
      <c r="Q43" s="9">
        <f t="shared" si="15"/>
        <v>1.4609202908130214</v>
      </c>
      <c r="R43" s="9">
        <v>33.500999999999998</v>
      </c>
      <c r="S43" s="9">
        <v>45.186</v>
      </c>
    </row>
    <row r="44" spans="1:19" x14ac:dyDescent="0.35">
      <c r="A44" s="3">
        <f>vals_ghg_incLUC!$A44</f>
        <v>1891</v>
      </c>
      <c r="B44" s="4">
        <f t="shared" si="8"/>
        <v>35.915779086328257</v>
      </c>
      <c r="C44" s="4">
        <f t="shared" si="9"/>
        <v>38.612001747069371</v>
      </c>
      <c r="D44" s="4">
        <f t="shared" si="10"/>
        <v>48.545483784650791</v>
      </c>
      <c r="E44" s="4">
        <f t="shared" si="11"/>
        <v>50.010003505385669</v>
      </c>
      <c r="F44" s="4">
        <f t="shared" si="12"/>
        <v>2.6962226607411139</v>
      </c>
      <c r="G44" s="4">
        <f t="shared" si="13"/>
        <v>0</v>
      </c>
      <c r="H44" s="4">
        <f t="shared" si="14"/>
        <v>9.9334820375814203</v>
      </c>
      <c r="I44" s="5">
        <f>vals_ghg_incLUC!$R44</f>
        <v>35.915779086328257</v>
      </c>
      <c r="J44" s="5">
        <f>vals_ghg_incLUC!$X44</f>
        <v>38.612001747069371</v>
      </c>
      <c r="K44" s="5" t="e">
        <f>vals_ghg_incLUC!$AD44</f>
        <v>#N/A</v>
      </c>
      <c r="L44" s="5"/>
      <c r="M44" s="5">
        <f>vals_ghg_incLUC!$S44</f>
        <v>48.545483784650791</v>
      </c>
      <c r="N44" s="5">
        <f>vals_ghg_incLUC!$Y44</f>
        <v>50.010003505385669</v>
      </c>
      <c r="O44" s="5" t="e">
        <f>vals_ghg_incLUC!$AE44</f>
        <v>#N/A</v>
      </c>
      <c r="P44" s="5"/>
      <c r="Q44" s="9">
        <f t="shared" si="15"/>
        <v>1.4645197207348772</v>
      </c>
      <c r="R44" s="9">
        <v>33.466000000000001</v>
      </c>
      <c r="S44" s="9">
        <v>45.137</v>
      </c>
    </row>
    <row r="45" spans="1:19" x14ac:dyDescent="0.35">
      <c r="A45" s="6">
        <f>vals_ghg_incLUC!$A45</f>
        <v>1892</v>
      </c>
      <c r="B45" s="7">
        <f t="shared" si="8"/>
        <v>35.888673001286165</v>
      </c>
      <c r="C45" s="7">
        <f t="shared" si="9"/>
        <v>38.578305991753048</v>
      </c>
      <c r="D45" s="7">
        <f t="shared" si="10"/>
        <v>48.50569183237976</v>
      </c>
      <c r="E45" s="7">
        <f t="shared" si="11"/>
        <v>49.974017226010133</v>
      </c>
      <c r="F45" s="7">
        <f t="shared" si="12"/>
        <v>2.6896329904668832</v>
      </c>
      <c r="G45" s="7">
        <f t="shared" si="13"/>
        <v>0</v>
      </c>
      <c r="H45" s="7">
        <f t="shared" si="14"/>
        <v>9.9273858406267124</v>
      </c>
      <c r="I45" s="8">
        <f>vals_ghg_incLUC!$R45</f>
        <v>35.888673001286165</v>
      </c>
      <c r="J45" s="8">
        <f>vals_ghg_incLUC!$X45</f>
        <v>38.578305991753048</v>
      </c>
      <c r="K45" s="8" t="e">
        <f>vals_ghg_incLUC!$AD45</f>
        <v>#N/A</v>
      </c>
      <c r="L45" s="8"/>
      <c r="M45" s="8">
        <f>vals_ghg_incLUC!$S45</f>
        <v>48.50569183237976</v>
      </c>
      <c r="N45" s="8">
        <f>vals_ghg_incLUC!$Y45</f>
        <v>49.974017226010133</v>
      </c>
      <c r="O45" s="8" t="e">
        <f>vals_ghg_incLUC!$AE45</f>
        <v>#N/A</v>
      </c>
      <c r="P45" s="8"/>
      <c r="Q45" s="9">
        <f t="shared" si="15"/>
        <v>1.4683253936303728</v>
      </c>
      <c r="R45" s="9">
        <v>33.430999999999997</v>
      </c>
      <c r="S45" s="9">
        <v>45.085000000000001</v>
      </c>
    </row>
    <row r="46" spans="1:19" x14ac:dyDescent="0.35">
      <c r="A46" s="3">
        <f>vals_ghg_incLUC!$A46</f>
        <v>1893</v>
      </c>
      <c r="B46" s="4">
        <f t="shared" si="8"/>
        <v>35.861273087825147</v>
      </c>
      <c r="C46" s="4">
        <f t="shared" si="9"/>
        <v>38.543381087690399</v>
      </c>
      <c r="D46" s="4">
        <f t="shared" si="10"/>
        <v>48.465046733924645</v>
      </c>
      <c r="E46" s="4">
        <f t="shared" si="11"/>
        <v>49.936943422872773</v>
      </c>
      <c r="F46" s="4">
        <f t="shared" si="12"/>
        <v>2.6821079998652522</v>
      </c>
      <c r="G46" s="4">
        <f t="shared" si="13"/>
        <v>0</v>
      </c>
      <c r="H46" s="4">
        <f t="shared" si="14"/>
        <v>9.9216656462342456</v>
      </c>
      <c r="I46" s="5">
        <f>vals_ghg_incLUC!$R46</f>
        <v>35.861273087825147</v>
      </c>
      <c r="J46" s="5">
        <f>vals_ghg_incLUC!$X46</f>
        <v>38.543381087690399</v>
      </c>
      <c r="K46" s="5" t="e">
        <f>vals_ghg_incLUC!$AD46</f>
        <v>#N/A</v>
      </c>
      <c r="L46" s="5"/>
      <c r="M46" s="5">
        <f>vals_ghg_incLUC!$S46</f>
        <v>48.465046733924645</v>
      </c>
      <c r="N46" s="5">
        <f>vals_ghg_incLUC!$Y46</f>
        <v>49.936943422872773</v>
      </c>
      <c r="O46" s="5" t="e">
        <f>vals_ghg_incLUC!$AE46</f>
        <v>#N/A</v>
      </c>
      <c r="P46" s="5"/>
      <c r="Q46" s="9">
        <f t="shared" si="15"/>
        <v>1.471896688948128</v>
      </c>
      <c r="R46" s="9">
        <v>33.396999999999998</v>
      </c>
      <c r="S46" s="9">
        <v>45.033999999999999</v>
      </c>
    </row>
    <row r="47" spans="1:19" x14ac:dyDescent="0.35">
      <c r="A47" s="6">
        <f>vals_ghg_incLUC!$A47</f>
        <v>1894</v>
      </c>
      <c r="B47" s="7">
        <f t="shared" si="8"/>
        <v>35.833888534384862</v>
      </c>
      <c r="C47" s="7">
        <f t="shared" si="9"/>
        <v>38.509172154540394</v>
      </c>
      <c r="D47" s="7">
        <f t="shared" si="10"/>
        <v>48.424219236157143</v>
      </c>
      <c r="E47" s="7">
        <f t="shared" si="11"/>
        <v>49.900089926421941</v>
      </c>
      <c r="F47" s="7">
        <f t="shared" si="12"/>
        <v>2.6752836201555326</v>
      </c>
      <c r="G47" s="7">
        <f t="shared" si="13"/>
        <v>0</v>
      </c>
      <c r="H47" s="7">
        <f t="shared" si="14"/>
        <v>9.9150470816167484</v>
      </c>
      <c r="I47" s="8">
        <f>vals_ghg_incLUC!$R47</f>
        <v>35.833888534384862</v>
      </c>
      <c r="J47" s="8">
        <f>vals_ghg_incLUC!$X47</f>
        <v>38.509172154540394</v>
      </c>
      <c r="K47" s="8" t="e">
        <f>vals_ghg_incLUC!$AD47</f>
        <v>#N/A</v>
      </c>
      <c r="L47" s="8"/>
      <c r="M47" s="8">
        <f>vals_ghg_incLUC!$S47</f>
        <v>48.424219236157143</v>
      </c>
      <c r="N47" s="8">
        <f>vals_ghg_incLUC!$Y47</f>
        <v>49.900089926421941</v>
      </c>
      <c r="O47" s="8" t="e">
        <f>vals_ghg_incLUC!$AE47</f>
        <v>#N/A</v>
      </c>
      <c r="P47" s="8"/>
      <c r="Q47" s="9">
        <f t="shared" si="15"/>
        <v>1.4758706902647987</v>
      </c>
      <c r="R47" s="9">
        <v>33.363</v>
      </c>
      <c r="S47" s="9">
        <v>44.982999999999997</v>
      </c>
    </row>
    <row r="48" spans="1:19" x14ac:dyDescent="0.35">
      <c r="A48" s="3">
        <f>vals_ghg_incLUC!$A48</f>
        <v>1895</v>
      </c>
      <c r="B48" s="4">
        <f t="shared" si="8"/>
        <v>35.80611148647003</v>
      </c>
      <c r="C48" s="4">
        <f t="shared" si="9"/>
        <v>38.474372720558321</v>
      </c>
      <c r="D48" s="4">
        <f t="shared" si="10"/>
        <v>48.381867087994621</v>
      </c>
      <c r="E48" s="4">
        <f t="shared" si="11"/>
        <v>49.862947067864425</v>
      </c>
      <c r="F48" s="4">
        <f t="shared" si="12"/>
        <v>2.6682612340882912</v>
      </c>
      <c r="G48" s="4">
        <f t="shared" si="13"/>
        <v>0</v>
      </c>
      <c r="H48" s="4">
        <f t="shared" si="14"/>
        <v>9.9074943674362999</v>
      </c>
      <c r="I48" s="5">
        <f>vals_ghg_incLUC!$R48</f>
        <v>35.80611148647003</v>
      </c>
      <c r="J48" s="5">
        <f>vals_ghg_incLUC!$X48</f>
        <v>38.474372720558321</v>
      </c>
      <c r="K48" s="5" t="e">
        <f>vals_ghg_incLUC!$AD48</f>
        <v>#N/A</v>
      </c>
      <c r="L48" s="5"/>
      <c r="M48" s="5">
        <f>vals_ghg_incLUC!$S48</f>
        <v>48.381867087994621</v>
      </c>
      <c r="N48" s="5">
        <f>vals_ghg_incLUC!$Y48</f>
        <v>49.862947067864425</v>
      </c>
      <c r="O48" s="5" t="e">
        <f>vals_ghg_incLUC!$AE48</f>
        <v>#N/A</v>
      </c>
      <c r="P48" s="5"/>
      <c r="Q48" s="9">
        <f t="shared" si="15"/>
        <v>1.4810799798698042</v>
      </c>
      <c r="R48" s="9">
        <v>33.328000000000003</v>
      </c>
      <c r="S48" s="9">
        <v>44.93</v>
      </c>
    </row>
    <row r="49" spans="1:19" x14ac:dyDescent="0.35">
      <c r="A49" s="6">
        <f>vals_ghg_incLUC!$A49</f>
        <v>1896</v>
      </c>
      <c r="B49" s="7">
        <f t="shared" si="8"/>
        <v>35.776756116747485</v>
      </c>
      <c r="C49" s="7">
        <f t="shared" si="9"/>
        <v>38.437958012521463</v>
      </c>
      <c r="D49" s="7">
        <f t="shared" si="10"/>
        <v>48.338423949801722</v>
      </c>
      <c r="E49" s="7">
        <f t="shared" si="11"/>
        <v>49.824105938889282</v>
      </c>
      <c r="F49" s="7">
        <f t="shared" si="12"/>
        <v>2.6612018957739778</v>
      </c>
      <c r="G49" s="7">
        <f t="shared" si="13"/>
        <v>0</v>
      </c>
      <c r="H49" s="7">
        <f t="shared" si="14"/>
        <v>9.9004659372802593</v>
      </c>
      <c r="I49" s="8">
        <f>vals_ghg_incLUC!$R49</f>
        <v>35.776756116747485</v>
      </c>
      <c r="J49" s="8">
        <f>vals_ghg_incLUC!$X49</f>
        <v>38.437958012521463</v>
      </c>
      <c r="K49" s="8" t="e">
        <f>vals_ghg_incLUC!$AD49</f>
        <v>#N/A</v>
      </c>
      <c r="L49" s="8"/>
      <c r="M49" s="8">
        <f>vals_ghg_incLUC!$S49</f>
        <v>48.338423949801722</v>
      </c>
      <c r="N49" s="8">
        <f>vals_ghg_incLUC!$Y49</f>
        <v>49.824105938889282</v>
      </c>
      <c r="O49" s="8" t="e">
        <f>vals_ghg_incLUC!$AE49</f>
        <v>#N/A</v>
      </c>
      <c r="P49" s="8"/>
      <c r="Q49" s="9">
        <f t="shared" si="15"/>
        <v>1.4856819890875599</v>
      </c>
      <c r="R49" s="9">
        <v>33.290999999999997</v>
      </c>
      <c r="S49" s="9">
        <v>44.875999999999998</v>
      </c>
    </row>
    <row r="50" spans="1:19" x14ac:dyDescent="0.35">
      <c r="A50" s="3">
        <f>vals_ghg_incLUC!$A50</f>
        <v>1897</v>
      </c>
      <c r="B50" s="4">
        <f t="shared" si="8"/>
        <v>35.746255554032551</v>
      </c>
      <c r="C50" s="4">
        <f t="shared" si="9"/>
        <v>38.400653388147326</v>
      </c>
      <c r="D50" s="4">
        <f t="shared" si="10"/>
        <v>48.293795863709185</v>
      </c>
      <c r="E50" s="4">
        <f t="shared" si="11"/>
        <v>49.784307956362085</v>
      </c>
      <c r="F50" s="4">
        <f t="shared" si="12"/>
        <v>2.6543978341147749</v>
      </c>
      <c r="G50" s="4">
        <f t="shared" si="13"/>
        <v>0</v>
      </c>
      <c r="H50" s="4">
        <f t="shared" si="14"/>
        <v>9.8931424755618593</v>
      </c>
      <c r="I50" s="5">
        <f>vals_ghg_incLUC!$R50</f>
        <v>35.746255554032551</v>
      </c>
      <c r="J50" s="5">
        <f>vals_ghg_incLUC!$X50</f>
        <v>38.400653388147326</v>
      </c>
      <c r="K50" s="5" t="e">
        <f>vals_ghg_incLUC!$AD50</f>
        <v>#N/A</v>
      </c>
      <c r="L50" s="5"/>
      <c r="M50" s="5">
        <f>vals_ghg_incLUC!$S50</f>
        <v>48.293795863709185</v>
      </c>
      <c r="N50" s="5">
        <f>vals_ghg_incLUC!$Y50</f>
        <v>49.784307956362085</v>
      </c>
      <c r="O50" s="5" t="e">
        <f>vals_ghg_incLUC!$AE50</f>
        <v>#N/A</v>
      </c>
      <c r="P50" s="5"/>
      <c r="Q50" s="9">
        <f t="shared" si="15"/>
        <v>1.4905120926528994</v>
      </c>
      <c r="R50" s="9">
        <v>33.253</v>
      </c>
      <c r="S50" s="9">
        <v>44.82</v>
      </c>
    </row>
    <row r="51" spans="1:19" x14ac:dyDescent="0.35">
      <c r="A51" s="6">
        <f>vals_ghg_incLUC!$A51</f>
        <v>1898</v>
      </c>
      <c r="B51" s="7">
        <f t="shared" si="8"/>
        <v>35.714781352487904</v>
      </c>
      <c r="C51" s="7">
        <f t="shared" si="9"/>
        <v>38.361975871331801</v>
      </c>
      <c r="D51" s="7">
        <f t="shared" si="10"/>
        <v>48.247692498434084</v>
      </c>
      <c r="E51" s="7">
        <f t="shared" si="11"/>
        <v>49.742974749714399</v>
      </c>
      <c r="F51" s="7">
        <f t="shared" si="12"/>
        <v>2.6471945188438966</v>
      </c>
      <c r="G51" s="7">
        <f t="shared" si="13"/>
        <v>0</v>
      </c>
      <c r="H51" s="7">
        <f t="shared" si="14"/>
        <v>9.8857166271022834</v>
      </c>
      <c r="I51" s="8">
        <f>vals_ghg_incLUC!$R51</f>
        <v>35.714781352487904</v>
      </c>
      <c r="J51" s="8">
        <f>vals_ghg_incLUC!$X51</f>
        <v>38.361975871331801</v>
      </c>
      <c r="K51" s="8" t="e">
        <f>vals_ghg_incLUC!$AD51</f>
        <v>#N/A</v>
      </c>
      <c r="L51" s="8"/>
      <c r="M51" s="8">
        <f>vals_ghg_incLUC!$S51</f>
        <v>48.247692498434084</v>
      </c>
      <c r="N51" s="8">
        <f>vals_ghg_incLUC!$Y51</f>
        <v>49.742974749714399</v>
      </c>
      <c r="O51" s="8" t="e">
        <f>vals_ghg_incLUC!$AE51</f>
        <v>#N/A</v>
      </c>
      <c r="P51" s="8"/>
      <c r="Q51" s="9">
        <f t="shared" si="15"/>
        <v>1.4952822512803152</v>
      </c>
      <c r="R51" s="9">
        <v>33.213999999999999</v>
      </c>
      <c r="S51" s="9">
        <v>44.762</v>
      </c>
    </row>
    <row r="52" spans="1:19" x14ac:dyDescent="0.35">
      <c r="A52" s="3">
        <f>vals_ghg_incLUC!$A52</f>
        <v>1899</v>
      </c>
      <c r="B52" s="4">
        <f t="shared" si="8"/>
        <v>35.681522887278319</v>
      </c>
      <c r="C52" s="4">
        <f t="shared" si="9"/>
        <v>38.321869515739529</v>
      </c>
      <c r="D52" s="4">
        <f t="shared" si="10"/>
        <v>48.199165038566683</v>
      </c>
      <c r="E52" s="4">
        <f t="shared" si="11"/>
        <v>49.700005370728228</v>
      </c>
      <c r="F52" s="4">
        <f t="shared" si="12"/>
        <v>2.6403466284612094</v>
      </c>
      <c r="G52" s="4">
        <f t="shared" si="13"/>
        <v>0</v>
      </c>
      <c r="H52" s="4">
        <f t="shared" si="14"/>
        <v>9.8772955228271542</v>
      </c>
      <c r="I52" s="5">
        <f>vals_ghg_incLUC!$R52</f>
        <v>35.681522887278319</v>
      </c>
      <c r="J52" s="5">
        <f>vals_ghg_incLUC!$X52</f>
        <v>38.321869515739529</v>
      </c>
      <c r="K52" s="5" t="e">
        <f>vals_ghg_incLUC!$AD52</f>
        <v>#N/A</v>
      </c>
      <c r="L52" s="5"/>
      <c r="M52" s="5">
        <f>vals_ghg_incLUC!$S52</f>
        <v>48.199165038566683</v>
      </c>
      <c r="N52" s="5">
        <f>vals_ghg_incLUC!$Y52</f>
        <v>49.700005370728228</v>
      </c>
      <c r="O52" s="5" t="e">
        <f>vals_ghg_incLUC!$AE52</f>
        <v>#N/A</v>
      </c>
      <c r="P52" s="5"/>
      <c r="Q52" s="9">
        <f t="shared" si="15"/>
        <v>1.5008403321615447</v>
      </c>
      <c r="R52" s="9">
        <v>33.171999999999997</v>
      </c>
      <c r="S52" s="9">
        <v>44.701999999999998</v>
      </c>
    </row>
    <row r="53" spans="1:19" x14ac:dyDescent="0.35">
      <c r="A53" s="6">
        <f>vals_ghg_incLUC!$A53</f>
        <v>1900</v>
      </c>
      <c r="B53" s="7">
        <f t="shared" si="8"/>
        <v>35.645002395932984</v>
      </c>
      <c r="C53" s="7">
        <f t="shared" si="9"/>
        <v>38.278424452251087</v>
      </c>
      <c r="D53" s="7">
        <f t="shared" si="10"/>
        <v>48.147714165366843</v>
      </c>
      <c r="E53" s="7">
        <f t="shared" si="11"/>
        <v>49.653874978139847</v>
      </c>
      <c r="F53" s="7">
        <f t="shared" si="12"/>
        <v>2.6334220563181034</v>
      </c>
      <c r="G53" s="7">
        <f t="shared" si="13"/>
        <v>0</v>
      </c>
      <c r="H53" s="7">
        <f t="shared" si="14"/>
        <v>9.8692897131157551</v>
      </c>
      <c r="I53" s="8">
        <f>vals_ghg_incLUC!$R53</f>
        <v>35.645002395932984</v>
      </c>
      <c r="J53" s="8">
        <f>vals_ghg_incLUC!$X53</f>
        <v>38.278424452251087</v>
      </c>
      <c r="K53" s="8" t="e">
        <f>vals_ghg_incLUC!$AD53</f>
        <v>#N/A</v>
      </c>
      <c r="L53" s="8"/>
      <c r="M53" s="8">
        <f>vals_ghg_incLUC!$S53</f>
        <v>48.147714165366843</v>
      </c>
      <c r="N53" s="8">
        <f>vals_ghg_incLUC!$Y53</f>
        <v>49.653874978139847</v>
      </c>
      <c r="O53" s="8" t="e">
        <f>vals_ghg_incLUC!$AE53</f>
        <v>#N/A</v>
      </c>
      <c r="P53" s="8"/>
      <c r="Q53" s="9">
        <f t="shared" si="15"/>
        <v>1.506160812773004</v>
      </c>
      <c r="R53" s="9">
        <v>33.127000000000002</v>
      </c>
      <c r="S53" s="9">
        <v>44.637</v>
      </c>
    </row>
    <row r="54" spans="1:19" x14ac:dyDescent="0.35">
      <c r="A54" s="3">
        <f>vals_ghg_incLUC!$A54</f>
        <v>1901</v>
      </c>
      <c r="B54" s="4">
        <f t="shared" si="8"/>
        <v>35.607252612807159</v>
      </c>
      <c r="C54" s="4">
        <f t="shared" si="9"/>
        <v>38.232843687506971</v>
      </c>
      <c r="D54" s="4">
        <f t="shared" si="10"/>
        <v>48.094013546010125</v>
      </c>
      <c r="E54" s="4">
        <f t="shared" si="11"/>
        <v>49.605552429685531</v>
      </c>
      <c r="F54" s="4">
        <f t="shared" si="12"/>
        <v>2.6255910746998126</v>
      </c>
      <c r="G54" s="4">
        <f t="shared" si="13"/>
        <v>0</v>
      </c>
      <c r="H54" s="4">
        <f t="shared" si="14"/>
        <v>9.8611698585031533</v>
      </c>
      <c r="I54" s="5">
        <f>vals_ghg_incLUC!$R54</f>
        <v>35.607252612807159</v>
      </c>
      <c r="J54" s="5">
        <f>vals_ghg_incLUC!$X54</f>
        <v>38.232843687506971</v>
      </c>
      <c r="K54" s="5" t="e">
        <f>vals_ghg_incLUC!$AD54</f>
        <v>#N/A</v>
      </c>
      <c r="L54" s="5"/>
      <c r="M54" s="5">
        <f>vals_ghg_incLUC!$S54</f>
        <v>48.094013546010125</v>
      </c>
      <c r="N54" s="5">
        <f>vals_ghg_incLUC!$Y54</f>
        <v>49.605552429685531</v>
      </c>
      <c r="O54" s="5" t="e">
        <f>vals_ghg_incLUC!$AE54</f>
        <v>#N/A</v>
      </c>
      <c r="P54" s="5"/>
      <c r="Q54" s="9">
        <f t="shared" si="15"/>
        <v>1.5115388836754065</v>
      </c>
      <c r="R54" s="9">
        <v>33.08</v>
      </c>
      <c r="S54" s="9">
        <v>44.570999999999998</v>
      </c>
    </row>
    <row r="55" spans="1:19" x14ac:dyDescent="0.35">
      <c r="A55" s="6">
        <f>vals_ghg_incLUC!$A55</f>
        <v>1902</v>
      </c>
      <c r="B55" s="7">
        <f t="shared" si="8"/>
        <v>35.570716996158133</v>
      </c>
      <c r="C55" s="7">
        <f t="shared" si="9"/>
        <v>38.189431808123409</v>
      </c>
      <c r="D55" s="7">
        <f t="shared" si="10"/>
        <v>48.039909584630067</v>
      </c>
      <c r="E55" s="7">
        <f t="shared" si="11"/>
        <v>49.559917993250451</v>
      </c>
      <c r="F55" s="7">
        <f t="shared" si="12"/>
        <v>2.6187148119652761</v>
      </c>
      <c r="G55" s="7">
        <f t="shared" si="13"/>
        <v>0</v>
      </c>
      <c r="H55" s="7">
        <f t="shared" si="14"/>
        <v>9.8504777765066578</v>
      </c>
      <c r="I55" s="8">
        <f>vals_ghg_incLUC!$R55</f>
        <v>35.570716996158133</v>
      </c>
      <c r="J55" s="8">
        <f>vals_ghg_incLUC!$X55</f>
        <v>38.189431808123409</v>
      </c>
      <c r="K55" s="8" t="e">
        <f>vals_ghg_incLUC!$AD55</f>
        <v>#N/A</v>
      </c>
      <c r="L55" s="8"/>
      <c r="M55" s="8">
        <f>vals_ghg_incLUC!$S55</f>
        <v>48.039909584630067</v>
      </c>
      <c r="N55" s="8">
        <f>vals_ghg_incLUC!$Y55</f>
        <v>49.559917993250451</v>
      </c>
      <c r="O55" s="8" t="e">
        <f>vals_ghg_incLUC!$AE55</f>
        <v>#N/A</v>
      </c>
      <c r="P55" s="8"/>
      <c r="Q55" s="9">
        <f t="shared" si="15"/>
        <v>1.5200084086203844</v>
      </c>
      <c r="R55" s="9">
        <v>33.034999999999997</v>
      </c>
      <c r="S55" s="9">
        <v>44.503</v>
      </c>
    </row>
    <row r="56" spans="1:19" x14ac:dyDescent="0.35">
      <c r="A56" s="3">
        <f>vals_ghg_incLUC!$A56</f>
        <v>1903</v>
      </c>
      <c r="B56" s="4">
        <f t="shared" si="8"/>
        <v>35.533129372542803</v>
      </c>
      <c r="C56" s="4">
        <f t="shared" si="9"/>
        <v>38.148912875616915</v>
      </c>
      <c r="D56" s="4">
        <f t="shared" si="10"/>
        <v>47.984631980437314</v>
      </c>
      <c r="E56" s="4">
        <f t="shared" si="11"/>
        <v>49.517420298267517</v>
      </c>
      <c r="F56" s="4">
        <f t="shared" si="12"/>
        <v>2.6157835030741126</v>
      </c>
      <c r="G56" s="4">
        <f t="shared" si="13"/>
        <v>0</v>
      </c>
      <c r="H56" s="4">
        <f t="shared" si="14"/>
        <v>9.8357191048203987</v>
      </c>
      <c r="I56" s="5">
        <f>vals_ghg_incLUC!$R56</f>
        <v>35.533129372542803</v>
      </c>
      <c r="J56" s="5">
        <f>vals_ghg_incLUC!$X56</f>
        <v>38.148912875616915</v>
      </c>
      <c r="K56" s="5" t="e">
        <f>vals_ghg_incLUC!$AD56</f>
        <v>#N/A</v>
      </c>
      <c r="L56" s="5"/>
      <c r="M56" s="5">
        <f>vals_ghg_incLUC!$S56</f>
        <v>47.984631980437314</v>
      </c>
      <c r="N56" s="5">
        <f>vals_ghg_incLUC!$Y56</f>
        <v>49.517420298267517</v>
      </c>
      <c r="O56" s="5" t="e">
        <f>vals_ghg_incLUC!$AE56</f>
        <v>#N/A</v>
      </c>
      <c r="P56" s="5"/>
      <c r="Q56" s="9">
        <f t="shared" si="15"/>
        <v>1.5327883178302031</v>
      </c>
      <c r="R56" s="9">
        <v>32.988</v>
      </c>
      <c r="S56" s="9">
        <v>44.435000000000002</v>
      </c>
    </row>
    <row r="57" spans="1:19" x14ac:dyDescent="0.35">
      <c r="A57" s="6">
        <f>vals_ghg_incLUC!$A57</f>
        <v>1904</v>
      </c>
      <c r="B57" s="7">
        <f t="shared" si="8"/>
        <v>35.492336725034896</v>
      </c>
      <c r="C57" s="7">
        <f t="shared" si="9"/>
        <v>38.106078877257787</v>
      </c>
      <c r="D57" s="7">
        <f t="shared" si="10"/>
        <v>47.925657653767225</v>
      </c>
      <c r="E57" s="7">
        <f t="shared" si="11"/>
        <v>49.473580953850274</v>
      </c>
      <c r="F57" s="7">
        <f t="shared" si="12"/>
        <v>2.6137421522228905</v>
      </c>
      <c r="G57" s="7">
        <f t="shared" si="13"/>
        <v>0</v>
      </c>
      <c r="H57" s="7">
        <f t="shared" si="14"/>
        <v>9.819578776509438</v>
      </c>
      <c r="I57" s="8">
        <f>vals_ghg_incLUC!$R57</f>
        <v>35.492336725034896</v>
      </c>
      <c r="J57" s="8">
        <f>vals_ghg_incLUC!$X57</f>
        <v>38.106078877257787</v>
      </c>
      <c r="K57" s="8" t="e">
        <f>vals_ghg_incLUC!$AD57</f>
        <v>#N/A</v>
      </c>
      <c r="L57" s="8"/>
      <c r="M57" s="8">
        <f>vals_ghg_incLUC!$S57</f>
        <v>47.925657653767225</v>
      </c>
      <c r="N57" s="8">
        <f>vals_ghg_incLUC!$Y57</f>
        <v>49.473580953850274</v>
      </c>
      <c r="O57" s="8" t="e">
        <f>vals_ghg_incLUC!$AE57</f>
        <v>#N/A</v>
      </c>
      <c r="P57" s="8"/>
      <c r="Q57" s="9">
        <f t="shared" si="15"/>
        <v>1.547923300083049</v>
      </c>
      <c r="R57" s="9">
        <v>32.936999999999998</v>
      </c>
      <c r="S57" s="9">
        <v>44.360999999999997</v>
      </c>
    </row>
    <row r="58" spans="1:19" x14ac:dyDescent="0.35">
      <c r="A58" s="3">
        <f>vals_ghg_incLUC!$A58</f>
        <v>1905</v>
      </c>
      <c r="B58" s="4">
        <f t="shared" si="8"/>
        <v>35.451476797662608</v>
      </c>
      <c r="C58" s="4">
        <f t="shared" si="9"/>
        <v>38.065318537387796</v>
      </c>
      <c r="D58" s="4">
        <f t="shared" si="10"/>
        <v>47.865784477118595</v>
      </c>
      <c r="E58" s="4">
        <f t="shared" si="11"/>
        <v>49.431698906408187</v>
      </c>
      <c r="F58" s="4">
        <f t="shared" si="12"/>
        <v>2.6138417397251885</v>
      </c>
      <c r="G58" s="4">
        <f t="shared" si="13"/>
        <v>0</v>
      </c>
      <c r="H58" s="4">
        <f t="shared" si="14"/>
        <v>9.8004659397307989</v>
      </c>
      <c r="I58" s="5">
        <f>vals_ghg_incLUC!$R58</f>
        <v>35.451476797662608</v>
      </c>
      <c r="J58" s="5">
        <f>vals_ghg_incLUC!$X58</f>
        <v>38.065318537387796</v>
      </c>
      <c r="K58" s="5" t="e">
        <f>vals_ghg_incLUC!$AD58</f>
        <v>#N/A</v>
      </c>
      <c r="L58" s="5"/>
      <c r="M58" s="5">
        <f>vals_ghg_incLUC!$S58</f>
        <v>47.865784477118595</v>
      </c>
      <c r="N58" s="5">
        <f>vals_ghg_incLUC!$Y58</f>
        <v>49.431698906408187</v>
      </c>
      <c r="O58" s="5" t="e">
        <f>vals_ghg_incLUC!$AE58</f>
        <v>#N/A</v>
      </c>
      <c r="P58" s="5"/>
      <c r="Q58" s="9">
        <f t="shared" si="15"/>
        <v>1.5659144292895917</v>
      </c>
      <c r="R58" s="9">
        <v>32.886000000000003</v>
      </c>
      <c r="S58" s="9">
        <v>44.286999999999999</v>
      </c>
    </row>
    <row r="59" spans="1:19" x14ac:dyDescent="0.35">
      <c r="A59" s="6">
        <f>vals_ghg_incLUC!$A59</f>
        <v>1906</v>
      </c>
      <c r="B59" s="7">
        <f t="shared" si="8"/>
        <v>35.407641905925153</v>
      </c>
      <c r="C59" s="7">
        <f t="shared" si="9"/>
        <v>38.022943038198541</v>
      </c>
      <c r="D59" s="7">
        <f t="shared" si="10"/>
        <v>47.802152429696676</v>
      </c>
      <c r="E59" s="7">
        <f t="shared" si="11"/>
        <v>49.389139824401774</v>
      </c>
      <c r="F59" s="7">
        <f t="shared" si="12"/>
        <v>2.6153011322733875</v>
      </c>
      <c r="G59" s="7">
        <f t="shared" si="13"/>
        <v>0</v>
      </c>
      <c r="H59" s="7">
        <f t="shared" si="14"/>
        <v>9.7792093914981351</v>
      </c>
      <c r="I59" s="8">
        <f>vals_ghg_incLUC!$R59</f>
        <v>35.407641905925153</v>
      </c>
      <c r="J59" s="8">
        <f>vals_ghg_incLUC!$X59</f>
        <v>38.022943038198541</v>
      </c>
      <c r="K59" s="8" t="e">
        <f>vals_ghg_incLUC!$AD59</f>
        <v>#N/A</v>
      </c>
      <c r="L59" s="8"/>
      <c r="M59" s="8">
        <f>vals_ghg_incLUC!$S59</f>
        <v>47.802152429696676</v>
      </c>
      <c r="N59" s="8">
        <f>vals_ghg_incLUC!$Y59</f>
        <v>49.389139824401774</v>
      </c>
      <c r="O59" s="8" t="e">
        <f>vals_ghg_incLUC!$AE59</f>
        <v>#N/A</v>
      </c>
      <c r="P59" s="8"/>
      <c r="Q59" s="9">
        <f t="shared" si="15"/>
        <v>1.5869873947050976</v>
      </c>
      <c r="R59" s="9">
        <v>32.831000000000003</v>
      </c>
      <c r="S59" s="9">
        <v>44.207000000000001</v>
      </c>
    </row>
    <row r="60" spans="1:19" x14ac:dyDescent="0.35">
      <c r="A60" s="3">
        <f>vals_ghg_incLUC!$A60</f>
        <v>1907</v>
      </c>
      <c r="B60" s="4">
        <f t="shared" si="8"/>
        <v>35.362972304488849</v>
      </c>
      <c r="C60" s="4">
        <f t="shared" si="9"/>
        <v>37.981100351861542</v>
      </c>
      <c r="D60" s="4">
        <f t="shared" si="10"/>
        <v>47.737041335518413</v>
      </c>
      <c r="E60" s="4">
        <f t="shared" si="11"/>
        <v>49.347221956867898</v>
      </c>
      <c r="F60" s="4">
        <f t="shared" si="12"/>
        <v>2.6181280473726929</v>
      </c>
      <c r="G60" s="4">
        <f t="shared" si="13"/>
        <v>0</v>
      </c>
      <c r="H60" s="4">
        <f t="shared" si="14"/>
        <v>9.7559409836568705</v>
      </c>
      <c r="I60" s="5">
        <f>vals_ghg_incLUC!$R60</f>
        <v>35.362972304488849</v>
      </c>
      <c r="J60" s="5">
        <f>vals_ghg_incLUC!$X60</f>
        <v>37.981100351861542</v>
      </c>
      <c r="K60" s="5" t="e">
        <f>vals_ghg_incLUC!$AD60</f>
        <v>#N/A</v>
      </c>
      <c r="L60" s="5"/>
      <c r="M60" s="5">
        <f>vals_ghg_incLUC!$S60</f>
        <v>47.737041335518413</v>
      </c>
      <c r="N60" s="5">
        <f>vals_ghg_incLUC!$Y60</f>
        <v>49.347221956867898</v>
      </c>
      <c r="O60" s="5" t="e">
        <f>vals_ghg_incLUC!$AE60</f>
        <v>#N/A</v>
      </c>
      <c r="P60" s="5"/>
      <c r="Q60" s="9">
        <f t="shared" si="15"/>
        <v>1.6101806213494854</v>
      </c>
      <c r="R60" s="9">
        <v>32.773000000000003</v>
      </c>
      <c r="S60" s="9">
        <v>44.125</v>
      </c>
    </row>
    <row r="61" spans="1:19" x14ac:dyDescent="0.35">
      <c r="A61" s="6">
        <f>vals_ghg_incLUC!$A61</f>
        <v>1908</v>
      </c>
      <c r="B61" s="7">
        <f t="shared" si="8"/>
        <v>35.311682028286086</v>
      </c>
      <c r="C61" s="7">
        <f t="shared" si="9"/>
        <v>37.932882416501521</v>
      </c>
      <c r="D61" s="7">
        <f t="shared" si="10"/>
        <v>47.664869069614355</v>
      </c>
      <c r="E61" s="7">
        <f t="shared" si="11"/>
        <v>49.299537019623294</v>
      </c>
      <c r="F61" s="7">
        <f t="shared" si="12"/>
        <v>2.6212003882154349</v>
      </c>
      <c r="G61" s="7">
        <f t="shared" si="13"/>
        <v>0</v>
      </c>
      <c r="H61" s="7">
        <f t="shared" si="14"/>
        <v>9.7319866531128341</v>
      </c>
      <c r="I61" s="8">
        <f>vals_ghg_incLUC!$R61</f>
        <v>35.311682028286086</v>
      </c>
      <c r="J61" s="8">
        <f>vals_ghg_incLUC!$X61</f>
        <v>37.932882416501521</v>
      </c>
      <c r="K61" s="8" t="e">
        <f>vals_ghg_incLUC!$AD61</f>
        <v>#N/A</v>
      </c>
      <c r="L61" s="8"/>
      <c r="M61" s="8">
        <f>vals_ghg_incLUC!$S61</f>
        <v>47.664869069614355</v>
      </c>
      <c r="N61" s="8">
        <f>vals_ghg_incLUC!$Y61</f>
        <v>49.299537019623294</v>
      </c>
      <c r="O61" s="8" t="e">
        <f>vals_ghg_incLUC!$AE61</f>
        <v>#N/A</v>
      </c>
      <c r="P61" s="8"/>
      <c r="Q61" s="9">
        <f t="shared" si="15"/>
        <v>1.6346679500089394</v>
      </c>
      <c r="R61" s="9">
        <v>32.707000000000001</v>
      </c>
      <c r="S61" s="9">
        <v>44.033000000000001</v>
      </c>
    </row>
    <row r="62" spans="1:19" x14ac:dyDescent="0.35">
      <c r="A62" s="3">
        <f>vals_ghg_incLUC!$A62</f>
        <v>1909</v>
      </c>
      <c r="B62" s="4">
        <f t="shared" si="8"/>
        <v>35.263501565548907</v>
      </c>
      <c r="C62" s="4">
        <f t="shared" si="9"/>
        <v>37.88877690845019</v>
      </c>
      <c r="D62" s="4">
        <f t="shared" si="10"/>
        <v>47.594198129830531</v>
      </c>
      <c r="E62" s="4">
        <f t="shared" si="11"/>
        <v>49.255139046232848</v>
      </c>
      <c r="F62" s="4">
        <f t="shared" si="12"/>
        <v>2.6252753429012827</v>
      </c>
      <c r="G62" s="4">
        <f t="shared" si="13"/>
        <v>0</v>
      </c>
      <c r="H62" s="4">
        <f t="shared" si="14"/>
        <v>9.705421221380341</v>
      </c>
      <c r="I62" s="5">
        <f>vals_ghg_incLUC!$R62</f>
        <v>35.263501565548907</v>
      </c>
      <c r="J62" s="5">
        <f>vals_ghg_incLUC!$X62</f>
        <v>37.88877690845019</v>
      </c>
      <c r="K62" s="5" t="e">
        <f>vals_ghg_incLUC!$AD62</f>
        <v>#N/A</v>
      </c>
      <c r="L62" s="5"/>
      <c r="M62" s="5">
        <f>vals_ghg_incLUC!$S62</f>
        <v>47.594198129830531</v>
      </c>
      <c r="N62" s="5">
        <f>vals_ghg_incLUC!$Y62</f>
        <v>49.255139046232848</v>
      </c>
      <c r="O62" s="5" t="e">
        <f>vals_ghg_incLUC!$AE62</f>
        <v>#N/A</v>
      </c>
      <c r="P62" s="5"/>
      <c r="Q62" s="9">
        <f t="shared" si="15"/>
        <v>1.6609409164023177</v>
      </c>
      <c r="R62" s="9">
        <v>32.646999999999998</v>
      </c>
      <c r="S62" s="9">
        <v>43.945</v>
      </c>
    </row>
    <row r="63" spans="1:19" x14ac:dyDescent="0.35">
      <c r="A63" s="6">
        <f>vals_ghg_incLUC!$A63</f>
        <v>1910</v>
      </c>
      <c r="B63" s="7">
        <f t="shared" si="8"/>
        <v>35.21327457157529</v>
      </c>
      <c r="C63" s="7">
        <f t="shared" si="9"/>
        <v>37.842836940018884</v>
      </c>
      <c r="D63" s="7">
        <f t="shared" si="10"/>
        <v>47.520691517385309</v>
      </c>
      <c r="E63" s="7">
        <f t="shared" si="11"/>
        <v>49.20897113470761</v>
      </c>
      <c r="F63" s="7">
        <f t="shared" si="12"/>
        <v>2.6295623684435938</v>
      </c>
      <c r="G63" s="7">
        <f t="shared" si="13"/>
        <v>0</v>
      </c>
      <c r="H63" s="7">
        <f t="shared" si="14"/>
        <v>9.6778545773664248</v>
      </c>
      <c r="I63" s="8">
        <f>vals_ghg_incLUC!$R63</f>
        <v>35.21327457157529</v>
      </c>
      <c r="J63" s="8">
        <f>vals_ghg_incLUC!$X63</f>
        <v>37.842836940018884</v>
      </c>
      <c r="K63" s="8" t="e">
        <f>vals_ghg_incLUC!$AD63</f>
        <v>#N/A</v>
      </c>
      <c r="L63" s="8"/>
      <c r="M63" s="8">
        <f>vals_ghg_incLUC!$S63</f>
        <v>47.520691517385309</v>
      </c>
      <c r="N63" s="8">
        <f>vals_ghg_incLUC!$Y63</f>
        <v>49.20897113470761</v>
      </c>
      <c r="O63" s="8" t="e">
        <f>vals_ghg_incLUC!$AE63</f>
        <v>#N/A</v>
      </c>
      <c r="P63" s="8"/>
      <c r="Q63" s="9">
        <f t="shared" si="15"/>
        <v>1.6882796173223014</v>
      </c>
      <c r="R63" s="9">
        <v>32.582999999999998</v>
      </c>
      <c r="S63" s="9">
        <v>43.853000000000002</v>
      </c>
    </row>
    <row r="64" spans="1:19" x14ac:dyDescent="0.35">
      <c r="A64" s="3">
        <f>vals_ghg_incLUC!$A64</f>
        <v>1911</v>
      </c>
      <c r="B64" s="4">
        <f t="shared" si="8"/>
        <v>35.158929692916765</v>
      </c>
      <c r="C64" s="4">
        <f t="shared" si="9"/>
        <v>37.793784615225192</v>
      </c>
      <c r="D64" s="4">
        <f t="shared" si="10"/>
        <v>47.452105555697784</v>
      </c>
      <c r="E64" s="4">
        <f t="shared" si="11"/>
        <v>49.160417250592154</v>
      </c>
      <c r="F64" s="4">
        <f t="shared" si="12"/>
        <v>2.6348549223084277</v>
      </c>
      <c r="G64" s="4">
        <f t="shared" si="13"/>
        <v>0</v>
      </c>
      <c r="H64" s="4">
        <f t="shared" si="14"/>
        <v>9.658320940472592</v>
      </c>
      <c r="I64" s="5">
        <f>vals_ghg_incLUC!$R64</f>
        <v>35.158929692916765</v>
      </c>
      <c r="J64" s="5">
        <f>vals_ghg_incLUC!$X64</f>
        <v>37.793784615225192</v>
      </c>
      <c r="K64" s="5" t="e">
        <f>vals_ghg_incLUC!$AD64</f>
        <v>#N/A</v>
      </c>
      <c r="L64" s="5"/>
      <c r="M64" s="5">
        <f>vals_ghg_incLUC!$S64</f>
        <v>47.452105555697784</v>
      </c>
      <c r="N64" s="5">
        <f>vals_ghg_incLUC!$Y64</f>
        <v>49.160417250592154</v>
      </c>
      <c r="O64" s="5" t="e">
        <f>vals_ghg_incLUC!$AE64</f>
        <v>#N/A</v>
      </c>
      <c r="P64" s="5"/>
      <c r="Q64" s="9">
        <f t="shared" si="15"/>
        <v>1.7083116948943697</v>
      </c>
      <c r="R64" s="9">
        <v>32.514000000000003</v>
      </c>
      <c r="S64" s="9">
        <v>43.765000000000001</v>
      </c>
    </row>
    <row r="65" spans="1:19" x14ac:dyDescent="0.35">
      <c r="A65" s="6">
        <f>vals_ghg_incLUC!$A65</f>
        <v>1912</v>
      </c>
      <c r="B65" s="7">
        <f t="shared" si="8"/>
        <v>35.103851691132512</v>
      </c>
      <c r="C65" s="7">
        <f t="shared" si="9"/>
        <v>37.741650886970326</v>
      </c>
      <c r="D65" s="7">
        <f t="shared" si="10"/>
        <v>47.385263434123473</v>
      </c>
      <c r="E65" s="7">
        <f t="shared" si="11"/>
        <v>49.107801301748523</v>
      </c>
      <c r="F65" s="7">
        <f t="shared" si="12"/>
        <v>2.6377991958378146</v>
      </c>
      <c r="G65" s="7">
        <f t="shared" si="13"/>
        <v>0</v>
      </c>
      <c r="H65" s="7">
        <f t="shared" si="14"/>
        <v>9.6436125471531469</v>
      </c>
      <c r="I65" s="8">
        <f>vals_ghg_incLUC!$R65</f>
        <v>35.103851691132512</v>
      </c>
      <c r="J65" s="8">
        <f>vals_ghg_incLUC!$X65</f>
        <v>37.741650886970326</v>
      </c>
      <c r="K65" s="8" t="e">
        <f>vals_ghg_incLUC!$AD65</f>
        <v>#N/A</v>
      </c>
      <c r="L65" s="8"/>
      <c r="M65" s="8">
        <f>vals_ghg_incLUC!$S65</f>
        <v>47.385263434123473</v>
      </c>
      <c r="N65" s="8">
        <f>vals_ghg_incLUC!$Y65</f>
        <v>49.107801301748523</v>
      </c>
      <c r="O65" s="8" t="e">
        <f>vals_ghg_incLUC!$AE65</f>
        <v>#N/A</v>
      </c>
      <c r="P65" s="8"/>
      <c r="Q65" s="9">
        <f t="shared" si="15"/>
        <v>1.72253786762505</v>
      </c>
      <c r="R65" s="9">
        <v>32.445999999999998</v>
      </c>
      <c r="S65" s="9">
        <v>43.679000000000002</v>
      </c>
    </row>
    <row r="66" spans="1:19" x14ac:dyDescent="0.35">
      <c r="A66" s="3">
        <f>vals_ghg_incLUC!$A66</f>
        <v>1913</v>
      </c>
      <c r="B66" s="4">
        <f t="shared" si="8"/>
        <v>35.046796466041734</v>
      </c>
      <c r="C66" s="4">
        <f t="shared" si="9"/>
        <v>37.687328535613027</v>
      </c>
      <c r="D66" s="4">
        <f t="shared" si="10"/>
        <v>47.316880822221776</v>
      </c>
      <c r="E66" s="4">
        <f t="shared" si="11"/>
        <v>49.052063459613237</v>
      </c>
      <c r="F66" s="4">
        <f t="shared" si="12"/>
        <v>2.6405320695712931</v>
      </c>
      <c r="G66" s="4">
        <f t="shared" si="13"/>
        <v>0</v>
      </c>
      <c r="H66" s="4">
        <f t="shared" si="14"/>
        <v>9.6295522866087495</v>
      </c>
      <c r="I66" s="5">
        <f>vals_ghg_incLUC!$R66</f>
        <v>35.046796466041734</v>
      </c>
      <c r="J66" s="5">
        <f>vals_ghg_incLUC!$X66</f>
        <v>37.687328535613027</v>
      </c>
      <c r="K66" s="5" t="e">
        <f>vals_ghg_incLUC!$AD66</f>
        <v>#N/A</v>
      </c>
      <c r="L66" s="5"/>
      <c r="M66" s="5">
        <f>vals_ghg_incLUC!$S66</f>
        <v>47.316880822221776</v>
      </c>
      <c r="N66" s="5">
        <f>vals_ghg_incLUC!$Y66</f>
        <v>49.052063459613237</v>
      </c>
      <c r="O66" s="5" t="e">
        <f>vals_ghg_incLUC!$AE66</f>
        <v>#N/A</v>
      </c>
      <c r="P66" s="5"/>
      <c r="Q66" s="9">
        <f t="shared" si="15"/>
        <v>1.7351826373914605</v>
      </c>
      <c r="R66" s="9">
        <v>32.374000000000002</v>
      </c>
      <c r="S66" s="9">
        <v>43.591000000000001</v>
      </c>
    </row>
    <row r="67" spans="1:19" x14ac:dyDescent="0.35">
      <c r="A67" s="6">
        <f>vals_ghg_incLUC!$A67</f>
        <v>1914</v>
      </c>
      <c r="B67" s="7">
        <f t="shared" ref="B67:B98" si="16">IFERROR(_xlfn.AGGREGATE(5,6,I67:L67),"")</f>
        <v>34.984330970874076</v>
      </c>
      <c r="C67" s="7">
        <f t="shared" ref="C67:C98" si="17">IFERROR(_xlfn.AGGREGATE(4,6,I67:L67),"")</f>
        <v>37.626289213450377</v>
      </c>
      <c r="D67" s="7">
        <f t="shared" ref="D67:D98" si="18">IFERROR(_xlfn.AGGREGATE(5,6,M67:P67),"")</f>
        <v>47.246025144112089</v>
      </c>
      <c r="E67" s="7">
        <f t="shared" ref="E67:E98" si="19">IFERROR(_xlfn.AGGREGATE(4,6,M67:P67),"")</f>
        <v>48.98903034244109</v>
      </c>
      <c r="F67" s="7">
        <f t="shared" ref="F67:F98" si="20">IFERROR(MIN(C67,D67)-B67,"")</f>
        <v>2.6419582425763011</v>
      </c>
      <c r="G67" s="7">
        <f t="shared" ref="G67:G98" si="21">IFERROR(MAX(0,C67-D67),"")</f>
        <v>0</v>
      </c>
      <c r="H67" s="7">
        <f t="shared" ref="H67:H98" si="22">IFERROR(MAX(0,D67-C67),"")</f>
        <v>9.6197359306617116</v>
      </c>
      <c r="I67" s="8">
        <f>vals_ghg_incLUC!$R67</f>
        <v>34.984330970874076</v>
      </c>
      <c r="J67" s="8">
        <f>vals_ghg_incLUC!$X67</f>
        <v>37.626289213450377</v>
      </c>
      <c r="K67" s="8" t="e">
        <f>vals_ghg_incLUC!$AD67</f>
        <v>#N/A</v>
      </c>
      <c r="L67" s="8"/>
      <c r="M67" s="8">
        <f>vals_ghg_incLUC!$S67</f>
        <v>47.246025144112089</v>
      </c>
      <c r="N67" s="8">
        <f>vals_ghg_incLUC!$Y67</f>
        <v>48.98903034244109</v>
      </c>
      <c r="O67" s="8" t="e">
        <f>vals_ghg_incLUC!$AE67</f>
        <v>#N/A</v>
      </c>
      <c r="P67" s="8"/>
      <c r="Q67" s="9">
        <f t="shared" ref="Q67:Q98" si="23">IFERROR(MAX(0,$E67-MAX($C67,$D67)),"")</f>
        <v>1.7430051983290014</v>
      </c>
      <c r="R67" s="9">
        <v>32.293999999999997</v>
      </c>
      <c r="S67" s="9">
        <v>43.497999999999998</v>
      </c>
    </row>
    <row r="68" spans="1:19" x14ac:dyDescent="0.35">
      <c r="A68" s="3">
        <f>vals_ghg_incLUC!$A68</f>
        <v>1915</v>
      </c>
      <c r="B68" s="4">
        <f t="shared" si="16"/>
        <v>34.927310245227929</v>
      </c>
      <c r="C68" s="4">
        <f t="shared" si="17"/>
        <v>37.571606191417104</v>
      </c>
      <c r="D68" s="4">
        <f t="shared" si="18"/>
        <v>47.182330187054603</v>
      </c>
      <c r="E68" s="4">
        <f t="shared" si="19"/>
        <v>48.932052660434287</v>
      </c>
      <c r="F68" s="4">
        <f t="shared" si="20"/>
        <v>2.6442959461891746</v>
      </c>
      <c r="G68" s="4">
        <f t="shared" si="21"/>
        <v>0</v>
      </c>
      <c r="H68" s="4">
        <f t="shared" si="22"/>
        <v>9.6107239956374997</v>
      </c>
      <c r="I68" s="5">
        <f>vals_ghg_incLUC!$R68</f>
        <v>34.927310245227929</v>
      </c>
      <c r="J68" s="5">
        <f>vals_ghg_incLUC!$X68</f>
        <v>37.571606191417104</v>
      </c>
      <c r="K68" s="5" t="e">
        <f>vals_ghg_incLUC!$AD68</f>
        <v>#N/A</v>
      </c>
      <c r="L68" s="5"/>
      <c r="M68" s="5">
        <f>vals_ghg_incLUC!$S68</f>
        <v>47.182330187054603</v>
      </c>
      <c r="N68" s="5">
        <f>vals_ghg_incLUC!$Y68</f>
        <v>48.932052660434287</v>
      </c>
      <c r="O68" s="5" t="e">
        <f>vals_ghg_incLUC!$AE68</f>
        <v>#N/A</v>
      </c>
      <c r="P68" s="5"/>
      <c r="Q68" s="9">
        <f t="shared" si="23"/>
        <v>1.7497224733796841</v>
      </c>
      <c r="R68" s="9">
        <v>32.223999999999997</v>
      </c>
      <c r="S68" s="9">
        <v>43.417000000000002</v>
      </c>
    </row>
    <row r="69" spans="1:19" x14ac:dyDescent="0.35">
      <c r="A69" s="6">
        <f>vals_ghg_incLUC!$A69</f>
        <v>1916</v>
      </c>
      <c r="B69" s="7">
        <f t="shared" si="16"/>
        <v>34.871121820611521</v>
      </c>
      <c r="C69" s="7">
        <f t="shared" si="17"/>
        <v>37.517295788301588</v>
      </c>
      <c r="D69" s="7">
        <f t="shared" si="18"/>
        <v>47.121146620436058</v>
      </c>
      <c r="E69" s="7">
        <f t="shared" si="19"/>
        <v>48.8754407776132</v>
      </c>
      <c r="F69" s="7">
        <f t="shared" si="20"/>
        <v>2.6461739676900677</v>
      </c>
      <c r="G69" s="7">
        <f t="shared" si="21"/>
        <v>0</v>
      </c>
      <c r="H69" s="7">
        <f t="shared" si="22"/>
        <v>9.6038508321344693</v>
      </c>
      <c r="I69" s="8">
        <f>vals_ghg_incLUC!$R69</f>
        <v>34.871121820611521</v>
      </c>
      <c r="J69" s="8">
        <f>vals_ghg_incLUC!$X69</f>
        <v>37.517295788301588</v>
      </c>
      <c r="K69" s="8" t="e">
        <f>vals_ghg_incLUC!$AD69</f>
        <v>#N/A</v>
      </c>
      <c r="L69" s="8"/>
      <c r="M69" s="8">
        <f>vals_ghg_incLUC!$S69</f>
        <v>47.121146620436058</v>
      </c>
      <c r="N69" s="8">
        <f>vals_ghg_incLUC!$Y69</f>
        <v>48.8754407776132</v>
      </c>
      <c r="O69" s="8" t="e">
        <f>vals_ghg_incLUC!$AE69</f>
        <v>#N/A</v>
      </c>
      <c r="P69" s="8"/>
      <c r="Q69" s="9">
        <f t="shared" si="23"/>
        <v>1.7542941571771422</v>
      </c>
      <c r="R69" s="9">
        <v>32.154000000000003</v>
      </c>
      <c r="S69" s="9">
        <v>43.338999999999999</v>
      </c>
    </row>
    <row r="70" spans="1:19" x14ac:dyDescent="0.35">
      <c r="A70" s="3">
        <f>vals_ghg_incLUC!$A70</f>
        <v>1917</v>
      </c>
      <c r="B70" s="4">
        <f t="shared" si="16"/>
        <v>34.810551596800053</v>
      </c>
      <c r="C70" s="4">
        <f t="shared" si="17"/>
        <v>37.458228442896925</v>
      </c>
      <c r="D70" s="4">
        <f t="shared" si="18"/>
        <v>47.055704881646285</v>
      </c>
      <c r="E70" s="4">
        <f t="shared" si="19"/>
        <v>48.814302930122537</v>
      </c>
      <c r="F70" s="4">
        <f t="shared" si="20"/>
        <v>2.6476768460968714</v>
      </c>
      <c r="G70" s="4">
        <f t="shared" si="21"/>
        <v>0</v>
      </c>
      <c r="H70" s="4">
        <f t="shared" si="22"/>
        <v>9.5974764387493607</v>
      </c>
      <c r="I70" s="5">
        <f>vals_ghg_incLUC!$R70</f>
        <v>34.810551596800053</v>
      </c>
      <c r="J70" s="5">
        <f>vals_ghg_incLUC!$X70</f>
        <v>37.458228442896925</v>
      </c>
      <c r="K70" s="5" t="e">
        <f>vals_ghg_incLUC!$AD70</f>
        <v>#N/A</v>
      </c>
      <c r="L70" s="5"/>
      <c r="M70" s="5">
        <f>vals_ghg_incLUC!$S70</f>
        <v>47.055704881646285</v>
      </c>
      <c r="N70" s="5">
        <f>vals_ghg_incLUC!$Y70</f>
        <v>48.814302930122537</v>
      </c>
      <c r="O70" s="5" t="e">
        <f>vals_ghg_incLUC!$AE70</f>
        <v>#N/A</v>
      </c>
      <c r="P70" s="5"/>
      <c r="Q70" s="9">
        <f t="shared" si="23"/>
        <v>1.7585980484762516</v>
      </c>
      <c r="R70" s="9">
        <v>32.079000000000001</v>
      </c>
      <c r="S70" s="9">
        <v>43.256999999999998</v>
      </c>
    </row>
    <row r="71" spans="1:19" x14ac:dyDescent="0.35">
      <c r="A71" s="6">
        <f>vals_ghg_incLUC!$A71</f>
        <v>1918</v>
      </c>
      <c r="B71" s="7">
        <f t="shared" si="16"/>
        <v>34.746268548117918</v>
      </c>
      <c r="C71" s="7">
        <f t="shared" si="17"/>
        <v>37.39633561440602</v>
      </c>
      <c r="D71" s="7">
        <f t="shared" si="18"/>
        <v>46.989694403880421</v>
      </c>
      <c r="E71" s="7">
        <f t="shared" si="19"/>
        <v>48.751026709464327</v>
      </c>
      <c r="F71" s="7">
        <f t="shared" si="20"/>
        <v>2.6500670662881021</v>
      </c>
      <c r="G71" s="7">
        <f t="shared" si="21"/>
        <v>0</v>
      </c>
      <c r="H71" s="7">
        <f t="shared" si="22"/>
        <v>9.5933587894744008</v>
      </c>
      <c r="I71" s="8">
        <f>vals_ghg_incLUC!$R71</f>
        <v>34.746268548117918</v>
      </c>
      <c r="J71" s="8">
        <f>vals_ghg_incLUC!$X71</f>
        <v>37.39633561440602</v>
      </c>
      <c r="K71" s="8" t="e">
        <f>vals_ghg_incLUC!$AD71</f>
        <v>#N/A</v>
      </c>
      <c r="L71" s="8"/>
      <c r="M71" s="8">
        <f>vals_ghg_incLUC!$S71</f>
        <v>46.989694403880421</v>
      </c>
      <c r="N71" s="8">
        <f>vals_ghg_incLUC!$Y71</f>
        <v>48.751026709464327</v>
      </c>
      <c r="O71" s="8" t="e">
        <f>vals_ghg_incLUC!$AE71</f>
        <v>#N/A</v>
      </c>
      <c r="P71" s="8"/>
      <c r="Q71" s="9">
        <f t="shared" si="23"/>
        <v>1.7613323055839061</v>
      </c>
      <c r="R71" s="9">
        <v>32</v>
      </c>
      <c r="S71" s="9">
        <v>43.173000000000002</v>
      </c>
    </row>
    <row r="72" spans="1:19" x14ac:dyDescent="0.35">
      <c r="A72" s="3">
        <f>vals_ghg_incLUC!$A72</f>
        <v>1919</v>
      </c>
      <c r="B72" s="4">
        <f t="shared" si="16"/>
        <v>34.678928292145386</v>
      </c>
      <c r="C72" s="4">
        <f t="shared" si="17"/>
        <v>37.332664958471575</v>
      </c>
      <c r="D72" s="4">
        <f t="shared" si="18"/>
        <v>46.925747389990192</v>
      </c>
      <c r="E72" s="4">
        <f t="shared" si="19"/>
        <v>48.689351853868438</v>
      </c>
      <c r="F72" s="4">
        <f t="shared" si="20"/>
        <v>2.6537366663261892</v>
      </c>
      <c r="G72" s="4">
        <f t="shared" si="21"/>
        <v>0</v>
      </c>
      <c r="H72" s="4">
        <f t="shared" si="22"/>
        <v>9.5930824315186172</v>
      </c>
      <c r="I72" s="5">
        <f>vals_ghg_incLUC!$R72</f>
        <v>34.678928292145386</v>
      </c>
      <c r="J72" s="5">
        <f>vals_ghg_incLUC!$X72</f>
        <v>37.332664958471575</v>
      </c>
      <c r="K72" s="5" t="e">
        <f>vals_ghg_incLUC!$AD72</f>
        <v>#N/A</v>
      </c>
      <c r="L72" s="5"/>
      <c r="M72" s="5">
        <f>vals_ghg_incLUC!$S72</f>
        <v>46.925747389990192</v>
      </c>
      <c r="N72" s="5">
        <f>vals_ghg_incLUC!$Y72</f>
        <v>48.689351853868438</v>
      </c>
      <c r="O72" s="5" t="e">
        <f>vals_ghg_incLUC!$AE72</f>
        <v>#N/A</v>
      </c>
      <c r="P72" s="5"/>
      <c r="Q72" s="9">
        <f t="shared" si="23"/>
        <v>1.7636044638782451</v>
      </c>
      <c r="R72" s="9">
        <v>31.917000000000002</v>
      </c>
      <c r="S72" s="9">
        <v>43.094999999999999</v>
      </c>
    </row>
    <row r="73" spans="1:19" x14ac:dyDescent="0.35">
      <c r="A73" s="6">
        <f>vals_ghg_incLUC!$A73</f>
        <v>1920</v>
      </c>
      <c r="B73" s="7">
        <f t="shared" si="16"/>
        <v>34.619485179422817</v>
      </c>
      <c r="C73" s="7">
        <f t="shared" si="17"/>
        <v>37.277626094607541</v>
      </c>
      <c r="D73" s="7">
        <f t="shared" si="18"/>
        <v>46.872202575369776</v>
      </c>
      <c r="E73" s="7">
        <f t="shared" si="19"/>
        <v>48.638579870650773</v>
      </c>
      <c r="F73" s="7">
        <f t="shared" si="20"/>
        <v>2.658140915184724</v>
      </c>
      <c r="G73" s="7">
        <f t="shared" si="21"/>
        <v>0</v>
      </c>
      <c r="H73" s="7">
        <f t="shared" si="22"/>
        <v>9.5945764807622353</v>
      </c>
      <c r="I73" s="8">
        <f>vals_ghg_incLUC!$R73</f>
        <v>34.619485179422817</v>
      </c>
      <c r="J73" s="8">
        <f>vals_ghg_incLUC!$X73</f>
        <v>37.277626094607541</v>
      </c>
      <c r="K73" s="8" t="e">
        <f>vals_ghg_incLUC!$AD73</f>
        <v>#N/A</v>
      </c>
      <c r="L73" s="8"/>
      <c r="M73" s="8">
        <f>vals_ghg_incLUC!$S73</f>
        <v>46.872202575369776</v>
      </c>
      <c r="N73" s="8">
        <f>vals_ghg_incLUC!$Y73</f>
        <v>48.638579870650773</v>
      </c>
      <c r="O73" s="8" t="e">
        <f>vals_ghg_incLUC!$AE73</f>
        <v>#N/A</v>
      </c>
      <c r="P73" s="8"/>
      <c r="Q73" s="9">
        <f t="shared" si="23"/>
        <v>1.7663772952809964</v>
      </c>
      <c r="R73" s="9">
        <v>31.847000000000001</v>
      </c>
      <c r="S73" s="9">
        <v>43.031999999999996</v>
      </c>
    </row>
    <row r="74" spans="1:19" x14ac:dyDescent="0.35">
      <c r="A74" s="3">
        <f>vals_ghg_incLUC!$A74</f>
        <v>1921</v>
      </c>
      <c r="B74" s="4">
        <f t="shared" si="16"/>
        <v>34.555750994807902</v>
      </c>
      <c r="C74" s="4">
        <f t="shared" si="17"/>
        <v>37.214286713833893</v>
      </c>
      <c r="D74" s="4">
        <f t="shared" si="18"/>
        <v>46.811179790603461</v>
      </c>
      <c r="E74" s="4">
        <f t="shared" si="19"/>
        <v>48.578950652433548</v>
      </c>
      <c r="F74" s="4">
        <f t="shared" si="20"/>
        <v>2.6585357190259913</v>
      </c>
      <c r="G74" s="4">
        <f t="shared" si="21"/>
        <v>0</v>
      </c>
      <c r="H74" s="4">
        <f t="shared" si="22"/>
        <v>9.5968930767695682</v>
      </c>
      <c r="I74" s="5">
        <f>vals_ghg_incLUC!$R74</f>
        <v>34.555750994807902</v>
      </c>
      <c r="J74" s="5">
        <f>vals_ghg_incLUC!$X74</f>
        <v>37.214286713833893</v>
      </c>
      <c r="K74" s="5" t="e">
        <f>vals_ghg_incLUC!$AD74</f>
        <v>#N/A</v>
      </c>
      <c r="L74" s="5"/>
      <c r="M74" s="5">
        <f>vals_ghg_incLUC!$S74</f>
        <v>46.811179790603461</v>
      </c>
      <c r="N74" s="5">
        <f>vals_ghg_incLUC!$Y74</f>
        <v>48.578950652433548</v>
      </c>
      <c r="O74" s="5" t="e">
        <f>vals_ghg_incLUC!$AE74</f>
        <v>#N/A</v>
      </c>
      <c r="P74" s="5"/>
      <c r="Q74" s="9">
        <f t="shared" si="23"/>
        <v>1.7677708618300869</v>
      </c>
      <c r="R74" s="9">
        <v>31.768999999999998</v>
      </c>
      <c r="S74" s="9">
        <v>42.959000000000003</v>
      </c>
    </row>
    <row r="75" spans="1:19" x14ac:dyDescent="0.35">
      <c r="A75" s="6">
        <f>vals_ghg_incLUC!$A75</f>
        <v>1922</v>
      </c>
      <c r="B75" s="7">
        <f t="shared" si="16"/>
        <v>34.503956229626247</v>
      </c>
      <c r="C75" s="7">
        <f t="shared" si="17"/>
        <v>37.166322600265183</v>
      </c>
      <c r="D75" s="7">
        <f t="shared" si="18"/>
        <v>46.759183721680067</v>
      </c>
      <c r="E75" s="7">
        <f t="shared" si="19"/>
        <v>48.533050049651713</v>
      </c>
      <c r="F75" s="7">
        <f t="shared" si="20"/>
        <v>2.6623663706389351</v>
      </c>
      <c r="G75" s="7">
        <f t="shared" si="21"/>
        <v>0</v>
      </c>
      <c r="H75" s="7">
        <f t="shared" si="22"/>
        <v>9.5928611214148845</v>
      </c>
      <c r="I75" s="8">
        <f>vals_ghg_incLUC!$R75</f>
        <v>34.503956229626247</v>
      </c>
      <c r="J75" s="8">
        <f>vals_ghg_incLUC!$X75</f>
        <v>37.166322600265183</v>
      </c>
      <c r="K75" s="8" t="e">
        <f>vals_ghg_incLUC!$AD75</f>
        <v>#N/A</v>
      </c>
      <c r="L75" s="8"/>
      <c r="M75" s="8">
        <f>vals_ghg_incLUC!$S75</f>
        <v>46.759183721680067</v>
      </c>
      <c r="N75" s="8">
        <f>vals_ghg_incLUC!$Y75</f>
        <v>48.533050049651713</v>
      </c>
      <c r="O75" s="8" t="e">
        <f>vals_ghg_incLUC!$AE75</f>
        <v>#N/A</v>
      </c>
      <c r="P75" s="8"/>
      <c r="Q75" s="9">
        <f t="shared" si="23"/>
        <v>1.7738663279716462</v>
      </c>
      <c r="R75" s="9">
        <v>31.707000000000001</v>
      </c>
      <c r="S75" s="9">
        <v>42.9</v>
      </c>
    </row>
    <row r="76" spans="1:19" x14ac:dyDescent="0.35">
      <c r="A76" s="3">
        <f>vals_ghg_incLUC!$A76</f>
        <v>1923</v>
      </c>
      <c r="B76" s="4">
        <f t="shared" si="16"/>
        <v>34.448732805407424</v>
      </c>
      <c r="C76" s="4">
        <f t="shared" si="17"/>
        <v>37.117009434536023</v>
      </c>
      <c r="D76" s="4">
        <f t="shared" si="18"/>
        <v>46.704229756199098</v>
      </c>
      <c r="E76" s="4">
        <f t="shared" si="19"/>
        <v>48.486199626483497</v>
      </c>
      <c r="F76" s="4">
        <f t="shared" si="20"/>
        <v>2.6682766291285986</v>
      </c>
      <c r="G76" s="4">
        <f t="shared" si="21"/>
        <v>0</v>
      </c>
      <c r="H76" s="4">
        <f t="shared" si="22"/>
        <v>9.5872203216630751</v>
      </c>
      <c r="I76" s="5">
        <f>vals_ghg_incLUC!$R76</f>
        <v>34.448732805407424</v>
      </c>
      <c r="J76" s="5">
        <f>vals_ghg_incLUC!$X76</f>
        <v>37.117009434536023</v>
      </c>
      <c r="K76" s="5" t="e">
        <f>vals_ghg_incLUC!$AD76</f>
        <v>#N/A</v>
      </c>
      <c r="L76" s="5"/>
      <c r="M76" s="5">
        <f>vals_ghg_incLUC!$S76</f>
        <v>46.704229756199098</v>
      </c>
      <c r="N76" s="5">
        <f>vals_ghg_incLUC!$Y76</f>
        <v>48.486199626483497</v>
      </c>
      <c r="O76" s="5" t="e">
        <f>vals_ghg_incLUC!$AE76</f>
        <v>#N/A</v>
      </c>
      <c r="P76" s="5"/>
      <c r="Q76" s="9">
        <f t="shared" si="23"/>
        <v>1.7819698702843993</v>
      </c>
      <c r="R76" s="9">
        <v>31.640999999999998</v>
      </c>
      <c r="S76" s="9">
        <v>42.837000000000003</v>
      </c>
    </row>
    <row r="77" spans="1:19" x14ac:dyDescent="0.35">
      <c r="A77" s="6">
        <f>vals_ghg_incLUC!$A77</f>
        <v>1924</v>
      </c>
      <c r="B77" s="7">
        <f t="shared" si="16"/>
        <v>34.385204815459211</v>
      </c>
      <c r="C77" s="7">
        <f t="shared" si="17"/>
        <v>37.057276732100654</v>
      </c>
      <c r="D77" s="7">
        <f t="shared" si="18"/>
        <v>46.641948955469864</v>
      </c>
      <c r="E77" s="7">
        <f t="shared" si="19"/>
        <v>48.431351674076637</v>
      </c>
      <c r="F77" s="7">
        <f t="shared" si="20"/>
        <v>2.6720719166414426</v>
      </c>
      <c r="G77" s="7">
        <f t="shared" si="21"/>
        <v>0</v>
      </c>
      <c r="H77" s="7">
        <f t="shared" si="22"/>
        <v>9.5846722233692105</v>
      </c>
      <c r="I77" s="8">
        <f>vals_ghg_incLUC!$R77</f>
        <v>34.385204815459211</v>
      </c>
      <c r="J77" s="8">
        <f>vals_ghg_incLUC!$X77</f>
        <v>37.057276732100654</v>
      </c>
      <c r="K77" s="8" t="e">
        <f>vals_ghg_incLUC!$AD77</f>
        <v>#N/A</v>
      </c>
      <c r="L77" s="8"/>
      <c r="M77" s="8">
        <f>vals_ghg_incLUC!$S77</f>
        <v>46.641948955469864</v>
      </c>
      <c r="N77" s="8">
        <f>vals_ghg_incLUC!$Y77</f>
        <v>48.431351674076637</v>
      </c>
      <c r="O77" s="8" t="e">
        <f>vals_ghg_incLUC!$AE77</f>
        <v>#N/A</v>
      </c>
      <c r="P77" s="8"/>
      <c r="Q77" s="9">
        <f t="shared" si="23"/>
        <v>1.7894027186067731</v>
      </c>
      <c r="R77" s="9">
        <v>31.565000000000001</v>
      </c>
      <c r="S77" s="9">
        <v>42.765000000000001</v>
      </c>
    </row>
    <row r="78" spans="1:19" x14ac:dyDescent="0.35">
      <c r="A78" s="3">
        <f>vals_ghg_incLUC!$A78</f>
        <v>1925</v>
      </c>
      <c r="B78" s="4">
        <f t="shared" si="16"/>
        <v>34.321925072466982</v>
      </c>
      <c r="C78" s="4">
        <f t="shared" si="17"/>
        <v>36.999357267270291</v>
      </c>
      <c r="D78" s="4">
        <f t="shared" si="18"/>
        <v>46.581431751685876</v>
      </c>
      <c r="E78" s="4">
        <f t="shared" si="19"/>
        <v>48.377643099073822</v>
      </c>
      <c r="F78" s="4">
        <f t="shared" si="20"/>
        <v>2.6774321948033091</v>
      </c>
      <c r="G78" s="4">
        <f t="shared" si="21"/>
        <v>0</v>
      </c>
      <c r="H78" s="4">
        <f t="shared" si="22"/>
        <v>9.5820744844155854</v>
      </c>
      <c r="I78" s="5">
        <f>vals_ghg_incLUC!$R78</f>
        <v>34.321925072466982</v>
      </c>
      <c r="J78" s="5">
        <f>vals_ghg_incLUC!$X78</f>
        <v>36.999357267270291</v>
      </c>
      <c r="K78" s="5" t="e">
        <f>vals_ghg_incLUC!$AD78</f>
        <v>#N/A</v>
      </c>
      <c r="L78" s="5"/>
      <c r="M78" s="5">
        <f>vals_ghg_incLUC!$S78</f>
        <v>46.581431751685876</v>
      </c>
      <c r="N78" s="5">
        <f>vals_ghg_incLUC!$Y78</f>
        <v>48.377643099073822</v>
      </c>
      <c r="O78" s="5" t="e">
        <f>vals_ghg_incLUC!$AE78</f>
        <v>#N/A</v>
      </c>
      <c r="P78" s="5"/>
      <c r="Q78" s="9">
        <f t="shared" si="23"/>
        <v>1.7962113473879455</v>
      </c>
      <c r="R78" s="9">
        <v>31.489000000000001</v>
      </c>
      <c r="S78" s="9">
        <v>42.695</v>
      </c>
    </row>
    <row r="79" spans="1:19" x14ac:dyDescent="0.35">
      <c r="A79" s="6">
        <f>vals_ghg_incLUC!$A79</f>
        <v>1926</v>
      </c>
      <c r="B79" s="7">
        <f t="shared" si="16"/>
        <v>34.258576045647921</v>
      </c>
      <c r="C79" s="7">
        <f t="shared" si="17"/>
        <v>36.941182800159794</v>
      </c>
      <c r="D79" s="7">
        <f t="shared" si="18"/>
        <v>46.518911789552561</v>
      </c>
      <c r="E79" s="7">
        <f t="shared" si="19"/>
        <v>48.323833039339874</v>
      </c>
      <c r="F79" s="7">
        <f t="shared" si="20"/>
        <v>2.6826067545118732</v>
      </c>
      <c r="G79" s="7">
        <f t="shared" si="21"/>
        <v>0</v>
      </c>
      <c r="H79" s="7">
        <f t="shared" si="22"/>
        <v>9.5777289893927673</v>
      </c>
      <c r="I79" s="8">
        <f>vals_ghg_incLUC!$R79</f>
        <v>34.258576045647921</v>
      </c>
      <c r="J79" s="8">
        <f>vals_ghg_incLUC!$X79</f>
        <v>36.941182800159794</v>
      </c>
      <c r="K79" s="8" t="e">
        <f>vals_ghg_incLUC!$AD79</f>
        <v>#N/A</v>
      </c>
      <c r="L79" s="8"/>
      <c r="M79" s="8">
        <f>vals_ghg_incLUC!$S79</f>
        <v>46.518911789552561</v>
      </c>
      <c r="N79" s="8">
        <f>vals_ghg_incLUC!$Y79</f>
        <v>48.323833039339874</v>
      </c>
      <c r="O79" s="8" t="e">
        <f>vals_ghg_incLUC!$AE79</f>
        <v>#N/A</v>
      </c>
      <c r="P79" s="8"/>
      <c r="Q79" s="9">
        <f t="shared" si="23"/>
        <v>1.8049212497873128</v>
      </c>
      <c r="R79" s="9">
        <v>31.414000000000001</v>
      </c>
      <c r="S79" s="9">
        <v>42.625</v>
      </c>
    </row>
    <row r="80" spans="1:19" x14ac:dyDescent="0.35">
      <c r="A80" s="3">
        <f>vals_ghg_incLUC!$A80</f>
        <v>1927</v>
      </c>
      <c r="B80" s="4">
        <f t="shared" si="16"/>
        <v>34.198447407050949</v>
      </c>
      <c r="C80" s="4">
        <f t="shared" si="17"/>
        <v>36.886895377210223</v>
      </c>
      <c r="D80" s="4">
        <f t="shared" si="18"/>
        <v>46.45771307940818</v>
      </c>
      <c r="E80" s="4">
        <f t="shared" si="19"/>
        <v>48.27145031737124</v>
      </c>
      <c r="F80" s="4">
        <f t="shared" si="20"/>
        <v>2.6884479701592738</v>
      </c>
      <c r="G80" s="4">
        <f t="shared" si="21"/>
        <v>0</v>
      </c>
      <c r="H80" s="4">
        <f t="shared" si="22"/>
        <v>9.5708177021979566</v>
      </c>
      <c r="I80" s="5">
        <f>vals_ghg_incLUC!$R80</f>
        <v>34.198447407050949</v>
      </c>
      <c r="J80" s="5">
        <f>vals_ghg_incLUC!$X80</f>
        <v>36.886895377210223</v>
      </c>
      <c r="K80" s="5" t="e">
        <f>vals_ghg_incLUC!$AD80</f>
        <v>#N/A</v>
      </c>
      <c r="L80" s="5"/>
      <c r="M80" s="5">
        <f>vals_ghg_incLUC!$S80</f>
        <v>46.45771307940818</v>
      </c>
      <c r="N80" s="5">
        <f>vals_ghg_incLUC!$Y80</f>
        <v>48.27145031737124</v>
      </c>
      <c r="O80" s="5" t="e">
        <f>vals_ghg_incLUC!$AE80</f>
        <v>#N/A</v>
      </c>
      <c r="P80" s="5"/>
      <c r="Q80" s="9">
        <f t="shared" si="23"/>
        <v>1.8137372379630605</v>
      </c>
      <c r="R80" s="9">
        <v>31.344999999999999</v>
      </c>
      <c r="S80" s="9">
        <v>42.558</v>
      </c>
    </row>
    <row r="81" spans="1:19" x14ac:dyDescent="0.35">
      <c r="A81" s="6">
        <f>vals_ghg_incLUC!$A81</f>
        <v>1928</v>
      </c>
      <c r="B81" s="7">
        <f t="shared" si="16"/>
        <v>34.13244487104307</v>
      </c>
      <c r="C81" s="7">
        <f t="shared" si="17"/>
        <v>36.821827665644797</v>
      </c>
      <c r="D81" s="7">
        <f t="shared" si="18"/>
        <v>46.39048135546583</v>
      </c>
      <c r="E81" s="7">
        <f t="shared" si="19"/>
        <v>48.208617562388881</v>
      </c>
      <c r="F81" s="7">
        <f t="shared" si="20"/>
        <v>2.6893827946017268</v>
      </c>
      <c r="G81" s="7">
        <f t="shared" si="21"/>
        <v>0</v>
      </c>
      <c r="H81" s="7">
        <f t="shared" si="22"/>
        <v>9.5686536898210335</v>
      </c>
      <c r="I81" s="8">
        <f>vals_ghg_incLUC!$R81</f>
        <v>34.13244487104307</v>
      </c>
      <c r="J81" s="8">
        <f>vals_ghg_incLUC!$X81</f>
        <v>36.821827665644797</v>
      </c>
      <c r="K81" s="8" t="e">
        <f>vals_ghg_incLUC!$AD81</f>
        <v>#N/A</v>
      </c>
      <c r="L81" s="8"/>
      <c r="M81" s="8">
        <f>vals_ghg_incLUC!$S81</f>
        <v>46.39048135546583</v>
      </c>
      <c r="N81" s="8">
        <f>vals_ghg_incLUC!$Y81</f>
        <v>48.208617562388881</v>
      </c>
      <c r="O81" s="8" t="e">
        <f>vals_ghg_incLUC!$AE81</f>
        <v>#N/A</v>
      </c>
      <c r="P81" s="8"/>
      <c r="Q81" s="9">
        <f t="shared" si="23"/>
        <v>1.8181362069230502</v>
      </c>
      <c r="R81" s="9">
        <v>31.271000000000001</v>
      </c>
      <c r="S81" s="9">
        <v>42.484999999999999</v>
      </c>
    </row>
    <row r="82" spans="1:19" x14ac:dyDescent="0.35">
      <c r="A82" s="3">
        <f>vals_ghg_incLUC!$A82</f>
        <v>1929</v>
      </c>
      <c r="B82" s="4">
        <f t="shared" si="16"/>
        <v>34.06840213351083</v>
      </c>
      <c r="C82" s="4">
        <f t="shared" si="17"/>
        <v>36.75888746377408</v>
      </c>
      <c r="D82" s="4">
        <f t="shared" si="18"/>
        <v>46.324487158254527</v>
      </c>
      <c r="E82" s="4">
        <f t="shared" si="19"/>
        <v>48.146970335255723</v>
      </c>
      <c r="F82" s="4">
        <f t="shared" si="20"/>
        <v>2.6904853302632503</v>
      </c>
      <c r="G82" s="4">
        <f t="shared" si="21"/>
        <v>0</v>
      </c>
      <c r="H82" s="4">
        <f t="shared" si="22"/>
        <v>9.5655996944804471</v>
      </c>
      <c r="I82" s="5">
        <f>vals_ghg_incLUC!$R82</f>
        <v>34.06840213351083</v>
      </c>
      <c r="J82" s="5">
        <f>vals_ghg_incLUC!$X82</f>
        <v>36.75888746377408</v>
      </c>
      <c r="K82" s="5" t="e">
        <f>vals_ghg_incLUC!$AD82</f>
        <v>#N/A</v>
      </c>
      <c r="L82" s="5"/>
      <c r="M82" s="5">
        <f>vals_ghg_incLUC!$S82</f>
        <v>46.324487158254527</v>
      </c>
      <c r="N82" s="5">
        <f>vals_ghg_incLUC!$Y82</f>
        <v>48.146970335255723</v>
      </c>
      <c r="O82" s="5" t="e">
        <f>vals_ghg_incLUC!$AE82</f>
        <v>#N/A</v>
      </c>
      <c r="P82" s="5"/>
      <c r="Q82" s="9">
        <f t="shared" si="23"/>
        <v>1.822483177001196</v>
      </c>
      <c r="R82" s="9">
        <v>31.196999999999999</v>
      </c>
      <c r="S82" s="9">
        <v>42.414000000000001</v>
      </c>
    </row>
    <row r="83" spans="1:19" x14ac:dyDescent="0.35">
      <c r="A83" s="6">
        <f>vals_ghg_incLUC!$A83</f>
        <v>1930</v>
      </c>
      <c r="B83" s="7">
        <f t="shared" si="16"/>
        <v>33.999600054627635</v>
      </c>
      <c r="C83" s="7">
        <f t="shared" si="17"/>
        <v>36.687515105338974</v>
      </c>
      <c r="D83" s="7">
        <f t="shared" si="18"/>
        <v>46.252002472318466</v>
      </c>
      <c r="E83" s="7">
        <f t="shared" si="19"/>
        <v>48.077482965269056</v>
      </c>
      <c r="F83" s="7">
        <f t="shared" si="20"/>
        <v>2.6879150507113394</v>
      </c>
      <c r="G83" s="7">
        <f t="shared" si="21"/>
        <v>0</v>
      </c>
      <c r="H83" s="7">
        <f t="shared" si="22"/>
        <v>9.5644873669794919</v>
      </c>
      <c r="I83" s="8">
        <f>vals_ghg_incLUC!$R83</f>
        <v>33.999600054627635</v>
      </c>
      <c r="J83" s="8">
        <f>vals_ghg_incLUC!$X83</f>
        <v>36.687515105338974</v>
      </c>
      <c r="K83" s="8" t="e">
        <f>vals_ghg_incLUC!$AD83</f>
        <v>#N/A</v>
      </c>
      <c r="L83" s="8"/>
      <c r="M83" s="8">
        <f>vals_ghg_incLUC!$S83</f>
        <v>46.252002472318466</v>
      </c>
      <c r="N83" s="8">
        <f>vals_ghg_incLUC!$Y83</f>
        <v>48.077482965269056</v>
      </c>
      <c r="O83" s="8" t="e">
        <f>vals_ghg_incLUC!$AE83</f>
        <v>#N/A</v>
      </c>
      <c r="P83" s="8"/>
      <c r="Q83" s="9">
        <f t="shared" si="23"/>
        <v>1.8254804929505895</v>
      </c>
      <c r="R83" s="9">
        <v>31.117999999999999</v>
      </c>
      <c r="S83" s="9">
        <v>42.335000000000001</v>
      </c>
    </row>
    <row r="84" spans="1:19" x14ac:dyDescent="0.35">
      <c r="A84" s="3">
        <f>vals_ghg_incLUC!$A84</f>
        <v>1931</v>
      </c>
      <c r="B84" s="4">
        <f t="shared" si="16"/>
        <v>33.942903600426263</v>
      </c>
      <c r="C84" s="4">
        <f t="shared" si="17"/>
        <v>36.619615193619268</v>
      </c>
      <c r="D84" s="4">
        <f t="shared" si="18"/>
        <v>46.184187419087486</v>
      </c>
      <c r="E84" s="4">
        <f t="shared" si="19"/>
        <v>48.010012670545336</v>
      </c>
      <c r="F84" s="4">
        <f t="shared" si="20"/>
        <v>2.676711593193005</v>
      </c>
      <c r="G84" s="4">
        <f t="shared" si="21"/>
        <v>0</v>
      </c>
      <c r="H84" s="4">
        <f t="shared" si="22"/>
        <v>9.5645722254682184</v>
      </c>
      <c r="I84" s="5">
        <f>vals_ghg_incLUC!$R84</f>
        <v>33.942903600426263</v>
      </c>
      <c r="J84" s="5">
        <f>vals_ghg_incLUC!$X84</f>
        <v>36.619615193619268</v>
      </c>
      <c r="K84" s="5" t="e">
        <f>vals_ghg_incLUC!$AD84</f>
        <v>#N/A</v>
      </c>
      <c r="L84" s="5"/>
      <c r="M84" s="5">
        <f>vals_ghg_incLUC!$S84</f>
        <v>46.184187419087486</v>
      </c>
      <c r="N84" s="5">
        <f>vals_ghg_incLUC!$Y84</f>
        <v>48.010012670545336</v>
      </c>
      <c r="O84" s="5" t="e">
        <f>vals_ghg_incLUC!$AE84</f>
        <v>#N/A</v>
      </c>
      <c r="P84" s="5"/>
      <c r="Q84" s="9">
        <f t="shared" si="23"/>
        <v>1.8258252514578501</v>
      </c>
      <c r="R84" s="9">
        <v>31.056000000000001</v>
      </c>
      <c r="S84" s="9">
        <v>42.264000000000003</v>
      </c>
    </row>
    <row r="85" spans="1:19" x14ac:dyDescent="0.35">
      <c r="A85" s="6">
        <f>vals_ghg_incLUC!$A85</f>
        <v>1932</v>
      </c>
      <c r="B85" s="7">
        <f t="shared" si="16"/>
        <v>33.898463137107747</v>
      </c>
      <c r="C85" s="7">
        <f t="shared" si="17"/>
        <v>36.56489583066346</v>
      </c>
      <c r="D85" s="7">
        <f t="shared" si="18"/>
        <v>46.123574465640829</v>
      </c>
      <c r="E85" s="7">
        <f t="shared" si="19"/>
        <v>47.952400846469629</v>
      </c>
      <c r="F85" s="7">
        <f t="shared" si="20"/>
        <v>2.6664326935557128</v>
      </c>
      <c r="G85" s="7">
        <f t="shared" si="21"/>
        <v>0</v>
      </c>
      <c r="H85" s="7">
        <f t="shared" si="22"/>
        <v>9.5586786349773689</v>
      </c>
      <c r="I85" s="8">
        <f>vals_ghg_incLUC!$R85</f>
        <v>33.898463137107747</v>
      </c>
      <c r="J85" s="8">
        <f>vals_ghg_incLUC!$X85</f>
        <v>36.56489583066346</v>
      </c>
      <c r="K85" s="8" t="e">
        <f>vals_ghg_incLUC!$AD85</f>
        <v>#N/A</v>
      </c>
      <c r="L85" s="8"/>
      <c r="M85" s="8">
        <f>vals_ghg_incLUC!$S85</f>
        <v>46.123574465640829</v>
      </c>
      <c r="N85" s="8">
        <f>vals_ghg_incLUC!$Y85</f>
        <v>47.952400846469629</v>
      </c>
      <c r="O85" s="8" t="e">
        <f>vals_ghg_incLUC!$AE85</f>
        <v>#N/A</v>
      </c>
      <c r="P85" s="8"/>
      <c r="Q85" s="9">
        <f t="shared" si="23"/>
        <v>1.8288263808288008</v>
      </c>
      <c r="R85" s="9">
        <v>31.010999999999999</v>
      </c>
      <c r="S85" s="9">
        <v>42.203000000000003</v>
      </c>
    </row>
    <row r="86" spans="1:19" x14ac:dyDescent="0.35">
      <c r="A86" s="3">
        <f>vals_ghg_incLUC!$A86</f>
        <v>1933</v>
      </c>
      <c r="B86" s="4">
        <f t="shared" si="16"/>
        <v>33.865055703103529</v>
      </c>
      <c r="C86" s="4">
        <f t="shared" si="17"/>
        <v>36.529591789752573</v>
      </c>
      <c r="D86" s="4">
        <f t="shared" si="18"/>
        <v>46.070781011589375</v>
      </c>
      <c r="E86" s="4">
        <f t="shared" si="19"/>
        <v>47.910697516015773</v>
      </c>
      <c r="F86" s="4">
        <f t="shared" si="20"/>
        <v>2.6645360866490435</v>
      </c>
      <c r="G86" s="4">
        <f t="shared" si="21"/>
        <v>0</v>
      </c>
      <c r="H86" s="4">
        <f t="shared" si="22"/>
        <v>9.5411892218368024</v>
      </c>
      <c r="I86" s="5">
        <f>vals_ghg_incLUC!$R86</f>
        <v>33.865055703103529</v>
      </c>
      <c r="J86" s="5">
        <f>vals_ghg_incLUC!$X86</f>
        <v>36.529591789752573</v>
      </c>
      <c r="K86" s="5" t="e">
        <f>vals_ghg_incLUC!$AD86</f>
        <v>#N/A</v>
      </c>
      <c r="L86" s="5"/>
      <c r="M86" s="5">
        <f>vals_ghg_incLUC!$S86</f>
        <v>46.070781011589375</v>
      </c>
      <c r="N86" s="5">
        <f>vals_ghg_incLUC!$Y86</f>
        <v>47.910697516015773</v>
      </c>
      <c r="O86" s="5" t="e">
        <f>vals_ghg_incLUC!$AE86</f>
        <v>#N/A</v>
      </c>
      <c r="P86" s="5"/>
      <c r="Q86" s="9">
        <f t="shared" si="23"/>
        <v>1.8399165044263981</v>
      </c>
      <c r="R86" s="9">
        <v>30.981000000000002</v>
      </c>
      <c r="S86" s="9">
        <v>42.155000000000001</v>
      </c>
    </row>
    <row r="87" spans="1:19" x14ac:dyDescent="0.35">
      <c r="A87" s="6">
        <f>vals_ghg_incLUC!$A87</f>
        <v>1934</v>
      </c>
      <c r="B87" s="7">
        <f t="shared" si="16"/>
        <v>33.829434733007069</v>
      </c>
      <c r="C87" s="7">
        <f t="shared" si="17"/>
        <v>36.492401247955456</v>
      </c>
      <c r="D87" s="7">
        <f t="shared" si="18"/>
        <v>46.015642086703522</v>
      </c>
      <c r="E87" s="7">
        <f t="shared" si="19"/>
        <v>47.866918554225357</v>
      </c>
      <c r="F87" s="7">
        <f t="shared" si="20"/>
        <v>2.662966514948387</v>
      </c>
      <c r="G87" s="7">
        <f t="shared" si="21"/>
        <v>0</v>
      </c>
      <c r="H87" s="7">
        <f t="shared" si="22"/>
        <v>9.523240838748066</v>
      </c>
      <c r="I87" s="8">
        <f>vals_ghg_incLUC!$R87</f>
        <v>33.829434733007069</v>
      </c>
      <c r="J87" s="8">
        <f>vals_ghg_incLUC!$X87</f>
        <v>36.492401247955456</v>
      </c>
      <c r="K87" s="8" t="e">
        <f>vals_ghg_incLUC!$AD87</f>
        <v>#N/A</v>
      </c>
      <c r="L87" s="8"/>
      <c r="M87" s="8">
        <f>vals_ghg_incLUC!$S87</f>
        <v>46.015642086703522</v>
      </c>
      <c r="N87" s="8">
        <f>vals_ghg_incLUC!$Y87</f>
        <v>47.866918554225357</v>
      </c>
      <c r="O87" s="8" t="e">
        <f>vals_ghg_incLUC!$AE87</f>
        <v>#N/A</v>
      </c>
      <c r="P87" s="8"/>
      <c r="Q87" s="9">
        <f t="shared" si="23"/>
        <v>1.8512764675218349</v>
      </c>
      <c r="R87" s="9">
        <v>30.951000000000001</v>
      </c>
      <c r="S87" s="9">
        <v>42.104999999999997</v>
      </c>
    </row>
    <row r="88" spans="1:19" x14ac:dyDescent="0.35">
      <c r="A88" s="3">
        <f>vals_ghg_incLUC!$A88</f>
        <v>1935</v>
      </c>
      <c r="B88" s="4">
        <f t="shared" si="16"/>
        <v>33.790786105397878</v>
      </c>
      <c r="C88" s="4">
        <f t="shared" si="17"/>
        <v>36.451702152954581</v>
      </c>
      <c r="D88" s="4">
        <f t="shared" si="18"/>
        <v>45.95624592931852</v>
      </c>
      <c r="E88" s="4">
        <f t="shared" si="19"/>
        <v>47.818661917222762</v>
      </c>
      <c r="F88" s="4">
        <f t="shared" si="20"/>
        <v>2.6609160475567037</v>
      </c>
      <c r="G88" s="4">
        <f t="shared" si="21"/>
        <v>0</v>
      </c>
      <c r="H88" s="4">
        <f t="shared" si="22"/>
        <v>9.5045437763639384</v>
      </c>
      <c r="I88" s="5">
        <f>vals_ghg_incLUC!$R88</f>
        <v>33.790786105397878</v>
      </c>
      <c r="J88" s="5">
        <f>vals_ghg_incLUC!$X88</f>
        <v>36.451702152954581</v>
      </c>
      <c r="K88" s="5" t="e">
        <f>vals_ghg_incLUC!$AD88</f>
        <v>#N/A</v>
      </c>
      <c r="L88" s="5"/>
      <c r="M88" s="5">
        <f>vals_ghg_incLUC!$S88</f>
        <v>45.95624592931852</v>
      </c>
      <c r="N88" s="5">
        <f>vals_ghg_incLUC!$Y88</f>
        <v>47.818661917222762</v>
      </c>
      <c r="O88" s="5" t="e">
        <f>vals_ghg_incLUC!$AE88</f>
        <v>#N/A</v>
      </c>
      <c r="P88" s="5"/>
      <c r="Q88" s="9">
        <f t="shared" si="23"/>
        <v>1.8624159879042423</v>
      </c>
      <c r="R88" s="9">
        <v>30.914000000000001</v>
      </c>
      <c r="S88" s="9">
        <v>42.045000000000002</v>
      </c>
    </row>
    <row r="89" spans="1:19" x14ac:dyDescent="0.35">
      <c r="A89" s="6">
        <f>vals_ghg_incLUC!$A89</f>
        <v>1936</v>
      </c>
      <c r="B89" s="7">
        <f t="shared" si="16"/>
        <v>33.751096857194142</v>
      </c>
      <c r="C89" s="7">
        <f t="shared" si="17"/>
        <v>36.409664294369065</v>
      </c>
      <c r="D89" s="7">
        <f t="shared" si="18"/>
        <v>45.893328758058239</v>
      </c>
      <c r="E89" s="7">
        <f t="shared" si="19"/>
        <v>47.768530450668706</v>
      </c>
      <c r="F89" s="7">
        <f t="shared" si="20"/>
        <v>2.6585674371749235</v>
      </c>
      <c r="G89" s="7">
        <f t="shared" si="21"/>
        <v>0</v>
      </c>
      <c r="H89" s="7">
        <f t="shared" si="22"/>
        <v>9.4836644636891734</v>
      </c>
      <c r="I89" s="8">
        <f>vals_ghg_incLUC!$R89</f>
        <v>33.751096857194142</v>
      </c>
      <c r="J89" s="8">
        <f>vals_ghg_incLUC!$X89</f>
        <v>36.409664294369065</v>
      </c>
      <c r="K89" s="8" t="e">
        <f>vals_ghg_incLUC!$AD89</f>
        <v>#N/A</v>
      </c>
      <c r="L89" s="8"/>
      <c r="M89" s="8">
        <f>vals_ghg_incLUC!$S89</f>
        <v>45.893328758058239</v>
      </c>
      <c r="N89" s="8">
        <f>vals_ghg_incLUC!$Y89</f>
        <v>47.768530450668706</v>
      </c>
      <c r="O89" s="8" t="e">
        <f>vals_ghg_incLUC!$AE89</f>
        <v>#N/A</v>
      </c>
      <c r="P89" s="8"/>
      <c r="Q89" s="9">
        <f t="shared" si="23"/>
        <v>1.8752016926104673</v>
      </c>
      <c r="R89" s="9">
        <v>30.875</v>
      </c>
      <c r="S89" s="9">
        <v>41.981000000000002</v>
      </c>
    </row>
    <row r="90" spans="1:19" x14ac:dyDescent="0.35">
      <c r="A90" s="3">
        <f>vals_ghg_incLUC!$A90</f>
        <v>1937</v>
      </c>
      <c r="B90" s="4">
        <f t="shared" si="16"/>
        <v>33.706642928054428</v>
      </c>
      <c r="C90" s="4">
        <f t="shared" si="17"/>
        <v>36.362301925195979</v>
      </c>
      <c r="D90" s="4">
        <f t="shared" si="18"/>
        <v>45.823461423479216</v>
      </c>
      <c r="E90" s="4">
        <f t="shared" si="19"/>
        <v>47.712996932205435</v>
      </c>
      <c r="F90" s="4">
        <f t="shared" si="20"/>
        <v>2.6556589971415505</v>
      </c>
      <c r="G90" s="4">
        <f t="shared" si="21"/>
        <v>0</v>
      </c>
      <c r="H90" s="4">
        <f t="shared" si="22"/>
        <v>9.4611594982832372</v>
      </c>
      <c r="I90" s="5">
        <f>vals_ghg_incLUC!$R90</f>
        <v>33.706642928054428</v>
      </c>
      <c r="J90" s="5">
        <f>vals_ghg_incLUC!$X90</f>
        <v>36.362301925195979</v>
      </c>
      <c r="K90" s="5" t="e">
        <f>vals_ghg_incLUC!$AD90</f>
        <v>#N/A</v>
      </c>
      <c r="L90" s="5"/>
      <c r="M90" s="5">
        <f>vals_ghg_incLUC!$S90</f>
        <v>45.823461423479216</v>
      </c>
      <c r="N90" s="5">
        <f>vals_ghg_incLUC!$Y90</f>
        <v>47.712996932205435</v>
      </c>
      <c r="O90" s="5" t="e">
        <f>vals_ghg_incLUC!$AE90</f>
        <v>#N/A</v>
      </c>
      <c r="P90" s="5"/>
      <c r="Q90" s="9">
        <f t="shared" si="23"/>
        <v>1.8895355087262189</v>
      </c>
      <c r="R90" s="9">
        <v>30.832000000000001</v>
      </c>
      <c r="S90" s="9">
        <v>41.908000000000001</v>
      </c>
    </row>
    <row r="91" spans="1:19" x14ac:dyDescent="0.35">
      <c r="A91" s="6">
        <f>vals_ghg_incLUC!$A91</f>
        <v>1938</v>
      </c>
      <c r="B91" s="7">
        <f t="shared" si="16"/>
        <v>33.65799466427378</v>
      </c>
      <c r="C91" s="7">
        <f t="shared" si="17"/>
        <v>36.311717257600776</v>
      </c>
      <c r="D91" s="7">
        <f t="shared" si="18"/>
        <v>45.749556254712218</v>
      </c>
      <c r="E91" s="7">
        <f t="shared" si="19"/>
        <v>47.654872851312277</v>
      </c>
      <c r="F91" s="7">
        <f t="shared" si="20"/>
        <v>2.6537225933269966</v>
      </c>
      <c r="G91" s="7">
        <f t="shared" si="21"/>
        <v>0</v>
      </c>
      <c r="H91" s="7">
        <f t="shared" si="22"/>
        <v>9.4378389971114416</v>
      </c>
      <c r="I91" s="8">
        <f>vals_ghg_incLUC!$R91</f>
        <v>33.65799466427378</v>
      </c>
      <c r="J91" s="8">
        <f>vals_ghg_incLUC!$X91</f>
        <v>36.311717257600776</v>
      </c>
      <c r="K91" s="8" t="e">
        <f>vals_ghg_incLUC!$AD91</f>
        <v>#N/A</v>
      </c>
      <c r="L91" s="8"/>
      <c r="M91" s="8">
        <f>vals_ghg_incLUC!$S91</f>
        <v>45.749556254712218</v>
      </c>
      <c r="N91" s="8">
        <f>vals_ghg_incLUC!$Y91</f>
        <v>47.654872851312277</v>
      </c>
      <c r="O91" s="8" t="e">
        <f>vals_ghg_incLUC!$AE91</f>
        <v>#N/A</v>
      </c>
      <c r="P91" s="8"/>
      <c r="Q91" s="9">
        <f t="shared" si="23"/>
        <v>1.9053165966000591</v>
      </c>
      <c r="R91" s="9">
        <v>30.786000000000001</v>
      </c>
      <c r="S91" s="9">
        <v>41.83</v>
      </c>
    </row>
    <row r="92" spans="1:19" x14ac:dyDescent="0.35">
      <c r="A92" s="3">
        <f>vals_ghg_incLUC!$A92</f>
        <v>1939</v>
      </c>
      <c r="B92" s="4">
        <f t="shared" si="16"/>
        <v>33.618077603760206</v>
      </c>
      <c r="C92" s="4">
        <f t="shared" si="17"/>
        <v>36.270885267700784</v>
      </c>
      <c r="D92" s="4">
        <f t="shared" si="18"/>
        <v>45.680946752953929</v>
      </c>
      <c r="E92" s="4">
        <f t="shared" si="19"/>
        <v>47.604119261093125</v>
      </c>
      <c r="F92" s="4">
        <f t="shared" si="20"/>
        <v>2.6528076639405782</v>
      </c>
      <c r="G92" s="4">
        <f t="shared" si="21"/>
        <v>0</v>
      </c>
      <c r="H92" s="4">
        <f t="shared" si="22"/>
        <v>9.410061485253145</v>
      </c>
      <c r="I92" s="5">
        <f>vals_ghg_incLUC!$R92</f>
        <v>33.618077603760206</v>
      </c>
      <c r="J92" s="5">
        <f>vals_ghg_incLUC!$X92</f>
        <v>36.270885267700784</v>
      </c>
      <c r="K92" s="5" t="e">
        <f>vals_ghg_incLUC!$AD92</f>
        <v>#N/A</v>
      </c>
      <c r="L92" s="5"/>
      <c r="M92" s="5">
        <f>vals_ghg_incLUC!$S92</f>
        <v>45.680946752953929</v>
      </c>
      <c r="N92" s="5">
        <f>vals_ghg_incLUC!$Y92</f>
        <v>47.604119261093125</v>
      </c>
      <c r="O92" s="5" t="e">
        <f>vals_ghg_incLUC!$AE92</f>
        <v>#N/A</v>
      </c>
      <c r="P92" s="5"/>
      <c r="Q92" s="9">
        <f t="shared" si="23"/>
        <v>1.9231725081391957</v>
      </c>
      <c r="R92" s="9">
        <v>30.751999999999999</v>
      </c>
      <c r="S92" s="9">
        <v>41.759</v>
      </c>
    </row>
    <row r="93" spans="1:19" x14ac:dyDescent="0.35">
      <c r="A93" s="6">
        <f>vals_ghg_incLUC!$A93</f>
        <v>1940</v>
      </c>
      <c r="B93" s="7">
        <f t="shared" si="16"/>
        <v>33.573685191491734</v>
      </c>
      <c r="C93" s="7">
        <f t="shared" si="17"/>
        <v>36.224925382646497</v>
      </c>
      <c r="D93" s="7">
        <f t="shared" si="18"/>
        <v>45.608578333904447</v>
      </c>
      <c r="E93" s="7">
        <f t="shared" si="19"/>
        <v>47.549800204224312</v>
      </c>
      <c r="F93" s="7">
        <f t="shared" si="20"/>
        <v>2.6512401911547627</v>
      </c>
      <c r="G93" s="7">
        <f t="shared" si="21"/>
        <v>0</v>
      </c>
      <c r="H93" s="7">
        <f t="shared" si="22"/>
        <v>9.3836529512579503</v>
      </c>
      <c r="I93" s="8">
        <f>vals_ghg_incLUC!$R93</f>
        <v>33.573685191491734</v>
      </c>
      <c r="J93" s="8">
        <f>vals_ghg_incLUC!$X93</f>
        <v>36.224925382646497</v>
      </c>
      <c r="K93" s="8" t="e">
        <f>vals_ghg_incLUC!$AD93</f>
        <v>#N/A</v>
      </c>
      <c r="L93" s="8"/>
      <c r="M93" s="8">
        <f>vals_ghg_incLUC!$S93</f>
        <v>45.608578333904447</v>
      </c>
      <c r="N93" s="8">
        <f>vals_ghg_incLUC!$Y93</f>
        <v>47.549800204224312</v>
      </c>
      <c r="O93" s="8" t="e">
        <f>vals_ghg_incLUC!$AE93</f>
        <v>#N/A</v>
      </c>
      <c r="P93" s="8"/>
      <c r="Q93" s="9">
        <f t="shared" si="23"/>
        <v>1.9412218703198647</v>
      </c>
      <c r="R93" s="9">
        <v>30.709</v>
      </c>
      <c r="S93" s="9">
        <v>41.677</v>
      </c>
    </row>
    <row r="94" spans="1:19" x14ac:dyDescent="0.35">
      <c r="A94" s="3">
        <f>vals_ghg_incLUC!$A94</f>
        <v>1941</v>
      </c>
      <c r="B94" s="4">
        <f t="shared" si="16"/>
        <v>33.528248955926593</v>
      </c>
      <c r="C94" s="4">
        <f t="shared" si="17"/>
        <v>36.179651753429575</v>
      </c>
      <c r="D94" s="4">
        <f t="shared" si="18"/>
        <v>45.540610785627258</v>
      </c>
      <c r="E94" s="4">
        <f t="shared" si="19"/>
        <v>47.489411827789247</v>
      </c>
      <c r="F94" s="4">
        <f t="shared" si="20"/>
        <v>2.6514027975029819</v>
      </c>
      <c r="G94" s="4">
        <f t="shared" si="21"/>
        <v>0</v>
      </c>
      <c r="H94" s="4">
        <f t="shared" si="22"/>
        <v>9.3609590321976839</v>
      </c>
      <c r="I94" s="5">
        <f>vals_ghg_incLUC!$R94</f>
        <v>33.528248955926593</v>
      </c>
      <c r="J94" s="5">
        <f>vals_ghg_incLUC!$X94</f>
        <v>36.179651753429575</v>
      </c>
      <c r="K94" s="5" t="e">
        <f>vals_ghg_incLUC!$AD94</f>
        <v>#N/A</v>
      </c>
      <c r="L94" s="5"/>
      <c r="M94" s="5">
        <f>vals_ghg_incLUC!$S94</f>
        <v>45.540610785627258</v>
      </c>
      <c r="N94" s="5">
        <f>vals_ghg_incLUC!$Y94</f>
        <v>47.489411827789247</v>
      </c>
      <c r="O94" s="5" t="e">
        <f>vals_ghg_incLUC!$AE94</f>
        <v>#N/A</v>
      </c>
      <c r="P94" s="5"/>
      <c r="Q94" s="9">
        <f t="shared" si="23"/>
        <v>1.948801042161989</v>
      </c>
      <c r="R94" s="9">
        <v>30.669</v>
      </c>
      <c r="S94" s="9">
        <v>41.600999999999999</v>
      </c>
    </row>
    <row r="95" spans="1:19" x14ac:dyDescent="0.35">
      <c r="A95" s="6">
        <f>vals_ghg_incLUC!$A95</f>
        <v>1942</v>
      </c>
      <c r="B95" s="7">
        <f t="shared" si="16"/>
        <v>33.47895324711385</v>
      </c>
      <c r="C95" s="7">
        <f t="shared" si="17"/>
        <v>36.12826477435167</v>
      </c>
      <c r="D95" s="7">
        <f t="shared" si="18"/>
        <v>45.476549287900333</v>
      </c>
      <c r="E95" s="7">
        <f t="shared" si="19"/>
        <v>47.428243083537396</v>
      </c>
      <c r="F95" s="7">
        <f t="shared" si="20"/>
        <v>2.6493115272378205</v>
      </c>
      <c r="G95" s="7">
        <f t="shared" si="21"/>
        <v>0</v>
      </c>
      <c r="H95" s="7">
        <f t="shared" si="22"/>
        <v>9.3482845135486627</v>
      </c>
      <c r="I95" s="8">
        <f>vals_ghg_incLUC!$R95</f>
        <v>33.47895324711385</v>
      </c>
      <c r="J95" s="8">
        <f>vals_ghg_incLUC!$X95</f>
        <v>36.12826477435167</v>
      </c>
      <c r="K95" s="8" t="e">
        <f>vals_ghg_incLUC!$AD95</f>
        <v>#N/A</v>
      </c>
      <c r="L95" s="8"/>
      <c r="M95" s="8">
        <f>vals_ghg_incLUC!$S95</f>
        <v>45.476549287900333</v>
      </c>
      <c r="N95" s="8">
        <f>vals_ghg_incLUC!$Y95</f>
        <v>47.428243083537396</v>
      </c>
      <c r="O95" s="8" t="e">
        <f>vals_ghg_incLUC!$AE95</f>
        <v>#N/A</v>
      </c>
      <c r="P95" s="8"/>
      <c r="Q95" s="9">
        <f t="shared" si="23"/>
        <v>1.9516937956370626</v>
      </c>
      <c r="R95" s="9">
        <v>30.616</v>
      </c>
      <c r="S95" s="9">
        <v>41.523000000000003</v>
      </c>
    </row>
    <row r="96" spans="1:19" x14ac:dyDescent="0.35">
      <c r="A96" s="3">
        <f>vals_ghg_incLUC!$A96</f>
        <v>1943</v>
      </c>
      <c r="B96" s="4">
        <f t="shared" si="16"/>
        <v>33.422668608162702</v>
      </c>
      <c r="C96" s="4">
        <f t="shared" si="17"/>
        <v>36.068711284788904</v>
      </c>
      <c r="D96" s="4">
        <f t="shared" si="18"/>
        <v>45.415655106779589</v>
      </c>
      <c r="E96" s="4">
        <f t="shared" si="19"/>
        <v>47.364947186811079</v>
      </c>
      <c r="F96" s="4">
        <f t="shared" si="20"/>
        <v>2.6460426766262017</v>
      </c>
      <c r="G96" s="4">
        <f t="shared" si="21"/>
        <v>0</v>
      </c>
      <c r="H96" s="4">
        <f t="shared" si="22"/>
        <v>9.3469438219906849</v>
      </c>
      <c r="I96" s="5">
        <f>vals_ghg_incLUC!$R96</f>
        <v>33.422668608162702</v>
      </c>
      <c r="J96" s="5">
        <f>vals_ghg_incLUC!$X96</f>
        <v>36.068711284788904</v>
      </c>
      <c r="K96" s="5" t="e">
        <f>vals_ghg_incLUC!$AD96</f>
        <v>#N/A</v>
      </c>
      <c r="L96" s="5"/>
      <c r="M96" s="5">
        <f>vals_ghg_incLUC!$S96</f>
        <v>45.415655106779589</v>
      </c>
      <c r="N96" s="5">
        <f>vals_ghg_incLUC!$Y96</f>
        <v>47.364947186811079</v>
      </c>
      <c r="O96" s="5" t="e">
        <f>vals_ghg_incLUC!$AE96</f>
        <v>#N/A</v>
      </c>
      <c r="P96" s="5"/>
      <c r="Q96" s="9">
        <f t="shared" si="23"/>
        <v>1.9492920800314906</v>
      </c>
      <c r="R96" s="9">
        <v>30.556000000000001</v>
      </c>
      <c r="S96" s="9">
        <v>41.448999999999998</v>
      </c>
    </row>
    <row r="97" spans="1:19" x14ac:dyDescent="0.35">
      <c r="A97" s="6">
        <f>vals_ghg_incLUC!$A97</f>
        <v>1944</v>
      </c>
      <c r="B97" s="7">
        <f t="shared" si="16"/>
        <v>33.364870938485971</v>
      </c>
      <c r="C97" s="7">
        <f t="shared" si="17"/>
        <v>36.010898616430637</v>
      </c>
      <c r="D97" s="7">
        <f t="shared" si="18"/>
        <v>45.355498019394403</v>
      </c>
      <c r="E97" s="7">
        <f t="shared" si="19"/>
        <v>47.301028147234426</v>
      </c>
      <c r="F97" s="7">
        <f t="shared" si="20"/>
        <v>2.6460276779446659</v>
      </c>
      <c r="G97" s="7">
        <f t="shared" si="21"/>
        <v>0</v>
      </c>
      <c r="H97" s="7">
        <f t="shared" si="22"/>
        <v>9.344599402963766</v>
      </c>
      <c r="I97" s="8">
        <f>vals_ghg_incLUC!$R97</f>
        <v>33.364870938485971</v>
      </c>
      <c r="J97" s="8">
        <f>vals_ghg_incLUC!$X97</f>
        <v>36.010898616430637</v>
      </c>
      <c r="K97" s="8" t="e">
        <f>vals_ghg_incLUC!$AD97</f>
        <v>#N/A</v>
      </c>
      <c r="L97" s="8"/>
      <c r="M97" s="8">
        <f>vals_ghg_incLUC!$S97</f>
        <v>45.355498019394403</v>
      </c>
      <c r="N97" s="8">
        <f>vals_ghg_incLUC!$Y97</f>
        <v>47.301028147234426</v>
      </c>
      <c r="O97" s="8" t="e">
        <f>vals_ghg_incLUC!$AE97</f>
        <v>#N/A</v>
      </c>
      <c r="P97" s="8"/>
      <c r="Q97" s="9">
        <f t="shared" si="23"/>
        <v>1.9455301278400228</v>
      </c>
      <c r="R97" s="9">
        <v>30.498999999999999</v>
      </c>
      <c r="S97" s="9">
        <v>41.378999999999998</v>
      </c>
    </row>
    <row r="98" spans="1:19" x14ac:dyDescent="0.35">
      <c r="A98" s="3">
        <f>vals_ghg_incLUC!$A98</f>
        <v>1945</v>
      </c>
      <c r="B98" s="4">
        <f t="shared" si="16"/>
        <v>33.30725747740496</v>
      </c>
      <c r="C98" s="4">
        <f t="shared" si="17"/>
        <v>35.954580784138344</v>
      </c>
      <c r="D98" s="4">
        <f t="shared" si="18"/>
        <v>45.297261532272167</v>
      </c>
      <c r="E98" s="4">
        <f t="shared" si="19"/>
        <v>47.241337780543056</v>
      </c>
      <c r="F98" s="4">
        <f t="shared" si="20"/>
        <v>2.6473233067333837</v>
      </c>
      <c r="G98" s="4">
        <f t="shared" si="21"/>
        <v>0</v>
      </c>
      <c r="H98" s="4">
        <f t="shared" si="22"/>
        <v>9.342680748133823</v>
      </c>
      <c r="I98" s="5">
        <f>vals_ghg_incLUC!$R98</f>
        <v>33.30725747740496</v>
      </c>
      <c r="J98" s="5">
        <f>vals_ghg_incLUC!$X98</f>
        <v>35.954580784138344</v>
      </c>
      <c r="K98" s="5" t="e">
        <f>vals_ghg_incLUC!$AD98</f>
        <v>#N/A</v>
      </c>
      <c r="L98" s="5"/>
      <c r="M98" s="5">
        <f>vals_ghg_incLUC!$S98</f>
        <v>45.297261532272167</v>
      </c>
      <c r="N98" s="5">
        <f>vals_ghg_incLUC!$Y98</f>
        <v>47.241337780543056</v>
      </c>
      <c r="O98" s="5" t="e">
        <f>vals_ghg_incLUC!$AE98</f>
        <v>#N/A</v>
      </c>
      <c r="P98" s="5"/>
      <c r="Q98" s="9">
        <f t="shared" si="23"/>
        <v>1.9440762482708891</v>
      </c>
      <c r="R98" s="9">
        <v>30.442</v>
      </c>
      <c r="S98" s="9">
        <v>41.311</v>
      </c>
    </row>
    <row r="99" spans="1:19" x14ac:dyDescent="0.35">
      <c r="A99" s="6">
        <f>vals_ghg_incLUC!$A99</f>
        <v>1946</v>
      </c>
      <c r="B99" s="7">
        <f t="shared" ref="B99:B130" si="24">IFERROR(_xlfn.AGGREGATE(5,6,I99:L99),"")</f>
        <v>33.2643188640075</v>
      </c>
      <c r="C99" s="7">
        <f t="shared" ref="C99:C130" si="25">IFERROR(_xlfn.AGGREGATE(4,6,I99:L99),"")</f>
        <v>35.915897765298077</v>
      </c>
      <c r="D99" s="7">
        <f t="shared" ref="D99:D130" si="26">IFERROR(_xlfn.AGGREGATE(5,6,M99:P99),"")</f>
        <v>45.257913448072408</v>
      </c>
      <c r="E99" s="7">
        <f t="shared" ref="E99:E130" si="27">IFERROR(_xlfn.AGGREGATE(4,6,M99:P99),"")</f>
        <v>47.203855757208615</v>
      </c>
      <c r="F99" s="7">
        <f t="shared" ref="F99:F130" si="28">IFERROR(MIN(C99,D99)-B99,"")</f>
        <v>2.6515789012905771</v>
      </c>
      <c r="G99" s="7">
        <f t="shared" ref="G99:G130" si="29">IFERROR(MAX(0,C99-D99),"")</f>
        <v>0</v>
      </c>
      <c r="H99" s="7">
        <f t="shared" ref="H99:H130" si="30">IFERROR(MAX(0,D99-C99),"")</f>
        <v>9.3420156827743313</v>
      </c>
      <c r="I99" s="8">
        <f>vals_ghg_incLUC!$R99</f>
        <v>33.2643188640075</v>
      </c>
      <c r="J99" s="8">
        <f>vals_ghg_incLUC!$X99</f>
        <v>35.915897765298077</v>
      </c>
      <c r="K99" s="8" t="e">
        <f>vals_ghg_incLUC!$AD99</f>
        <v>#N/A</v>
      </c>
      <c r="L99" s="8"/>
      <c r="M99" s="8">
        <f>vals_ghg_incLUC!$S99</f>
        <v>45.257913448072408</v>
      </c>
      <c r="N99" s="8">
        <f>vals_ghg_incLUC!$Y99</f>
        <v>47.203855757208615</v>
      </c>
      <c r="O99" s="8" t="e">
        <f>vals_ghg_incLUC!$AE99</f>
        <v>#N/A</v>
      </c>
      <c r="P99" s="8"/>
      <c r="Q99" s="9">
        <f t="shared" ref="Q99:Q130" si="31">IFERROR(MAX(0,$E99-MAX($C99,$D99)),"")</f>
        <v>1.9459423091362069</v>
      </c>
      <c r="R99" s="9">
        <v>30.402999999999999</v>
      </c>
      <c r="S99" s="9">
        <v>41.268000000000001</v>
      </c>
    </row>
    <row r="100" spans="1:19" x14ac:dyDescent="0.35">
      <c r="A100" s="3">
        <f>vals_ghg_incLUC!$A100</f>
        <v>1947</v>
      </c>
      <c r="B100" s="4">
        <f t="shared" si="24"/>
        <v>33.217845447991742</v>
      </c>
      <c r="C100" s="4">
        <f t="shared" si="25"/>
        <v>35.87866904684482</v>
      </c>
      <c r="D100" s="4">
        <f t="shared" si="26"/>
        <v>45.215595528352814</v>
      </c>
      <c r="E100" s="4">
        <f t="shared" si="27"/>
        <v>47.167618640765134</v>
      </c>
      <c r="F100" s="4">
        <f t="shared" si="28"/>
        <v>2.660823598853078</v>
      </c>
      <c r="G100" s="4">
        <f t="shared" si="29"/>
        <v>0</v>
      </c>
      <c r="H100" s="4">
        <f t="shared" si="30"/>
        <v>9.3369264815079944</v>
      </c>
      <c r="I100" s="5">
        <f>vals_ghg_incLUC!$R100</f>
        <v>33.217845447991742</v>
      </c>
      <c r="J100" s="5">
        <f>vals_ghg_incLUC!$X100</f>
        <v>35.87866904684482</v>
      </c>
      <c r="K100" s="5" t="e">
        <f>vals_ghg_incLUC!$AD100</f>
        <v>#N/A</v>
      </c>
      <c r="L100" s="5"/>
      <c r="M100" s="5">
        <f>vals_ghg_incLUC!$S100</f>
        <v>45.215595528352814</v>
      </c>
      <c r="N100" s="5">
        <f>vals_ghg_incLUC!$Y100</f>
        <v>47.167618640765134</v>
      </c>
      <c r="O100" s="5" t="e">
        <f>vals_ghg_incLUC!$AE100</f>
        <v>#N/A</v>
      </c>
      <c r="P100" s="5"/>
      <c r="Q100" s="9">
        <f t="shared" si="31"/>
        <v>1.95202311241232</v>
      </c>
      <c r="R100" s="9">
        <v>30.358000000000001</v>
      </c>
      <c r="S100" s="9">
        <v>41.222000000000001</v>
      </c>
    </row>
    <row r="101" spans="1:19" x14ac:dyDescent="0.35">
      <c r="A101" s="6">
        <f>vals_ghg_incLUC!$A101</f>
        <v>1948</v>
      </c>
      <c r="B101" s="7">
        <f t="shared" si="24"/>
        <v>33.160341208639757</v>
      </c>
      <c r="C101" s="7">
        <f t="shared" si="25"/>
        <v>35.828531523602635</v>
      </c>
      <c r="D101" s="7">
        <f t="shared" si="26"/>
        <v>45.164828943886711</v>
      </c>
      <c r="E101" s="7">
        <f t="shared" si="27"/>
        <v>47.118906776998855</v>
      </c>
      <c r="F101" s="7">
        <f t="shared" si="28"/>
        <v>2.6681903149628781</v>
      </c>
      <c r="G101" s="7">
        <f t="shared" si="29"/>
        <v>0</v>
      </c>
      <c r="H101" s="7">
        <f t="shared" si="30"/>
        <v>9.3362974202840761</v>
      </c>
      <c r="I101" s="8">
        <f>vals_ghg_incLUC!$R101</f>
        <v>33.160341208639757</v>
      </c>
      <c r="J101" s="8">
        <f>vals_ghg_incLUC!$X101</f>
        <v>35.828531523602635</v>
      </c>
      <c r="K101" s="8" t="e">
        <f>vals_ghg_incLUC!$AD101</f>
        <v>#N/A</v>
      </c>
      <c r="L101" s="8"/>
      <c r="M101" s="8">
        <f>vals_ghg_incLUC!$S101</f>
        <v>45.164828943886711</v>
      </c>
      <c r="N101" s="8">
        <f>vals_ghg_incLUC!$Y101</f>
        <v>47.118906776998855</v>
      </c>
      <c r="O101" s="8" t="e">
        <f>vals_ghg_incLUC!$AE101</f>
        <v>#N/A</v>
      </c>
      <c r="P101" s="8"/>
      <c r="Q101" s="9">
        <f t="shared" si="31"/>
        <v>1.9540778331121444</v>
      </c>
      <c r="R101" s="9">
        <v>30.298999999999999</v>
      </c>
      <c r="S101" s="9">
        <v>41.164000000000001</v>
      </c>
    </row>
    <row r="102" spans="1:19" x14ac:dyDescent="0.35">
      <c r="A102" s="3">
        <f>vals_ghg_incLUC!$A102</f>
        <v>1949</v>
      </c>
      <c r="B102" s="4">
        <f t="shared" si="24"/>
        <v>33.095654004363048</v>
      </c>
      <c r="C102" s="4">
        <f t="shared" si="25"/>
        <v>35.772611985314661</v>
      </c>
      <c r="D102" s="4">
        <f t="shared" si="26"/>
        <v>45.109100219635472</v>
      </c>
      <c r="E102" s="4">
        <f t="shared" si="27"/>
        <v>47.064529308552103</v>
      </c>
      <c r="F102" s="4">
        <f t="shared" si="28"/>
        <v>2.6769579809516131</v>
      </c>
      <c r="G102" s="4">
        <f t="shared" si="29"/>
        <v>0</v>
      </c>
      <c r="H102" s="4">
        <f t="shared" si="30"/>
        <v>9.3364882343208109</v>
      </c>
      <c r="I102" s="5">
        <f>vals_ghg_incLUC!$R102</f>
        <v>33.095654004363048</v>
      </c>
      <c r="J102" s="5">
        <f>vals_ghg_incLUC!$X102</f>
        <v>35.772611985314661</v>
      </c>
      <c r="K102" s="5" t="e">
        <f>vals_ghg_incLUC!$AD102</f>
        <v>#N/A</v>
      </c>
      <c r="L102" s="5"/>
      <c r="M102" s="5">
        <f>vals_ghg_incLUC!$S102</f>
        <v>45.109100219635472</v>
      </c>
      <c r="N102" s="5">
        <f>vals_ghg_incLUC!$Y102</f>
        <v>47.064529308552103</v>
      </c>
      <c r="O102" s="5" t="e">
        <f>vals_ghg_incLUC!$AE102</f>
        <v>#N/A</v>
      </c>
      <c r="P102" s="5"/>
      <c r="Q102" s="9">
        <f t="shared" si="31"/>
        <v>1.955429088916631</v>
      </c>
      <c r="R102" s="9">
        <v>30.228999999999999</v>
      </c>
      <c r="S102" s="9">
        <v>41.095999999999997</v>
      </c>
    </row>
    <row r="103" spans="1:19" x14ac:dyDescent="0.35">
      <c r="A103" s="6">
        <f>vals_ghg_incLUC!$A103</f>
        <v>1950</v>
      </c>
      <c r="B103" s="7">
        <f t="shared" si="24"/>
        <v>33.040685182993364</v>
      </c>
      <c r="C103" s="7">
        <f t="shared" si="25"/>
        <v>35.729302553398938</v>
      </c>
      <c r="D103" s="7">
        <f t="shared" si="26"/>
        <v>45.061324533585214</v>
      </c>
      <c r="E103" s="7">
        <f t="shared" si="27"/>
        <v>47.018034170737188</v>
      </c>
      <c r="F103" s="7">
        <f t="shared" si="28"/>
        <v>2.6886173704055736</v>
      </c>
      <c r="G103" s="7">
        <f t="shared" si="29"/>
        <v>0</v>
      </c>
      <c r="H103" s="7">
        <f t="shared" si="30"/>
        <v>9.3320219801862763</v>
      </c>
      <c r="I103" s="8">
        <f>vals_ghg_incLUC!$R103</f>
        <v>33.040685182993364</v>
      </c>
      <c r="J103" s="8">
        <f>vals_ghg_incLUC!$X103</f>
        <v>35.729302553398938</v>
      </c>
      <c r="K103" s="8" t="e">
        <f>vals_ghg_incLUC!$AD103</f>
        <v>#N/A</v>
      </c>
      <c r="L103" s="8"/>
      <c r="M103" s="8">
        <f>vals_ghg_incLUC!$S103</f>
        <v>45.061324533585214</v>
      </c>
      <c r="N103" s="8">
        <f>vals_ghg_incLUC!$Y103</f>
        <v>47.018034170737188</v>
      </c>
      <c r="O103" s="8" t="e">
        <f>vals_ghg_incLUC!$AE103</f>
        <v>#N/A</v>
      </c>
      <c r="P103" s="8"/>
      <c r="Q103" s="9">
        <f t="shared" si="31"/>
        <v>1.9567096371519739</v>
      </c>
      <c r="R103" s="9">
        <v>30.172999999999998</v>
      </c>
      <c r="S103" s="9">
        <v>41.04</v>
      </c>
    </row>
    <row r="104" spans="1:19" x14ac:dyDescent="0.35">
      <c r="A104" s="3">
        <f>vals_ghg_incLUC!$A104</f>
        <v>1951</v>
      </c>
      <c r="B104" s="4">
        <f t="shared" si="24"/>
        <v>32.986145259820574</v>
      </c>
      <c r="C104" s="4">
        <f t="shared" si="25"/>
        <v>35.672191550084861</v>
      </c>
      <c r="D104" s="4">
        <f t="shared" si="26"/>
        <v>45.010537596516713</v>
      </c>
      <c r="E104" s="4">
        <f t="shared" si="27"/>
        <v>46.957028991944476</v>
      </c>
      <c r="F104" s="4">
        <f t="shared" si="28"/>
        <v>2.6860462902642865</v>
      </c>
      <c r="G104" s="4">
        <f t="shared" si="29"/>
        <v>0</v>
      </c>
      <c r="H104" s="4">
        <f t="shared" si="30"/>
        <v>9.3383460464318517</v>
      </c>
      <c r="I104" s="5">
        <f>vals_ghg_incLUC!$R104</f>
        <v>32.986145259820574</v>
      </c>
      <c r="J104" s="5">
        <f>vals_ghg_incLUC!$X104</f>
        <v>35.672191550084861</v>
      </c>
      <c r="K104" s="5" t="e">
        <f>vals_ghg_incLUC!$AD104</f>
        <v>#N/A</v>
      </c>
      <c r="L104" s="5"/>
      <c r="M104" s="5">
        <f>vals_ghg_incLUC!$S104</f>
        <v>45.010537596516713</v>
      </c>
      <c r="N104" s="5">
        <f>vals_ghg_incLUC!$Y104</f>
        <v>46.957028991944476</v>
      </c>
      <c r="O104" s="5" t="e">
        <f>vals_ghg_incLUC!$AE104</f>
        <v>#N/A</v>
      </c>
      <c r="P104" s="5"/>
      <c r="Q104" s="9">
        <f t="shared" si="31"/>
        <v>1.9464913954277634</v>
      </c>
      <c r="R104" s="9">
        <v>30.106999999999999</v>
      </c>
      <c r="S104" s="9">
        <v>40.972999999999999</v>
      </c>
    </row>
    <row r="105" spans="1:19" x14ac:dyDescent="0.35">
      <c r="A105" s="6">
        <f>vals_ghg_incLUC!$A105</f>
        <v>1952</v>
      </c>
      <c r="B105" s="7">
        <f t="shared" si="24"/>
        <v>32.933272423714051</v>
      </c>
      <c r="C105" s="7">
        <f t="shared" si="25"/>
        <v>35.613428267156891</v>
      </c>
      <c r="D105" s="7">
        <f t="shared" si="26"/>
        <v>44.958407183343482</v>
      </c>
      <c r="E105" s="7">
        <f t="shared" si="27"/>
        <v>46.881617329102419</v>
      </c>
      <c r="F105" s="7">
        <f t="shared" si="28"/>
        <v>2.6801558434428401</v>
      </c>
      <c r="G105" s="7">
        <f t="shared" si="29"/>
        <v>0</v>
      </c>
      <c r="H105" s="7">
        <f t="shared" si="30"/>
        <v>9.3449789161865908</v>
      </c>
      <c r="I105" s="8">
        <f>vals_ghg_incLUC!$R105</f>
        <v>32.933272423714051</v>
      </c>
      <c r="J105" s="8">
        <f>vals_ghg_incLUC!$X105</f>
        <v>35.613428267156891</v>
      </c>
      <c r="K105" s="8" t="e">
        <f>vals_ghg_incLUC!$AD105</f>
        <v>#N/A</v>
      </c>
      <c r="L105" s="8"/>
      <c r="M105" s="8">
        <f>vals_ghg_incLUC!$S105</f>
        <v>44.958407183343482</v>
      </c>
      <c r="N105" s="8">
        <f>vals_ghg_incLUC!$Y105</f>
        <v>46.881617329102419</v>
      </c>
      <c r="O105" s="8" t="e">
        <f>vals_ghg_incLUC!$AE105</f>
        <v>#N/A</v>
      </c>
      <c r="P105" s="8"/>
      <c r="Q105" s="9">
        <f t="shared" si="31"/>
        <v>1.9232101457589366</v>
      </c>
      <c r="R105" s="9">
        <v>30.033999999999999</v>
      </c>
      <c r="S105" s="9">
        <v>40.896999999999998</v>
      </c>
    </row>
    <row r="106" spans="1:19" x14ac:dyDescent="0.35">
      <c r="A106" s="3">
        <f>vals_ghg_incLUC!$A106</f>
        <v>1953</v>
      </c>
      <c r="B106" s="4">
        <f t="shared" si="24"/>
        <v>32.88293339339593</v>
      </c>
      <c r="C106" s="4">
        <f t="shared" si="25"/>
        <v>35.564873737616651</v>
      </c>
      <c r="D106" s="4">
        <f t="shared" si="26"/>
        <v>44.904526079761695</v>
      </c>
      <c r="E106" s="4">
        <f t="shared" si="27"/>
        <v>46.810484035123025</v>
      </c>
      <c r="F106" s="4">
        <f t="shared" si="28"/>
        <v>2.6819403442207204</v>
      </c>
      <c r="G106" s="4">
        <f t="shared" si="29"/>
        <v>0</v>
      </c>
      <c r="H106" s="4">
        <f t="shared" si="30"/>
        <v>9.3396523421450439</v>
      </c>
      <c r="I106" s="5">
        <f>vals_ghg_incLUC!$R106</f>
        <v>32.88293339339593</v>
      </c>
      <c r="J106" s="5">
        <f>vals_ghg_incLUC!$X106</f>
        <v>35.564873737616651</v>
      </c>
      <c r="K106" s="5" t="e">
        <f>vals_ghg_incLUC!$AD106</f>
        <v>#N/A</v>
      </c>
      <c r="L106" s="5"/>
      <c r="M106" s="5">
        <f>vals_ghg_incLUC!$S106</f>
        <v>44.904526079761695</v>
      </c>
      <c r="N106" s="5">
        <f>vals_ghg_incLUC!$Y106</f>
        <v>46.810484035123025</v>
      </c>
      <c r="O106" s="5" t="e">
        <f>vals_ghg_incLUC!$AE106</f>
        <v>#N/A</v>
      </c>
      <c r="P106" s="5"/>
      <c r="Q106" s="9">
        <f t="shared" si="31"/>
        <v>1.9059579553613304</v>
      </c>
      <c r="R106" s="9">
        <v>29.957999999999998</v>
      </c>
      <c r="S106" s="9">
        <v>40.814</v>
      </c>
    </row>
    <row r="107" spans="1:19" x14ac:dyDescent="0.35">
      <c r="A107" s="6">
        <f>vals_ghg_incLUC!$A107</f>
        <v>1954</v>
      </c>
      <c r="B107" s="7">
        <f t="shared" si="24"/>
        <v>32.832860835580234</v>
      </c>
      <c r="C107" s="7">
        <f t="shared" si="25"/>
        <v>35.51716555947965</v>
      </c>
      <c r="D107" s="7">
        <f t="shared" si="26"/>
        <v>44.847407160799172</v>
      </c>
      <c r="E107" s="7">
        <f t="shared" si="27"/>
        <v>46.734394497887386</v>
      </c>
      <c r="F107" s="7">
        <f t="shared" si="28"/>
        <v>2.684304723899416</v>
      </c>
      <c r="G107" s="7">
        <f t="shared" si="29"/>
        <v>0</v>
      </c>
      <c r="H107" s="7">
        <f t="shared" si="30"/>
        <v>9.3302416013195213</v>
      </c>
      <c r="I107" s="8">
        <f>vals_ghg_incLUC!$R107</f>
        <v>32.832860835580234</v>
      </c>
      <c r="J107" s="8">
        <f>vals_ghg_incLUC!$X107</f>
        <v>35.51716555947965</v>
      </c>
      <c r="K107" s="8" t="e">
        <f>vals_ghg_incLUC!$AD107</f>
        <v>#N/A</v>
      </c>
      <c r="L107" s="8"/>
      <c r="M107" s="8">
        <f>vals_ghg_incLUC!$S107</f>
        <v>44.847407160799172</v>
      </c>
      <c r="N107" s="8">
        <f>vals_ghg_incLUC!$Y107</f>
        <v>46.734394497887386</v>
      </c>
      <c r="O107" s="8" t="e">
        <f>vals_ghg_incLUC!$AE107</f>
        <v>#N/A</v>
      </c>
      <c r="P107" s="8"/>
      <c r="Q107" s="9">
        <f t="shared" si="31"/>
        <v>1.8869873370882146</v>
      </c>
      <c r="R107" s="9">
        <v>29.881</v>
      </c>
      <c r="S107" s="9">
        <v>40.726999999999997</v>
      </c>
    </row>
    <row r="108" spans="1:19" x14ac:dyDescent="0.35">
      <c r="A108" s="3">
        <f>vals_ghg_incLUC!$A108</f>
        <v>1955</v>
      </c>
      <c r="B108" s="4">
        <f t="shared" si="24"/>
        <v>32.790831112959189</v>
      </c>
      <c r="C108" s="4">
        <f t="shared" si="25"/>
        <v>35.475135397495052</v>
      </c>
      <c r="D108" s="4">
        <f t="shared" si="26"/>
        <v>44.794397799802709</v>
      </c>
      <c r="E108" s="4">
        <f t="shared" si="27"/>
        <v>46.657825957200288</v>
      </c>
      <c r="F108" s="4">
        <f t="shared" si="28"/>
        <v>2.6843042845358625</v>
      </c>
      <c r="G108" s="4">
        <f t="shared" si="29"/>
        <v>0</v>
      </c>
      <c r="H108" s="4">
        <f t="shared" si="30"/>
        <v>9.3192624023076576</v>
      </c>
      <c r="I108" s="5">
        <f>vals_ghg_incLUC!$R108</f>
        <v>32.790831112959189</v>
      </c>
      <c r="J108" s="5">
        <f>vals_ghg_incLUC!$X108</f>
        <v>35.475135397495052</v>
      </c>
      <c r="K108" s="5" t="e">
        <f>vals_ghg_incLUC!$AD108</f>
        <v>#N/A</v>
      </c>
      <c r="L108" s="5"/>
      <c r="M108" s="5">
        <f>vals_ghg_incLUC!$S108</f>
        <v>44.794397799802709</v>
      </c>
      <c r="N108" s="5">
        <f>vals_ghg_incLUC!$Y108</f>
        <v>46.657825957200288</v>
      </c>
      <c r="O108" s="5" t="e">
        <f>vals_ghg_incLUC!$AE108</f>
        <v>#N/A</v>
      </c>
      <c r="P108" s="5"/>
      <c r="Q108" s="9">
        <f t="shared" si="31"/>
        <v>1.8634281573975784</v>
      </c>
      <c r="R108" s="9">
        <v>29.812999999999999</v>
      </c>
      <c r="S108" s="9">
        <v>40.645000000000003</v>
      </c>
    </row>
    <row r="109" spans="1:19" x14ac:dyDescent="0.35">
      <c r="A109" s="6">
        <f>vals_ghg_incLUC!$A109</f>
        <v>1956</v>
      </c>
      <c r="B109" s="7">
        <f t="shared" si="24"/>
        <v>32.743676360242674</v>
      </c>
      <c r="C109" s="7">
        <f t="shared" si="25"/>
        <v>35.428724504781457</v>
      </c>
      <c r="D109" s="7">
        <f t="shared" si="26"/>
        <v>44.732787372228479</v>
      </c>
      <c r="E109" s="7">
        <f t="shared" si="27"/>
        <v>46.571202801207825</v>
      </c>
      <c r="F109" s="7">
        <f t="shared" si="28"/>
        <v>2.6850481445387828</v>
      </c>
      <c r="G109" s="7">
        <f t="shared" si="29"/>
        <v>0</v>
      </c>
      <c r="H109" s="7">
        <f t="shared" si="30"/>
        <v>9.3040628674470227</v>
      </c>
      <c r="I109" s="8">
        <f>vals_ghg_incLUC!$R109</f>
        <v>32.743676360242674</v>
      </c>
      <c r="J109" s="8">
        <f>vals_ghg_incLUC!$X109</f>
        <v>35.428724504781457</v>
      </c>
      <c r="K109" s="8" t="e">
        <f>vals_ghg_incLUC!$AD109</f>
        <v>#N/A</v>
      </c>
      <c r="L109" s="8"/>
      <c r="M109" s="8">
        <f>vals_ghg_incLUC!$S109</f>
        <v>44.732787372228479</v>
      </c>
      <c r="N109" s="8">
        <f>vals_ghg_incLUC!$Y109</f>
        <v>46.571202801207825</v>
      </c>
      <c r="O109" s="8" t="e">
        <f>vals_ghg_incLUC!$AE109</f>
        <v>#N/A</v>
      </c>
      <c r="P109" s="8"/>
      <c r="Q109" s="9">
        <f t="shared" si="31"/>
        <v>1.8384154289793457</v>
      </c>
      <c r="R109" s="9">
        <v>29.736999999999998</v>
      </c>
      <c r="S109" s="9">
        <v>40.552</v>
      </c>
    </row>
    <row r="110" spans="1:19" x14ac:dyDescent="0.35">
      <c r="A110" s="3">
        <f>vals_ghg_incLUC!$A110</f>
        <v>1957</v>
      </c>
      <c r="B110" s="4">
        <f t="shared" si="24"/>
        <v>32.692301631067892</v>
      </c>
      <c r="C110" s="4">
        <f t="shared" si="25"/>
        <v>35.378173332936299</v>
      </c>
      <c r="D110" s="4">
        <f t="shared" si="26"/>
        <v>44.663216928986117</v>
      </c>
      <c r="E110" s="4">
        <f t="shared" si="27"/>
        <v>46.474170853171223</v>
      </c>
      <c r="F110" s="4">
        <f t="shared" si="28"/>
        <v>2.6858717018684075</v>
      </c>
      <c r="G110" s="4">
        <f t="shared" si="29"/>
        <v>0</v>
      </c>
      <c r="H110" s="4">
        <f t="shared" si="30"/>
        <v>9.2850435960498174</v>
      </c>
      <c r="I110" s="5">
        <f>vals_ghg_incLUC!$R110</f>
        <v>32.692301631067892</v>
      </c>
      <c r="J110" s="5">
        <f>vals_ghg_incLUC!$X110</f>
        <v>35.378173332936299</v>
      </c>
      <c r="K110" s="5" t="e">
        <f>vals_ghg_incLUC!$AD110</f>
        <v>#N/A</v>
      </c>
      <c r="L110" s="5"/>
      <c r="M110" s="5">
        <f>vals_ghg_incLUC!$S110</f>
        <v>44.663216928986117</v>
      </c>
      <c r="N110" s="5">
        <f>vals_ghg_incLUC!$Y110</f>
        <v>46.474170853171223</v>
      </c>
      <c r="O110" s="5" t="e">
        <f>vals_ghg_incLUC!$AE110</f>
        <v>#N/A</v>
      </c>
      <c r="P110" s="5"/>
      <c r="Q110" s="9">
        <f t="shared" si="31"/>
        <v>1.8109539241851067</v>
      </c>
      <c r="R110" s="9">
        <v>29.655999999999999</v>
      </c>
      <c r="S110" s="9">
        <v>40.450000000000003</v>
      </c>
    </row>
    <row r="111" spans="1:19" x14ac:dyDescent="0.35">
      <c r="A111" s="6">
        <f>vals_ghg_incLUC!$A111</f>
        <v>1958</v>
      </c>
      <c r="B111" s="7">
        <f t="shared" si="24"/>
        <v>32.645534573223351</v>
      </c>
      <c r="C111" s="7">
        <f t="shared" si="25"/>
        <v>35.332584781538515</v>
      </c>
      <c r="D111" s="7">
        <f t="shared" si="26"/>
        <v>44.593639827207824</v>
      </c>
      <c r="E111" s="7">
        <f t="shared" si="27"/>
        <v>46.37327021814442</v>
      </c>
      <c r="F111" s="7">
        <f t="shared" si="28"/>
        <v>2.6870502083151635</v>
      </c>
      <c r="G111" s="7">
        <f t="shared" si="29"/>
        <v>0</v>
      </c>
      <c r="H111" s="7">
        <f t="shared" si="30"/>
        <v>9.261055045669309</v>
      </c>
      <c r="I111" s="8">
        <f>vals_ghg_incLUC!$R111</f>
        <v>32.645534573223351</v>
      </c>
      <c r="J111" s="8">
        <f>vals_ghg_incLUC!$X111</f>
        <v>35.332584781538515</v>
      </c>
      <c r="K111" s="8" t="e">
        <f>vals_ghg_incLUC!$AD111</f>
        <v>#N/A</v>
      </c>
      <c r="L111" s="8"/>
      <c r="M111" s="8">
        <f>vals_ghg_incLUC!$S111</f>
        <v>44.593639827207824</v>
      </c>
      <c r="N111" s="8">
        <f>vals_ghg_incLUC!$Y111</f>
        <v>46.37327021814442</v>
      </c>
      <c r="O111" s="8" t="e">
        <f>vals_ghg_incLUC!$AE111</f>
        <v>#N/A</v>
      </c>
      <c r="P111" s="8"/>
      <c r="Q111" s="9">
        <f t="shared" si="31"/>
        <v>1.779630390936596</v>
      </c>
      <c r="R111" s="9">
        <v>29.581</v>
      </c>
      <c r="S111" s="9">
        <v>40.347999999999999</v>
      </c>
    </row>
    <row r="112" spans="1:19" x14ac:dyDescent="0.35">
      <c r="A112" s="3">
        <f>vals_ghg_incLUC!$A112</f>
        <v>1959</v>
      </c>
      <c r="B112" s="4">
        <f t="shared" si="24"/>
        <v>32.607958298772921</v>
      </c>
      <c r="C112" s="4">
        <f t="shared" si="25"/>
        <v>35.294944535214846</v>
      </c>
      <c r="D112" s="4">
        <f t="shared" si="26"/>
        <v>44.528897939194842</v>
      </c>
      <c r="E112" s="4">
        <f t="shared" si="27"/>
        <v>46.273531634188423</v>
      </c>
      <c r="F112" s="4">
        <f t="shared" si="28"/>
        <v>2.6869862364419248</v>
      </c>
      <c r="G112" s="4">
        <f t="shared" si="29"/>
        <v>0</v>
      </c>
      <c r="H112" s="4">
        <f t="shared" si="30"/>
        <v>9.2339534039799958</v>
      </c>
      <c r="I112" s="5">
        <f>vals_ghg_incLUC!$R112</f>
        <v>32.607958298772921</v>
      </c>
      <c r="J112" s="5">
        <f>vals_ghg_incLUC!$X112</f>
        <v>35.294944535214846</v>
      </c>
      <c r="K112" s="5" t="e">
        <f>vals_ghg_incLUC!$AD112</f>
        <v>#N/A</v>
      </c>
      <c r="L112" s="5"/>
      <c r="M112" s="5">
        <f>vals_ghg_incLUC!$S112</f>
        <v>44.528897939194842</v>
      </c>
      <c r="N112" s="5">
        <f>vals_ghg_incLUC!$Y112</f>
        <v>46.273531634188423</v>
      </c>
      <c r="O112" s="5" t="e">
        <f>vals_ghg_incLUC!$AE112</f>
        <v>#N/A</v>
      </c>
      <c r="P112" s="5"/>
      <c r="Q112" s="9">
        <f t="shared" si="31"/>
        <v>1.7446336949935812</v>
      </c>
      <c r="R112" s="9">
        <v>29.510999999999999</v>
      </c>
      <c r="S112" s="9">
        <v>40.247</v>
      </c>
    </row>
    <row r="113" spans="1:19" x14ac:dyDescent="0.35">
      <c r="A113" s="6">
        <f>vals_ghg_incLUC!$A113</f>
        <v>1960</v>
      </c>
      <c r="B113" s="7">
        <f t="shared" si="24"/>
        <v>32.581026315423998</v>
      </c>
      <c r="C113" s="7">
        <f t="shared" si="25"/>
        <v>35.259435576621627</v>
      </c>
      <c r="D113" s="7">
        <f t="shared" si="26"/>
        <v>44.463466015094774</v>
      </c>
      <c r="E113" s="7">
        <f t="shared" si="27"/>
        <v>46.181909915934256</v>
      </c>
      <c r="F113" s="7">
        <f t="shared" si="28"/>
        <v>2.6784092611976291</v>
      </c>
      <c r="G113" s="7">
        <f t="shared" si="29"/>
        <v>0</v>
      </c>
      <c r="H113" s="7">
        <f t="shared" si="30"/>
        <v>9.2040304384731471</v>
      </c>
      <c r="I113" s="8">
        <f>vals_ghg_incLUC!$R113</f>
        <v>32.581026315423998</v>
      </c>
      <c r="J113" s="8">
        <f>vals_ghg_incLUC!$X113</f>
        <v>35.259435576621627</v>
      </c>
      <c r="K113" s="8" t="e">
        <f>vals_ghg_incLUC!$AD113</f>
        <v>#N/A</v>
      </c>
      <c r="L113" s="8"/>
      <c r="M113" s="8">
        <f>vals_ghg_incLUC!$S113</f>
        <v>44.463466015094774</v>
      </c>
      <c r="N113" s="8">
        <f>vals_ghg_incLUC!$Y113</f>
        <v>46.181909915934256</v>
      </c>
      <c r="O113" s="8" t="e">
        <f>vals_ghg_incLUC!$AE113</f>
        <v>#N/A</v>
      </c>
      <c r="P113" s="8"/>
      <c r="Q113" s="9">
        <f t="shared" si="31"/>
        <v>1.7184439008394818</v>
      </c>
      <c r="R113" s="9">
        <v>29.454999999999998</v>
      </c>
      <c r="S113" s="9">
        <v>40.149000000000001</v>
      </c>
    </row>
    <row r="114" spans="1:19" x14ac:dyDescent="0.35">
      <c r="A114" s="3">
        <f>vals_ghg_incLUC!$A114</f>
        <v>1961</v>
      </c>
      <c r="B114" s="4">
        <f t="shared" si="24"/>
        <v>32.537384815910087</v>
      </c>
      <c r="C114" s="4">
        <f t="shared" si="25"/>
        <v>35.217990845694963</v>
      </c>
      <c r="D114" s="4">
        <f t="shared" si="26"/>
        <v>44.385059166028981</v>
      </c>
      <c r="E114" s="4">
        <f t="shared" si="27"/>
        <v>46.08142345938797</v>
      </c>
      <c r="F114" s="4">
        <f t="shared" si="28"/>
        <v>2.6806060297848759</v>
      </c>
      <c r="G114" s="4">
        <f t="shared" si="29"/>
        <v>0</v>
      </c>
      <c r="H114" s="4">
        <f t="shared" si="30"/>
        <v>9.1670683203340175</v>
      </c>
      <c r="I114" s="5">
        <f>vals_ghg_incLUC!$R114</f>
        <v>32.537384815910087</v>
      </c>
      <c r="J114" s="5">
        <f>vals_ghg_incLUC!$X114</f>
        <v>35.217990845694963</v>
      </c>
      <c r="K114" s="5" t="e">
        <f>vals_ghg_incLUC!$AD114</f>
        <v>#N/A</v>
      </c>
      <c r="L114" s="5"/>
      <c r="M114" s="5">
        <f>vals_ghg_incLUC!$S114</f>
        <v>44.385059166028981</v>
      </c>
      <c r="N114" s="5">
        <f>vals_ghg_incLUC!$Y114</f>
        <v>46.08142345938797</v>
      </c>
      <c r="O114" s="5" t="e">
        <f>vals_ghg_incLUC!$AE114</f>
        <v>#N/A</v>
      </c>
      <c r="P114" s="5"/>
      <c r="Q114" s="9">
        <f t="shared" si="31"/>
        <v>1.6963642933589895</v>
      </c>
      <c r="R114" s="9">
        <v>29.38</v>
      </c>
      <c r="S114" s="9">
        <v>40.04</v>
      </c>
    </row>
    <row r="115" spans="1:19" x14ac:dyDescent="0.35">
      <c r="A115" s="6">
        <f>vals_ghg_incLUC!$A115</f>
        <v>1962</v>
      </c>
      <c r="B115" s="7">
        <f t="shared" si="24"/>
        <v>32.491723098982192</v>
      </c>
      <c r="C115" s="7">
        <f t="shared" si="25"/>
        <v>35.176313244542612</v>
      </c>
      <c r="D115" s="7">
        <f t="shared" si="26"/>
        <v>44.301169088182156</v>
      </c>
      <c r="E115" s="7">
        <f t="shared" si="27"/>
        <v>45.97846291874172</v>
      </c>
      <c r="F115" s="7">
        <f t="shared" si="28"/>
        <v>2.6845901455604206</v>
      </c>
      <c r="G115" s="7">
        <f t="shared" si="29"/>
        <v>0</v>
      </c>
      <c r="H115" s="7">
        <f t="shared" si="30"/>
        <v>9.1248558436395442</v>
      </c>
      <c r="I115" s="8">
        <f>vals_ghg_incLUC!$R115</f>
        <v>32.491723098982192</v>
      </c>
      <c r="J115" s="8">
        <f>vals_ghg_incLUC!$X115</f>
        <v>35.176313244542612</v>
      </c>
      <c r="K115" s="8" t="e">
        <f>vals_ghg_incLUC!$AD115</f>
        <v>#N/A</v>
      </c>
      <c r="L115" s="8"/>
      <c r="M115" s="8">
        <f>vals_ghg_incLUC!$S115</f>
        <v>44.301169088182156</v>
      </c>
      <c r="N115" s="8">
        <f>vals_ghg_incLUC!$Y115</f>
        <v>45.97846291874172</v>
      </c>
      <c r="O115" s="8" t="e">
        <f>vals_ghg_incLUC!$AE115</f>
        <v>#N/A</v>
      </c>
      <c r="P115" s="8"/>
      <c r="Q115" s="9">
        <f t="shared" si="31"/>
        <v>1.677293830559563</v>
      </c>
      <c r="R115" s="9">
        <v>29.303000000000001</v>
      </c>
      <c r="S115" s="9">
        <v>39.921999999999997</v>
      </c>
    </row>
    <row r="116" spans="1:19" x14ac:dyDescent="0.35">
      <c r="A116" s="3">
        <f>vals_ghg_incLUC!$A116</f>
        <v>1963</v>
      </c>
      <c r="B116" s="4">
        <f t="shared" si="24"/>
        <v>32.430058304363847</v>
      </c>
      <c r="C116" s="4">
        <f t="shared" si="25"/>
        <v>35.12414934870101</v>
      </c>
      <c r="D116" s="4">
        <f t="shared" si="26"/>
        <v>44.20700533333374</v>
      </c>
      <c r="E116" s="4">
        <f t="shared" si="27"/>
        <v>45.860264409298033</v>
      </c>
      <c r="F116" s="4">
        <f t="shared" si="28"/>
        <v>2.6940910443371635</v>
      </c>
      <c r="G116" s="4">
        <f t="shared" si="29"/>
        <v>0</v>
      </c>
      <c r="H116" s="4">
        <f t="shared" si="30"/>
        <v>9.0828559846327295</v>
      </c>
      <c r="I116" s="5">
        <f>vals_ghg_incLUC!$R116</f>
        <v>32.430058304363847</v>
      </c>
      <c r="J116" s="5">
        <f>vals_ghg_incLUC!$X116</f>
        <v>35.12414934870101</v>
      </c>
      <c r="K116" s="5" t="e">
        <f>vals_ghg_incLUC!$AD116</f>
        <v>#N/A</v>
      </c>
      <c r="L116" s="5"/>
      <c r="M116" s="5">
        <f>vals_ghg_incLUC!$S116</f>
        <v>44.20700533333374</v>
      </c>
      <c r="N116" s="5">
        <f>vals_ghg_incLUC!$Y116</f>
        <v>45.860264409298033</v>
      </c>
      <c r="O116" s="5" t="e">
        <f>vals_ghg_incLUC!$AE116</f>
        <v>#N/A</v>
      </c>
      <c r="P116" s="5"/>
      <c r="Q116" s="9">
        <f t="shared" si="31"/>
        <v>1.6532590759642929</v>
      </c>
      <c r="R116" s="9">
        <v>29.210999999999999</v>
      </c>
      <c r="S116" s="9">
        <v>39.789000000000001</v>
      </c>
    </row>
    <row r="117" spans="1:19" x14ac:dyDescent="0.35">
      <c r="A117" s="6">
        <f>vals_ghg_incLUC!$A117</f>
        <v>1964</v>
      </c>
      <c r="B117" s="7">
        <f t="shared" si="24"/>
        <v>32.362345908827095</v>
      </c>
      <c r="C117" s="7">
        <f t="shared" si="25"/>
        <v>35.064374271099787</v>
      </c>
      <c r="D117" s="7">
        <f t="shared" si="26"/>
        <v>44.102637293810396</v>
      </c>
      <c r="E117" s="7">
        <f t="shared" si="27"/>
        <v>45.729382767185136</v>
      </c>
      <c r="F117" s="7">
        <f t="shared" si="28"/>
        <v>2.7020283622726922</v>
      </c>
      <c r="G117" s="7">
        <f t="shared" si="29"/>
        <v>0</v>
      </c>
      <c r="H117" s="7">
        <f t="shared" si="30"/>
        <v>9.0382630227106091</v>
      </c>
      <c r="I117" s="8">
        <f>vals_ghg_incLUC!$R117</f>
        <v>32.362345908827095</v>
      </c>
      <c r="J117" s="8">
        <f>vals_ghg_incLUC!$X117</f>
        <v>35.064374271099787</v>
      </c>
      <c r="K117" s="8" t="e">
        <f>vals_ghg_incLUC!$AD117</f>
        <v>#N/A</v>
      </c>
      <c r="L117" s="8"/>
      <c r="M117" s="8">
        <f>vals_ghg_incLUC!$S117</f>
        <v>44.102637293810396</v>
      </c>
      <c r="N117" s="8">
        <f>vals_ghg_incLUC!$Y117</f>
        <v>45.729382767185136</v>
      </c>
      <c r="O117" s="8" t="e">
        <f>vals_ghg_incLUC!$AE117</f>
        <v>#N/A</v>
      </c>
      <c r="P117" s="8"/>
      <c r="Q117" s="9">
        <f t="shared" si="31"/>
        <v>1.62674547337474</v>
      </c>
      <c r="R117" s="9">
        <v>29.11</v>
      </c>
      <c r="S117" s="9">
        <v>39.642000000000003</v>
      </c>
    </row>
    <row r="118" spans="1:19" x14ac:dyDescent="0.35">
      <c r="A118" s="3">
        <f>vals_ghg_incLUC!$A118</f>
        <v>1965</v>
      </c>
      <c r="B118" s="4">
        <f t="shared" si="24"/>
        <v>32.284473720679046</v>
      </c>
      <c r="C118" s="4">
        <f t="shared" si="25"/>
        <v>34.997943689315299</v>
      </c>
      <c r="D118" s="4">
        <f t="shared" si="26"/>
        <v>43.986364600272481</v>
      </c>
      <c r="E118" s="4">
        <f t="shared" si="27"/>
        <v>45.586893018962854</v>
      </c>
      <c r="F118" s="4">
        <f t="shared" si="28"/>
        <v>2.7134699686362538</v>
      </c>
      <c r="G118" s="4">
        <f t="shared" si="29"/>
        <v>0</v>
      </c>
      <c r="H118" s="4">
        <f t="shared" si="30"/>
        <v>8.9884209109571813</v>
      </c>
      <c r="I118" s="5">
        <f>vals_ghg_incLUC!$R118</f>
        <v>32.284473720679046</v>
      </c>
      <c r="J118" s="5">
        <f>vals_ghg_incLUC!$X118</f>
        <v>34.997943689315299</v>
      </c>
      <c r="K118" s="5" t="e">
        <f>vals_ghg_incLUC!$AD118</f>
        <v>#N/A</v>
      </c>
      <c r="L118" s="5"/>
      <c r="M118" s="5">
        <f>vals_ghg_incLUC!$S118</f>
        <v>43.986364600272481</v>
      </c>
      <c r="N118" s="5">
        <f>vals_ghg_incLUC!$Y118</f>
        <v>45.586893018962854</v>
      </c>
      <c r="O118" s="5" t="e">
        <f>vals_ghg_incLUC!$AE118</f>
        <v>#N/A</v>
      </c>
      <c r="P118" s="5"/>
      <c r="Q118" s="9">
        <f t="shared" si="31"/>
        <v>1.6005284186903737</v>
      </c>
      <c r="R118" s="9">
        <v>28.995999999999999</v>
      </c>
      <c r="S118" s="9">
        <v>39.481000000000002</v>
      </c>
    </row>
    <row r="119" spans="1:19" x14ac:dyDescent="0.35">
      <c r="A119" s="6">
        <f>vals_ghg_incLUC!$A119</f>
        <v>1966</v>
      </c>
      <c r="B119" s="7">
        <f t="shared" si="24"/>
        <v>32.198521376058679</v>
      </c>
      <c r="C119" s="7">
        <f t="shared" si="25"/>
        <v>34.927709023480816</v>
      </c>
      <c r="D119" s="7">
        <f t="shared" si="26"/>
        <v>43.859983285300636</v>
      </c>
      <c r="E119" s="7">
        <f t="shared" si="27"/>
        <v>45.436745166341112</v>
      </c>
      <c r="F119" s="7">
        <f t="shared" si="28"/>
        <v>2.7291876474221368</v>
      </c>
      <c r="G119" s="7">
        <f t="shared" si="29"/>
        <v>0</v>
      </c>
      <c r="H119" s="7">
        <f t="shared" si="30"/>
        <v>8.9322742618198205</v>
      </c>
      <c r="I119" s="8">
        <f>vals_ghg_incLUC!$R119</f>
        <v>32.198521376058679</v>
      </c>
      <c r="J119" s="8">
        <f>vals_ghg_incLUC!$X119</f>
        <v>34.927709023480816</v>
      </c>
      <c r="K119" s="8" t="e">
        <f>vals_ghg_incLUC!$AD119</f>
        <v>#N/A</v>
      </c>
      <c r="L119" s="8"/>
      <c r="M119" s="8">
        <f>vals_ghg_incLUC!$S119</f>
        <v>43.859983285300636</v>
      </c>
      <c r="N119" s="8">
        <f>vals_ghg_incLUC!$Y119</f>
        <v>45.436745166341112</v>
      </c>
      <c r="O119" s="8" t="e">
        <f>vals_ghg_incLUC!$AE119</f>
        <v>#N/A</v>
      </c>
      <c r="P119" s="8"/>
      <c r="Q119" s="9">
        <f t="shared" si="31"/>
        <v>1.5767618810404755</v>
      </c>
      <c r="R119" s="9">
        <v>28.867999999999999</v>
      </c>
      <c r="S119" s="9">
        <v>39.299999999999997</v>
      </c>
    </row>
    <row r="120" spans="1:19" x14ac:dyDescent="0.35">
      <c r="A120" s="3">
        <f>vals_ghg_incLUC!$A120</f>
        <v>1967</v>
      </c>
      <c r="B120" s="4">
        <f t="shared" si="24"/>
        <v>32.10478748744535</v>
      </c>
      <c r="C120" s="4">
        <f t="shared" si="25"/>
        <v>34.849670530486534</v>
      </c>
      <c r="D120" s="4">
        <f t="shared" si="26"/>
        <v>43.723898629446296</v>
      </c>
      <c r="E120" s="4">
        <f t="shared" si="27"/>
        <v>45.275934862696218</v>
      </c>
      <c r="F120" s="4">
        <f t="shared" si="28"/>
        <v>2.7448830430411846</v>
      </c>
      <c r="G120" s="4">
        <f t="shared" si="29"/>
        <v>0</v>
      </c>
      <c r="H120" s="4">
        <f t="shared" si="30"/>
        <v>8.8742280989597617</v>
      </c>
      <c r="I120" s="5">
        <f>vals_ghg_incLUC!$R120</f>
        <v>32.10478748744535</v>
      </c>
      <c r="J120" s="5">
        <f>vals_ghg_incLUC!$X120</f>
        <v>34.849670530486534</v>
      </c>
      <c r="K120" s="5" t="e">
        <f>vals_ghg_incLUC!$AD120</f>
        <v>#N/A</v>
      </c>
      <c r="L120" s="5"/>
      <c r="M120" s="5">
        <f>vals_ghg_incLUC!$S120</f>
        <v>43.723898629446296</v>
      </c>
      <c r="N120" s="5">
        <f>vals_ghg_incLUC!$Y120</f>
        <v>45.275934862696218</v>
      </c>
      <c r="O120" s="5" t="e">
        <f>vals_ghg_incLUC!$AE120</f>
        <v>#N/A</v>
      </c>
      <c r="P120" s="5"/>
      <c r="Q120" s="9">
        <f t="shared" si="31"/>
        <v>1.5520362332499218</v>
      </c>
      <c r="R120" s="9">
        <v>28.734000000000002</v>
      </c>
      <c r="S120" s="9">
        <v>39.112000000000002</v>
      </c>
    </row>
    <row r="121" spans="1:19" x14ac:dyDescent="0.35">
      <c r="A121" s="6">
        <f>vals_ghg_incLUC!$A121</f>
        <v>1968</v>
      </c>
      <c r="B121" s="7">
        <f t="shared" si="24"/>
        <v>31.986053187077008</v>
      </c>
      <c r="C121" s="7">
        <f t="shared" si="25"/>
        <v>34.760046280967003</v>
      </c>
      <c r="D121" s="7">
        <f t="shared" si="26"/>
        <v>43.560004446184159</v>
      </c>
      <c r="E121" s="7">
        <f t="shared" si="27"/>
        <v>45.09934414095779</v>
      </c>
      <c r="F121" s="7">
        <f t="shared" si="28"/>
        <v>2.7739930938899953</v>
      </c>
      <c r="G121" s="7">
        <f t="shared" si="29"/>
        <v>0</v>
      </c>
      <c r="H121" s="7">
        <f t="shared" si="30"/>
        <v>8.7999581652171557</v>
      </c>
      <c r="I121" s="8">
        <f>vals_ghg_incLUC!$R121</f>
        <v>31.986053187077008</v>
      </c>
      <c r="J121" s="8">
        <f>vals_ghg_incLUC!$X121</f>
        <v>34.760046280967003</v>
      </c>
      <c r="K121" s="8" t="e">
        <f>vals_ghg_incLUC!$AD121</f>
        <v>#N/A</v>
      </c>
      <c r="L121" s="8"/>
      <c r="M121" s="8">
        <f>vals_ghg_incLUC!$S121</f>
        <v>43.560004446184159</v>
      </c>
      <c r="N121" s="8">
        <f>vals_ghg_incLUC!$Y121</f>
        <v>45.09934414095779</v>
      </c>
      <c r="O121" s="8" t="e">
        <f>vals_ghg_incLUC!$AE121</f>
        <v>#N/A</v>
      </c>
      <c r="P121" s="8"/>
      <c r="Q121" s="9">
        <f t="shared" si="31"/>
        <v>1.5393396947736306</v>
      </c>
      <c r="R121" s="9">
        <v>28.579000000000001</v>
      </c>
      <c r="S121" s="9">
        <v>38.899000000000001</v>
      </c>
    </row>
    <row r="122" spans="1:19" x14ac:dyDescent="0.35">
      <c r="A122" s="3">
        <f>vals_ghg_incLUC!$A122</f>
        <v>1969</v>
      </c>
      <c r="B122" s="4">
        <f t="shared" si="24"/>
        <v>31.852646902445937</v>
      </c>
      <c r="C122" s="4">
        <f t="shared" si="25"/>
        <v>34.654670507926788</v>
      </c>
      <c r="D122" s="4">
        <f t="shared" si="26"/>
        <v>43.377150226993024</v>
      </c>
      <c r="E122" s="4">
        <f t="shared" si="27"/>
        <v>44.904426573712662</v>
      </c>
      <c r="F122" s="4">
        <f t="shared" si="28"/>
        <v>2.8020236054808514</v>
      </c>
      <c r="G122" s="4">
        <f t="shared" si="29"/>
        <v>0</v>
      </c>
      <c r="H122" s="4">
        <f t="shared" si="30"/>
        <v>8.7224797190662358</v>
      </c>
      <c r="I122" s="5">
        <f>vals_ghg_incLUC!$R122</f>
        <v>31.852646902445937</v>
      </c>
      <c r="J122" s="5">
        <f>vals_ghg_incLUC!$X122</f>
        <v>34.654670507926788</v>
      </c>
      <c r="K122" s="5" t="e">
        <f>vals_ghg_incLUC!$AD122</f>
        <v>#N/A</v>
      </c>
      <c r="L122" s="5"/>
      <c r="M122" s="5">
        <f>vals_ghg_incLUC!$S122</f>
        <v>43.377150226993024</v>
      </c>
      <c r="N122" s="5">
        <f>vals_ghg_incLUC!$Y122</f>
        <v>44.904426573712662</v>
      </c>
      <c r="O122" s="5" t="e">
        <f>vals_ghg_incLUC!$AE122</f>
        <v>#N/A</v>
      </c>
      <c r="P122" s="5"/>
      <c r="Q122" s="9">
        <f t="shared" si="31"/>
        <v>1.5272763467196384</v>
      </c>
      <c r="R122" s="9">
        <v>28.405999999999999</v>
      </c>
      <c r="S122" s="9">
        <v>38.667000000000002</v>
      </c>
    </row>
    <row r="123" spans="1:19" x14ac:dyDescent="0.35">
      <c r="A123" s="6">
        <f>vals_ghg_incLUC!$A123</f>
        <v>1970</v>
      </c>
      <c r="B123" s="7">
        <f t="shared" si="24"/>
        <v>31.72972214491044</v>
      </c>
      <c r="C123" s="7">
        <f t="shared" si="25"/>
        <v>34.534639859890426</v>
      </c>
      <c r="D123" s="7">
        <f t="shared" si="26"/>
        <v>43.208587137563775</v>
      </c>
      <c r="E123" s="7">
        <f t="shared" si="27"/>
        <v>44.692733909776784</v>
      </c>
      <c r="F123" s="7">
        <f t="shared" si="28"/>
        <v>2.804917714979986</v>
      </c>
      <c r="G123" s="7">
        <f t="shared" si="29"/>
        <v>0</v>
      </c>
      <c r="H123" s="7">
        <f t="shared" si="30"/>
        <v>8.6739472776733493</v>
      </c>
      <c r="I123" s="8">
        <f>vals_ghg_incLUC!$R123</f>
        <v>31.72972214491044</v>
      </c>
      <c r="J123" s="8">
        <f>vals_ghg_incLUC!$X123</f>
        <v>34.534639859890426</v>
      </c>
      <c r="K123" s="8" t="e">
        <f>vals_ghg_incLUC!$AD123</f>
        <v>#N/A</v>
      </c>
      <c r="L123" s="8"/>
      <c r="M123" s="8">
        <f>vals_ghg_incLUC!$S123</f>
        <v>43.208587137563775</v>
      </c>
      <c r="N123" s="8">
        <f>vals_ghg_incLUC!$Y123</f>
        <v>44.692733909776784</v>
      </c>
      <c r="O123" s="8" t="e">
        <f>vals_ghg_incLUC!$AE123</f>
        <v>#N/A</v>
      </c>
      <c r="P123" s="8"/>
      <c r="Q123" s="9">
        <f t="shared" si="31"/>
        <v>1.4841467722130091</v>
      </c>
      <c r="R123" s="9">
        <v>28.234999999999999</v>
      </c>
      <c r="S123" s="9">
        <v>38.444000000000003</v>
      </c>
    </row>
    <row r="124" spans="1:19" x14ac:dyDescent="0.35">
      <c r="A124" s="3">
        <f>vals_ghg_incLUC!$A124</f>
        <v>1971</v>
      </c>
      <c r="B124" s="4">
        <f t="shared" si="24"/>
        <v>31.601881150501832</v>
      </c>
      <c r="C124" s="4">
        <f t="shared" si="25"/>
        <v>34.403863912045651</v>
      </c>
      <c r="D124" s="4">
        <f t="shared" si="26"/>
        <v>43.027813852002623</v>
      </c>
      <c r="E124" s="4">
        <f t="shared" si="27"/>
        <v>44.470481786118327</v>
      </c>
      <c r="F124" s="4">
        <f t="shared" si="28"/>
        <v>2.8019827615438189</v>
      </c>
      <c r="G124" s="4">
        <f t="shared" si="29"/>
        <v>0</v>
      </c>
      <c r="H124" s="4">
        <f t="shared" si="30"/>
        <v>8.6239499399569723</v>
      </c>
      <c r="I124" s="5">
        <f>vals_ghg_incLUC!$R124</f>
        <v>31.601881150501832</v>
      </c>
      <c r="J124" s="5">
        <f>vals_ghg_incLUC!$X124</f>
        <v>34.403863912045651</v>
      </c>
      <c r="K124" s="5" t="e">
        <f>vals_ghg_incLUC!$AD124</f>
        <v>#N/A</v>
      </c>
      <c r="L124" s="5"/>
      <c r="M124" s="5">
        <f>vals_ghg_incLUC!$S124</f>
        <v>43.027813852002623</v>
      </c>
      <c r="N124" s="5">
        <f>vals_ghg_incLUC!$Y124</f>
        <v>44.470481786118327</v>
      </c>
      <c r="O124" s="5" t="e">
        <f>vals_ghg_incLUC!$AE124</f>
        <v>#N/A</v>
      </c>
      <c r="P124" s="5"/>
      <c r="Q124" s="9">
        <f t="shared" si="31"/>
        <v>1.442667934115704</v>
      </c>
      <c r="R124" s="9">
        <v>28.07</v>
      </c>
      <c r="S124" s="9">
        <v>38.22</v>
      </c>
    </row>
    <row r="125" spans="1:19" x14ac:dyDescent="0.35">
      <c r="A125" s="6">
        <f>vals_ghg_incLUC!$A125</f>
        <v>1972</v>
      </c>
      <c r="B125" s="7">
        <f t="shared" si="24"/>
        <v>31.464758865493199</v>
      </c>
      <c r="C125" s="7">
        <f t="shared" si="25"/>
        <v>34.274729536249787</v>
      </c>
      <c r="D125" s="7">
        <f t="shared" si="26"/>
        <v>42.835823192704026</v>
      </c>
      <c r="E125" s="7">
        <f t="shared" si="27"/>
        <v>44.242253004348306</v>
      </c>
      <c r="F125" s="7">
        <f t="shared" si="28"/>
        <v>2.8099706707565879</v>
      </c>
      <c r="G125" s="7">
        <f t="shared" si="29"/>
        <v>0</v>
      </c>
      <c r="H125" s="7">
        <f t="shared" si="30"/>
        <v>8.5610936564542399</v>
      </c>
      <c r="I125" s="8">
        <f>vals_ghg_incLUC!$R125</f>
        <v>31.464758865493199</v>
      </c>
      <c r="J125" s="8">
        <f>vals_ghg_incLUC!$X125</f>
        <v>34.274729536249787</v>
      </c>
      <c r="K125" s="8" t="e">
        <f>vals_ghg_incLUC!$AD125</f>
        <v>#N/A</v>
      </c>
      <c r="L125" s="8"/>
      <c r="M125" s="8">
        <f>vals_ghg_incLUC!$S125</f>
        <v>42.835823192704026</v>
      </c>
      <c r="N125" s="8">
        <f>vals_ghg_incLUC!$Y125</f>
        <v>44.242253004348306</v>
      </c>
      <c r="O125" s="8" t="e">
        <f>vals_ghg_incLUC!$AE125</f>
        <v>#N/A</v>
      </c>
      <c r="P125" s="8"/>
      <c r="Q125" s="9">
        <f t="shared" si="31"/>
        <v>1.4064298116442799</v>
      </c>
      <c r="R125" s="9">
        <v>27.899000000000001</v>
      </c>
      <c r="S125" s="9">
        <v>37.984999999999999</v>
      </c>
    </row>
    <row r="126" spans="1:19" x14ac:dyDescent="0.35">
      <c r="A126" s="3">
        <f>vals_ghg_incLUC!$A126</f>
        <v>1973</v>
      </c>
      <c r="B126" s="4">
        <f t="shared" si="24"/>
        <v>31.327013476595518</v>
      </c>
      <c r="C126" s="4">
        <f t="shared" si="25"/>
        <v>34.132290781247484</v>
      </c>
      <c r="D126" s="4">
        <f t="shared" si="26"/>
        <v>42.641192724094061</v>
      </c>
      <c r="E126" s="4">
        <f t="shared" si="27"/>
        <v>43.993984866879664</v>
      </c>
      <c r="F126" s="4">
        <f t="shared" si="28"/>
        <v>2.8052773046519661</v>
      </c>
      <c r="G126" s="4">
        <f t="shared" si="29"/>
        <v>0</v>
      </c>
      <c r="H126" s="4">
        <f t="shared" si="30"/>
        <v>8.5089019428465775</v>
      </c>
      <c r="I126" s="5">
        <f>vals_ghg_incLUC!$R126</f>
        <v>31.327013476595518</v>
      </c>
      <c r="J126" s="5">
        <f>vals_ghg_incLUC!$X126</f>
        <v>34.132290781247484</v>
      </c>
      <c r="K126" s="5" t="e">
        <f>vals_ghg_incLUC!$AD126</f>
        <v>#N/A</v>
      </c>
      <c r="L126" s="5"/>
      <c r="M126" s="5">
        <f>vals_ghg_incLUC!$S126</f>
        <v>42.641192724094061</v>
      </c>
      <c r="N126" s="5">
        <f>vals_ghg_incLUC!$Y126</f>
        <v>43.993984866879664</v>
      </c>
      <c r="O126" s="5" t="e">
        <f>vals_ghg_incLUC!$AE126</f>
        <v>#N/A</v>
      </c>
      <c r="P126" s="5"/>
      <c r="Q126" s="9">
        <f t="shared" si="31"/>
        <v>1.3527921427856029</v>
      </c>
      <c r="R126" s="9">
        <v>27.722999999999999</v>
      </c>
      <c r="S126" s="9">
        <v>37.744</v>
      </c>
    </row>
    <row r="127" spans="1:19" x14ac:dyDescent="0.35">
      <c r="A127" s="6">
        <f>vals_ghg_incLUC!$A127</f>
        <v>1974</v>
      </c>
      <c r="B127" s="7">
        <f t="shared" si="24"/>
        <v>31.177795099840232</v>
      </c>
      <c r="C127" s="7">
        <f t="shared" si="25"/>
        <v>33.979890980136574</v>
      </c>
      <c r="D127" s="7">
        <f t="shared" si="26"/>
        <v>42.428891290561047</v>
      </c>
      <c r="E127" s="7">
        <f t="shared" si="27"/>
        <v>43.730780158728429</v>
      </c>
      <c r="F127" s="7">
        <f t="shared" si="28"/>
        <v>2.802095880296342</v>
      </c>
      <c r="G127" s="7">
        <f t="shared" si="29"/>
        <v>0</v>
      </c>
      <c r="H127" s="7">
        <f t="shared" si="30"/>
        <v>8.4490003104244735</v>
      </c>
      <c r="I127" s="8">
        <f>vals_ghg_incLUC!$R127</f>
        <v>31.177795099840232</v>
      </c>
      <c r="J127" s="8">
        <f>vals_ghg_incLUC!$X127</f>
        <v>33.979890980136574</v>
      </c>
      <c r="K127" s="8" t="e">
        <f>vals_ghg_incLUC!$AD127</f>
        <v>#N/A</v>
      </c>
      <c r="L127" s="8"/>
      <c r="M127" s="8">
        <f>vals_ghg_incLUC!$S127</f>
        <v>42.428891290561047</v>
      </c>
      <c r="N127" s="8">
        <f>vals_ghg_incLUC!$Y127</f>
        <v>43.730780158728429</v>
      </c>
      <c r="O127" s="8" t="e">
        <f>vals_ghg_incLUC!$AE127</f>
        <v>#N/A</v>
      </c>
      <c r="P127" s="8"/>
      <c r="Q127" s="9">
        <f t="shared" si="31"/>
        <v>1.3018888681673815</v>
      </c>
      <c r="R127" s="9">
        <v>27.54</v>
      </c>
      <c r="S127" s="9">
        <v>37.488</v>
      </c>
    </row>
    <row r="128" spans="1:19" x14ac:dyDescent="0.35">
      <c r="A128" s="3">
        <f>vals_ghg_incLUC!$A128</f>
        <v>1975</v>
      </c>
      <c r="B128" s="4">
        <f t="shared" si="24"/>
        <v>31.036151404962691</v>
      </c>
      <c r="C128" s="4">
        <f t="shared" si="25"/>
        <v>33.837362080182167</v>
      </c>
      <c r="D128" s="4">
        <f t="shared" si="26"/>
        <v>42.216009326664093</v>
      </c>
      <c r="E128" s="4">
        <f t="shared" si="27"/>
        <v>43.46861904770261</v>
      </c>
      <c r="F128" s="4">
        <f t="shared" si="28"/>
        <v>2.8012106752194761</v>
      </c>
      <c r="G128" s="4">
        <f t="shared" si="29"/>
        <v>0</v>
      </c>
      <c r="H128" s="4">
        <f t="shared" si="30"/>
        <v>8.3786472464819255</v>
      </c>
      <c r="I128" s="5">
        <f>vals_ghg_incLUC!$R128</f>
        <v>31.036151404962691</v>
      </c>
      <c r="J128" s="5">
        <f>vals_ghg_incLUC!$X128</f>
        <v>33.837362080182167</v>
      </c>
      <c r="K128" s="5" t="e">
        <f>vals_ghg_incLUC!$AD128</f>
        <v>#N/A</v>
      </c>
      <c r="L128" s="5"/>
      <c r="M128" s="5">
        <f>vals_ghg_incLUC!$S128</f>
        <v>42.216009326664093</v>
      </c>
      <c r="N128" s="5">
        <f>vals_ghg_incLUC!$Y128</f>
        <v>43.46861904770261</v>
      </c>
      <c r="O128" s="5" t="e">
        <f>vals_ghg_incLUC!$AE128</f>
        <v>#N/A</v>
      </c>
      <c r="P128" s="5"/>
      <c r="Q128" s="9">
        <f t="shared" si="31"/>
        <v>1.2526097210385174</v>
      </c>
      <c r="R128" s="9">
        <v>27.363</v>
      </c>
      <c r="S128" s="9">
        <v>37.228000000000002</v>
      </c>
    </row>
    <row r="129" spans="1:19" x14ac:dyDescent="0.35">
      <c r="A129" s="6">
        <f>vals_ghg_incLUC!$A129</f>
        <v>1976</v>
      </c>
      <c r="B129" s="7">
        <f t="shared" si="24"/>
        <v>30.906544775763724</v>
      </c>
      <c r="C129" s="7">
        <f t="shared" si="25"/>
        <v>33.714382736007195</v>
      </c>
      <c r="D129" s="7">
        <f t="shared" si="26"/>
        <v>42.004988860902913</v>
      </c>
      <c r="E129" s="7">
        <f t="shared" si="27"/>
        <v>43.21252181867564</v>
      </c>
      <c r="F129" s="7">
        <f t="shared" si="28"/>
        <v>2.8078379602434715</v>
      </c>
      <c r="G129" s="7">
        <f t="shared" si="29"/>
        <v>0</v>
      </c>
      <c r="H129" s="7">
        <f t="shared" si="30"/>
        <v>8.2906061248957172</v>
      </c>
      <c r="I129" s="8">
        <f>vals_ghg_incLUC!$R129</f>
        <v>30.906544775763724</v>
      </c>
      <c r="J129" s="8">
        <f>vals_ghg_incLUC!$X129</f>
        <v>33.714382736007195</v>
      </c>
      <c r="K129" s="8" t="e">
        <f>vals_ghg_incLUC!$AD129</f>
        <v>#N/A</v>
      </c>
      <c r="L129" s="8"/>
      <c r="M129" s="8">
        <f>vals_ghg_incLUC!$S129</f>
        <v>42.004988860902913</v>
      </c>
      <c r="N129" s="8">
        <f>vals_ghg_incLUC!$Y129</f>
        <v>43.21252181867564</v>
      </c>
      <c r="O129" s="8" t="e">
        <f>vals_ghg_incLUC!$AE129</f>
        <v>#N/A</v>
      </c>
      <c r="P129" s="8"/>
      <c r="Q129" s="9">
        <f t="shared" si="31"/>
        <v>1.2075329577727274</v>
      </c>
      <c r="R129" s="9">
        <v>27.201000000000001</v>
      </c>
      <c r="S129" s="9">
        <v>36.97</v>
      </c>
    </row>
    <row r="130" spans="1:19" x14ac:dyDescent="0.35">
      <c r="A130" s="3">
        <f>vals_ghg_incLUC!$A130</f>
        <v>1977</v>
      </c>
      <c r="B130" s="4">
        <f t="shared" si="24"/>
        <v>30.762742581151571</v>
      </c>
      <c r="C130" s="4">
        <f t="shared" si="25"/>
        <v>33.57707581148118</v>
      </c>
      <c r="D130" s="4">
        <f t="shared" si="26"/>
        <v>41.77214996431654</v>
      </c>
      <c r="E130" s="4">
        <f t="shared" si="27"/>
        <v>42.934180599301861</v>
      </c>
      <c r="F130" s="4">
        <f t="shared" si="28"/>
        <v>2.8143332303296091</v>
      </c>
      <c r="G130" s="4">
        <f t="shared" si="29"/>
        <v>0</v>
      </c>
      <c r="H130" s="4">
        <f t="shared" si="30"/>
        <v>8.1950741528353603</v>
      </c>
      <c r="I130" s="5">
        <f>vals_ghg_incLUC!$R130</f>
        <v>30.762742581151571</v>
      </c>
      <c r="J130" s="5">
        <f>vals_ghg_incLUC!$X130</f>
        <v>33.57707581148118</v>
      </c>
      <c r="K130" s="5" t="e">
        <f>vals_ghg_incLUC!$AD130</f>
        <v>#N/A</v>
      </c>
      <c r="L130" s="5"/>
      <c r="M130" s="5">
        <f>vals_ghg_incLUC!$S130</f>
        <v>41.77214996431654</v>
      </c>
      <c r="N130" s="5">
        <f>vals_ghg_incLUC!$Y130</f>
        <v>42.934180599301861</v>
      </c>
      <c r="O130" s="5" t="e">
        <f>vals_ghg_incLUC!$AE130</f>
        <v>#N/A</v>
      </c>
      <c r="P130" s="5"/>
      <c r="Q130" s="9">
        <f t="shared" si="31"/>
        <v>1.1620306349853209</v>
      </c>
      <c r="R130" s="9">
        <v>27.027999999999999</v>
      </c>
      <c r="S130" s="9">
        <v>36.692999999999998</v>
      </c>
    </row>
    <row r="131" spans="1:19" x14ac:dyDescent="0.35">
      <c r="A131" s="6">
        <f>vals_ghg_incLUC!$A131</f>
        <v>1978</v>
      </c>
      <c r="B131" s="7">
        <f t="shared" ref="B131:B162" si="32">IFERROR(_xlfn.AGGREGATE(5,6,I131:L131),"")</f>
        <v>30.620411046249391</v>
      </c>
      <c r="C131" s="7">
        <f t="shared" ref="C131:C162" si="33">IFERROR(_xlfn.AGGREGATE(4,6,I131:L131),"")</f>
        <v>33.441544662287832</v>
      </c>
      <c r="D131" s="7">
        <f t="shared" ref="D131:D162" si="34">IFERROR(_xlfn.AGGREGATE(5,6,M131:P131),"")</f>
        <v>41.537773425803607</v>
      </c>
      <c r="E131" s="7">
        <f t="shared" ref="E131:E162" si="35">IFERROR(_xlfn.AGGREGATE(4,6,M131:P131),"")</f>
        <v>42.648596945558303</v>
      </c>
      <c r="F131" s="7">
        <f t="shared" ref="F131:F162" si="36">IFERROR(MIN(C131,D131)-B131,"")</f>
        <v>2.8211336160384413</v>
      </c>
      <c r="G131" s="7">
        <f t="shared" ref="G131:G162" si="37">IFERROR(MAX(0,C131-D131),"")</f>
        <v>0</v>
      </c>
      <c r="H131" s="7">
        <f t="shared" ref="H131:H162" si="38">IFERROR(MAX(0,D131-C131),"")</f>
        <v>8.096228763515775</v>
      </c>
      <c r="I131" s="8">
        <f>vals_ghg_incLUC!$R131</f>
        <v>30.620411046249391</v>
      </c>
      <c r="J131" s="8">
        <f>vals_ghg_incLUC!$X131</f>
        <v>33.441544662287832</v>
      </c>
      <c r="K131" s="8" t="e">
        <f>vals_ghg_incLUC!$AD131</f>
        <v>#N/A</v>
      </c>
      <c r="L131" s="8"/>
      <c r="M131" s="8">
        <f>vals_ghg_incLUC!$S131</f>
        <v>41.537773425803607</v>
      </c>
      <c r="N131" s="8">
        <f>vals_ghg_incLUC!$Y131</f>
        <v>42.648596945558303</v>
      </c>
      <c r="O131" s="8" t="e">
        <f>vals_ghg_incLUC!$AE131</f>
        <v>#N/A</v>
      </c>
      <c r="P131" s="8"/>
      <c r="Q131" s="9">
        <f t="shared" ref="Q131:Q162" si="39">IFERROR(MAX(0,$E131-MAX($C131,$D131)),"")</f>
        <v>1.1108235197546961</v>
      </c>
      <c r="R131" s="9">
        <v>26.859000000000002</v>
      </c>
      <c r="S131" s="9">
        <v>36.414999999999999</v>
      </c>
    </row>
    <row r="132" spans="1:19" x14ac:dyDescent="0.35">
      <c r="A132" s="3">
        <f>vals_ghg_incLUC!$A132</f>
        <v>1979</v>
      </c>
      <c r="B132" s="4">
        <f t="shared" si="32"/>
        <v>30.480042705884252</v>
      </c>
      <c r="C132" s="4">
        <f t="shared" si="33"/>
        <v>33.30086537123757</v>
      </c>
      <c r="D132" s="4">
        <f t="shared" si="34"/>
        <v>41.297229174827301</v>
      </c>
      <c r="E132" s="4">
        <f t="shared" si="35"/>
        <v>42.347789548295701</v>
      </c>
      <c r="F132" s="4">
        <f t="shared" si="36"/>
        <v>2.8208226653533188</v>
      </c>
      <c r="G132" s="4">
        <f t="shared" si="37"/>
        <v>0</v>
      </c>
      <c r="H132" s="4">
        <f t="shared" si="38"/>
        <v>7.9963638035897304</v>
      </c>
      <c r="I132" s="5">
        <f>vals_ghg_incLUC!$R132</f>
        <v>30.480042705884252</v>
      </c>
      <c r="J132" s="5">
        <f>vals_ghg_incLUC!$X132</f>
        <v>33.30086537123757</v>
      </c>
      <c r="K132" s="5" t="e">
        <f>vals_ghg_incLUC!$AD132</f>
        <v>#N/A</v>
      </c>
      <c r="L132" s="5"/>
      <c r="M132" s="5">
        <f>vals_ghg_incLUC!$S132</f>
        <v>41.297229174827301</v>
      </c>
      <c r="N132" s="5">
        <f>vals_ghg_incLUC!$Y132</f>
        <v>42.347789548295701</v>
      </c>
      <c r="O132" s="5" t="e">
        <f>vals_ghg_incLUC!$AE132</f>
        <v>#N/A</v>
      </c>
      <c r="P132" s="5"/>
      <c r="Q132" s="9">
        <f t="shared" si="39"/>
        <v>1.0505603734684001</v>
      </c>
      <c r="R132" s="9">
        <v>26.692</v>
      </c>
      <c r="S132" s="9">
        <v>36.128</v>
      </c>
    </row>
    <row r="133" spans="1:19" x14ac:dyDescent="0.35">
      <c r="A133" s="6">
        <f>vals_ghg_incLUC!$A133</f>
        <v>1980</v>
      </c>
      <c r="B133" s="7">
        <f t="shared" si="32"/>
        <v>30.320357149093567</v>
      </c>
      <c r="C133" s="7">
        <f t="shared" si="33"/>
        <v>33.148599525623581</v>
      </c>
      <c r="D133" s="7">
        <f t="shared" si="34"/>
        <v>41.034540518382904</v>
      </c>
      <c r="E133" s="7">
        <f t="shared" si="35"/>
        <v>42.030691010614717</v>
      </c>
      <c r="F133" s="7">
        <f t="shared" si="36"/>
        <v>2.8282423765300138</v>
      </c>
      <c r="G133" s="7">
        <f t="shared" si="37"/>
        <v>0</v>
      </c>
      <c r="H133" s="7">
        <f t="shared" si="38"/>
        <v>7.8859409927593234</v>
      </c>
      <c r="I133" s="8">
        <f>vals_ghg_incLUC!$R133</f>
        <v>30.320357149093567</v>
      </c>
      <c r="J133" s="8">
        <f>vals_ghg_incLUC!$X133</f>
        <v>33.148599525623581</v>
      </c>
      <c r="K133" s="8" t="e">
        <f>vals_ghg_incLUC!$AD133</f>
        <v>#N/A</v>
      </c>
      <c r="L133" s="8"/>
      <c r="M133" s="8">
        <f>vals_ghg_incLUC!$S133</f>
        <v>41.034540518382904</v>
      </c>
      <c r="N133" s="8">
        <f>vals_ghg_incLUC!$Y133</f>
        <v>42.030691010614717</v>
      </c>
      <c r="O133" s="8" t="e">
        <f>vals_ghg_incLUC!$AE133</f>
        <v>#N/A</v>
      </c>
      <c r="P133" s="8"/>
      <c r="Q133" s="9">
        <f t="shared" si="39"/>
        <v>0.99615049223181273</v>
      </c>
      <c r="R133" s="9">
        <v>26.498000000000001</v>
      </c>
      <c r="S133" s="9">
        <v>35.808999999999997</v>
      </c>
    </row>
    <row r="134" spans="1:19" x14ac:dyDescent="0.35">
      <c r="A134" s="3">
        <f>vals_ghg_incLUC!$A134</f>
        <v>1981</v>
      </c>
      <c r="B134" s="4">
        <f t="shared" si="32"/>
        <v>30.169069881714272</v>
      </c>
      <c r="C134" s="4">
        <f t="shared" si="33"/>
        <v>33.007124664891599</v>
      </c>
      <c r="D134" s="4">
        <f t="shared" si="34"/>
        <v>40.76314120350284</v>
      </c>
      <c r="E134" s="4">
        <f t="shared" si="35"/>
        <v>41.708327034474394</v>
      </c>
      <c r="F134" s="4">
        <f t="shared" si="36"/>
        <v>2.8380547831773271</v>
      </c>
      <c r="G134" s="4">
        <f t="shared" si="37"/>
        <v>0</v>
      </c>
      <c r="H134" s="4">
        <f t="shared" si="38"/>
        <v>7.7560165386112416</v>
      </c>
      <c r="I134" s="5">
        <f>vals_ghg_incLUC!$R134</f>
        <v>30.169069881714272</v>
      </c>
      <c r="J134" s="5">
        <f>vals_ghg_incLUC!$X134</f>
        <v>33.007124664891599</v>
      </c>
      <c r="K134" s="5" t="e">
        <f>vals_ghg_incLUC!$AD134</f>
        <v>#N/A</v>
      </c>
      <c r="L134" s="5"/>
      <c r="M134" s="5">
        <f>vals_ghg_incLUC!$S134</f>
        <v>40.76314120350284</v>
      </c>
      <c r="N134" s="5">
        <f>vals_ghg_incLUC!$Y134</f>
        <v>41.708327034474394</v>
      </c>
      <c r="O134" s="5" t="e">
        <f>vals_ghg_incLUC!$AE134</f>
        <v>#N/A</v>
      </c>
      <c r="P134" s="5"/>
      <c r="Q134" s="9">
        <f t="shared" si="39"/>
        <v>0.94518583097155329</v>
      </c>
      <c r="R134" s="9">
        <v>26.309000000000001</v>
      </c>
      <c r="S134" s="9">
        <v>35.475000000000001</v>
      </c>
    </row>
    <row r="135" spans="1:19" x14ac:dyDescent="0.35">
      <c r="A135" s="6">
        <f>vals_ghg_incLUC!$A135</f>
        <v>1982</v>
      </c>
      <c r="B135" s="7">
        <f t="shared" si="32"/>
        <v>30.02308342647088</v>
      </c>
      <c r="C135" s="7">
        <f t="shared" si="33"/>
        <v>32.873917921923336</v>
      </c>
      <c r="D135" s="7">
        <f t="shared" si="34"/>
        <v>40.50173534458542</v>
      </c>
      <c r="E135" s="7">
        <f t="shared" si="35"/>
        <v>41.392576377095338</v>
      </c>
      <c r="F135" s="7">
        <f t="shared" si="36"/>
        <v>2.8508344954524567</v>
      </c>
      <c r="G135" s="7">
        <f t="shared" si="37"/>
        <v>0</v>
      </c>
      <c r="H135" s="7">
        <f t="shared" si="38"/>
        <v>7.6278174226620834</v>
      </c>
      <c r="I135" s="8">
        <f>vals_ghg_incLUC!$R135</f>
        <v>30.02308342647088</v>
      </c>
      <c r="J135" s="8">
        <f>vals_ghg_incLUC!$X135</f>
        <v>32.873917921923336</v>
      </c>
      <c r="K135" s="8" t="e">
        <f>vals_ghg_incLUC!$AD135</f>
        <v>#N/A</v>
      </c>
      <c r="L135" s="8"/>
      <c r="M135" s="8">
        <f>vals_ghg_incLUC!$S135</f>
        <v>40.50173534458542</v>
      </c>
      <c r="N135" s="8">
        <f>vals_ghg_incLUC!$Y135</f>
        <v>41.392576377095338</v>
      </c>
      <c r="O135" s="8" t="e">
        <f>vals_ghg_incLUC!$AE135</f>
        <v>#N/A</v>
      </c>
      <c r="P135" s="8"/>
      <c r="Q135" s="9">
        <f t="shared" si="39"/>
        <v>0.89084103250991831</v>
      </c>
      <c r="R135" s="9">
        <v>26.126000000000001</v>
      </c>
      <c r="S135" s="9">
        <v>35.15</v>
      </c>
    </row>
    <row r="136" spans="1:19" x14ac:dyDescent="0.35">
      <c r="A136" s="3">
        <f>vals_ghg_incLUC!$A136</f>
        <v>1983</v>
      </c>
      <c r="B136" s="4">
        <f t="shared" si="32"/>
        <v>29.892310880651323</v>
      </c>
      <c r="C136" s="4">
        <f t="shared" si="33"/>
        <v>32.777966601813624</v>
      </c>
      <c r="D136" s="4">
        <f t="shared" si="34"/>
        <v>40.243357337947401</v>
      </c>
      <c r="E136" s="4">
        <f t="shared" si="35"/>
        <v>41.104188495915928</v>
      </c>
      <c r="F136" s="4">
        <f t="shared" si="36"/>
        <v>2.8856557211623013</v>
      </c>
      <c r="G136" s="4">
        <f t="shared" si="37"/>
        <v>0</v>
      </c>
      <c r="H136" s="4">
        <f t="shared" si="38"/>
        <v>7.4653907361337772</v>
      </c>
      <c r="I136" s="5">
        <f>vals_ghg_incLUC!$R136</f>
        <v>29.892310880651323</v>
      </c>
      <c r="J136" s="5">
        <f>vals_ghg_incLUC!$X136</f>
        <v>32.777966601813624</v>
      </c>
      <c r="K136" s="5" t="e">
        <f>vals_ghg_incLUC!$AD136</f>
        <v>#N/A</v>
      </c>
      <c r="L136" s="5"/>
      <c r="M136" s="5">
        <f>vals_ghg_incLUC!$S136</f>
        <v>40.243357337947401</v>
      </c>
      <c r="N136" s="5">
        <f>vals_ghg_incLUC!$Y136</f>
        <v>41.104188495915928</v>
      </c>
      <c r="O136" s="5" t="e">
        <f>vals_ghg_incLUC!$AE136</f>
        <v>#N/A</v>
      </c>
      <c r="P136" s="5"/>
      <c r="Q136" s="9">
        <f t="shared" si="39"/>
        <v>0.86083115796852638</v>
      </c>
      <c r="R136" s="9">
        <v>25.965</v>
      </c>
      <c r="S136" s="9">
        <v>34.834000000000003</v>
      </c>
    </row>
    <row r="137" spans="1:19" x14ac:dyDescent="0.35">
      <c r="A137" s="6">
        <f>vals_ghg_incLUC!$A137</f>
        <v>1984</v>
      </c>
      <c r="B137" s="7">
        <f t="shared" si="32"/>
        <v>29.76715189064026</v>
      </c>
      <c r="C137" s="7">
        <f t="shared" si="33"/>
        <v>32.691866098556979</v>
      </c>
      <c r="D137" s="7">
        <f t="shared" si="34"/>
        <v>39.9856251734913</v>
      </c>
      <c r="E137" s="7">
        <f t="shared" si="35"/>
        <v>40.815747027803717</v>
      </c>
      <c r="F137" s="7">
        <f t="shared" si="36"/>
        <v>2.9247142079167183</v>
      </c>
      <c r="G137" s="7">
        <f t="shared" si="37"/>
        <v>0</v>
      </c>
      <c r="H137" s="7">
        <f t="shared" si="38"/>
        <v>7.2937590749343215</v>
      </c>
      <c r="I137" s="8">
        <f>vals_ghg_incLUC!$R137</f>
        <v>29.76715189064026</v>
      </c>
      <c r="J137" s="8">
        <f>vals_ghg_incLUC!$X137</f>
        <v>32.691866098556979</v>
      </c>
      <c r="K137" s="8" t="e">
        <f>vals_ghg_incLUC!$AD137</f>
        <v>#N/A</v>
      </c>
      <c r="L137" s="8"/>
      <c r="M137" s="8">
        <f>vals_ghg_incLUC!$S137</f>
        <v>39.9856251734913</v>
      </c>
      <c r="N137" s="8">
        <f>vals_ghg_incLUC!$Y137</f>
        <v>40.815747027803717</v>
      </c>
      <c r="O137" s="8" t="e">
        <f>vals_ghg_incLUC!$AE137</f>
        <v>#N/A</v>
      </c>
      <c r="P137" s="8"/>
      <c r="Q137" s="9">
        <f t="shared" si="39"/>
        <v>0.83012185431241647</v>
      </c>
      <c r="R137" s="9">
        <v>25.821999999999999</v>
      </c>
      <c r="S137" s="9">
        <v>34.529000000000003</v>
      </c>
    </row>
    <row r="138" spans="1:19" x14ac:dyDescent="0.35">
      <c r="A138" s="3">
        <f>vals_ghg_incLUC!$A138</f>
        <v>1985</v>
      </c>
      <c r="B138" s="4">
        <f t="shared" si="32"/>
        <v>29.646045650980806</v>
      </c>
      <c r="C138" s="4">
        <f t="shared" si="33"/>
        <v>32.604427096377719</v>
      </c>
      <c r="D138" s="4">
        <f t="shared" si="34"/>
        <v>39.729821292568651</v>
      </c>
      <c r="E138" s="4">
        <f t="shared" si="35"/>
        <v>40.517118425159445</v>
      </c>
      <c r="F138" s="4">
        <f t="shared" si="36"/>
        <v>2.9583814453969133</v>
      </c>
      <c r="G138" s="4">
        <f t="shared" si="37"/>
        <v>0</v>
      </c>
      <c r="H138" s="4">
        <f t="shared" si="38"/>
        <v>7.125394196190932</v>
      </c>
      <c r="I138" s="5">
        <f>vals_ghg_incLUC!$R138</f>
        <v>29.646045650980806</v>
      </c>
      <c r="J138" s="5">
        <f>vals_ghg_incLUC!$X138</f>
        <v>32.604427096377719</v>
      </c>
      <c r="K138" s="5" t="e">
        <f>vals_ghg_incLUC!$AD138</f>
        <v>#N/A</v>
      </c>
      <c r="L138" s="5"/>
      <c r="M138" s="5">
        <f>vals_ghg_incLUC!$S138</f>
        <v>39.729821292568651</v>
      </c>
      <c r="N138" s="5">
        <f>vals_ghg_incLUC!$Y138</f>
        <v>40.517118425159445</v>
      </c>
      <c r="O138" s="5" t="e">
        <f>vals_ghg_incLUC!$AE138</f>
        <v>#N/A</v>
      </c>
      <c r="P138" s="5"/>
      <c r="Q138" s="9">
        <f t="shared" si="39"/>
        <v>0.78729713259079404</v>
      </c>
      <c r="R138" s="9">
        <v>25.686</v>
      </c>
      <c r="S138" s="9">
        <v>34.225000000000001</v>
      </c>
    </row>
    <row r="139" spans="1:19" x14ac:dyDescent="0.35">
      <c r="A139" s="6">
        <f>vals_ghg_incLUC!$A139</f>
        <v>1986</v>
      </c>
      <c r="B139" s="7">
        <f t="shared" si="32"/>
        <v>29.536524539944281</v>
      </c>
      <c r="C139" s="7">
        <f t="shared" si="33"/>
        <v>32.527270296459541</v>
      </c>
      <c r="D139" s="7">
        <f t="shared" si="34"/>
        <v>39.470006583789072</v>
      </c>
      <c r="E139" s="7">
        <f t="shared" si="35"/>
        <v>40.205880092436516</v>
      </c>
      <c r="F139" s="7">
        <f t="shared" si="36"/>
        <v>2.9907457565152598</v>
      </c>
      <c r="G139" s="7">
        <f t="shared" si="37"/>
        <v>0</v>
      </c>
      <c r="H139" s="7">
        <f t="shared" si="38"/>
        <v>6.9427362873295309</v>
      </c>
      <c r="I139" s="8">
        <f>vals_ghg_incLUC!$R139</f>
        <v>29.536524539944281</v>
      </c>
      <c r="J139" s="8">
        <f>vals_ghg_incLUC!$X139</f>
        <v>32.527270296459541</v>
      </c>
      <c r="K139" s="8" t="e">
        <f>vals_ghg_incLUC!$AD139</f>
        <v>#N/A</v>
      </c>
      <c r="L139" s="8"/>
      <c r="M139" s="8">
        <f>vals_ghg_incLUC!$S139</f>
        <v>39.470006583789072</v>
      </c>
      <c r="N139" s="8">
        <f>vals_ghg_incLUC!$Y139</f>
        <v>40.205880092436516</v>
      </c>
      <c r="O139" s="8" t="e">
        <f>vals_ghg_incLUC!$AE139</f>
        <v>#N/A</v>
      </c>
      <c r="P139" s="8"/>
      <c r="Q139" s="9">
        <f t="shared" si="39"/>
        <v>0.73587350864744394</v>
      </c>
      <c r="R139" s="9">
        <v>25.558</v>
      </c>
      <c r="S139" s="9">
        <v>33.908999999999999</v>
      </c>
    </row>
    <row r="140" spans="1:19" x14ac:dyDescent="0.35">
      <c r="A140" s="3">
        <f>vals_ghg_incLUC!$A140</f>
        <v>1987</v>
      </c>
      <c r="B140" s="4">
        <f t="shared" si="32"/>
        <v>29.43854889755762</v>
      </c>
      <c r="C140" s="4">
        <f t="shared" si="33"/>
        <v>32.459189878715712</v>
      </c>
      <c r="D140" s="4">
        <f t="shared" si="34"/>
        <v>39.216909848269495</v>
      </c>
      <c r="E140" s="4">
        <f t="shared" si="35"/>
        <v>39.889363992335241</v>
      </c>
      <c r="F140" s="4">
        <f t="shared" si="36"/>
        <v>3.0206409811580919</v>
      </c>
      <c r="G140" s="4">
        <f t="shared" si="37"/>
        <v>0</v>
      </c>
      <c r="H140" s="4">
        <f t="shared" si="38"/>
        <v>6.7577199695537828</v>
      </c>
      <c r="I140" s="5">
        <f>vals_ghg_incLUC!$R140</f>
        <v>29.43854889755762</v>
      </c>
      <c r="J140" s="5">
        <f>vals_ghg_incLUC!$X140</f>
        <v>32.459189878715712</v>
      </c>
      <c r="K140" s="5" t="e">
        <f>vals_ghg_incLUC!$AD140</f>
        <v>#N/A</v>
      </c>
      <c r="L140" s="5"/>
      <c r="M140" s="5">
        <f>vals_ghg_incLUC!$S140</f>
        <v>39.216909848269495</v>
      </c>
      <c r="N140" s="5">
        <f>vals_ghg_incLUC!$Y140</f>
        <v>39.889363992335241</v>
      </c>
      <c r="O140" s="5" t="e">
        <f>vals_ghg_incLUC!$AE140</f>
        <v>#N/A</v>
      </c>
      <c r="P140" s="5"/>
      <c r="Q140" s="9">
        <f t="shared" si="39"/>
        <v>0.67245414406574611</v>
      </c>
      <c r="R140" s="9">
        <v>25.440999999999999</v>
      </c>
      <c r="S140" s="9">
        <v>33.594999999999999</v>
      </c>
    </row>
    <row r="141" spans="1:19" x14ac:dyDescent="0.35">
      <c r="A141" s="6">
        <f>vals_ghg_incLUC!$A141</f>
        <v>1988</v>
      </c>
      <c r="B141" s="7">
        <f t="shared" si="32"/>
        <v>29.328443312140788</v>
      </c>
      <c r="C141" s="7">
        <f t="shared" si="33"/>
        <v>32.387591978935575</v>
      </c>
      <c r="D141" s="7">
        <f t="shared" si="34"/>
        <v>38.946443215568124</v>
      </c>
      <c r="E141" s="7">
        <f t="shared" si="35"/>
        <v>39.557623479177039</v>
      </c>
      <c r="F141" s="7">
        <f t="shared" si="36"/>
        <v>3.0591486667947869</v>
      </c>
      <c r="G141" s="7">
        <f t="shared" si="37"/>
        <v>0</v>
      </c>
      <c r="H141" s="7">
        <f t="shared" si="38"/>
        <v>6.5588512366325489</v>
      </c>
      <c r="I141" s="8">
        <f>vals_ghg_incLUC!$R141</f>
        <v>29.328443312140788</v>
      </c>
      <c r="J141" s="8">
        <f>vals_ghg_incLUC!$X141</f>
        <v>32.387591978935575</v>
      </c>
      <c r="K141" s="8" t="e">
        <f>vals_ghg_incLUC!$AD141</f>
        <v>#N/A</v>
      </c>
      <c r="L141" s="8"/>
      <c r="M141" s="8">
        <f>vals_ghg_incLUC!$S141</f>
        <v>38.946443215568124</v>
      </c>
      <c r="N141" s="8">
        <f>vals_ghg_incLUC!$Y141</f>
        <v>39.557623479177039</v>
      </c>
      <c r="O141" s="8" t="e">
        <f>vals_ghg_incLUC!$AE141</f>
        <v>#N/A</v>
      </c>
      <c r="P141" s="8"/>
      <c r="Q141" s="9">
        <f t="shared" si="39"/>
        <v>0.6111802636089152</v>
      </c>
      <c r="R141" s="9">
        <v>25.327000000000002</v>
      </c>
      <c r="S141" s="9">
        <v>33.276000000000003</v>
      </c>
    </row>
    <row r="142" spans="1:19" x14ac:dyDescent="0.35">
      <c r="A142" s="3">
        <f>vals_ghg_incLUC!$A142</f>
        <v>1989</v>
      </c>
      <c r="B142" s="4">
        <f t="shared" si="32"/>
        <v>29.204601422716063</v>
      </c>
      <c r="C142" s="4">
        <f t="shared" si="33"/>
        <v>32.308023850577719</v>
      </c>
      <c r="D142" s="4">
        <f t="shared" si="34"/>
        <v>38.657086164549114</v>
      </c>
      <c r="E142" s="4">
        <f t="shared" si="35"/>
        <v>39.20842809924158</v>
      </c>
      <c r="F142" s="4">
        <f t="shared" si="36"/>
        <v>3.1034224278616556</v>
      </c>
      <c r="G142" s="4">
        <f t="shared" si="37"/>
        <v>0</v>
      </c>
      <c r="H142" s="4">
        <f t="shared" si="38"/>
        <v>6.3490623139713946</v>
      </c>
      <c r="I142" s="5">
        <f>vals_ghg_incLUC!$R142</f>
        <v>29.204601422716063</v>
      </c>
      <c r="J142" s="5">
        <f>vals_ghg_incLUC!$X142</f>
        <v>32.308023850577719</v>
      </c>
      <c r="K142" s="5" t="e">
        <f>vals_ghg_incLUC!$AD142</f>
        <v>#N/A</v>
      </c>
      <c r="L142" s="5"/>
      <c r="M142" s="5">
        <f>vals_ghg_incLUC!$S142</f>
        <v>38.657086164549114</v>
      </c>
      <c r="N142" s="5">
        <f>vals_ghg_incLUC!$Y142</f>
        <v>39.20842809924158</v>
      </c>
      <c r="O142" s="5" t="e">
        <f>vals_ghg_incLUC!$AE142</f>
        <v>#N/A</v>
      </c>
      <c r="P142" s="5"/>
      <c r="Q142" s="9">
        <f t="shared" si="39"/>
        <v>0.5513419346924664</v>
      </c>
      <c r="R142" s="9">
        <v>25.210999999999999</v>
      </c>
      <c r="S142" s="9">
        <v>32.947000000000003</v>
      </c>
    </row>
    <row r="143" spans="1:19" x14ac:dyDescent="0.35">
      <c r="A143" s="6">
        <f>vals_ghg_incLUC!$A143</f>
        <v>1990</v>
      </c>
      <c r="B143" s="7">
        <f t="shared" si="32"/>
        <v>29.066637793101506</v>
      </c>
      <c r="C143" s="7">
        <f t="shared" si="33"/>
        <v>32.220186863502157</v>
      </c>
      <c r="D143" s="7">
        <f t="shared" si="34"/>
        <v>36.032500118886205</v>
      </c>
      <c r="E143" s="7">
        <f t="shared" si="35"/>
        <v>38.847756442128087</v>
      </c>
      <c r="F143" s="7">
        <f t="shared" si="36"/>
        <v>3.1535490704006506</v>
      </c>
      <c r="G143" s="7">
        <f t="shared" si="37"/>
        <v>0</v>
      </c>
      <c r="H143" s="7">
        <f t="shared" si="38"/>
        <v>3.8123132553840477</v>
      </c>
      <c r="I143" s="8">
        <f>vals_ghg_incLUC!$R143</f>
        <v>29.066637793101506</v>
      </c>
      <c r="J143" s="8">
        <f>vals_ghg_incLUC!$X143</f>
        <v>32.220186863502157</v>
      </c>
      <c r="K143" s="8">
        <f>vals_ghg_incLUC!$AD143</f>
        <v>29.692322785701069</v>
      </c>
      <c r="L143" s="8"/>
      <c r="M143" s="8">
        <f>vals_ghg_incLUC!$S143</f>
        <v>38.357513732436814</v>
      </c>
      <c r="N143" s="8">
        <f>vals_ghg_incLUC!$Y143</f>
        <v>38.847756442128087</v>
      </c>
      <c r="O143" s="8">
        <f>vals_ghg_incLUC!$AE143</f>
        <v>36.032500118886205</v>
      </c>
      <c r="P143" s="8"/>
      <c r="Q143" s="9">
        <f t="shared" si="39"/>
        <v>2.8152563232418828</v>
      </c>
      <c r="R143" s="9">
        <v>25.091000000000001</v>
      </c>
      <c r="S143" s="9">
        <v>32.613999999999997</v>
      </c>
    </row>
    <row r="144" spans="1:19" x14ac:dyDescent="0.35">
      <c r="A144" s="3">
        <f>vals_ghg_incLUC!$A144</f>
        <v>1991</v>
      </c>
      <c r="B144" s="4">
        <f t="shared" si="32"/>
        <v>28.898685032153438</v>
      </c>
      <c r="C144" s="4">
        <f t="shared" si="33"/>
        <v>32.078272305568426</v>
      </c>
      <c r="D144" s="4">
        <f t="shared" si="34"/>
        <v>35.66469989627339</v>
      </c>
      <c r="E144" s="4">
        <f t="shared" si="35"/>
        <v>38.495632139224476</v>
      </c>
      <c r="F144" s="4">
        <f t="shared" si="36"/>
        <v>3.1795872734149881</v>
      </c>
      <c r="G144" s="4">
        <f t="shared" si="37"/>
        <v>0</v>
      </c>
      <c r="H144" s="4">
        <f t="shared" si="38"/>
        <v>3.5864275907049645</v>
      </c>
      <c r="I144" s="5">
        <f>vals_ghg_incLUC!$R144</f>
        <v>28.898685032153438</v>
      </c>
      <c r="J144" s="5">
        <f>vals_ghg_incLUC!$X144</f>
        <v>32.078272305568426</v>
      </c>
      <c r="K144" s="5">
        <f>vals_ghg_incLUC!$AD144</f>
        <v>29.501353766941207</v>
      </c>
      <c r="L144" s="5"/>
      <c r="M144" s="5">
        <f>vals_ghg_incLUC!$S144</f>
        <v>38.021285895826772</v>
      </c>
      <c r="N144" s="5">
        <f>vals_ghg_incLUC!$Y144</f>
        <v>38.495632139224476</v>
      </c>
      <c r="O144" s="5">
        <f>vals_ghg_incLUC!$AE144</f>
        <v>35.66469989627339</v>
      </c>
      <c r="P144" s="5"/>
      <c r="Q144" s="9">
        <f t="shared" si="39"/>
        <v>2.8309322429510857</v>
      </c>
      <c r="R144" s="9">
        <v>24.93</v>
      </c>
      <c r="S144" s="9">
        <v>32.229999999999997</v>
      </c>
    </row>
    <row r="145" spans="1:19" x14ac:dyDescent="0.35">
      <c r="A145" s="6">
        <f>vals_ghg_incLUC!$A145</f>
        <v>1992</v>
      </c>
      <c r="B145" s="7">
        <f t="shared" si="32"/>
        <v>28.733420549020721</v>
      </c>
      <c r="C145" s="7">
        <f t="shared" si="33"/>
        <v>31.941862341203819</v>
      </c>
      <c r="D145" s="7">
        <f t="shared" si="34"/>
        <v>35.299896907740624</v>
      </c>
      <c r="E145" s="7">
        <f t="shared" si="35"/>
        <v>38.183976036256013</v>
      </c>
      <c r="F145" s="7">
        <f t="shared" si="36"/>
        <v>3.2084417921830983</v>
      </c>
      <c r="G145" s="7">
        <f t="shared" si="37"/>
        <v>0</v>
      </c>
      <c r="H145" s="7">
        <f t="shared" si="38"/>
        <v>3.358034566536805</v>
      </c>
      <c r="I145" s="8">
        <f>vals_ghg_incLUC!$R145</f>
        <v>28.733420549020721</v>
      </c>
      <c r="J145" s="8">
        <f>vals_ghg_incLUC!$X145</f>
        <v>31.941862341203819</v>
      </c>
      <c r="K145" s="8">
        <f>vals_ghg_incLUC!$AD145</f>
        <v>29.309248098966943</v>
      </c>
      <c r="L145" s="8"/>
      <c r="M145" s="8">
        <f>vals_ghg_incLUC!$S145</f>
        <v>37.704595314127623</v>
      </c>
      <c r="N145" s="8">
        <f>vals_ghg_incLUC!$Y145</f>
        <v>38.183976036256013</v>
      </c>
      <c r="O145" s="8">
        <f>vals_ghg_incLUC!$AE145</f>
        <v>35.299896907740624</v>
      </c>
      <c r="P145" s="8"/>
      <c r="Q145" s="9">
        <f t="shared" si="39"/>
        <v>2.8840791285153884</v>
      </c>
      <c r="R145" s="9">
        <v>24.768000000000001</v>
      </c>
      <c r="S145" s="9">
        <v>31.875</v>
      </c>
    </row>
    <row r="146" spans="1:19" x14ac:dyDescent="0.35">
      <c r="A146" s="3">
        <f>vals_ghg_incLUC!$A146</f>
        <v>1993</v>
      </c>
      <c r="B146" s="4">
        <f t="shared" si="32"/>
        <v>28.549503068423547</v>
      </c>
      <c r="C146" s="4">
        <f t="shared" si="33"/>
        <v>31.78281102511701</v>
      </c>
      <c r="D146" s="4">
        <f t="shared" si="34"/>
        <v>34.953387841670441</v>
      </c>
      <c r="E146" s="4">
        <f t="shared" si="35"/>
        <v>37.892821582216932</v>
      </c>
      <c r="F146" s="4">
        <f t="shared" si="36"/>
        <v>3.2333079566934622</v>
      </c>
      <c r="G146" s="4">
        <f t="shared" si="37"/>
        <v>0</v>
      </c>
      <c r="H146" s="4">
        <f t="shared" si="38"/>
        <v>3.1705768165534316</v>
      </c>
      <c r="I146" s="5">
        <f>vals_ghg_incLUC!$R146</f>
        <v>28.549503068423547</v>
      </c>
      <c r="J146" s="5">
        <f>vals_ghg_incLUC!$X146</f>
        <v>31.78281102511701</v>
      </c>
      <c r="K146" s="5">
        <f>vals_ghg_incLUC!$AD146</f>
        <v>29.109417385587861</v>
      </c>
      <c r="L146" s="5"/>
      <c r="M146" s="5">
        <f>vals_ghg_incLUC!$S146</f>
        <v>37.406974812201511</v>
      </c>
      <c r="N146" s="5">
        <f>vals_ghg_incLUC!$Y146</f>
        <v>37.892821582216932</v>
      </c>
      <c r="O146" s="5">
        <f>vals_ghg_incLUC!$AE146</f>
        <v>34.953387841670441</v>
      </c>
      <c r="P146" s="5"/>
      <c r="Q146" s="9">
        <f t="shared" si="39"/>
        <v>2.939433740546491</v>
      </c>
      <c r="R146" s="9">
        <v>24.588999999999999</v>
      </c>
      <c r="S146" s="9">
        <v>31.555</v>
      </c>
    </row>
    <row r="147" spans="1:19" x14ac:dyDescent="0.35">
      <c r="A147" s="6">
        <f>vals_ghg_incLUC!$A147</f>
        <v>1994</v>
      </c>
      <c r="B147" s="7">
        <f t="shared" si="32"/>
        <v>28.355618279919675</v>
      </c>
      <c r="C147" s="7">
        <f t="shared" si="33"/>
        <v>31.613866523468459</v>
      </c>
      <c r="D147" s="7">
        <f t="shared" si="34"/>
        <v>34.615835833374952</v>
      </c>
      <c r="E147" s="7">
        <f t="shared" si="35"/>
        <v>37.619296519930053</v>
      </c>
      <c r="F147" s="7">
        <f t="shared" si="36"/>
        <v>3.2582482435487847</v>
      </c>
      <c r="G147" s="7">
        <f t="shared" si="37"/>
        <v>0</v>
      </c>
      <c r="H147" s="7">
        <f t="shared" si="38"/>
        <v>3.0019693099064924</v>
      </c>
      <c r="I147" s="8">
        <f>vals_ghg_incLUC!$R147</f>
        <v>28.355618279919675</v>
      </c>
      <c r="J147" s="8">
        <f>vals_ghg_incLUC!$X147</f>
        <v>31.613866523468459</v>
      </c>
      <c r="K147" s="8">
        <f>vals_ghg_incLUC!$AD147</f>
        <v>28.879286626217908</v>
      </c>
      <c r="L147" s="8"/>
      <c r="M147" s="8">
        <f>vals_ghg_incLUC!$S147</f>
        <v>37.114585948236922</v>
      </c>
      <c r="N147" s="8">
        <f>vals_ghg_incLUC!$Y147</f>
        <v>37.619296519930053</v>
      </c>
      <c r="O147" s="8">
        <f>vals_ghg_incLUC!$AE147</f>
        <v>34.615835833374952</v>
      </c>
      <c r="P147" s="8"/>
      <c r="Q147" s="9">
        <f t="shared" si="39"/>
        <v>3.0034606865551012</v>
      </c>
      <c r="R147" s="9">
        <v>24.391999999999999</v>
      </c>
      <c r="S147" s="9">
        <v>31.244</v>
      </c>
    </row>
    <row r="148" spans="1:19" x14ac:dyDescent="0.35">
      <c r="A148" s="3">
        <f>vals_ghg_incLUC!$A148</f>
        <v>1995</v>
      </c>
      <c r="B148" s="4">
        <f t="shared" si="32"/>
        <v>28.165335073890073</v>
      </c>
      <c r="C148" s="4">
        <f t="shared" si="33"/>
        <v>31.356701530844166</v>
      </c>
      <c r="D148" s="4">
        <f t="shared" si="34"/>
        <v>34.271146813048993</v>
      </c>
      <c r="E148" s="4">
        <f t="shared" si="35"/>
        <v>37.292881458938744</v>
      </c>
      <c r="F148" s="4">
        <f t="shared" si="36"/>
        <v>3.1913664569540927</v>
      </c>
      <c r="G148" s="4">
        <f t="shared" si="37"/>
        <v>0</v>
      </c>
      <c r="H148" s="4">
        <f t="shared" si="38"/>
        <v>2.9144452822048272</v>
      </c>
      <c r="I148" s="5">
        <f>vals_ghg_incLUC!$R148</f>
        <v>28.165335073890073</v>
      </c>
      <c r="J148" s="5">
        <f>vals_ghg_incLUC!$X148</f>
        <v>31.356701530844166</v>
      </c>
      <c r="K148" s="5">
        <f>vals_ghg_incLUC!$AD148</f>
        <v>28.634659801602751</v>
      </c>
      <c r="L148" s="5"/>
      <c r="M148" s="5">
        <f>vals_ghg_incLUC!$S148</f>
        <v>36.860837587050732</v>
      </c>
      <c r="N148" s="5">
        <f>vals_ghg_incLUC!$Y148</f>
        <v>37.292881458938744</v>
      </c>
      <c r="O148" s="5">
        <f>vals_ghg_incLUC!$AE148</f>
        <v>34.271146813048993</v>
      </c>
      <c r="P148" s="5"/>
      <c r="Q148" s="9">
        <f t="shared" si="39"/>
        <v>3.0217346458897509</v>
      </c>
      <c r="R148" s="9">
        <v>24.196999999999999</v>
      </c>
      <c r="S148" s="9">
        <v>30.988</v>
      </c>
    </row>
    <row r="149" spans="1:19" x14ac:dyDescent="0.35">
      <c r="A149" s="6">
        <f>vals_ghg_incLUC!$A149</f>
        <v>1996</v>
      </c>
      <c r="B149" s="7">
        <f t="shared" si="32"/>
        <v>27.957913781690319</v>
      </c>
      <c r="C149" s="7">
        <f t="shared" si="33"/>
        <v>31.105801638905913</v>
      </c>
      <c r="D149" s="7">
        <f t="shared" si="34"/>
        <v>33.923217009335829</v>
      </c>
      <c r="E149" s="7">
        <f t="shared" si="35"/>
        <v>36.991664922547848</v>
      </c>
      <c r="F149" s="7">
        <f t="shared" si="36"/>
        <v>3.1478878572155935</v>
      </c>
      <c r="G149" s="7">
        <f t="shared" si="37"/>
        <v>0</v>
      </c>
      <c r="H149" s="7">
        <f t="shared" si="38"/>
        <v>2.8174153704299165</v>
      </c>
      <c r="I149" s="8">
        <f>vals_ghg_incLUC!$R149</f>
        <v>27.957913781690319</v>
      </c>
      <c r="J149" s="8">
        <f>vals_ghg_incLUC!$X149</f>
        <v>31.105801638905913</v>
      </c>
      <c r="K149" s="8">
        <f>vals_ghg_incLUC!$AD149</f>
        <v>28.383523739671766</v>
      </c>
      <c r="L149" s="8"/>
      <c r="M149" s="8">
        <f>vals_ghg_incLUC!$S149</f>
        <v>36.599160368921638</v>
      </c>
      <c r="N149" s="8">
        <f>vals_ghg_incLUC!$Y149</f>
        <v>36.991664922547848</v>
      </c>
      <c r="O149" s="8">
        <f>vals_ghg_incLUC!$AE149</f>
        <v>33.923217009335829</v>
      </c>
      <c r="P149" s="8"/>
      <c r="Q149" s="9">
        <f t="shared" si="39"/>
        <v>3.0684479132120188</v>
      </c>
      <c r="R149" s="9">
        <v>23.989000000000001</v>
      </c>
      <c r="S149" s="9">
        <v>30.74</v>
      </c>
    </row>
    <row r="150" spans="1:19" x14ac:dyDescent="0.35">
      <c r="A150" s="3">
        <f>vals_ghg_incLUC!$A150</f>
        <v>1997</v>
      </c>
      <c r="B150" s="4">
        <f t="shared" si="32"/>
        <v>27.738207243750612</v>
      </c>
      <c r="C150" s="4">
        <f t="shared" si="33"/>
        <v>30.825782938214036</v>
      </c>
      <c r="D150" s="4">
        <f t="shared" si="34"/>
        <v>33.587996169381334</v>
      </c>
      <c r="E150" s="4">
        <f t="shared" si="35"/>
        <v>36.642266732855951</v>
      </c>
      <c r="F150" s="4">
        <f t="shared" si="36"/>
        <v>3.0875756944634247</v>
      </c>
      <c r="G150" s="4">
        <f t="shared" si="37"/>
        <v>0</v>
      </c>
      <c r="H150" s="4">
        <f t="shared" si="38"/>
        <v>2.7622132311672978</v>
      </c>
      <c r="I150" s="5">
        <f>vals_ghg_incLUC!$R150</f>
        <v>27.738207243750612</v>
      </c>
      <c r="J150" s="5">
        <f>vals_ghg_incLUC!$X150</f>
        <v>30.825782938214036</v>
      </c>
      <c r="K150" s="5">
        <f>vals_ghg_incLUC!$AD150</f>
        <v>28.127044586791456</v>
      </c>
      <c r="L150" s="5"/>
      <c r="M150" s="5">
        <f>vals_ghg_incLUC!$S150</f>
        <v>36.304994004171967</v>
      </c>
      <c r="N150" s="5">
        <f>vals_ghg_incLUC!$Y150</f>
        <v>36.642266732855951</v>
      </c>
      <c r="O150" s="5">
        <f>vals_ghg_incLUC!$AE150</f>
        <v>33.587996169381334</v>
      </c>
      <c r="P150" s="5"/>
      <c r="Q150" s="9">
        <f t="shared" si="39"/>
        <v>3.054270563474617</v>
      </c>
      <c r="R150" s="9">
        <v>23.768999999999998</v>
      </c>
      <c r="S150" s="9">
        <v>30.471</v>
      </c>
    </row>
    <row r="151" spans="1:19" x14ac:dyDescent="0.35">
      <c r="A151" s="6">
        <f>vals_ghg_incLUC!$A151</f>
        <v>1998</v>
      </c>
      <c r="B151" s="7">
        <f t="shared" si="32"/>
        <v>27.543257636406288</v>
      </c>
      <c r="C151" s="7">
        <f t="shared" si="33"/>
        <v>30.513550539085944</v>
      </c>
      <c r="D151" s="7">
        <f t="shared" si="34"/>
        <v>33.229170622533374</v>
      </c>
      <c r="E151" s="7">
        <f t="shared" si="35"/>
        <v>36.291967713152005</v>
      </c>
      <c r="F151" s="7">
        <f t="shared" si="36"/>
        <v>2.9702929026796561</v>
      </c>
      <c r="G151" s="7">
        <f t="shared" si="37"/>
        <v>0</v>
      </c>
      <c r="H151" s="7">
        <f t="shared" si="38"/>
        <v>2.7156200834474298</v>
      </c>
      <c r="I151" s="8">
        <f>vals_ghg_incLUC!$R151</f>
        <v>27.543257636406288</v>
      </c>
      <c r="J151" s="8">
        <f>vals_ghg_incLUC!$X151</f>
        <v>30.513550539085944</v>
      </c>
      <c r="K151" s="8">
        <f>vals_ghg_incLUC!$AD151</f>
        <v>27.831953047746715</v>
      </c>
      <c r="L151" s="8"/>
      <c r="M151" s="8">
        <f>vals_ghg_incLUC!$S151</f>
        <v>36.082782341050695</v>
      </c>
      <c r="N151" s="8">
        <f>vals_ghg_incLUC!$Y151</f>
        <v>36.291967713152005</v>
      </c>
      <c r="O151" s="8">
        <f>vals_ghg_incLUC!$AE151</f>
        <v>33.229170622533374</v>
      </c>
      <c r="P151" s="8"/>
      <c r="Q151" s="9">
        <f t="shared" si="39"/>
        <v>3.0627970906186306</v>
      </c>
      <c r="R151" s="9">
        <v>23.556999999999999</v>
      </c>
      <c r="S151" s="9">
        <v>30.266999999999999</v>
      </c>
    </row>
    <row r="152" spans="1:19" x14ac:dyDescent="0.35">
      <c r="A152" s="3">
        <f>vals_ghg_incLUC!$A152</f>
        <v>1999</v>
      </c>
      <c r="B152" s="4">
        <f t="shared" si="32"/>
        <v>27.29878646718139</v>
      </c>
      <c r="C152" s="4">
        <f t="shared" si="33"/>
        <v>30.197729002409133</v>
      </c>
      <c r="D152" s="4">
        <f t="shared" si="34"/>
        <v>32.883022820025985</v>
      </c>
      <c r="E152" s="4">
        <f t="shared" si="35"/>
        <v>35.921839593614955</v>
      </c>
      <c r="F152" s="4">
        <f t="shared" si="36"/>
        <v>2.8989425352277429</v>
      </c>
      <c r="G152" s="4">
        <f t="shared" si="37"/>
        <v>0</v>
      </c>
      <c r="H152" s="4">
        <f t="shared" si="38"/>
        <v>2.6852938176168522</v>
      </c>
      <c r="I152" s="5">
        <f>vals_ghg_incLUC!$R152</f>
        <v>27.29878646718139</v>
      </c>
      <c r="J152" s="5">
        <f>vals_ghg_incLUC!$X152</f>
        <v>30.197729002409133</v>
      </c>
      <c r="K152" s="5">
        <f>vals_ghg_incLUC!$AD152</f>
        <v>27.502714605136465</v>
      </c>
      <c r="L152" s="5"/>
      <c r="M152" s="5">
        <f>vals_ghg_incLUC!$S152</f>
        <v>35.806055021734863</v>
      </c>
      <c r="N152" s="5">
        <f>vals_ghg_incLUC!$Y152</f>
        <v>35.921839593614955</v>
      </c>
      <c r="O152" s="5">
        <f>vals_ghg_incLUC!$AE152</f>
        <v>32.883022820025985</v>
      </c>
      <c r="P152" s="5"/>
      <c r="Q152" s="9">
        <f t="shared" si="39"/>
        <v>3.0388167735889695</v>
      </c>
      <c r="R152" s="9">
        <v>23.291</v>
      </c>
      <c r="S152" s="9">
        <v>30.02</v>
      </c>
    </row>
    <row r="153" spans="1:19" x14ac:dyDescent="0.35">
      <c r="A153" s="6">
        <f>vals_ghg_incLUC!$A153</f>
        <v>2000</v>
      </c>
      <c r="B153" s="7">
        <f t="shared" si="32"/>
        <v>27.036950708133507</v>
      </c>
      <c r="C153" s="7">
        <f t="shared" si="33"/>
        <v>29.854482819907631</v>
      </c>
      <c r="D153" s="7">
        <f t="shared" si="34"/>
        <v>32.497061754828906</v>
      </c>
      <c r="E153" s="7">
        <f t="shared" si="35"/>
        <v>35.564185975174254</v>
      </c>
      <c r="F153" s="7">
        <f t="shared" si="36"/>
        <v>2.8175321117741241</v>
      </c>
      <c r="G153" s="7">
        <f t="shared" si="37"/>
        <v>0</v>
      </c>
      <c r="H153" s="7">
        <f t="shared" si="38"/>
        <v>2.6425789349212749</v>
      </c>
      <c r="I153" s="8">
        <f>vals_ghg_incLUC!$R153</f>
        <v>27.036950708133507</v>
      </c>
      <c r="J153" s="8">
        <f>vals_ghg_incLUC!$X153</f>
        <v>29.854482819907631</v>
      </c>
      <c r="K153" s="8">
        <f>vals_ghg_incLUC!$AD153</f>
        <v>27.174231977429091</v>
      </c>
      <c r="L153" s="8"/>
      <c r="M153" s="8">
        <f>vals_ghg_incLUC!$S153</f>
        <v>35.515272602787945</v>
      </c>
      <c r="N153" s="8">
        <f>vals_ghg_incLUC!$Y153</f>
        <v>35.564185975174254</v>
      </c>
      <c r="O153" s="8">
        <f>vals_ghg_incLUC!$AE153</f>
        <v>32.497061754828906</v>
      </c>
      <c r="P153" s="8"/>
      <c r="Q153" s="9">
        <f t="shared" si="39"/>
        <v>3.0671242203453488</v>
      </c>
      <c r="R153" s="9">
        <v>23.012</v>
      </c>
      <c r="S153" s="9">
        <v>29.77</v>
      </c>
    </row>
    <row r="154" spans="1:19" x14ac:dyDescent="0.35">
      <c r="A154" s="3">
        <f>vals_ghg_incLUC!$A154</f>
        <v>2001</v>
      </c>
      <c r="B154" s="4">
        <f t="shared" si="32"/>
        <v>26.735872828575353</v>
      </c>
      <c r="C154" s="4">
        <f t="shared" si="33"/>
        <v>29.464090174558677</v>
      </c>
      <c r="D154" s="4">
        <f t="shared" si="34"/>
        <v>32.067077715398277</v>
      </c>
      <c r="E154" s="4">
        <f t="shared" si="35"/>
        <v>35.195929871580155</v>
      </c>
      <c r="F154" s="4">
        <f t="shared" si="36"/>
        <v>2.7282173459833245</v>
      </c>
      <c r="G154" s="4">
        <f t="shared" si="37"/>
        <v>0</v>
      </c>
      <c r="H154" s="4">
        <f t="shared" si="38"/>
        <v>2.6029875408395995</v>
      </c>
      <c r="I154" s="5">
        <f>vals_ghg_incLUC!$R154</f>
        <v>26.735872828575353</v>
      </c>
      <c r="J154" s="5">
        <f>vals_ghg_incLUC!$X154</f>
        <v>29.464090174558677</v>
      </c>
      <c r="K154" s="5">
        <f>vals_ghg_incLUC!$AD154</f>
        <v>26.827819206222259</v>
      </c>
      <c r="L154" s="5"/>
      <c r="M154" s="5">
        <f>vals_ghg_incLUC!$S154</f>
        <v>35.195929871580155</v>
      </c>
      <c r="N154" s="5">
        <f>vals_ghg_incLUC!$Y154</f>
        <v>35.150433155071624</v>
      </c>
      <c r="O154" s="5">
        <f>vals_ghg_incLUC!$AE154</f>
        <v>32.067077715398277</v>
      </c>
      <c r="P154" s="5"/>
      <c r="Q154" s="9">
        <f t="shared" si="39"/>
        <v>3.1288521561818783</v>
      </c>
      <c r="R154" s="9">
        <v>22.710999999999999</v>
      </c>
      <c r="S154" s="9">
        <v>29.516999999999999</v>
      </c>
    </row>
    <row r="155" spans="1:19" x14ac:dyDescent="0.35">
      <c r="A155" s="6">
        <f>vals_ghg_incLUC!$A155</f>
        <v>2002</v>
      </c>
      <c r="B155" s="7">
        <f t="shared" si="32"/>
        <v>26.423562554603354</v>
      </c>
      <c r="C155" s="7">
        <f t="shared" si="33"/>
        <v>29.07133443872798</v>
      </c>
      <c r="D155" s="7">
        <f t="shared" si="34"/>
        <v>31.657590604150421</v>
      </c>
      <c r="E155" s="7">
        <f t="shared" si="35"/>
        <v>34.857165659464087</v>
      </c>
      <c r="F155" s="7">
        <f t="shared" si="36"/>
        <v>2.6477718841246265</v>
      </c>
      <c r="G155" s="7">
        <f t="shared" si="37"/>
        <v>0</v>
      </c>
      <c r="H155" s="7">
        <f t="shared" si="38"/>
        <v>2.5862561654224407</v>
      </c>
      <c r="I155" s="8">
        <f>vals_ghg_incLUC!$R155</f>
        <v>26.423562554603354</v>
      </c>
      <c r="J155" s="8">
        <f>vals_ghg_incLUC!$X155</f>
        <v>29.07133443872798</v>
      </c>
      <c r="K155" s="8">
        <f>vals_ghg_incLUC!$AD155</f>
        <v>26.459962913781236</v>
      </c>
      <c r="L155" s="8"/>
      <c r="M155" s="8">
        <f>vals_ghg_incLUC!$S155</f>
        <v>34.857165659464087</v>
      </c>
      <c r="N155" s="8">
        <f>vals_ghg_incLUC!$Y155</f>
        <v>34.739106099246236</v>
      </c>
      <c r="O155" s="8">
        <f>vals_ghg_incLUC!$AE155</f>
        <v>31.657590604150421</v>
      </c>
      <c r="P155" s="8"/>
      <c r="Q155" s="9">
        <f t="shared" si="39"/>
        <v>3.1995750553136659</v>
      </c>
      <c r="R155" s="9">
        <v>22.411999999999999</v>
      </c>
      <c r="S155" s="9">
        <v>29.257999999999999</v>
      </c>
    </row>
    <row r="156" spans="1:19" x14ac:dyDescent="0.35">
      <c r="A156" s="3">
        <f>vals_ghg_incLUC!$A156</f>
        <v>2003</v>
      </c>
      <c r="B156" s="4">
        <f t="shared" si="32"/>
        <v>26.061893541307242</v>
      </c>
      <c r="C156" s="4">
        <f t="shared" si="33"/>
        <v>28.673145306743088</v>
      </c>
      <c r="D156" s="4">
        <f t="shared" si="34"/>
        <v>31.240845110885672</v>
      </c>
      <c r="E156" s="4">
        <f t="shared" si="35"/>
        <v>34.533971908153774</v>
      </c>
      <c r="F156" s="4">
        <f t="shared" si="36"/>
        <v>2.6112517654358456</v>
      </c>
      <c r="G156" s="4">
        <f t="shared" si="37"/>
        <v>0</v>
      </c>
      <c r="H156" s="4">
        <f t="shared" si="38"/>
        <v>2.5676998041425847</v>
      </c>
      <c r="I156" s="5">
        <f>vals_ghg_incLUC!$R156</f>
        <v>26.113003602692842</v>
      </c>
      <c r="J156" s="5">
        <f>vals_ghg_incLUC!$X156</f>
        <v>28.673145306743088</v>
      </c>
      <c r="K156" s="5">
        <f>vals_ghg_incLUC!$AD156</f>
        <v>26.061893541307242</v>
      </c>
      <c r="L156" s="5"/>
      <c r="M156" s="5">
        <f>vals_ghg_incLUC!$S156</f>
        <v>34.533971908153774</v>
      </c>
      <c r="N156" s="5">
        <f>vals_ghg_incLUC!$Y156</f>
        <v>34.327008445479237</v>
      </c>
      <c r="O156" s="5">
        <f>vals_ghg_incLUC!$AE156</f>
        <v>31.240845110885672</v>
      </c>
      <c r="P156" s="5"/>
      <c r="Q156" s="9">
        <f t="shared" si="39"/>
        <v>3.2931267972681013</v>
      </c>
      <c r="R156" s="9">
        <v>22.116</v>
      </c>
      <c r="S156" s="9">
        <v>29.027999999999999</v>
      </c>
    </row>
    <row r="157" spans="1:19" x14ac:dyDescent="0.35">
      <c r="A157" s="6">
        <f>vals_ghg_incLUC!$A157</f>
        <v>2004</v>
      </c>
      <c r="B157" s="7">
        <f t="shared" si="32"/>
        <v>25.708185750467138</v>
      </c>
      <c r="C157" s="7">
        <f t="shared" si="33"/>
        <v>28.319957984325541</v>
      </c>
      <c r="D157" s="7">
        <f t="shared" si="34"/>
        <v>30.834673720378429</v>
      </c>
      <c r="E157" s="7">
        <f t="shared" si="35"/>
        <v>34.230318949576379</v>
      </c>
      <c r="F157" s="7">
        <f t="shared" si="36"/>
        <v>2.6117722338584031</v>
      </c>
      <c r="G157" s="7">
        <f t="shared" si="37"/>
        <v>0</v>
      </c>
      <c r="H157" s="7">
        <f t="shared" si="38"/>
        <v>2.5147157360528887</v>
      </c>
      <c r="I157" s="8">
        <f>vals_ghg_incLUC!$R157</f>
        <v>25.81740469995259</v>
      </c>
      <c r="J157" s="8">
        <f>vals_ghg_incLUC!$X157</f>
        <v>28.319957984325541</v>
      </c>
      <c r="K157" s="8">
        <f>vals_ghg_incLUC!$AD157</f>
        <v>25.708185750467138</v>
      </c>
      <c r="L157" s="8"/>
      <c r="M157" s="8">
        <f>vals_ghg_incLUC!$S157</f>
        <v>34.230318949576379</v>
      </c>
      <c r="N157" s="8">
        <f>vals_ghg_incLUC!$Y157</f>
        <v>33.951716318341617</v>
      </c>
      <c r="O157" s="8">
        <f>vals_ghg_incLUC!$AE157</f>
        <v>30.834673720378429</v>
      </c>
      <c r="P157" s="8"/>
      <c r="Q157" s="9">
        <f t="shared" si="39"/>
        <v>3.3956452291979495</v>
      </c>
      <c r="R157" s="9">
        <v>21.834</v>
      </c>
      <c r="S157" s="9">
        <v>28.821000000000002</v>
      </c>
    </row>
    <row r="158" spans="1:19" x14ac:dyDescent="0.35">
      <c r="A158" s="3">
        <f>vals_ghg_incLUC!$A158</f>
        <v>2005</v>
      </c>
      <c r="B158" s="4">
        <f t="shared" si="32"/>
        <v>25.353859738839162</v>
      </c>
      <c r="C158" s="4">
        <f t="shared" si="33"/>
        <v>27.971896809689795</v>
      </c>
      <c r="D158" s="4">
        <f t="shared" si="34"/>
        <v>30.454259204656996</v>
      </c>
      <c r="E158" s="4">
        <f t="shared" si="35"/>
        <v>33.901514046333304</v>
      </c>
      <c r="F158" s="4">
        <f t="shared" si="36"/>
        <v>2.6180370708506331</v>
      </c>
      <c r="G158" s="4">
        <f t="shared" si="37"/>
        <v>0</v>
      </c>
      <c r="H158" s="4">
        <f t="shared" si="38"/>
        <v>2.4823623949672005</v>
      </c>
      <c r="I158" s="5">
        <f>vals_ghg_incLUC!$R158</f>
        <v>25.494081108184059</v>
      </c>
      <c r="J158" s="5">
        <f>vals_ghg_incLUC!$X158</f>
        <v>27.971896809689795</v>
      </c>
      <c r="K158" s="5">
        <f>vals_ghg_incLUC!$AD158</f>
        <v>25.353859738839162</v>
      </c>
      <c r="L158" s="5"/>
      <c r="M158" s="5">
        <f>vals_ghg_incLUC!$S158</f>
        <v>33.901514046333304</v>
      </c>
      <c r="N158" s="5">
        <f>vals_ghg_incLUC!$Y158</f>
        <v>33.634879099535148</v>
      </c>
      <c r="O158" s="5">
        <f>vals_ghg_incLUC!$AE158</f>
        <v>30.454259204656996</v>
      </c>
      <c r="P158" s="5"/>
      <c r="Q158" s="9">
        <f t="shared" si="39"/>
        <v>3.4472548416763082</v>
      </c>
      <c r="R158" s="9">
        <v>21.521999999999998</v>
      </c>
      <c r="S158" s="9">
        <v>28.600999999999999</v>
      </c>
    </row>
    <row r="159" spans="1:19" x14ac:dyDescent="0.35">
      <c r="A159" s="6">
        <f>vals_ghg_incLUC!$A159</f>
        <v>2006</v>
      </c>
      <c r="B159" s="7">
        <f t="shared" si="32"/>
        <v>25.024632513834614</v>
      </c>
      <c r="C159" s="7">
        <f t="shared" si="33"/>
        <v>27.602782894334606</v>
      </c>
      <c r="D159" s="7">
        <f t="shared" si="34"/>
        <v>30.101212224033837</v>
      </c>
      <c r="E159" s="7">
        <f t="shared" si="35"/>
        <v>33.557560003606248</v>
      </c>
      <c r="F159" s="7">
        <f t="shared" si="36"/>
        <v>2.5781503804999915</v>
      </c>
      <c r="G159" s="7">
        <f t="shared" si="37"/>
        <v>0</v>
      </c>
      <c r="H159" s="7">
        <f t="shared" si="38"/>
        <v>2.4984293296992313</v>
      </c>
      <c r="I159" s="8">
        <f>vals_ghg_incLUC!$R159</f>
        <v>25.158996026575085</v>
      </c>
      <c r="J159" s="8">
        <f>vals_ghg_incLUC!$X159</f>
        <v>27.602782894334606</v>
      </c>
      <c r="K159" s="8">
        <f>vals_ghg_incLUC!$AD159</f>
        <v>25.024632513834614</v>
      </c>
      <c r="L159" s="8"/>
      <c r="M159" s="8">
        <f>vals_ghg_incLUC!$S159</f>
        <v>33.557560003606248</v>
      </c>
      <c r="N159" s="8">
        <f>vals_ghg_incLUC!$Y159</f>
        <v>33.289625138998659</v>
      </c>
      <c r="O159" s="8">
        <f>vals_ghg_incLUC!$AE159</f>
        <v>30.101212224033837</v>
      </c>
      <c r="P159" s="8"/>
      <c r="Q159" s="9">
        <f t="shared" si="39"/>
        <v>3.4563477795724111</v>
      </c>
      <c r="R159" s="9">
        <v>21.224</v>
      </c>
      <c r="S159" s="9">
        <v>28.396000000000001</v>
      </c>
    </row>
    <row r="160" spans="1:19" x14ac:dyDescent="0.35">
      <c r="A160" s="3">
        <f>vals_ghg_incLUC!$A160</f>
        <v>2007</v>
      </c>
      <c r="B160" s="4">
        <f t="shared" si="32"/>
        <v>24.661801781677461</v>
      </c>
      <c r="C160" s="4">
        <f t="shared" si="33"/>
        <v>27.234679081311182</v>
      </c>
      <c r="D160" s="4">
        <f t="shared" si="34"/>
        <v>29.707357412610978</v>
      </c>
      <c r="E160" s="4">
        <f t="shared" si="35"/>
        <v>33.256394439350693</v>
      </c>
      <c r="F160" s="4">
        <f t="shared" si="36"/>
        <v>2.5728772996337206</v>
      </c>
      <c r="G160" s="4">
        <f t="shared" si="37"/>
        <v>0</v>
      </c>
      <c r="H160" s="4">
        <f t="shared" si="38"/>
        <v>2.4726783312997966</v>
      </c>
      <c r="I160" s="5">
        <f>vals_ghg_incLUC!$R160</f>
        <v>24.869744903738518</v>
      </c>
      <c r="J160" s="5">
        <f>vals_ghg_incLUC!$X160</f>
        <v>27.234679081311182</v>
      </c>
      <c r="K160" s="5">
        <f>vals_ghg_incLUC!$AD160</f>
        <v>24.661801781677461</v>
      </c>
      <c r="L160" s="5"/>
      <c r="M160" s="5">
        <f>vals_ghg_incLUC!$S160</f>
        <v>33.256394439350693</v>
      </c>
      <c r="N160" s="5">
        <f>vals_ghg_incLUC!$Y160</f>
        <v>32.940137752999554</v>
      </c>
      <c r="O160" s="5">
        <f>vals_ghg_incLUC!$AE160</f>
        <v>29.707357412610978</v>
      </c>
      <c r="P160" s="5"/>
      <c r="Q160" s="9">
        <f t="shared" si="39"/>
        <v>3.5490370267397147</v>
      </c>
      <c r="R160" s="9">
        <v>20.954999999999998</v>
      </c>
      <c r="S160" s="9">
        <v>28.225999999999999</v>
      </c>
    </row>
    <row r="161" spans="1:19" x14ac:dyDescent="0.35">
      <c r="A161" s="6">
        <f>vals_ghg_incLUC!$A161</f>
        <v>2008</v>
      </c>
      <c r="B161" s="7">
        <f t="shared" si="32"/>
        <v>24.261991584671549</v>
      </c>
      <c r="C161" s="7">
        <f t="shared" si="33"/>
        <v>26.818895569857133</v>
      </c>
      <c r="D161" s="7">
        <f t="shared" si="34"/>
        <v>29.270142706704437</v>
      </c>
      <c r="E161" s="7">
        <f t="shared" si="35"/>
        <v>32.910088960370459</v>
      </c>
      <c r="F161" s="7">
        <f t="shared" si="36"/>
        <v>2.5569039851855848</v>
      </c>
      <c r="G161" s="7">
        <f t="shared" si="37"/>
        <v>0</v>
      </c>
      <c r="H161" s="7">
        <f t="shared" si="38"/>
        <v>2.4512471368473037</v>
      </c>
      <c r="I161" s="8">
        <f>vals_ghg_incLUC!$R161</f>
        <v>24.548068066125481</v>
      </c>
      <c r="J161" s="8">
        <f>vals_ghg_incLUC!$X161</f>
        <v>26.818895569857133</v>
      </c>
      <c r="K161" s="8">
        <f>vals_ghg_incLUC!$AD161</f>
        <v>24.261991584671549</v>
      </c>
      <c r="L161" s="8"/>
      <c r="M161" s="8">
        <f>vals_ghg_incLUC!$S161</f>
        <v>32.910088960370459</v>
      </c>
      <c r="N161" s="8">
        <f>vals_ghg_incLUC!$Y161</f>
        <v>32.547801121657166</v>
      </c>
      <c r="O161" s="8">
        <f>vals_ghg_incLUC!$AE161</f>
        <v>29.270142706704437</v>
      </c>
      <c r="P161" s="8"/>
      <c r="Q161" s="9">
        <f t="shared" si="39"/>
        <v>3.6399462536660216</v>
      </c>
      <c r="R161" s="9">
        <v>20.635999999999999</v>
      </c>
      <c r="S161" s="9">
        <v>28.003</v>
      </c>
    </row>
    <row r="162" spans="1:19" x14ac:dyDescent="0.35">
      <c r="A162" s="3">
        <f>vals_ghg_incLUC!$A162</f>
        <v>2009</v>
      </c>
      <c r="B162" s="4">
        <f t="shared" si="32"/>
        <v>23.942964864669516</v>
      </c>
      <c r="C162" s="4">
        <f t="shared" si="33"/>
        <v>26.438472828689264</v>
      </c>
      <c r="D162" s="4">
        <f t="shared" si="34"/>
        <v>28.898706863962527</v>
      </c>
      <c r="E162" s="4">
        <f t="shared" si="35"/>
        <v>32.594134725532271</v>
      </c>
      <c r="F162" s="4">
        <f t="shared" si="36"/>
        <v>2.4955079640197475</v>
      </c>
      <c r="G162" s="4">
        <f t="shared" si="37"/>
        <v>0</v>
      </c>
      <c r="H162" s="4">
        <f t="shared" si="38"/>
        <v>2.4602340352732632</v>
      </c>
      <c r="I162" s="5">
        <f>vals_ghg_incLUC!$R162</f>
        <v>24.242906931973334</v>
      </c>
      <c r="J162" s="5">
        <f>vals_ghg_incLUC!$X162</f>
        <v>26.438472828689264</v>
      </c>
      <c r="K162" s="5">
        <f>vals_ghg_incLUC!$AD162</f>
        <v>23.942964864669516</v>
      </c>
      <c r="L162" s="5"/>
      <c r="M162" s="5">
        <f>vals_ghg_incLUC!$S162</f>
        <v>32.594134725532271</v>
      </c>
      <c r="N162" s="5">
        <f>vals_ghg_incLUC!$Y162</f>
        <v>32.1836922720763</v>
      </c>
      <c r="O162" s="5">
        <f>vals_ghg_incLUC!$AE162</f>
        <v>28.898706863962527</v>
      </c>
      <c r="P162" s="5"/>
      <c r="Q162" s="9">
        <f t="shared" si="39"/>
        <v>3.695427861569744</v>
      </c>
      <c r="R162" s="9">
        <v>20.332000000000001</v>
      </c>
      <c r="S162" s="9">
        <v>27.818000000000001</v>
      </c>
    </row>
    <row r="163" spans="1:19" x14ac:dyDescent="0.35">
      <c r="A163" s="6">
        <f>vals_ghg_incLUC!$A163</f>
        <v>2010</v>
      </c>
      <c r="B163" s="7">
        <f t="shared" ref="B163:B177" si="40">IFERROR(_xlfn.AGGREGATE(5,6,I163:L163),"")</f>
        <v>23.702611003425371</v>
      </c>
      <c r="C163" s="7">
        <f t="shared" ref="C163:C177" si="41">IFERROR(_xlfn.AGGREGATE(4,6,I163:L163),"")</f>
        <v>26.096473842795316</v>
      </c>
      <c r="D163" s="7">
        <f t="shared" ref="D163:D177" si="42">IFERROR(_xlfn.AGGREGATE(5,6,M163:P163),"")</f>
        <v>28.657871489211438</v>
      </c>
      <c r="E163" s="7">
        <f t="shared" ref="E163:E177" si="43">IFERROR(_xlfn.AGGREGATE(4,6,M163:P163),"")</f>
        <v>32.378190932365364</v>
      </c>
      <c r="F163" s="7">
        <f t="shared" ref="F163:F177" si="44">IFERROR(MIN(C163,D163)-B163,"")</f>
        <v>2.3938628393699446</v>
      </c>
      <c r="G163" s="7">
        <f t="shared" ref="G163:G177" si="45">IFERROR(MAX(0,C163-D163),"")</f>
        <v>0</v>
      </c>
      <c r="H163" s="7">
        <f t="shared" ref="H163:H177" si="46">IFERROR(MAX(0,D163-C163),"")</f>
        <v>2.5613976464161219</v>
      </c>
      <c r="I163" s="8">
        <f>vals_ghg_incLUC!$R163</f>
        <v>24.035908291657858</v>
      </c>
      <c r="J163" s="8">
        <f>vals_ghg_incLUC!$X163</f>
        <v>26.096473842795316</v>
      </c>
      <c r="K163" s="8">
        <f>vals_ghg_incLUC!$AD163</f>
        <v>23.702611003425371</v>
      </c>
      <c r="L163" s="8"/>
      <c r="M163" s="8">
        <f>vals_ghg_incLUC!$S163</f>
        <v>32.378190932365364</v>
      </c>
      <c r="N163" s="8">
        <f>vals_ghg_incLUC!$Y163</f>
        <v>31.901962244189114</v>
      </c>
      <c r="O163" s="8">
        <f>vals_ghg_incLUC!$AE163</f>
        <v>28.657871489211438</v>
      </c>
      <c r="P163" s="8"/>
      <c r="Q163" s="9">
        <f t="shared" ref="Q163:Q177" si="47">IFERROR(MAX(0,$E163-MAX($C163,$D163)),"")</f>
        <v>3.7203194431539259</v>
      </c>
      <c r="R163" s="9">
        <v>20.13</v>
      </c>
      <c r="S163" s="9">
        <v>27.744</v>
      </c>
    </row>
    <row r="164" spans="1:19" x14ac:dyDescent="0.35">
      <c r="A164" s="3">
        <f>vals_ghg_incLUC!$A164</f>
        <v>2011</v>
      </c>
      <c r="B164" s="4">
        <f t="shared" si="40"/>
        <v>23.450558787583589</v>
      </c>
      <c r="C164" s="4">
        <f t="shared" si="41"/>
        <v>25.713001095448718</v>
      </c>
      <c r="D164" s="4">
        <f t="shared" si="42"/>
        <v>28.400586228966279</v>
      </c>
      <c r="E164" s="4">
        <f t="shared" si="43"/>
        <v>32.103037906213757</v>
      </c>
      <c r="F164" s="4">
        <f t="shared" si="44"/>
        <v>2.262442307865129</v>
      </c>
      <c r="G164" s="4">
        <f t="shared" si="45"/>
        <v>0</v>
      </c>
      <c r="H164" s="4">
        <f t="shared" si="46"/>
        <v>2.6875851335175618</v>
      </c>
      <c r="I164" s="5">
        <f>vals_ghg_incLUC!$R164</f>
        <v>23.785746443082495</v>
      </c>
      <c r="J164" s="5">
        <f>vals_ghg_incLUC!$X164</f>
        <v>25.713001095448718</v>
      </c>
      <c r="K164" s="5">
        <f>vals_ghg_incLUC!$AD164</f>
        <v>23.450558787583589</v>
      </c>
      <c r="L164" s="5"/>
      <c r="M164" s="5">
        <f>vals_ghg_incLUC!$S164</f>
        <v>32.103037906213757</v>
      </c>
      <c r="N164" s="5">
        <f>vals_ghg_incLUC!$Y164</f>
        <v>31.575837962761589</v>
      </c>
      <c r="O164" s="5">
        <f>vals_ghg_incLUC!$AE164</f>
        <v>28.400586228966279</v>
      </c>
      <c r="P164" s="5"/>
      <c r="Q164" s="9">
        <f t="shared" si="47"/>
        <v>3.7024516772474776</v>
      </c>
      <c r="R164" s="9">
        <v>19.898</v>
      </c>
      <c r="S164" s="9">
        <v>27.63</v>
      </c>
    </row>
    <row r="165" spans="1:19" x14ac:dyDescent="0.35">
      <c r="A165" s="6">
        <f>vals_ghg_incLUC!$A165</f>
        <v>2012</v>
      </c>
      <c r="B165" s="7">
        <f t="shared" si="40"/>
        <v>23.110161074251923</v>
      </c>
      <c r="C165" s="7">
        <f t="shared" si="41"/>
        <v>25.440018254521956</v>
      </c>
      <c r="D165" s="7">
        <f t="shared" si="42"/>
        <v>28.037828599611096</v>
      </c>
      <c r="E165" s="7">
        <f t="shared" si="43"/>
        <v>31.923586116835544</v>
      </c>
      <c r="F165" s="7">
        <f t="shared" si="44"/>
        <v>2.3298571802700323</v>
      </c>
      <c r="G165" s="7">
        <f t="shared" si="45"/>
        <v>0</v>
      </c>
      <c r="H165" s="7">
        <f t="shared" si="46"/>
        <v>2.5978103450891403</v>
      </c>
      <c r="I165" s="8">
        <f>vals_ghg_incLUC!$R165</f>
        <v>23.599611375253264</v>
      </c>
      <c r="J165" s="8">
        <f>vals_ghg_incLUC!$X165</f>
        <v>25.440018254521956</v>
      </c>
      <c r="K165" s="8">
        <f>vals_ghg_incLUC!$AD165</f>
        <v>23.110161074251923</v>
      </c>
      <c r="L165" s="8"/>
      <c r="M165" s="8">
        <f>vals_ghg_incLUC!$S165</f>
        <v>31.923586116835544</v>
      </c>
      <c r="N165" s="8">
        <f>vals_ghg_incLUC!$Y165</f>
        <v>31.307245375809273</v>
      </c>
      <c r="O165" s="8">
        <f>vals_ghg_incLUC!$AE165</f>
        <v>28.037828599611096</v>
      </c>
      <c r="P165" s="8"/>
      <c r="Q165" s="9">
        <f t="shared" si="47"/>
        <v>3.8857575172244481</v>
      </c>
      <c r="R165" s="9">
        <v>19.727</v>
      </c>
      <c r="S165" s="9">
        <v>27.603999999999999</v>
      </c>
    </row>
    <row r="166" spans="1:19" x14ac:dyDescent="0.35">
      <c r="A166" s="3">
        <f>vals_ghg_incLUC!$A166</f>
        <v>2013</v>
      </c>
      <c r="B166" s="4">
        <f t="shared" si="40"/>
        <v>22.81683458885038</v>
      </c>
      <c r="C166" s="4">
        <f t="shared" si="41"/>
        <v>25.217495490333263</v>
      </c>
      <c r="D166" s="4">
        <f t="shared" si="42"/>
        <v>27.728891820788963</v>
      </c>
      <c r="E166" s="4">
        <f t="shared" si="43"/>
        <v>31.747371632221245</v>
      </c>
      <c r="F166" s="4">
        <f t="shared" si="44"/>
        <v>2.4006609014828832</v>
      </c>
      <c r="G166" s="4">
        <f t="shared" si="45"/>
        <v>0</v>
      </c>
      <c r="H166" s="4">
        <f t="shared" si="46"/>
        <v>2.5113963304556997</v>
      </c>
      <c r="I166" s="5">
        <f>vals_ghg_incLUC!$R166</f>
        <v>23.447223204226518</v>
      </c>
      <c r="J166" s="5">
        <f>vals_ghg_incLUC!$X166</f>
        <v>25.217495490333263</v>
      </c>
      <c r="K166" s="5">
        <f>vals_ghg_incLUC!$AD166</f>
        <v>22.81683458885038</v>
      </c>
      <c r="L166" s="5"/>
      <c r="M166" s="5">
        <f>vals_ghg_incLUC!$S166</f>
        <v>31.747371632221245</v>
      </c>
      <c r="N166" s="5">
        <f>vals_ghg_incLUC!$Y166</f>
        <v>31.022682466098633</v>
      </c>
      <c r="O166" s="5">
        <f>vals_ghg_incLUC!$AE166</f>
        <v>27.728891820788963</v>
      </c>
      <c r="P166" s="5"/>
      <c r="Q166" s="9">
        <f t="shared" si="47"/>
        <v>4.0184798114322824</v>
      </c>
      <c r="R166" s="9">
        <v>19.597999999999999</v>
      </c>
      <c r="S166" s="9">
        <v>27.57</v>
      </c>
    </row>
    <row r="167" spans="1:19" x14ac:dyDescent="0.35">
      <c r="A167" s="6">
        <f>vals_ghg_incLUC!$A167</f>
        <v>2014</v>
      </c>
      <c r="B167" s="7">
        <f t="shared" si="40"/>
        <v>22.637646869057324</v>
      </c>
      <c r="C167" s="7">
        <f t="shared" si="41"/>
        <v>24.91319692953839</v>
      </c>
      <c r="D167" s="7">
        <f t="shared" si="42"/>
        <v>27.552792817119016</v>
      </c>
      <c r="E167" s="7">
        <f t="shared" si="43"/>
        <v>31.577257136517993</v>
      </c>
      <c r="F167" s="7">
        <f t="shared" si="44"/>
        <v>2.2755500604810663</v>
      </c>
      <c r="G167" s="7">
        <f t="shared" si="45"/>
        <v>0</v>
      </c>
      <c r="H167" s="7">
        <f t="shared" si="46"/>
        <v>2.6395958875806258</v>
      </c>
      <c r="I167" s="8">
        <f>vals_ghg_incLUC!$R167</f>
        <v>23.27196695168762</v>
      </c>
      <c r="J167" s="8">
        <f>vals_ghg_incLUC!$X167</f>
        <v>24.91319692953839</v>
      </c>
      <c r="K167" s="8">
        <f>vals_ghg_incLUC!$AD167</f>
        <v>22.637646869057324</v>
      </c>
      <c r="L167" s="8"/>
      <c r="M167" s="8">
        <f>vals_ghg_incLUC!$S167</f>
        <v>31.577257136517993</v>
      </c>
      <c r="N167" s="8">
        <f>vals_ghg_incLUC!$Y167</f>
        <v>30.765986243339512</v>
      </c>
      <c r="O167" s="8">
        <f>vals_ghg_incLUC!$AE167</f>
        <v>27.552792817119016</v>
      </c>
      <c r="P167" s="8"/>
      <c r="Q167" s="9">
        <f t="shared" si="47"/>
        <v>4.0244643193989766</v>
      </c>
      <c r="R167" s="9">
        <v>19.466000000000001</v>
      </c>
      <c r="S167" s="9">
        <v>27.547000000000001</v>
      </c>
    </row>
    <row r="168" spans="1:19" x14ac:dyDescent="0.35">
      <c r="A168" s="3">
        <f>vals_ghg_incLUC!$A168</f>
        <v>2015</v>
      </c>
      <c r="B168" s="4">
        <f t="shared" si="40"/>
        <v>22.464956242969176</v>
      </c>
      <c r="C168" s="4">
        <f t="shared" si="41"/>
        <v>24.628493123386249</v>
      </c>
      <c r="D168" s="4">
        <f t="shared" si="42"/>
        <v>27.390900278152035</v>
      </c>
      <c r="E168" s="4">
        <f t="shared" si="43"/>
        <v>31.446920812654604</v>
      </c>
      <c r="F168" s="4">
        <f t="shared" si="44"/>
        <v>2.1635368804170731</v>
      </c>
      <c r="G168" s="4">
        <f t="shared" si="45"/>
        <v>0</v>
      </c>
      <c r="H168" s="4">
        <f t="shared" si="46"/>
        <v>2.7624071547657856</v>
      </c>
      <c r="I168" s="5">
        <f>vals_ghg_incLUC!$R168</f>
        <v>23.100054310076789</v>
      </c>
      <c r="J168" s="5">
        <f>vals_ghg_incLUC!$X168</f>
        <v>24.628493123386249</v>
      </c>
      <c r="K168" s="5">
        <f>vals_ghg_incLUC!$AD168</f>
        <v>22.464956242969176</v>
      </c>
      <c r="L168" s="5"/>
      <c r="M168" s="5">
        <f>vals_ghg_incLUC!$S168</f>
        <v>31.446920812654604</v>
      </c>
      <c r="N168" s="5">
        <f>vals_ghg_incLUC!$Y168</f>
        <v>30.51448759189584</v>
      </c>
      <c r="O168" s="5">
        <f>vals_ghg_incLUC!$AE168</f>
        <v>27.390900278152035</v>
      </c>
      <c r="P168" s="5"/>
      <c r="Q168" s="9">
        <f t="shared" si="47"/>
        <v>4.0560205345025686</v>
      </c>
      <c r="R168" s="9">
        <v>19.324999999999999</v>
      </c>
      <c r="S168" s="9">
        <v>27.536000000000001</v>
      </c>
    </row>
    <row r="169" spans="1:19" x14ac:dyDescent="0.35">
      <c r="A169" s="6">
        <f>vals_ghg_incLUC!$A169</f>
        <v>2016</v>
      </c>
      <c r="B169" s="7">
        <f t="shared" si="40"/>
        <v>22.287273276514323</v>
      </c>
      <c r="C169" s="7">
        <f t="shared" si="41"/>
        <v>24.377718306997807</v>
      </c>
      <c r="D169" s="7">
        <f t="shared" si="42"/>
        <v>27.259254798065452</v>
      </c>
      <c r="E169" s="7">
        <f t="shared" si="43"/>
        <v>31.283326327885774</v>
      </c>
      <c r="F169" s="7">
        <f t="shared" si="44"/>
        <v>2.0904450304834832</v>
      </c>
      <c r="G169" s="7">
        <f t="shared" si="45"/>
        <v>0</v>
      </c>
      <c r="H169" s="7">
        <f t="shared" si="46"/>
        <v>2.8815364910676458</v>
      </c>
      <c r="I169" s="8">
        <f>vals_ghg_incLUC!$R169</f>
        <v>22.941639792040373</v>
      </c>
      <c r="J169" s="8">
        <f>vals_ghg_incLUC!$X169</f>
        <v>24.377718306997807</v>
      </c>
      <c r="K169" s="8">
        <f>vals_ghg_incLUC!$AD169</f>
        <v>22.287273276514323</v>
      </c>
      <c r="L169" s="8"/>
      <c r="M169" s="8">
        <f>vals_ghg_incLUC!$S169</f>
        <v>31.283326327885774</v>
      </c>
      <c r="N169" s="8">
        <f>vals_ghg_incLUC!$Y169</f>
        <v>30.317901111378671</v>
      </c>
      <c r="O169" s="8">
        <f>vals_ghg_incLUC!$AE169</f>
        <v>27.259254798065452</v>
      </c>
      <c r="P169" s="8"/>
      <c r="Q169" s="9">
        <f t="shared" si="47"/>
        <v>4.024071529820322</v>
      </c>
      <c r="R169" s="9">
        <v>19.193000000000001</v>
      </c>
      <c r="S169" s="9">
        <v>27.478000000000002</v>
      </c>
    </row>
    <row r="170" spans="1:19" x14ac:dyDescent="0.35">
      <c r="A170" s="3">
        <f>vals_ghg_incLUC!$A170</f>
        <v>2017</v>
      </c>
      <c r="B170" s="4">
        <f t="shared" si="40"/>
        <v>22.173457617359215</v>
      </c>
      <c r="C170" s="4">
        <f t="shared" si="41"/>
        <v>24.129279100242705</v>
      </c>
      <c r="D170" s="4">
        <f t="shared" si="42"/>
        <v>27.175790357595702</v>
      </c>
      <c r="E170" s="4">
        <f t="shared" si="43"/>
        <v>31.022246225674639</v>
      </c>
      <c r="F170" s="4">
        <f t="shared" si="44"/>
        <v>1.9558214828834899</v>
      </c>
      <c r="G170" s="4">
        <f t="shared" si="45"/>
        <v>0</v>
      </c>
      <c r="H170" s="4">
        <f t="shared" si="46"/>
        <v>3.0465112573529964</v>
      </c>
      <c r="I170" s="5">
        <f>vals_ghg_incLUC!$R170</f>
        <v>22.718708241229304</v>
      </c>
      <c r="J170" s="5">
        <f>vals_ghg_incLUC!$X170</f>
        <v>24.129279100242705</v>
      </c>
      <c r="K170" s="5">
        <f>vals_ghg_incLUC!$AD170</f>
        <v>22.173457617359215</v>
      </c>
      <c r="L170" s="5"/>
      <c r="M170" s="5">
        <f>vals_ghg_incLUC!$S170</f>
        <v>31.022246225674639</v>
      </c>
      <c r="N170" s="5">
        <f>vals_ghg_incLUC!$Y170</f>
        <v>30.078885403313144</v>
      </c>
      <c r="O170" s="5">
        <f>vals_ghg_incLUC!$AE170</f>
        <v>27.175790357595702</v>
      </c>
      <c r="P170" s="5"/>
      <c r="Q170" s="9">
        <f t="shared" si="47"/>
        <v>3.8464558680789374</v>
      </c>
      <c r="R170" s="9">
        <v>19.021999999999998</v>
      </c>
      <c r="S170" s="9">
        <v>27.324999999999999</v>
      </c>
    </row>
    <row r="171" spans="1:19" x14ac:dyDescent="0.35">
      <c r="A171" s="6">
        <f>vals_ghg_incLUC!$A171</f>
        <v>2018</v>
      </c>
      <c r="B171" s="7">
        <f t="shared" si="40"/>
        <v>21.887473996014307</v>
      </c>
      <c r="C171" s="7">
        <f t="shared" si="41"/>
        <v>23.843411708996687</v>
      </c>
      <c r="D171" s="7">
        <f t="shared" si="42"/>
        <v>26.923415920345565</v>
      </c>
      <c r="E171" s="7">
        <f t="shared" si="43"/>
        <v>30.714976776217455</v>
      </c>
      <c r="F171" s="7">
        <f t="shared" si="44"/>
        <v>1.9559377129823794</v>
      </c>
      <c r="G171" s="7">
        <f t="shared" si="45"/>
        <v>0</v>
      </c>
      <c r="H171" s="7">
        <f t="shared" si="46"/>
        <v>3.0800042113488786</v>
      </c>
      <c r="I171" s="8">
        <f>vals_ghg_incLUC!$R171</f>
        <v>22.458670514388391</v>
      </c>
      <c r="J171" s="8">
        <f>vals_ghg_incLUC!$X171</f>
        <v>23.843411708996687</v>
      </c>
      <c r="K171" s="8">
        <f>vals_ghg_incLUC!$AD171</f>
        <v>21.887473996014307</v>
      </c>
      <c r="L171" s="8"/>
      <c r="M171" s="8">
        <f>vals_ghg_incLUC!$S171</f>
        <v>30.714976776217455</v>
      </c>
      <c r="N171" s="8">
        <f>vals_ghg_incLUC!$Y171</f>
        <v>29.830751387902765</v>
      </c>
      <c r="O171" s="8">
        <f>vals_ghg_incLUC!$AE171</f>
        <v>26.923415920345565</v>
      </c>
      <c r="P171" s="8"/>
      <c r="Q171" s="9">
        <f t="shared" si="47"/>
        <v>3.7915608558718894</v>
      </c>
      <c r="R171" s="9">
        <v>18.806000000000001</v>
      </c>
      <c r="S171" s="9">
        <v>27.111999999999998</v>
      </c>
    </row>
    <row r="172" spans="1:19" x14ac:dyDescent="0.35">
      <c r="A172" s="3">
        <f>vals_ghg_incLUC!$A172</f>
        <v>2019</v>
      </c>
      <c r="B172" s="4">
        <f t="shared" si="40"/>
        <v>21.533508715571131</v>
      </c>
      <c r="C172" s="4">
        <f t="shared" si="41"/>
        <v>23.463051626451069</v>
      </c>
      <c r="D172" s="4">
        <f t="shared" si="42"/>
        <v>26.520900811678178</v>
      </c>
      <c r="E172" s="4">
        <f t="shared" si="43"/>
        <v>30.354785054133249</v>
      </c>
      <c r="F172" s="4">
        <f t="shared" si="44"/>
        <v>1.9295429108799382</v>
      </c>
      <c r="G172" s="4">
        <f t="shared" si="45"/>
        <v>0</v>
      </c>
      <c r="H172" s="4">
        <f t="shared" si="46"/>
        <v>3.0578491852271092</v>
      </c>
      <c r="I172" s="5">
        <f>vals_ghg_incLUC!$R172</f>
        <v>22.140156835475633</v>
      </c>
      <c r="J172" s="5">
        <f>vals_ghg_incLUC!$X172</f>
        <v>23.463051626451069</v>
      </c>
      <c r="K172" s="5">
        <f>vals_ghg_incLUC!$AD172</f>
        <v>21.533508715571131</v>
      </c>
      <c r="L172" s="5"/>
      <c r="M172" s="5">
        <f>vals_ghg_incLUC!$S172</f>
        <v>30.354785054133249</v>
      </c>
      <c r="N172" s="5">
        <f>vals_ghg_incLUC!$Y172</f>
        <v>29.433948722320814</v>
      </c>
      <c r="O172" s="5">
        <f>vals_ghg_incLUC!$AE172</f>
        <v>26.520900811678178</v>
      </c>
      <c r="P172" s="5"/>
      <c r="Q172" s="9">
        <f t="shared" si="47"/>
        <v>3.8338842424550705</v>
      </c>
      <c r="R172" s="9">
        <v>18.515000000000001</v>
      </c>
      <c r="S172" s="9">
        <v>26.802</v>
      </c>
    </row>
    <row r="173" spans="1:19" x14ac:dyDescent="0.35">
      <c r="A173" s="6">
        <f>vals_ghg_incLUC!$A173</f>
        <v>2020</v>
      </c>
      <c r="B173" s="7">
        <f t="shared" si="40"/>
        <v>21.28082352474053</v>
      </c>
      <c r="C173" s="7">
        <f t="shared" si="41"/>
        <v>23.138860439204073</v>
      </c>
      <c r="D173" s="7">
        <f t="shared" si="42"/>
        <v>26.222006968938317</v>
      </c>
      <c r="E173" s="7">
        <f t="shared" si="43"/>
        <v>30.056957497824477</v>
      </c>
      <c r="F173" s="7">
        <f t="shared" si="44"/>
        <v>1.8580369144635434</v>
      </c>
      <c r="G173" s="7">
        <f t="shared" si="45"/>
        <v>0</v>
      </c>
      <c r="H173" s="7">
        <f t="shared" si="46"/>
        <v>3.0831465297342433</v>
      </c>
      <c r="I173" s="8">
        <f>vals_ghg_incLUC!$R173</f>
        <v>21.856636952576121</v>
      </c>
      <c r="J173" s="8">
        <f>vals_ghg_incLUC!$X173</f>
        <v>23.138860439204073</v>
      </c>
      <c r="K173" s="8">
        <f>vals_ghg_incLUC!$AD173</f>
        <v>21.28082352474053</v>
      </c>
      <c r="L173" s="8"/>
      <c r="M173" s="8">
        <f>vals_ghg_incLUC!$S173</f>
        <v>30.056957497824477</v>
      </c>
      <c r="N173" s="8">
        <f>vals_ghg_incLUC!$Y173</f>
        <v>29.072152435377657</v>
      </c>
      <c r="O173" s="8">
        <f>vals_ghg_incLUC!$AE173</f>
        <v>26.222006968938317</v>
      </c>
      <c r="P173" s="8"/>
      <c r="Q173" s="9">
        <f t="shared" si="47"/>
        <v>3.8349505288861607</v>
      </c>
      <c r="R173" s="9">
        <v>18.265000000000001</v>
      </c>
      <c r="S173" s="9">
        <v>26.54</v>
      </c>
    </row>
    <row r="174" spans="1:19" x14ac:dyDescent="0.35">
      <c r="A174" s="3">
        <f>vals_ghg_incLUC!$A174</f>
        <v>2021</v>
      </c>
      <c r="B174" s="4">
        <f t="shared" si="40"/>
        <v>21.314357854933043</v>
      </c>
      <c r="C174" s="4">
        <f t="shared" si="41"/>
        <v>22.949533290108388</v>
      </c>
      <c r="D174" s="4">
        <f t="shared" si="42"/>
        <v>26.238757102848403</v>
      </c>
      <c r="E174" s="4">
        <f t="shared" si="43"/>
        <v>29.910963837666245</v>
      </c>
      <c r="F174" s="4">
        <f t="shared" si="44"/>
        <v>1.6351754351753449</v>
      </c>
      <c r="G174" s="4">
        <f t="shared" si="45"/>
        <v>0</v>
      </c>
      <c r="H174" s="4">
        <f t="shared" si="46"/>
        <v>3.2892238127400155</v>
      </c>
      <c r="I174" s="5">
        <f>vals_ghg_incLUC!$R174</f>
        <v>21.72215812282418</v>
      </c>
      <c r="J174" s="5">
        <f>vals_ghg_incLUC!$X174</f>
        <v>22.949533290108388</v>
      </c>
      <c r="K174" s="5">
        <f>vals_ghg_incLUC!$AD174</f>
        <v>21.314357854933043</v>
      </c>
      <c r="L174" s="5"/>
      <c r="M174" s="5">
        <f>vals_ghg_incLUC!$S174</f>
        <v>29.910963837666245</v>
      </c>
      <c r="N174" s="5">
        <f>vals_ghg_incLUC!$Y174</f>
        <v>28.92988802319406</v>
      </c>
      <c r="O174" s="5">
        <f>vals_ghg_incLUC!$AE174</f>
        <v>26.238757102848403</v>
      </c>
      <c r="P174" s="5"/>
      <c r="Q174" s="9">
        <f t="shared" si="47"/>
        <v>3.6722067348178413</v>
      </c>
      <c r="R174" s="9">
        <v>18.260000000000002</v>
      </c>
      <c r="S174" s="9">
        <v>26.504999999999999</v>
      </c>
    </row>
    <row r="175" spans="1:19" x14ac:dyDescent="0.35">
      <c r="A175" s="6">
        <f>vals_ghg_incLUC!$A175</f>
        <v>2022</v>
      </c>
      <c r="B175" s="7">
        <f t="shared" si="40"/>
        <v>21.236644560776597</v>
      </c>
      <c r="C175" s="7">
        <f t="shared" si="41"/>
        <v>22.805742428335652</v>
      </c>
      <c r="D175" s="7">
        <f t="shared" si="42"/>
        <v>25.981426870656836</v>
      </c>
      <c r="E175" s="7">
        <f t="shared" si="43"/>
        <v>29.558195336210723</v>
      </c>
      <c r="F175" s="7">
        <f t="shared" si="44"/>
        <v>1.569097867559055</v>
      </c>
      <c r="G175" s="7">
        <f t="shared" si="45"/>
        <v>0</v>
      </c>
      <c r="H175" s="7">
        <f t="shared" si="46"/>
        <v>3.1756844423211845</v>
      </c>
      <c r="I175" s="8">
        <f>vals_ghg_incLUC!$R175</f>
        <v>21.41630609330252</v>
      </c>
      <c r="J175" s="8">
        <f>vals_ghg_incLUC!$X175</f>
        <v>22.805742428335652</v>
      </c>
      <c r="K175" s="8">
        <f>vals_ghg_incLUC!$AD175</f>
        <v>21.236644560776597</v>
      </c>
      <c r="L175" s="8"/>
      <c r="M175" s="8">
        <f>vals_ghg_incLUC!$S175</f>
        <v>29.558195336210723</v>
      </c>
      <c r="N175" s="8">
        <f>vals_ghg_incLUC!$Y175</f>
        <v>28.601751719681406</v>
      </c>
      <c r="O175" s="8">
        <f>vals_ghg_incLUC!$AE175</f>
        <v>25.981426870656836</v>
      </c>
      <c r="P175" s="8"/>
      <c r="Q175" s="9">
        <f t="shared" si="47"/>
        <v>3.5767684655538865</v>
      </c>
      <c r="R175" s="9">
        <v>18.068999999999999</v>
      </c>
      <c r="S175" s="9">
        <v>26.234000000000002</v>
      </c>
    </row>
    <row r="176" spans="1:19" x14ac:dyDescent="0.35">
      <c r="A176" s="3">
        <f>vals_ghg_incLUC!$A176</f>
        <v>2023</v>
      </c>
      <c r="B176" s="4">
        <f t="shared" si="40"/>
        <v>21.06546642224021</v>
      </c>
      <c r="C176" s="4">
        <f t="shared" si="41"/>
        <v>22.824625799061522</v>
      </c>
      <c r="D176" s="4">
        <f t="shared" si="42"/>
        <v>25.923989770073401</v>
      </c>
      <c r="E176" s="4">
        <f t="shared" si="43"/>
        <v>29.207153596940632</v>
      </c>
      <c r="F176" s="4">
        <f t="shared" si="44"/>
        <v>1.7591593768213123</v>
      </c>
      <c r="G176" s="4">
        <f t="shared" si="45"/>
        <v>0</v>
      </c>
      <c r="H176" s="4">
        <f t="shared" si="46"/>
        <v>3.0993639710118792</v>
      </c>
      <c r="I176" s="5">
        <f>vals_ghg_incLUC!$R176</f>
        <v>21.06546642224021</v>
      </c>
      <c r="J176" s="5">
        <f>vals_ghg_incLUC!$X176</f>
        <v>22.824625799061522</v>
      </c>
      <c r="K176" s="5">
        <f>vals_ghg_incLUC!$AD176</f>
        <v>21.20722770303934</v>
      </c>
      <c r="L176" s="5"/>
      <c r="M176" s="5">
        <f>vals_ghg_incLUC!$S176</f>
        <v>29.207153596940632</v>
      </c>
      <c r="N176" s="5">
        <f>vals_ghg_incLUC!$Y176</f>
        <v>29.05119817306862</v>
      </c>
      <c r="O176" s="5">
        <f>vals_ghg_incLUC!$AE176</f>
        <v>25.923989770073401</v>
      </c>
      <c r="P176" s="5"/>
      <c r="Q176" s="9">
        <f t="shared" si="47"/>
        <v>3.2831638268672307</v>
      </c>
      <c r="R176" s="9">
        <v>17.913</v>
      </c>
      <c r="S176" s="9">
        <v>26.094000000000001</v>
      </c>
    </row>
    <row r="177" spans="1:19" x14ac:dyDescent="0.35">
      <c r="A177" s="6">
        <f>vals_ghg_incLUC!$A177</f>
        <v>2024</v>
      </c>
      <c r="B177" s="7">
        <f t="shared" si="40"/>
        <v>20.161409886951269</v>
      </c>
      <c r="C177" s="7">
        <f t="shared" si="41"/>
        <v>24.324958311054846</v>
      </c>
      <c r="D177" s="7">
        <f t="shared" si="42"/>
        <v>24.977721661852382</v>
      </c>
      <c r="E177" s="7">
        <f t="shared" si="43"/>
        <v>32.229387245274339</v>
      </c>
      <c r="F177" s="7">
        <f t="shared" si="44"/>
        <v>4.1635484241035776</v>
      </c>
      <c r="G177" s="7">
        <f t="shared" si="45"/>
        <v>0</v>
      </c>
      <c r="H177" s="7">
        <f t="shared" si="46"/>
        <v>0.65276335079753522</v>
      </c>
      <c r="I177" s="8">
        <f>vals_ghg_incLUC!$R177</f>
        <v>20.89484287782097</v>
      </c>
      <c r="J177" s="8">
        <f>vals_ghg_incLUC!$X177</f>
        <v>24.324958311054846</v>
      </c>
      <c r="K177" s="8">
        <f>vals_ghg_incLUC!$AD177</f>
        <v>20.161409886951269</v>
      </c>
      <c r="L177" s="8"/>
      <c r="M177" s="8">
        <f>vals_ghg_incLUC!$S177</f>
        <v>29.056678470446805</v>
      </c>
      <c r="N177" s="8">
        <f>vals_ghg_incLUC!$Y177</f>
        <v>32.229387245274339</v>
      </c>
      <c r="O177" s="8">
        <f>vals_ghg_incLUC!$AE177</f>
        <v>24.977721661852382</v>
      </c>
      <c r="P177" s="8"/>
      <c r="Q177" s="9">
        <f t="shared" si="47"/>
        <v>7.251665583421957</v>
      </c>
      <c r="R177" s="9">
        <v>17.709</v>
      </c>
      <c r="S177" s="9">
        <v>25.975000000000001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26AB-1DF4-4AD4-A5C5-5AD8FD0CD59B}">
  <dimension ref="A2:AK177"/>
  <sheetViews>
    <sheetView workbookViewId="0"/>
  </sheetViews>
  <sheetFormatPr defaultRowHeight="14.5" x14ac:dyDescent="0.35"/>
  <sheetData>
    <row r="2" spans="1:3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</row>
    <row r="3" spans="1:37" x14ac:dyDescent="0.35">
      <c r="A3">
        <v>1850</v>
      </c>
      <c r="B3">
        <v>375.32400000000001</v>
      </c>
      <c r="C3">
        <v>451.71899999999999</v>
      </c>
      <c r="D3">
        <v>230.60499999999999</v>
      </c>
      <c r="E3">
        <v>608.53800000000001</v>
      </c>
      <c r="F3">
        <v>805.61</v>
      </c>
      <c r="G3">
        <v>757.79</v>
      </c>
      <c r="N3">
        <f>IF(ISBLANK($B3),NA(),IFERROR(SUM($B3:$B$177),NA()))</f>
        <v>1011066.5260000002</v>
      </c>
      <c r="O3">
        <f>IF(ISBLANK($C3),NA(),IFERROR(SUM($C3:$C$177),NA()))</f>
        <v>1309544.6669999999</v>
      </c>
      <c r="P3">
        <f>IF(ISBLANK($D3),NA(),IFERROR(SUM($D3:$D$177),NA()))</f>
        <v>894998.04600000021</v>
      </c>
      <c r="Q3">
        <f t="shared" ref="Q3:Q34" si="0">IFERROR(O3+P3,"")</f>
        <v>2204542.713</v>
      </c>
      <c r="R3">
        <f t="shared" ref="R3:R34" si="1">IFERROR(N3/Q3*100,NA())</f>
        <v>45.862868523155718</v>
      </c>
      <c r="S3">
        <f t="shared" ref="S3:S34" si="2">IFERROR(O3/Q3*100,NA())</f>
        <v>59.40210000367545</v>
      </c>
      <c r="T3">
        <f>IF(ISBLANK($E3),NA(),IFERROR(SUM($E3:$E$177),NA()))</f>
        <v>1175341.4469999999</v>
      </c>
      <c r="U3">
        <f>IF(ISBLANK($F3),NA(),IFERROR(SUM($F3:$F$177),NA()))</f>
        <v>1536110.0120000001</v>
      </c>
      <c r="V3">
        <f>IF(ISBLANK($G3),NA(),IFERROR(SUM($G3:$G$177),NA()))</f>
        <v>1199590.0390000003</v>
      </c>
      <c r="W3">
        <f t="shared" ref="W3:W34" si="3">IFERROR(U3+V3,"")</f>
        <v>2735700.0510000004</v>
      </c>
      <c r="X3">
        <f t="shared" ref="X3:X34" si="4">IFERROR(T3/W3*100,NA())</f>
        <v>42.96309628573384</v>
      </c>
      <c r="Y3">
        <f t="shared" ref="Y3:Y34" si="5">IFERROR(U3/W3*100,NA())</f>
        <v>56.150527593055919</v>
      </c>
      <c r="Z3" t="e">
        <f>IF(ISBLANK($H3),NA(),IFERROR(SUM($H3:$H$177),NA()))</f>
        <v>#N/A</v>
      </c>
      <c r="AA3" t="e">
        <f>IF(ISBLANK($I3),NA(),IFERROR(SUM($I3:$I$177),NA()))</f>
        <v>#N/A</v>
      </c>
      <c r="AB3" t="e">
        <f>IF(ISBLANK($J3),NA(),IFERROR(SUM($J3:$J$177),NA()))</f>
        <v>#N/A</v>
      </c>
      <c r="AC3" t="str">
        <f t="shared" ref="AC3:AC34" si="6">IFERROR(AA3+AB3,"")</f>
        <v/>
      </c>
      <c r="AD3" t="e">
        <f t="shared" ref="AD3:AD34" si="7">IFERROR(Z3/AC3*100,NA())</f>
        <v>#N/A</v>
      </c>
      <c r="AE3" t="e">
        <f t="shared" ref="AE3:AE34" si="8">IFERROR(AA3/AC3*100,NA())</f>
        <v>#N/A</v>
      </c>
      <c r="AF3" t="e">
        <f>IF(ISBLANK($K3),NA(),IFERROR(SUM($K3:$K$177),NA()))</f>
        <v>#N/A</v>
      </c>
      <c r="AG3" t="e">
        <f>IF(ISBLANK($L3),NA(),IFERROR(SUM($L3:$L$177),NA()))</f>
        <v>#N/A</v>
      </c>
      <c r="AH3" t="e">
        <f>IF(ISBLANK($M3),NA(),IFERROR(SUM($M3:$M$177),NA()))</f>
        <v>#N/A</v>
      </c>
      <c r="AI3" t="str">
        <f t="shared" ref="AI3:AI34" si="9">IFERROR(AG3+AH3,"")</f>
        <v/>
      </c>
      <c r="AJ3" t="e">
        <f t="shared" ref="AJ3:AJ34" si="10">IFERROR(AF3/AI3*100,NA())</f>
        <v>#N/A</v>
      </c>
      <c r="AK3" t="e">
        <f t="shared" ref="AK3:AK34" si="11">IFERROR(AG3/AI3*100,NA())</f>
        <v>#N/A</v>
      </c>
    </row>
    <row r="4" spans="1:37" x14ac:dyDescent="0.35">
      <c r="A4">
        <v>1851</v>
      </c>
      <c r="B4">
        <v>377.22199999999998</v>
      </c>
      <c r="C4">
        <v>454.87900000000002</v>
      </c>
      <c r="D4">
        <v>230.577</v>
      </c>
      <c r="E4">
        <v>614.06500000000005</v>
      </c>
      <c r="F4">
        <v>813.995</v>
      </c>
      <c r="G4">
        <v>759.21299999999997</v>
      </c>
      <c r="N4">
        <f>IF(ISBLANK($B4),NA(),IFERROR(SUM($B4:$B$177),NA()))</f>
        <v>1010691.2020000002</v>
      </c>
      <c r="O4">
        <f>IF(ISBLANK($C4),NA(),IFERROR(SUM($C4:$C$177),NA()))</f>
        <v>1309092.9480000001</v>
      </c>
      <c r="P4">
        <f>IF(ISBLANK($D4),NA(),IFERROR(SUM($D4:$D$177),NA()))</f>
        <v>894767.44100000022</v>
      </c>
      <c r="Q4">
        <f t="shared" si="0"/>
        <v>2203860.3890000004</v>
      </c>
      <c r="R4">
        <f t="shared" si="1"/>
        <v>45.860037552496706</v>
      </c>
      <c r="S4">
        <f t="shared" si="2"/>
        <v>59.399994415889466</v>
      </c>
      <c r="T4">
        <f>IF(ISBLANK($E4),NA(),IFERROR(SUM($E4:$E$177),NA()))</f>
        <v>1174732.909</v>
      </c>
      <c r="U4">
        <f>IF(ISBLANK($F4),NA(),IFERROR(SUM($F4:$F$177),NA()))</f>
        <v>1535304.402</v>
      </c>
      <c r="V4">
        <f>IF(ISBLANK($G4),NA(),IFERROR(SUM($G4:$G$177),NA()))</f>
        <v>1198832.2490000003</v>
      </c>
      <c r="W4">
        <f t="shared" si="3"/>
        <v>2734136.6510000005</v>
      </c>
      <c r="X4">
        <f t="shared" si="4"/>
        <v>42.965405864785353</v>
      </c>
      <c r="Y4">
        <f t="shared" si="5"/>
        <v>56.153170012130445</v>
      </c>
      <c r="Z4" t="e">
        <f>IF(ISBLANK($H4),NA(),IFERROR(SUM($H4:$H$177),NA()))</f>
        <v>#N/A</v>
      </c>
      <c r="AA4" t="e">
        <f>IF(ISBLANK($I4),NA(),IFERROR(SUM($I4:$I$177),NA()))</f>
        <v>#N/A</v>
      </c>
      <c r="AB4" t="e">
        <f>IF(ISBLANK($J4),NA(),IFERROR(SUM($J4:$J$177),NA()))</f>
        <v>#N/A</v>
      </c>
      <c r="AC4" t="str">
        <f t="shared" si="6"/>
        <v/>
      </c>
      <c r="AD4" t="e">
        <f t="shared" si="7"/>
        <v>#N/A</v>
      </c>
      <c r="AE4" t="e">
        <f t="shared" si="8"/>
        <v>#N/A</v>
      </c>
      <c r="AF4" t="e">
        <f>IF(ISBLANK($K4),NA(),IFERROR(SUM($K4:$K$177),NA()))</f>
        <v>#N/A</v>
      </c>
      <c r="AG4" t="e">
        <f>IF(ISBLANK($L4),NA(),IFERROR(SUM($L4:$L$177),NA()))</f>
        <v>#N/A</v>
      </c>
      <c r="AH4" t="e">
        <f>IF(ISBLANK($M4),NA(),IFERROR(SUM($M4:$M$177),NA()))</f>
        <v>#N/A</v>
      </c>
      <c r="AI4" t="str">
        <f t="shared" si="9"/>
        <v/>
      </c>
      <c r="AJ4" t="e">
        <f t="shared" si="10"/>
        <v>#N/A</v>
      </c>
      <c r="AK4" t="e">
        <f t="shared" si="11"/>
        <v>#N/A</v>
      </c>
    </row>
    <row r="5" spans="1:37" x14ac:dyDescent="0.35">
      <c r="A5">
        <v>1852</v>
      </c>
      <c r="B5">
        <v>387.49099999999999</v>
      </c>
      <c r="C5">
        <v>466.75900000000001</v>
      </c>
      <c r="D5">
        <v>230.70400000000001</v>
      </c>
      <c r="E5">
        <v>627.67999999999995</v>
      </c>
      <c r="F5">
        <v>830.76099999999997</v>
      </c>
      <c r="G5">
        <v>760.70899999999995</v>
      </c>
      <c r="N5">
        <f>IF(ISBLANK($B5),NA(),IFERROR(SUM($B5:$B$177),NA()))</f>
        <v>1010313.9800000001</v>
      </c>
      <c r="O5">
        <f>IF(ISBLANK($C5),NA(),IFERROR(SUM($C5:$C$177),NA()))</f>
        <v>1308638.0689999999</v>
      </c>
      <c r="P5">
        <f>IF(ISBLANK($D5),NA(),IFERROR(SUM($D5:$D$177),NA()))</f>
        <v>894536.86400000018</v>
      </c>
      <c r="Q5">
        <f t="shared" si="0"/>
        <v>2203174.9330000002</v>
      </c>
      <c r="R5">
        <f t="shared" si="1"/>
        <v>45.857183869838444</v>
      </c>
      <c r="S5">
        <f t="shared" si="2"/>
        <v>59.397828533663684</v>
      </c>
      <c r="T5">
        <f>IF(ISBLANK($E5),NA(),IFERROR(SUM($E5:$E$177),NA()))</f>
        <v>1174118.8439999998</v>
      </c>
      <c r="U5">
        <f>IF(ISBLANK($F5),NA(),IFERROR(SUM($F5:$F$177),NA()))</f>
        <v>1534490.4070000001</v>
      </c>
      <c r="V5">
        <f>IF(ISBLANK($G5),NA(),IFERROR(SUM($G5:$G$177),NA()))</f>
        <v>1198073.0360000003</v>
      </c>
      <c r="W5">
        <f t="shared" si="3"/>
        <v>2732563.4430000004</v>
      </c>
      <c r="X5">
        <f t="shared" si="4"/>
        <v>42.967670046517547</v>
      </c>
      <c r="Y5">
        <f t="shared" si="5"/>
        <v>56.155710160395344</v>
      </c>
      <c r="Z5" t="e">
        <f>IF(ISBLANK($H5),NA(),IFERROR(SUM($H5:$H$177),NA()))</f>
        <v>#N/A</v>
      </c>
      <c r="AA5" t="e">
        <f>IF(ISBLANK($I5),NA(),IFERROR(SUM($I5:$I$177),NA()))</f>
        <v>#N/A</v>
      </c>
      <c r="AB5" t="e">
        <f>IF(ISBLANK($J5),NA(),IFERROR(SUM($J5:$J$177),NA()))</f>
        <v>#N/A</v>
      </c>
      <c r="AC5" t="str">
        <f t="shared" si="6"/>
        <v/>
      </c>
      <c r="AD5" t="e">
        <f t="shared" si="7"/>
        <v>#N/A</v>
      </c>
      <c r="AE5" t="e">
        <f t="shared" si="8"/>
        <v>#N/A</v>
      </c>
      <c r="AF5" t="e">
        <f>IF(ISBLANK($K5),NA(),IFERROR(SUM($K5:$K$177),NA()))</f>
        <v>#N/A</v>
      </c>
      <c r="AG5" t="e">
        <f>IF(ISBLANK($L5),NA(),IFERROR(SUM($L5:$L$177),NA()))</f>
        <v>#N/A</v>
      </c>
      <c r="AH5" t="e">
        <f>IF(ISBLANK($M5),NA(),IFERROR(SUM($M5:$M$177),NA()))</f>
        <v>#N/A</v>
      </c>
      <c r="AI5" t="str">
        <f t="shared" si="9"/>
        <v/>
      </c>
      <c r="AJ5" t="e">
        <f t="shared" si="10"/>
        <v>#N/A</v>
      </c>
      <c r="AK5" t="e">
        <f t="shared" si="11"/>
        <v>#N/A</v>
      </c>
    </row>
    <row r="6" spans="1:37" x14ac:dyDescent="0.35">
      <c r="A6">
        <v>1853</v>
      </c>
      <c r="B6">
        <v>400.15199999999999</v>
      </c>
      <c r="C6">
        <v>480.44099999999997</v>
      </c>
      <c r="D6">
        <v>230.70699999999999</v>
      </c>
      <c r="E6">
        <v>643.59299999999996</v>
      </c>
      <c r="F6">
        <v>849.23</v>
      </c>
      <c r="G6">
        <v>762.197</v>
      </c>
      <c r="N6">
        <f>IF(ISBLANK($B6),NA(),IFERROR(SUM($B6:$B$177),NA()))</f>
        <v>1009926.4890000002</v>
      </c>
      <c r="O6">
        <f>IF(ISBLANK($C6),NA(),IFERROR(SUM($C6:$C$177),NA()))</f>
        <v>1308171.31</v>
      </c>
      <c r="P6">
        <f>IF(ISBLANK($D6),NA(),IFERROR(SUM($D6:$D$177),NA()))</f>
        <v>894306.16000000015</v>
      </c>
      <c r="Q6">
        <f t="shared" si="0"/>
        <v>2202477.4700000002</v>
      </c>
      <c r="R6">
        <f t="shared" si="1"/>
        <v>45.854112142177783</v>
      </c>
      <c r="S6">
        <f t="shared" si="2"/>
        <v>59.39544571141515</v>
      </c>
      <c r="T6">
        <f>IF(ISBLANK($E6),NA(),IFERROR(SUM($E6:$E$177),NA()))</f>
        <v>1173491.1639999999</v>
      </c>
      <c r="U6">
        <f>IF(ISBLANK($F6),NA(),IFERROR(SUM($F6:$F$177),NA()))</f>
        <v>1533659.6459999999</v>
      </c>
      <c r="V6">
        <f>IF(ISBLANK($G6),NA(),IFERROR(SUM($G6:$G$177),NA()))</f>
        <v>1197312.327</v>
      </c>
      <c r="W6">
        <f t="shared" si="3"/>
        <v>2730971.9730000002</v>
      </c>
      <c r="X6">
        <f t="shared" si="4"/>
        <v>42.96972563621398</v>
      </c>
      <c r="Y6">
        <f t="shared" si="5"/>
        <v>56.158014844629086</v>
      </c>
      <c r="Z6" t="e">
        <f>IF(ISBLANK($H6),NA(),IFERROR(SUM($H6:$H$177),NA()))</f>
        <v>#N/A</v>
      </c>
      <c r="AA6" t="e">
        <f>IF(ISBLANK($I6),NA(),IFERROR(SUM($I6:$I$177),NA()))</f>
        <v>#N/A</v>
      </c>
      <c r="AB6" t="e">
        <f>IF(ISBLANK($J6),NA(),IFERROR(SUM($J6:$J$177),NA()))</f>
        <v>#N/A</v>
      </c>
      <c r="AC6" t="str">
        <f t="shared" si="6"/>
        <v/>
      </c>
      <c r="AD6" t="e">
        <f t="shared" si="7"/>
        <v>#N/A</v>
      </c>
      <c r="AE6" t="e">
        <f t="shared" si="8"/>
        <v>#N/A</v>
      </c>
      <c r="AF6" t="e">
        <f>IF(ISBLANK($K6),NA(),IFERROR(SUM($K6:$K$177),NA()))</f>
        <v>#N/A</v>
      </c>
      <c r="AG6" t="e">
        <f>IF(ISBLANK($L6),NA(),IFERROR(SUM($L6:$L$177),NA()))</f>
        <v>#N/A</v>
      </c>
      <c r="AH6" t="e">
        <f>IF(ISBLANK($M6),NA(),IFERROR(SUM($M6:$M$177),NA()))</f>
        <v>#N/A</v>
      </c>
      <c r="AI6" t="str">
        <f t="shared" si="9"/>
        <v/>
      </c>
      <c r="AJ6" t="e">
        <f t="shared" si="10"/>
        <v>#N/A</v>
      </c>
      <c r="AK6" t="e">
        <f t="shared" si="11"/>
        <v>#N/A</v>
      </c>
    </row>
    <row r="7" spans="1:37" x14ac:dyDescent="0.35">
      <c r="A7">
        <v>1854</v>
      </c>
      <c r="B7">
        <v>445.60500000000002</v>
      </c>
      <c r="C7">
        <v>527.31100000000004</v>
      </c>
      <c r="D7">
        <v>230.666</v>
      </c>
      <c r="E7">
        <v>692.77700000000004</v>
      </c>
      <c r="F7">
        <v>901.346</v>
      </c>
      <c r="G7">
        <v>763.66399999999999</v>
      </c>
      <c r="N7">
        <f>IF(ISBLANK($B7),NA(),IFERROR(SUM($B7:$B$177),NA()))</f>
        <v>1009526.3370000002</v>
      </c>
      <c r="O7">
        <f>IF(ISBLANK($C7),NA(),IFERROR(SUM($C7:$C$177),NA()))</f>
        <v>1307690.8689999999</v>
      </c>
      <c r="P7">
        <f>IF(ISBLANK($D7),NA(),IFERROR(SUM($D7:$D$177),NA()))</f>
        <v>894075.45300000021</v>
      </c>
      <c r="Q7">
        <f t="shared" si="0"/>
        <v>2201766.3220000002</v>
      </c>
      <c r="R7">
        <f t="shared" si="1"/>
        <v>45.850748415616835</v>
      </c>
      <c r="S7">
        <f t="shared" si="2"/>
        <v>59.392809124818648</v>
      </c>
      <c r="T7">
        <f>IF(ISBLANK($E7),NA(),IFERROR(SUM($E7:$E$177),NA()))</f>
        <v>1172847.571</v>
      </c>
      <c r="U7">
        <f>IF(ISBLANK($F7),NA(),IFERROR(SUM($F7:$F$177),NA()))</f>
        <v>1532810.416</v>
      </c>
      <c r="V7">
        <f>IF(ISBLANK($G7),NA(),IFERROR(SUM($G7:$G$177),NA()))</f>
        <v>1196550.1300000004</v>
      </c>
      <c r="W7">
        <f t="shared" si="3"/>
        <v>2729360.5460000001</v>
      </c>
      <c r="X7">
        <f t="shared" si="4"/>
        <v>42.971514801108285</v>
      </c>
      <c r="Y7">
        <f t="shared" si="5"/>
        <v>56.160056180426665</v>
      </c>
      <c r="Z7" t="e">
        <f>IF(ISBLANK($H7),NA(),IFERROR(SUM($H7:$H$177),NA()))</f>
        <v>#N/A</v>
      </c>
      <c r="AA7" t="e">
        <f>IF(ISBLANK($I7),NA(),IFERROR(SUM($I7:$I$177),NA()))</f>
        <v>#N/A</v>
      </c>
      <c r="AB7" t="e">
        <f>IF(ISBLANK($J7),NA(),IFERROR(SUM($J7:$J$177),NA()))</f>
        <v>#N/A</v>
      </c>
      <c r="AC7" t="str">
        <f t="shared" si="6"/>
        <v/>
      </c>
      <c r="AD7" t="e">
        <f t="shared" si="7"/>
        <v>#N/A</v>
      </c>
      <c r="AE7" t="e">
        <f t="shared" si="8"/>
        <v>#N/A</v>
      </c>
      <c r="AF7" t="e">
        <f>IF(ISBLANK($K7),NA(),IFERROR(SUM($K7:$K$177),NA()))</f>
        <v>#N/A</v>
      </c>
      <c r="AG7" t="e">
        <f>IF(ISBLANK($L7),NA(),IFERROR(SUM($L7:$L$177),NA()))</f>
        <v>#N/A</v>
      </c>
      <c r="AH7" t="e">
        <f>IF(ISBLANK($M7),NA(),IFERROR(SUM($M7:$M$177),NA()))</f>
        <v>#N/A</v>
      </c>
      <c r="AI7" t="str">
        <f t="shared" si="9"/>
        <v/>
      </c>
      <c r="AJ7" t="e">
        <f t="shared" si="10"/>
        <v>#N/A</v>
      </c>
      <c r="AK7" t="e">
        <f t="shared" si="11"/>
        <v>#N/A</v>
      </c>
    </row>
    <row r="8" spans="1:37" x14ac:dyDescent="0.35">
      <c r="A8">
        <v>1855</v>
      </c>
      <c r="B8">
        <v>451.43700000000001</v>
      </c>
      <c r="C8">
        <v>535.24400000000003</v>
      </c>
      <c r="D8">
        <v>230.934</v>
      </c>
      <c r="E8">
        <v>701.78099999999995</v>
      </c>
      <c r="F8">
        <v>913.68</v>
      </c>
      <c r="G8">
        <v>765.09799999999996</v>
      </c>
      <c r="N8">
        <f>IF(ISBLANK($B8),NA(),IFERROR(SUM($B8:$B$177),NA()))</f>
        <v>1009080.7320000002</v>
      </c>
      <c r="O8">
        <f>IF(ISBLANK($C8),NA(),IFERROR(SUM($C8:$C$177),NA()))</f>
        <v>1307163.558</v>
      </c>
      <c r="P8">
        <f>IF(ISBLANK($D8),NA(),IFERROR(SUM($D8:$D$177),NA()))</f>
        <v>893844.78700000013</v>
      </c>
      <c r="Q8">
        <f t="shared" si="0"/>
        <v>2201008.3450000002</v>
      </c>
      <c r="R8">
        <f t="shared" si="1"/>
        <v>45.846292872642429</v>
      </c>
      <c r="S8">
        <f t="shared" si="2"/>
        <v>59.389304950590713</v>
      </c>
      <c r="T8">
        <f>IF(ISBLANK($E8),NA(),IFERROR(SUM($E8:$E$177),NA()))</f>
        <v>1172154.794</v>
      </c>
      <c r="U8">
        <f>IF(ISBLANK($F8),NA(),IFERROR(SUM($F8:$F$177),NA()))</f>
        <v>1531909.07</v>
      </c>
      <c r="V8">
        <f>IF(ISBLANK($G8),NA(),IFERROR(SUM($G8:$G$177),NA()))</f>
        <v>1195786.466</v>
      </c>
      <c r="W8">
        <f t="shared" si="3"/>
        <v>2727695.5360000003</v>
      </c>
      <c r="X8">
        <f t="shared" si="4"/>
        <v>42.972347116089566</v>
      </c>
      <c r="Y8">
        <f t="shared" si="5"/>
        <v>56.161292555636599</v>
      </c>
      <c r="Z8" t="e">
        <f>IF(ISBLANK($H8),NA(),IFERROR(SUM($H8:$H$177),NA()))</f>
        <v>#N/A</v>
      </c>
      <c r="AA8" t="e">
        <f>IF(ISBLANK($I8),NA(),IFERROR(SUM($I8:$I$177),NA()))</f>
        <v>#N/A</v>
      </c>
      <c r="AB8" t="e">
        <f>IF(ISBLANK($J8),NA(),IFERROR(SUM($J8:$J$177),NA()))</f>
        <v>#N/A</v>
      </c>
      <c r="AC8" t="str">
        <f t="shared" si="6"/>
        <v/>
      </c>
      <c r="AD8" t="e">
        <f t="shared" si="7"/>
        <v>#N/A</v>
      </c>
      <c r="AE8" t="e">
        <f t="shared" si="8"/>
        <v>#N/A</v>
      </c>
      <c r="AF8" t="e">
        <f>IF(ISBLANK($K8),NA(),IFERROR(SUM($K8:$K$177),NA()))</f>
        <v>#N/A</v>
      </c>
      <c r="AG8" t="e">
        <f>IF(ISBLANK($L8),NA(),IFERROR(SUM($L8:$L$177),NA()))</f>
        <v>#N/A</v>
      </c>
      <c r="AH8" t="e">
        <f>IF(ISBLANK($M8),NA(),IFERROR(SUM($M8:$M$177),NA()))</f>
        <v>#N/A</v>
      </c>
      <c r="AI8" t="str">
        <f t="shared" si="9"/>
        <v/>
      </c>
      <c r="AJ8" t="e">
        <f t="shared" si="10"/>
        <v>#N/A</v>
      </c>
      <c r="AK8" t="e">
        <f t="shared" si="11"/>
        <v>#N/A</v>
      </c>
    </row>
    <row r="9" spans="1:37" x14ac:dyDescent="0.35">
      <c r="A9">
        <v>1856</v>
      </c>
      <c r="B9">
        <v>472.505</v>
      </c>
      <c r="C9">
        <v>557.57100000000003</v>
      </c>
      <c r="D9">
        <v>231.73500000000001</v>
      </c>
      <c r="E9">
        <v>725.99</v>
      </c>
      <c r="F9">
        <v>940.88599999999997</v>
      </c>
      <c r="G9">
        <v>766.46500000000003</v>
      </c>
      <c r="N9">
        <f>IF(ISBLANK($B9),NA(),IFERROR(SUM($B9:$B$177),NA()))</f>
        <v>1008629.2950000003</v>
      </c>
      <c r="O9">
        <f>IF(ISBLANK($C9),NA(),IFERROR(SUM($C9:$C$177),NA()))</f>
        <v>1306628.314</v>
      </c>
      <c r="P9">
        <f>IF(ISBLANK($D9),NA(),IFERROR(SUM($D9:$D$177),NA()))</f>
        <v>893613.85300000012</v>
      </c>
      <c r="Q9">
        <f t="shared" si="0"/>
        <v>2200242.1670000004</v>
      </c>
      <c r="R9">
        <f t="shared" si="1"/>
        <v>45.841740065151662</v>
      </c>
      <c r="S9">
        <f t="shared" si="2"/>
        <v>59.385659160490022</v>
      </c>
      <c r="T9">
        <f>IF(ISBLANK($E9),NA(),IFERROR(SUM($E9:$E$177),NA()))</f>
        <v>1171453.0129999998</v>
      </c>
      <c r="U9">
        <f>IF(ISBLANK($F9),NA(),IFERROR(SUM($F9:$F$177),NA()))</f>
        <v>1530995.3900000001</v>
      </c>
      <c r="V9">
        <f>IF(ISBLANK($G9),NA(),IFERROR(SUM($G9:$G$177),NA()))</f>
        <v>1195021.3680000002</v>
      </c>
      <c r="W9">
        <f t="shared" si="3"/>
        <v>2726016.7580000004</v>
      </c>
      <c r="X9">
        <f t="shared" si="4"/>
        <v>42.973067189046226</v>
      </c>
      <c r="Y9">
        <f t="shared" si="5"/>
        <v>56.162361640184741</v>
      </c>
      <c r="Z9" t="e">
        <f>IF(ISBLANK($H9),NA(),IFERROR(SUM($H9:$H$177),NA()))</f>
        <v>#N/A</v>
      </c>
      <c r="AA9" t="e">
        <f>IF(ISBLANK($I9),NA(),IFERROR(SUM($I9:$I$177),NA()))</f>
        <v>#N/A</v>
      </c>
      <c r="AB9" t="e">
        <f>IF(ISBLANK($J9),NA(),IFERROR(SUM($J9:$J$177),NA()))</f>
        <v>#N/A</v>
      </c>
      <c r="AC9" t="str">
        <f t="shared" si="6"/>
        <v/>
      </c>
      <c r="AD9" t="e">
        <f t="shared" si="7"/>
        <v>#N/A</v>
      </c>
      <c r="AE9" t="e">
        <f t="shared" si="8"/>
        <v>#N/A</v>
      </c>
      <c r="AF9" t="e">
        <f>IF(ISBLANK($K9),NA(),IFERROR(SUM($K9:$K$177),NA()))</f>
        <v>#N/A</v>
      </c>
      <c r="AG9" t="e">
        <f>IF(ISBLANK($L9),NA(),IFERROR(SUM($L9:$L$177),NA()))</f>
        <v>#N/A</v>
      </c>
      <c r="AH9" t="e">
        <f>IF(ISBLANK($M9),NA(),IFERROR(SUM($M9:$M$177),NA()))</f>
        <v>#N/A</v>
      </c>
      <c r="AI9" t="str">
        <f t="shared" si="9"/>
        <v/>
      </c>
      <c r="AJ9" t="e">
        <f t="shared" si="10"/>
        <v>#N/A</v>
      </c>
      <c r="AK9" t="e">
        <f t="shared" si="11"/>
        <v>#N/A</v>
      </c>
    </row>
    <row r="10" spans="1:37" x14ac:dyDescent="0.35">
      <c r="A10">
        <v>1857</v>
      </c>
      <c r="B10">
        <v>476.11099999999999</v>
      </c>
      <c r="C10">
        <v>562.51499999999999</v>
      </c>
      <c r="D10">
        <v>232.11199999999999</v>
      </c>
      <c r="E10">
        <v>732.44100000000003</v>
      </c>
      <c r="F10">
        <v>950.09900000000005</v>
      </c>
      <c r="G10">
        <v>767.81</v>
      </c>
      <c r="N10">
        <f>IF(ISBLANK($B10),NA(),IFERROR(SUM($B10:$B$177),NA()))</f>
        <v>1008156.7900000002</v>
      </c>
      <c r="O10">
        <f>IF(ISBLANK($C10),NA(),IFERROR(SUM($C10:$C$177),NA()))</f>
        <v>1306070.743</v>
      </c>
      <c r="P10">
        <f>IF(ISBLANK($D10),NA(),IFERROR(SUM($D10:$D$177),NA()))</f>
        <v>893382.11800000013</v>
      </c>
      <c r="Q10">
        <f t="shared" si="0"/>
        <v>2199452.861</v>
      </c>
      <c r="R10">
        <f t="shared" si="1"/>
        <v>45.83670820485932</v>
      </c>
      <c r="S10">
        <f t="shared" si="2"/>
        <v>59.38162013648175</v>
      </c>
      <c r="T10">
        <f>IF(ISBLANK($E10),NA(),IFERROR(SUM($E10:$E$177),NA()))</f>
        <v>1170727.0229999998</v>
      </c>
      <c r="U10">
        <f>IF(ISBLANK($F10),NA(),IFERROR(SUM($F10:$F$177),NA()))</f>
        <v>1530054.504</v>
      </c>
      <c r="V10">
        <f>IF(ISBLANK($G10),NA(),IFERROR(SUM($G10:$G$177),NA()))</f>
        <v>1194254.9030000004</v>
      </c>
      <c r="W10">
        <f t="shared" si="3"/>
        <v>2724309.4070000006</v>
      </c>
      <c r="X10">
        <f t="shared" si="4"/>
        <v>42.97335023664585</v>
      </c>
      <c r="Y10">
        <f t="shared" si="5"/>
        <v>56.163022455106905</v>
      </c>
      <c r="Z10" t="e">
        <f>IF(ISBLANK($H10),NA(),IFERROR(SUM($H10:$H$177),NA()))</f>
        <v>#N/A</v>
      </c>
      <c r="AA10" t="e">
        <f>IF(ISBLANK($I10),NA(),IFERROR(SUM($I10:$I$177),NA()))</f>
        <v>#N/A</v>
      </c>
      <c r="AB10" t="e">
        <f>IF(ISBLANK($J10),NA(),IFERROR(SUM($J10:$J$177),NA()))</f>
        <v>#N/A</v>
      </c>
      <c r="AC10" t="str">
        <f t="shared" si="6"/>
        <v/>
      </c>
      <c r="AD10" t="e">
        <f t="shared" si="7"/>
        <v>#N/A</v>
      </c>
      <c r="AE10" t="e">
        <f t="shared" si="8"/>
        <v>#N/A</v>
      </c>
      <c r="AF10" t="e">
        <f>IF(ISBLANK($K10),NA(),IFERROR(SUM($K10:$K$177),NA()))</f>
        <v>#N/A</v>
      </c>
      <c r="AG10" t="e">
        <f>IF(ISBLANK($L10),NA(),IFERROR(SUM($L10:$L$177),NA()))</f>
        <v>#N/A</v>
      </c>
      <c r="AH10" t="e">
        <f>IF(ISBLANK($M10),NA(),IFERROR(SUM($M10:$M$177),NA()))</f>
        <v>#N/A</v>
      </c>
      <c r="AI10" t="str">
        <f t="shared" si="9"/>
        <v/>
      </c>
      <c r="AJ10" t="e">
        <f t="shared" si="10"/>
        <v>#N/A</v>
      </c>
      <c r="AK10" t="e">
        <f t="shared" si="11"/>
        <v>#N/A</v>
      </c>
    </row>
    <row r="11" spans="1:37" x14ac:dyDescent="0.35">
      <c r="A11">
        <v>1858</v>
      </c>
      <c r="B11">
        <v>479.73500000000001</v>
      </c>
      <c r="C11">
        <v>568.36300000000006</v>
      </c>
      <c r="D11">
        <v>232.80600000000001</v>
      </c>
      <c r="E11">
        <v>738.92499999999995</v>
      </c>
      <c r="F11">
        <v>959.83399999999995</v>
      </c>
      <c r="G11">
        <v>769.60299999999995</v>
      </c>
      <c r="N11">
        <f>IF(ISBLANK($B11),NA(),IFERROR(SUM($B11:$B$177),NA()))</f>
        <v>1007680.6790000001</v>
      </c>
      <c r="O11">
        <f>IF(ISBLANK($C11),NA(),IFERROR(SUM($C11:$C$177),NA()))</f>
        <v>1305508.2280000001</v>
      </c>
      <c r="P11">
        <f>IF(ISBLANK($D11),NA(),IFERROR(SUM($D11:$D$177),NA()))</f>
        <v>893150.00600000017</v>
      </c>
      <c r="Q11">
        <f t="shared" si="0"/>
        <v>2198658.2340000002</v>
      </c>
      <c r="R11">
        <f t="shared" si="1"/>
        <v>45.831619640435669</v>
      </c>
      <c r="S11">
        <f t="shared" si="2"/>
        <v>59.377497048502171</v>
      </c>
      <c r="T11">
        <f>IF(ISBLANK($E11),NA(),IFERROR(SUM($E11:$E$177),NA()))</f>
        <v>1169994.5819999999</v>
      </c>
      <c r="U11">
        <f>IF(ISBLANK($F11),NA(),IFERROR(SUM($F11:$F$177),NA()))</f>
        <v>1529104.405</v>
      </c>
      <c r="V11">
        <f>IF(ISBLANK($G11),NA(),IFERROR(SUM($G11:$G$177),NA()))</f>
        <v>1193487.0930000003</v>
      </c>
      <c r="W11">
        <f t="shared" si="3"/>
        <v>2722591.4980000006</v>
      </c>
      <c r="X11">
        <f t="shared" si="4"/>
        <v>42.973563344316283</v>
      </c>
      <c r="Y11">
        <f t="shared" si="5"/>
        <v>56.163563506433889</v>
      </c>
      <c r="Z11" t="e">
        <f>IF(ISBLANK($H11),NA(),IFERROR(SUM($H11:$H$177),NA()))</f>
        <v>#N/A</v>
      </c>
      <c r="AA11" t="e">
        <f>IF(ISBLANK($I11),NA(),IFERROR(SUM($I11:$I$177),NA()))</f>
        <v>#N/A</v>
      </c>
      <c r="AB11" t="e">
        <f>IF(ISBLANK($J11),NA(),IFERROR(SUM($J11:$J$177),NA()))</f>
        <v>#N/A</v>
      </c>
      <c r="AC11" t="str">
        <f t="shared" si="6"/>
        <v/>
      </c>
      <c r="AD11" t="e">
        <f t="shared" si="7"/>
        <v>#N/A</v>
      </c>
      <c r="AE11" t="e">
        <f t="shared" si="8"/>
        <v>#N/A</v>
      </c>
      <c r="AF11" t="e">
        <f>IF(ISBLANK($K11),NA(),IFERROR(SUM($K11:$K$177),NA()))</f>
        <v>#N/A</v>
      </c>
      <c r="AG11" t="e">
        <f>IF(ISBLANK($L11),NA(),IFERROR(SUM($L11:$L$177),NA()))</f>
        <v>#N/A</v>
      </c>
      <c r="AH11" t="e">
        <f>IF(ISBLANK($M11),NA(),IFERROR(SUM($M11:$M$177),NA()))</f>
        <v>#N/A</v>
      </c>
      <c r="AI11" t="str">
        <f t="shared" si="9"/>
        <v/>
      </c>
      <c r="AJ11" t="e">
        <f t="shared" si="10"/>
        <v>#N/A</v>
      </c>
      <c r="AK11" t="e">
        <f t="shared" si="11"/>
        <v>#N/A</v>
      </c>
    </row>
    <row r="12" spans="1:37" x14ac:dyDescent="0.35">
      <c r="A12">
        <v>1859</v>
      </c>
      <c r="B12">
        <v>501.61599999999999</v>
      </c>
      <c r="C12">
        <v>590.79499999999996</v>
      </c>
      <c r="D12">
        <v>232.95</v>
      </c>
      <c r="E12">
        <v>762.94600000000003</v>
      </c>
      <c r="F12">
        <v>985.66600000000005</v>
      </c>
      <c r="G12">
        <v>771.13400000000001</v>
      </c>
      <c r="N12">
        <f>IF(ISBLANK($B12),NA(),IFERROR(SUM($B12:$B$177),NA()))</f>
        <v>1007200.9440000003</v>
      </c>
      <c r="O12">
        <f>IF(ISBLANK($C12),NA(),IFERROR(SUM($C12:$C$177),NA()))</f>
        <v>1304939.865</v>
      </c>
      <c r="P12">
        <f>IF(ISBLANK($D12),NA(),IFERROR(SUM($D12:$D$177),NA()))</f>
        <v>892917.20000000019</v>
      </c>
      <c r="Q12">
        <f t="shared" si="0"/>
        <v>2197857.0650000004</v>
      </c>
      <c r="R12">
        <f t="shared" si="1"/>
        <v>45.826498912930901</v>
      </c>
      <c r="S12">
        <f t="shared" si="2"/>
        <v>59.373281628757766</v>
      </c>
      <c r="T12">
        <f>IF(ISBLANK($E12),NA(),IFERROR(SUM($E12:$E$177),NA()))</f>
        <v>1169255.6569999999</v>
      </c>
      <c r="U12">
        <f>IF(ISBLANK($F12),NA(),IFERROR(SUM($F12:$F$177),NA()))</f>
        <v>1528144.571</v>
      </c>
      <c r="V12">
        <f>IF(ISBLANK($G12),NA(),IFERROR(SUM($G12:$G$177),NA()))</f>
        <v>1192717.4900000002</v>
      </c>
      <c r="W12">
        <f t="shared" si="3"/>
        <v>2720862.0610000002</v>
      </c>
      <c r="X12">
        <f t="shared" si="4"/>
        <v>42.973720489537151</v>
      </c>
      <c r="Y12">
        <f t="shared" si="5"/>
        <v>56.16398541123985</v>
      </c>
      <c r="Z12" t="e">
        <f>IF(ISBLANK($H12),NA(),IFERROR(SUM($H12:$H$177),NA()))</f>
        <v>#N/A</v>
      </c>
      <c r="AA12" t="e">
        <f>IF(ISBLANK($I12),NA(),IFERROR(SUM($I12:$I$177),NA()))</f>
        <v>#N/A</v>
      </c>
      <c r="AB12" t="e">
        <f>IF(ISBLANK($J12),NA(),IFERROR(SUM($J12:$J$177),NA()))</f>
        <v>#N/A</v>
      </c>
      <c r="AC12" t="str">
        <f t="shared" si="6"/>
        <v/>
      </c>
      <c r="AD12" t="e">
        <f t="shared" si="7"/>
        <v>#N/A</v>
      </c>
      <c r="AE12" t="e">
        <f t="shared" si="8"/>
        <v>#N/A</v>
      </c>
      <c r="AF12" t="e">
        <f>IF(ISBLANK($K12),NA(),IFERROR(SUM($K12:$K$177),NA()))</f>
        <v>#N/A</v>
      </c>
      <c r="AG12" t="e">
        <f>IF(ISBLANK($L12),NA(),IFERROR(SUM($L12:$L$177),NA()))</f>
        <v>#N/A</v>
      </c>
      <c r="AH12" t="e">
        <f>IF(ISBLANK($M12),NA(),IFERROR(SUM($M12:$M$177),NA()))</f>
        <v>#N/A</v>
      </c>
      <c r="AI12" t="str">
        <f t="shared" si="9"/>
        <v/>
      </c>
      <c r="AJ12" t="e">
        <f t="shared" si="10"/>
        <v>#N/A</v>
      </c>
      <c r="AK12" t="e">
        <f t="shared" si="11"/>
        <v>#N/A</v>
      </c>
    </row>
    <row r="13" spans="1:37" x14ac:dyDescent="0.35">
      <c r="A13">
        <v>1860</v>
      </c>
      <c r="B13">
        <v>536.45799999999997</v>
      </c>
      <c r="C13">
        <v>627.41</v>
      </c>
      <c r="D13">
        <v>233.31399999999999</v>
      </c>
      <c r="E13">
        <v>800.30799999999999</v>
      </c>
      <c r="F13">
        <v>1026.0840000000001</v>
      </c>
      <c r="G13">
        <v>772.31899999999996</v>
      </c>
      <c r="N13">
        <f>IF(ISBLANK($B13),NA(),IFERROR(SUM($B13:$B$177),NA()))</f>
        <v>1006699.3280000001</v>
      </c>
      <c r="O13">
        <f>IF(ISBLANK($C13),NA(),IFERROR(SUM($C13:$C$177),NA()))</f>
        <v>1304349.07</v>
      </c>
      <c r="P13">
        <f>IF(ISBLANK($D13),NA(),IFERROR(SUM($D13:$D$177),NA()))</f>
        <v>892684.25000000012</v>
      </c>
      <c r="Q13">
        <f t="shared" si="0"/>
        <v>2197033.3200000003</v>
      </c>
      <c r="R13">
        <f t="shared" si="1"/>
        <v>45.820849362448449</v>
      </c>
      <c r="S13">
        <f t="shared" si="2"/>
        <v>59.368652178656987</v>
      </c>
      <c r="T13">
        <f>IF(ISBLANK($E13),NA(),IFERROR(SUM($E13:$E$177),NA()))</f>
        <v>1168492.7109999999</v>
      </c>
      <c r="U13">
        <f>IF(ISBLANK($F13),NA(),IFERROR(SUM($F13:$F$177),NA()))</f>
        <v>1527158.905</v>
      </c>
      <c r="V13">
        <f>IF(ISBLANK($G13),NA(),IFERROR(SUM($G13:$G$177),NA()))</f>
        <v>1191946.3560000001</v>
      </c>
      <c r="W13">
        <f t="shared" si="3"/>
        <v>2719105.2609999999</v>
      </c>
      <c r="X13">
        <f t="shared" si="4"/>
        <v>42.973426875363614</v>
      </c>
      <c r="Y13">
        <f t="shared" si="5"/>
        <v>56.164023030074226</v>
      </c>
      <c r="Z13" t="e">
        <f>IF(ISBLANK($H13),NA(),IFERROR(SUM($H13:$H$177),NA()))</f>
        <v>#N/A</v>
      </c>
      <c r="AA13" t="e">
        <f>IF(ISBLANK($I13),NA(),IFERROR(SUM($I13:$I$177),NA()))</f>
        <v>#N/A</v>
      </c>
      <c r="AB13" t="e">
        <f>IF(ISBLANK($J13),NA(),IFERROR(SUM($J13:$J$177),NA()))</f>
        <v>#N/A</v>
      </c>
      <c r="AC13" t="str">
        <f t="shared" si="6"/>
        <v/>
      </c>
      <c r="AD13" t="e">
        <f t="shared" si="7"/>
        <v>#N/A</v>
      </c>
      <c r="AE13" t="e">
        <f t="shared" si="8"/>
        <v>#N/A</v>
      </c>
      <c r="AF13" t="e">
        <f>IF(ISBLANK($K13),NA(),IFERROR(SUM($K13:$K$177),NA()))</f>
        <v>#N/A</v>
      </c>
      <c r="AG13" t="e">
        <f>IF(ISBLANK($L13),NA(),IFERROR(SUM($L13:$L$177),NA()))</f>
        <v>#N/A</v>
      </c>
      <c r="AH13" t="e">
        <f>IF(ISBLANK($M13),NA(),IFERROR(SUM($M13:$M$177),NA()))</f>
        <v>#N/A</v>
      </c>
      <c r="AI13" t="str">
        <f t="shared" si="9"/>
        <v/>
      </c>
      <c r="AJ13" t="e">
        <f t="shared" si="10"/>
        <v>#N/A</v>
      </c>
      <c r="AK13" t="e">
        <f t="shared" si="11"/>
        <v>#N/A</v>
      </c>
    </row>
    <row r="14" spans="1:37" x14ac:dyDescent="0.35">
      <c r="A14">
        <v>1861</v>
      </c>
      <c r="B14">
        <v>555.28399999999999</v>
      </c>
      <c r="C14">
        <v>648.15700000000004</v>
      </c>
      <c r="D14">
        <v>233.66800000000001</v>
      </c>
      <c r="E14">
        <v>822.72</v>
      </c>
      <c r="F14">
        <v>1051.491</v>
      </c>
      <c r="G14">
        <v>774.23699999999997</v>
      </c>
      <c r="N14">
        <f>IF(ISBLANK($B14),NA(),IFERROR(SUM($B14:$B$177),NA()))</f>
        <v>1006162.8700000002</v>
      </c>
      <c r="O14">
        <f>IF(ISBLANK($C14),NA(),IFERROR(SUM($C14:$C$177),NA()))</f>
        <v>1303721.6599999999</v>
      </c>
      <c r="P14">
        <f>IF(ISBLANK($D14),NA(),IFERROR(SUM($D14:$D$177),NA()))</f>
        <v>892450.93600000022</v>
      </c>
      <c r="Q14">
        <f t="shared" si="0"/>
        <v>2196172.5959999999</v>
      </c>
      <c r="R14">
        <f t="shared" si="1"/>
        <v>45.814380519662954</v>
      </c>
      <c r="S14">
        <f t="shared" si="2"/>
        <v>59.363351604265254</v>
      </c>
      <c r="T14">
        <f>IF(ISBLANK($E14),NA(),IFERROR(SUM($E14:$E$177),NA()))</f>
        <v>1167692.4029999999</v>
      </c>
      <c r="U14">
        <f>IF(ISBLANK($F14),NA(),IFERROR(SUM($F14:$F$177),NA()))</f>
        <v>1526132.821</v>
      </c>
      <c r="V14">
        <f>IF(ISBLANK($G14),NA(),IFERROR(SUM($G14:$G$177),NA()))</f>
        <v>1191174.037</v>
      </c>
      <c r="W14">
        <f t="shared" si="3"/>
        <v>2717306.858</v>
      </c>
      <c r="X14">
        <f t="shared" si="4"/>
        <v>42.972415852195958</v>
      </c>
      <c r="Y14">
        <f t="shared" si="5"/>
        <v>56.163433162026777</v>
      </c>
      <c r="Z14" t="e">
        <f>IF(ISBLANK($H14),NA(),IFERROR(SUM($H14:$H$177),NA()))</f>
        <v>#N/A</v>
      </c>
      <c r="AA14" t="e">
        <f>IF(ISBLANK($I14),NA(),IFERROR(SUM($I14:$I$177),NA()))</f>
        <v>#N/A</v>
      </c>
      <c r="AB14" t="e">
        <f>IF(ISBLANK($J14),NA(),IFERROR(SUM($J14:$J$177),NA()))</f>
        <v>#N/A</v>
      </c>
      <c r="AC14" t="str">
        <f t="shared" si="6"/>
        <v/>
      </c>
      <c r="AD14" t="e">
        <f t="shared" si="7"/>
        <v>#N/A</v>
      </c>
      <c r="AE14" t="e">
        <f t="shared" si="8"/>
        <v>#N/A</v>
      </c>
      <c r="AF14" t="e">
        <f>IF(ISBLANK($K14),NA(),IFERROR(SUM($K14:$K$177),NA()))</f>
        <v>#N/A</v>
      </c>
      <c r="AG14" t="e">
        <f>IF(ISBLANK($L14),NA(),IFERROR(SUM($L14:$L$177),NA()))</f>
        <v>#N/A</v>
      </c>
      <c r="AH14" t="e">
        <f>IF(ISBLANK($M14),NA(),IFERROR(SUM($M14:$M$177),NA()))</f>
        <v>#N/A</v>
      </c>
      <c r="AI14" t="str">
        <f t="shared" si="9"/>
        <v/>
      </c>
      <c r="AJ14" t="e">
        <f t="shared" si="10"/>
        <v>#N/A</v>
      </c>
      <c r="AK14" t="e">
        <f t="shared" si="11"/>
        <v>#N/A</v>
      </c>
    </row>
    <row r="15" spans="1:37" x14ac:dyDescent="0.35">
      <c r="A15">
        <v>1862</v>
      </c>
      <c r="B15">
        <v>561.01700000000005</v>
      </c>
      <c r="C15">
        <v>656.71900000000005</v>
      </c>
      <c r="D15">
        <v>234.24799999999999</v>
      </c>
      <c r="E15">
        <v>830.75199999999995</v>
      </c>
      <c r="F15">
        <v>1063.403</v>
      </c>
      <c r="G15">
        <v>776.34699999999998</v>
      </c>
      <c r="N15">
        <f>IF(ISBLANK($B15),NA(),IFERROR(SUM($B15:$B$177),NA()))</f>
        <v>1005607.5860000002</v>
      </c>
      <c r="O15">
        <f>IF(ISBLANK($C15),NA(),IFERROR(SUM($C15:$C$177),NA()))</f>
        <v>1303073.503</v>
      </c>
      <c r="P15">
        <f>IF(ISBLANK($D15),NA(),IFERROR(SUM($D15:$D$177),NA()))</f>
        <v>892217.26800000016</v>
      </c>
      <c r="Q15">
        <f t="shared" si="0"/>
        <v>2195290.7710000002</v>
      </c>
      <c r="R15">
        <f t="shared" si="1"/>
        <v>45.807489344198594</v>
      </c>
      <c r="S15">
        <f t="shared" si="2"/>
        <v>59.357672350912459</v>
      </c>
      <c r="T15">
        <f>IF(ISBLANK($E15),NA(),IFERROR(SUM($E15:$E$177),NA()))</f>
        <v>1166869.6829999997</v>
      </c>
      <c r="U15">
        <f>IF(ISBLANK($F15),NA(),IFERROR(SUM($F15:$F$177),NA()))</f>
        <v>1525081.3299999998</v>
      </c>
      <c r="V15">
        <f>IF(ISBLANK($G15),NA(),IFERROR(SUM($G15:$G$177),NA()))</f>
        <v>1190399.8000000003</v>
      </c>
      <c r="W15">
        <f t="shared" si="3"/>
        <v>2715481.13</v>
      </c>
      <c r="X15">
        <f t="shared" si="4"/>
        <v>42.971010555319147</v>
      </c>
      <c r="Y15">
        <f t="shared" si="5"/>
        <v>56.162472025721641</v>
      </c>
      <c r="Z15" t="e">
        <f>IF(ISBLANK($H15),NA(),IFERROR(SUM($H15:$H$177),NA()))</f>
        <v>#N/A</v>
      </c>
      <c r="AA15" t="e">
        <f>IF(ISBLANK($I15),NA(),IFERROR(SUM($I15:$I$177),NA()))</f>
        <v>#N/A</v>
      </c>
      <c r="AB15" t="e">
        <f>IF(ISBLANK($J15),NA(),IFERROR(SUM($J15:$J$177),NA()))</f>
        <v>#N/A</v>
      </c>
      <c r="AC15" t="str">
        <f t="shared" si="6"/>
        <v/>
      </c>
      <c r="AD15" t="e">
        <f t="shared" si="7"/>
        <v>#N/A</v>
      </c>
      <c r="AE15" t="e">
        <f t="shared" si="8"/>
        <v>#N/A</v>
      </c>
      <c r="AF15" t="e">
        <f>IF(ISBLANK($K15),NA(),IFERROR(SUM($K15:$K$177),NA()))</f>
        <v>#N/A</v>
      </c>
      <c r="AG15" t="e">
        <f>IF(ISBLANK($L15),NA(),IFERROR(SUM($L15:$L$177),NA()))</f>
        <v>#N/A</v>
      </c>
      <c r="AH15" t="e">
        <f>IF(ISBLANK($M15),NA(),IFERROR(SUM($M15:$M$177),NA()))</f>
        <v>#N/A</v>
      </c>
      <c r="AI15" t="str">
        <f t="shared" si="9"/>
        <v/>
      </c>
      <c r="AJ15" t="e">
        <f t="shared" si="10"/>
        <v>#N/A</v>
      </c>
      <c r="AK15" t="e">
        <f t="shared" si="11"/>
        <v>#N/A</v>
      </c>
    </row>
    <row r="16" spans="1:37" x14ac:dyDescent="0.35">
      <c r="A16">
        <v>1863</v>
      </c>
      <c r="B16">
        <v>586.74</v>
      </c>
      <c r="C16">
        <v>685.35900000000004</v>
      </c>
      <c r="D16">
        <v>236.23400000000001</v>
      </c>
      <c r="E16">
        <v>858.82600000000002</v>
      </c>
      <c r="F16">
        <v>1095.463</v>
      </c>
      <c r="G16">
        <v>780.005</v>
      </c>
      <c r="N16">
        <f>IF(ISBLANK($B16),NA(),IFERROR(SUM($B16:$B$177),NA()))</f>
        <v>1005046.5690000003</v>
      </c>
      <c r="O16">
        <f>IF(ISBLANK($C16),NA(),IFERROR(SUM($C16:$C$177),NA()))</f>
        <v>1302416.784</v>
      </c>
      <c r="P16">
        <f>IF(ISBLANK($D16),NA(),IFERROR(SUM($D16:$D$177),NA()))</f>
        <v>891983.02000000014</v>
      </c>
      <c r="Q16">
        <f t="shared" si="0"/>
        <v>2194399.804</v>
      </c>
      <c r="R16">
        <f t="shared" si="1"/>
        <v>45.800522182328827</v>
      </c>
      <c r="S16">
        <f t="shared" si="2"/>
        <v>59.351845622020484</v>
      </c>
      <c r="T16">
        <f>IF(ISBLANK($E16),NA(),IFERROR(SUM($E16:$E$177),NA()))</f>
        <v>1166038.9309999999</v>
      </c>
      <c r="U16">
        <f>IF(ISBLANK($F16),NA(),IFERROR(SUM($F16:$F$177),NA()))</f>
        <v>1524017.9269999999</v>
      </c>
      <c r="V16">
        <f>IF(ISBLANK($G16),NA(),IFERROR(SUM($G16:$G$177),NA()))</f>
        <v>1189623.4530000002</v>
      </c>
      <c r="W16">
        <f t="shared" si="3"/>
        <v>2713641.38</v>
      </c>
      <c r="X16">
        <f t="shared" si="4"/>
        <v>42.969529415121166</v>
      </c>
      <c r="Y16">
        <f t="shared" si="5"/>
        <v>56.161360828010366</v>
      </c>
      <c r="Z16" t="e">
        <f>IF(ISBLANK($H16),NA(),IFERROR(SUM($H16:$H$177),NA()))</f>
        <v>#N/A</v>
      </c>
      <c r="AA16" t="e">
        <f>IF(ISBLANK($I16),NA(),IFERROR(SUM($I16:$I$177),NA()))</f>
        <v>#N/A</v>
      </c>
      <c r="AB16" t="e">
        <f>IF(ISBLANK($J16),NA(),IFERROR(SUM($J16:$J$177),NA()))</f>
        <v>#N/A</v>
      </c>
      <c r="AC16" t="str">
        <f t="shared" si="6"/>
        <v/>
      </c>
      <c r="AD16" t="e">
        <f t="shared" si="7"/>
        <v>#N/A</v>
      </c>
      <c r="AE16" t="e">
        <f t="shared" si="8"/>
        <v>#N/A</v>
      </c>
      <c r="AF16" t="e">
        <f>IF(ISBLANK($K16),NA(),IFERROR(SUM($K16:$K$177),NA()))</f>
        <v>#N/A</v>
      </c>
      <c r="AG16" t="e">
        <f>IF(ISBLANK($L16),NA(),IFERROR(SUM($L16:$L$177),NA()))</f>
        <v>#N/A</v>
      </c>
      <c r="AH16" t="e">
        <f>IF(ISBLANK($M16),NA(),IFERROR(SUM($M16:$M$177),NA()))</f>
        <v>#N/A</v>
      </c>
      <c r="AI16" t="str">
        <f t="shared" si="9"/>
        <v/>
      </c>
      <c r="AJ16" t="e">
        <f t="shared" si="10"/>
        <v>#N/A</v>
      </c>
      <c r="AK16" t="e">
        <f t="shared" si="11"/>
        <v>#N/A</v>
      </c>
    </row>
    <row r="17" spans="1:37" x14ac:dyDescent="0.35">
      <c r="A17">
        <v>1864</v>
      </c>
      <c r="B17">
        <v>619.49400000000003</v>
      </c>
      <c r="C17">
        <v>720.93</v>
      </c>
      <c r="D17">
        <v>237.09800000000001</v>
      </c>
      <c r="E17">
        <v>894.26400000000001</v>
      </c>
      <c r="F17">
        <v>1134.7919999999999</v>
      </c>
      <c r="G17">
        <v>782.03599999999994</v>
      </c>
      <c r="N17">
        <f>IF(ISBLANK($B17),NA(),IFERROR(SUM($B17:$B$177),NA()))</f>
        <v>1004459.8290000003</v>
      </c>
      <c r="O17">
        <f>IF(ISBLANK($C17),NA(),IFERROR(SUM($C17:$C$177),NA()))</f>
        <v>1301731.425</v>
      </c>
      <c r="P17">
        <f>IF(ISBLANK($D17),NA(),IFERROR(SUM($D17:$D$177),NA()))</f>
        <v>891746.7860000002</v>
      </c>
      <c r="Q17">
        <f t="shared" si="0"/>
        <v>2193478.2110000001</v>
      </c>
      <c r="R17">
        <f t="shared" si="1"/>
        <v>45.793016040130624</v>
      </c>
      <c r="S17">
        <f t="shared" si="2"/>
        <v>59.345537077687425</v>
      </c>
      <c r="T17">
        <f>IF(ISBLANK($E17),NA(),IFERROR(SUM($E17:$E$177),NA()))</f>
        <v>1165180.1049999997</v>
      </c>
      <c r="U17">
        <f>IF(ISBLANK($F17),NA(),IFERROR(SUM($F17:$F$177),NA()))</f>
        <v>1522922.4639999999</v>
      </c>
      <c r="V17">
        <f>IF(ISBLANK($G17),NA(),IFERROR(SUM($G17:$G$177),NA()))</f>
        <v>1188843.4480000003</v>
      </c>
      <c r="W17">
        <f t="shared" si="3"/>
        <v>2711765.9120000005</v>
      </c>
      <c r="X17">
        <f t="shared" si="4"/>
        <v>42.967576952121505</v>
      </c>
      <c r="Y17">
        <f t="shared" si="5"/>
        <v>56.159805581330716</v>
      </c>
      <c r="Z17" t="e">
        <f>IF(ISBLANK($H17),NA(),IFERROR(SUM($H17:$H$177),NA()))</f>
        <v>#N/A</v>
      </c>
      <c r="AA17" t="e">
        <f>IF(ISBLANK($I17),NA(),IFERROR(SUM($I17:$I$177),NA()))</f>
        <v>#N/A</v>
      </c>
      <c r="AB17" t="e">
        <f>IF(ISBLANK($J17),NA(),IFERROR(SUM($J17:$J$177),NA()))</f>
        <v>#N/A</v>
      </c>
      <c r="AC17" t="str">
        <f t="shared" si="6"/>
        <v/>
      </c>
      <c r="AD17" t="e">
        <f t="shared" si="7"/>
        <v>#N/A</v>
      </c>
      <c r="AE17" t="e">
        <f t="shared" si="8"/>
        <v>#N/A</v>
      </c>
      <c r="AF17" t="e">
        <f>IF(ISBLANK($K17),NA(),IFERROR(SUM($K17:$K$177),NA()))</f>
        <v>#N/A</v>
      </c>
      <c r="AG17" t="e">
        <f>IF(ISBLANK($L17),NA(),IFERROR(SUM($L17:$L$177),NA()))</f>
        <v>#N/A</v>
      </c>
      <c r="AH17" t="e">
        <f>IF(ISBLANK($M17),NA(),IFERROR(SUM($M17:$M$177),NA()))</f>
        <v>#N/A</v>
      </c>
      <c r="AI17" t="str">
        <f t="shared" si="9"/>
        <v/>
      </c>
      <c r="AJ17" t="e">
        <f t="shared" si="10"/>
        <v>#N/A</v>
      </c>
      <c r="AK17" t="e">
        <f t="shared" si="11"/>
        <v>#N/A</v>
      </c>
    </row>
    <row r="18" spans="1:37" x14ac:dyDescent="0.35">
      <c r="A18">
        <v>1865</v>
      </c>
      <c r="B18">
        <v>646.90800000000002</v>
      </c>
      <c r="C18">
        <v>751.33799999999997</v>
      </c>
      <c r="D18">
        <v>237.714</v>
      </c>
      <c r="E18">
        <v>924.596</v>
      </c>
      <c r="F18">
        <v>1169.174</v>
      </c>
      <c r="G18">
        <v>784.07</v>
      </c>
      <c r="N18">
        <f>IF(ISBLANK($B18),NA(),IFERROR(SUM($B18:$B$177),NA()))</f>
        <v>1003840.3350000001</v>
      </c>
      <c r="O18">
        <f>IF(ISBLANK($C18),NA(),IFERROR(SUM($C18:$C$177),NA()))</f>
        <v>1301010.4950000001</v>
      </c>
      <c r="P18">
        <f>IF(ISBLANK($D18),NA(),IFERROR(SUM($D18:$D$177),NA()))</f>
        <v>891509.6880000002</v>
      </c>
      <c r="Q18">
        <f t="shared" si="0"/>
        <v>2192520.1830000002</v>
      </c>
      <c r="R18">
        <f t="shared" si="1"/>
        <v>45.784770547765582</v>
      </c>
      <c r="S18">
        <f t="shared" si="2"/>
        <v>59.338586941527829</v>
      </c>
      <c r="T18">
        <f>IF(ISBLANK($E18),NA(),IFERROR(SUM($E18:$E$177),NA()))</f>
        <v>1164285.8409999998</v>
      </c>
      <c r="U18">
        <f>IF(ISBLANK($F18),NA(),IFERROR(SUM($F18:$F$177),NA()))</f>
        <v>1521787.672</v>
      </c>
      <c r="V18">
        <f>IF(ISBLANK($G18),NA(),IFERROR(SUM($G18:$G$177),NA()))</f>
        <v>1188061.412</v>
      </c>
      <c r="W18">
        <f t="shared" si="3"/>
        <v>2709849.0839999998</v>
      </c>
      <c r="X18">
        <f t="shared" si="4"/>
        <v>42.96496981600913</v>
      </c>
      <c r="Y18">
        <f t="shared" si="5"/>
        <v>56.157653980999342</v>
      </c>
      <c r="Z18" t="e">
        <f>IF(ISBLANK($H18),NA(),IFERROR(SUM($H18:$H$177),NA()))</f>
        <v>#N/A</v>
      </c>
      <c r="AA18" t="e">
        <f>IF(ISBLANK($I18),NA(),IFERROR(SUM($I18:$I$177),NA()))</f>
        <v>#N/A</v>
      </c>
      <c r="AB18" t="e">
        <f>IF(ISBLANK($J18),NA(),IFERROR(SUM($J18:$J$177),NA()))</f>
        <v>#N/A</v>
      </c>
      <c r="AC18" t="str">
        <f t="shared" si="6"/>
        <v/>
      </c>
      <c r="AD18" t="e">
        <f t="shared" si="7"/>
        <v>#N/A</v>
      </c>
      <c r="AE18" t="e">
        <f t="shared" si="8"/>
        <v>#N/A</v>
      </c>
      <c r="AF18" t="e">
        <f>IF(ISBLANK($K18),NA(),IFERROR(SUM($K18:$K$177),NA()))</f>
        <v>#N/A</v>
      </c>
      <c r="AG18" t="e">
        <f>IF(ISBLANK($L18),NA(),IFERROR(SUM($L18:$L$177),NA()))</f>
        <v>#N/A</v>
      </c>
      <c r="AH18" t="e">
        <f>IF(ISBLANK($M18),NA(),IFERROR(SUM($M18:$M$177),NA()))</f>
        <v>#N/A</v>
      </c>
      <c r="AI18" t="str">
        <f t="shared" si="9"/>
        <v/>
      </c>
      <c r="AJ18" t="e">
        <f t="shared" si="10"/>
        <v>#N/A</v>
      </c>
      <c r="AK18" t="e">
        <f t="shared" si="11"/>
        <v>#N/A</v>
      </c>
    </row>
    <row r="19" spans="1:37" x14ac:dyDescent="0.35">
      <c r="A19">
        <v>1866</v>
      </c>
      <c r="B19">
        <v>662.58799999999997</v>
      </c>
      <c r="C19">
        <v>770.40599999999995</v>
      </c>
      <c r="D19">
        <v>239.00899999999999</v>
      </c>
      <c r="E19">
        <v>942.20600000000002</v>
      </c>
      <c r="F19">
        <v>1191.2809999999999</v>
      </c>
      <c r="G19">
        <v>786.47199999999998</v>
      </c>
      <c r="N19">
        <f>IF(ISBLANK($B19),NA(),IFERROR(SUM($B19:$B$177),NA()))</f>
        <v>1003193.4270000003</v>
      </c>
      <c r="O19">
        <f>IF(ISBLANK($C19),NA(),IFERROR(SUM($C19:$C$177),NA()))</f>
        <v>1300259.1569999999</v>
      </c>
      <c r="P19">
        <f>IF(ISBLANK($D19),NA(),IFERROR(SUM($D19:$D$177),NA()))</f>
        <v>891271.97400000016</v>
      </c>
      <c r="Q19">
        <f t="shared" si="0"/>
        <v>2191531.1310000001</v>
      </c>
      <c r="R19">
        <f t="shared" si="1"/>
        <v>45.775914966913618</v>
      </c>
      <c r="S19">
        <f t="shared" si="2"/>
        <v>59.331083122998528</v>
      </c>
      <c r="T19">
        <f>IF(ISBLANK($E19),NA(),IFERROR(SUM($E19:$E$177),NA()))</f>
        <v>1163361.2449999999</v>
      </c>
      <c r="U19">
        <f>IF(ISBLANK($F19),NA(),IFERROR(SUM($F19:$F$177),NA()))</f>
        <v>1520618.4979999999</v>
      </c>
      <c r="V19">
        <f>IF(ISBLANK($G19),NA(),IFERROR(SUM($G19:$G$177),NA()))</f>
        <v>1187277.3420000002</v>
      </c>
      <c r="W19">
        <f t="shared" si="3"/>
        <v>2707895.84</v>
      </c>
      <c r="X19">
        <f t="shared" si="4"/>
        <v>42.961816618470813</v>
      </c>
      <c r="Y19">
        <f t="shared" si="5"/>
        <v>56.154984823936218</v>
      </c>
      <c r="Z19" t="e">
        <f>IF(ISBLANK($H19),NA(),IFERROR(SUM($H19:$H$177),NA()))</f>
        <v>#N/A</v>
      </c>
      <c r="AA19" t="e">
        <f>IF(ISBLANK($I19),NA(),IFERROR(SUM($I19:$I$177),NA()))</f>
        <v>#N/A</v>
      </c>
      <c r="AB19" t="e">
        <f>IF(ISBLANK($J19),NA(),IFERROR(SUM($J19:$J$177),NA()))</f>
        <v>#N/A</v>
      </c>
      <c r="AC19" t="str">
        <f t="shared" si="6"/>
        <v/>
      </c>
      <c r="AD19" t="e">
        <f t="shared" si="7"/>
        <v>#N/A</v>
      </c>
      <c r="AE19" t="e">
        <f t="shared" si="8"/>
        <v>#N/A</v>
      </c>
      <c r="AF19" t="e">
        <f>IF(ISBLANK($K19),NA(),IFERROR(SUM($K19:$K$177),NA()))</f>
        <v>#N/A</v>
      </c>
      <c r="AG19" t="e">
        <f>IF(ISBLANK($L19),NA(),IFERROR(SUM($L19:$L$177),NA()))</f>
        <v>#N/A</v>
      </c>
      <c r="AH19" t="e">
        <f>IF(ISBLANK($M19),NA(),IFERROR(SUM($M19:$M$177),NA()))</f>
        <v>#N/A</v>
      </c>
      <c r="AI19" t="str">
        <f t="shared" si="9"/>
        <v/>
      </c>
      <c r="AJ19" t="e">
        <f t="shared" si="10"/>
        <v>#N/A</v>
      </c>
      <c r="AK19" t="e">
        <f t="shared" si="11"/>
        <v>#N/A</v>
      </c>
    </row>
    <row r="20" spans="1:37" x14ac:dyDescent="0.35">
      <c r="A20">
        <v>1867</v>
      </c>
      <c r="B20">
        <v>694.86300000000006</v>
      </c>
      <c r="C20">
        <v>806.14599999999996</v>
      </c>
      <c r="D20">
        <v>238.88900000000001</v>
      </c>
      <c r="E20">
        <v>978.49599999999998</v>
      </c>
      <c r="F20">
        <v>1232.0899999999999</v>
      </c>
      <c r="G20">
        <v>788.54</v>
      </c>
      <c r="N20">
        <f>IF(ISBLANK($B20),NA(),IFERROR(SUM($B20:$B$177),NA()))</f>
        <v>1002530.8390000003</v>
      </c>
      <c r="O20">
        <f>IF(ISBLANK($C20),NA(),IFERROR(SUM($C20:$C$177),NA()))</f>
        <v>1299488.7509999999</v>
      </c>
      <c r="P20">
        <f>IF(ISBLANK($D20),NA(),IFERROR(SUM($D20:$D$177),NA()))</f>
        <v>891032.9650000002</v>
      </c>
      <c r="Q20">
        <f t="shared" si="0"/>
        <v>2190521.716</v>
      </c>
      <c r="R20">
        <f t="shared" si="1"/>
        <v>45.766761026714256</v>
      </c>
      <c r="S20">
        <f t="shared" si="2"/>
        <v>59.323253520304284</v>
      </c>
      <c r="T20">
        <f>IF(ISBLANK($E20),NA(),IFERROR(SUM($E20:$E$177),NA()))</f>
        <v>1162419.0389999999</v>
      </c>
      <c r="U20">
        <f>IF(ISBLANK($F20),NA(),IFERROR(SUM($F20:$F$177),NA()))</f>
        <v>1519427.2169999999</v>
      </c>
      <c r="V20">
        <f>IF(ISBLANK($G20),NA(),IFERROR(SUM($G20:$G$177),NA()))</f>
        <v>1186490.8700000001</v>
      </c>
      <c r="W20">
        <f t="shared" si="3"/>
        <v>2705918.0870000003</v>
      </c>
      <c r="X20">
        <f t="shared" si="4"/>
        <v>42.958397173387894</v>
      </c>
      <c r="Y20">
        <f t="shared" si="5"/>
        <v>56.152003429067577</v>
      </c>
      <c r="Z20" t="e">
        <f>IF(ISBLANK($H20),NA(),IFERROR(SUM($H20:$H$177),NA()))</f>
        <v>#N/A</v>
      </c>
      <c r="AA20" t="e">
        <f>IF(ISBLANK($I20),NA(),IFERROR(SUM($I20:$I$177),NA()))</f>
        <v>#N/A</v>
      </c>
      <c r="AB20" t="e">
        <f>IF(ISBLANK($J20),NA(),IFERROR(SUM($J20:$J$177),NA()))</f>
        <v>#N/A</v>
      </c>
      <c r="AC20" t="str">
        <f t="shared" si="6"/>
        <v/>
      </c>
      <c r="AD20" t="e">
        <f t="shared" si="7"/>
        <v>#N/A</v>
      </c>
      <c r="AE20" t="e">
        <f t="shared" si="8"/>
        <v>#N/A</v>
      </c>
      <c r="AF20" t="e">
        <f>IF(ISBLANK($K20),NA(),IFERROR(SUM($K20:$K$177),NA()))</f>
        <v>#N/A</v>
      </c>
      <c r="AG20" t="e">
        <f>IF(ISBLANK($L20),NA(),IFERROR(SUM($L20:$L$177),NA()))</f>
        <v>#N/A</v>
      </c>
      <c r="AH20" t="e">
        <f>IF(ISBLANK($M20),NA(),IFERROR(SUM($M20:$M$177),NA()))</f>
        <v>#N/A</v>
      </c>
      <c r="AI20" t="str">
        <f t="shared" si="9"/>
        <v/>
      </c>
      <c r="AJ20" t="e">
        <f t="shared" si="10"/>
        <v>#N/A</v>
      </c>
      <c r="AK20" t="e">
        <f t="shared" si="11"/>
        <v>#N/A</v>
      </c>
    </row>
    <row r="21" spans="1:37" x14ac:dyDescent="0.35">
      <c r="A21">
        <v>1868</v>
      </c>
      <c r="B21">
        <v>707.63</v>
      </c>
      <c r="C21">
        <v>821.87199999999996</v>
      </c>
      <c r="D21">
        <v>239.57</v>
      </c>
      <c r="E21">
        <v>994.07100000000003</v>
      </c>
      <c r="F21">
        <v>1251.6780000000001</v>
      </c>
      <c r="G21">
        <v>790.65599999999995</v>
      </c>
      <c r="N21">
        <f>IF(ISBLANK($B21),NA(),IFERROR(SUM($B21:$B$177),NA()))</f>
        <v>1001835.9760000001</v>
      </c>
      <c r="O21">
        <f>IF(ISBLANK($C21),NA(),IFERROR(SUM($C21:$C$177),NA()))</f>
        <v>1298682.605</v>
      </c>
      <c r="P21">
        <f>IF(ISBLANK($D21),NA(),IFERROR(SUM($D21:$D$177),NA()))</f>
        <v>890794.07600000012</v>
      </c>
      <c r="Q21">
        <f t="shared" si="0"/>
        <v>2189476.6809999999</v>
      </c>
      <c r="R21">
        <f t="shared" si="1"/>
        <v>45.756868967539383</v>
      </c>
      <c r="S21">
        <f t="shared" si="2"/>
        <v>59.31474933118961</v>
      </c>
      <c r="T21">
        <f>IF(ISBLANK($E21),NA(),IFERROR(SUM($E21:$E$177),NA()))</f>
        <v>1161440.5429999998</v>
      </c>
      <c r="U21">
        <f>IF(ISBLANK($F21),NA(),IFERROR(SUM($F21:$F$177),NA()))</f>
        <v>1518195.1270000001</v>
      </c>
      <c r="V21">
        <f>IF(ISBLANK($G21),NA(),IFERROR(SUM($G21:$G$177),NA()))</f>
        <v>1185702.33</v>
      </c>
      <c r="W21">
        <f t="shared" si="3"/>
        <v>2703897.4570000004</v>
      </c>
      <c r="X21">
        <f t="shared" si="4"/>
        <v>42.954311747037515</v>
      </c>
      <c r="Y21">
        <f t="shared" si="5"/>
        <v>56.1483987889264</v>
      </c>
      <c r="Z21" t="e">
        <f>IF(ISBLANK($H21),NA(),IFERROR(SUM($H21:$H$177),NA()))</f>
        <v>#N/A</v>
      </c>
      <c r="AA21" t="e">
        <f>IF(ISBLANK($I21),NA(),IFERROR(SUM($I21:$I$177),NA()))</f>
        <v>#N/A</v>
      </c>
      <c r="AB21" t="e">
        <f>IF(ISBLANK($J21),NA(),IFERROR(SUM($J21:$J$177),NA()))</f>
        <v>#N/A</v>
      </c>
      <c r="AC21" t="str">
        <f t="shared" si="6"/>
        <v/>
      </c>
      <c r="AD21" t="e">
        <f t="shared" si="7"/>
        <v>#N/A</v>
      </c>
      <c r="AE21" t="e">
        <f t="shared" si="8"/>
        <v>#N/A</v>
      </c>
      <c r="AF21" t="e">
        <f>IF(ISBLANK($K21),NA(),IFERROR(SUM($K21:$K$177),NA()))</f>
        <v>#N/A</v>
      </c>
      <c r="AG21" t="e">
        <f>IF(ISBLANK($L21),NA(),IFERROR(SUM($L21:$L$177),NA()))</f>
        <v>#N/A</v>
      </c>
      <c r="AH21" t="e">
        <f>IF(ISBLANK($M21),NA(),IFERROR(SUM($M21:$M$177),NA()))</f>
        <v>#N/A</v>
      </c>
      <c r="AI21" t="str">
        <f t="shared" si="9"/>
        <v/>
      </c>
      <c r="AJ21" t="e">
        <f t="shared" si="10"/>
        <v>#N/A</v>
      </c>
      <c r="AK21" t="e">
        <f t="shared" si="11"/>
        <v>#N/A</v>
      </c>
    </row>
    <row r="22" spans="1:37" x14ac:dyDescent="0.35">
      <c r="A22">
        <v>1869</v>
      </c>
      <c r="B22">
        <v>740.26800000000003</v>
      </c>
      <c r="C22">
        <v>857.68299999999999</v>
      </c>
      <c r="D22">
        <v>240.029</v>
      </c>
      <c r="E22">
        <v>1029.2729999999999</v>
      </c>
      <c r="F22">
        <v>1291.1510000000001</v>
      </c>
      <c r="G22">
        <v>793.03200000000004</v>
      </c>
      <c r="N22">
        <f>IF(ISBLANK($B22),NA(),IFERROR(SUM($B22:$B$177),NA()))</f>
        <v>1001128.3460000003</v>
      </c>
      <c r="O22">
        <f>IF(ISBLANK($C22),NA(),IFERROR(SUM($C22:$C$177),NA()))</f>
        <v>1297860.733</v>
      </c>
      <c r="P22">
        <f>IF(ISBLANK($D22),NA(),IFERROR(SUM($D22:$D$177),NA()))</f>
        <v>890554.50600000017</v>
      </c>
      <c r="Q22">
        <f t="shared" si="0"/>
        <v>2188415.2390000001</v>
      </c>
      <c r="R22">
        <f t="shared" si="1"/>
        <v>45.746727045159282</v>
      </c>
      <c r="S22">
        <f t="shared" si="2"/>
        <v>59.305963048998855</v>
      </c>
      <c r="T22">
        <f>IF(ISBLANK($E22),NA(),IFERROR(SUM($E22:$E$177),NA()))</f>
        <v>1160446.4719999998</v>
      </c>
      <c r="U22">
        <f>IF(ISBLANK($F22),NA(),IFERROR(SUM($F22:$F$177),NA()))</f>
        <v>1516943.449</v>
      </c>
      <c r="V22">
        <f>IF(ISBLANK($G22),NA(),IFERROR(SUM($G22:$G$177),NA()))</f>
        <v>1184911.6740000001</v>
      </c>
      <c r="W22">
        <f t="shared" si="3"/>
        <v>2701855.1230000001</v>
      </c>
      <c r="X22">
        <f t="shared" si="4"/>
        <v>42.949988773324755</v>
      </c>
      <c r="Y22">
        <f t="shared" si="5"/>
        <v>56.144514784925427</v>
      </c>
      <c r="Z22" t="e">
        <f>IF(ISBLANK($H22),NA(),IFERROR(SUM($H22:$H$177),NA()))</f>
        <v>#N/A</v>
      </c>
      <c r="AA22" t="e">
        <f>IF(ISBLANK($I22),NA(),IFERROR(SUM($I22:$I$177),NA()))</f>
        <v>#N/A</v>
      </c>
      <c r="AB22" t="e">
        <f>IF(ISBLANK($J22),NA(),IFERROR(SUM($J22:$J$177),NA()))</f>
        <v>#N/A</v>
      </c>
      <c r="AC22" t="str">
        <f t="shared" si="6"/>
        <v/>
      </c>
      <c r="AD22" t="e">
        <f t="shared" si="7"/>
        <v>#N/A</v>
      </c>
      <c r="AE22" t="e">
        <f t="shared" si="8"/>
        <v>#N/A</v>
      </c>
      <c r="AF22" t="e">
        <f>IF(ISBLANK($K22),NA(),IFERROR(SUM($K22:$K$177),NA()))</f>
        <v>#N/A</v>
      </c>
      <c r="AG22" t="e">
        <f>IF(ISBLANK($L22),NA(),IFERROR(SUM($L22:$L$177),NA()))</f>
        <v>#N/A</v>
      </c>
      <c r="AH22" t="e">
        <f>IF(ISBLANK($M22),NA(),IFERROR(SUM($M22:$M$177),NA()))</f>
        <v>#N/A</v>
      </c>
      <c r="AI22" t="str">
        <f t="shared" si="9"/>
        <v/>
      </c>
      <c r="AJ22" t="e">
        <f t="shared" si="10"/>
        <v>#N/A</v>
      </c>
      <c r="AK22" t="e">
        <f t="shared" si="11"/>
        <v>#N/A</v>
      </c>
    </row>
    <row r="23" spans="1:37" x14ac:dyDescent="0.35">
      <c r="A23">
        <v>1870</v>
      </c>
      <c r="B23">
        <v>749.83199999999999</v>
      </c>
      <c r="C23">
        <v>870.18200000000002</v>
      </c>
      <c r="D23">
        <v>241.84399999999999</v>
      </c>
      <c r="E23">
        <v>1042.057</v>
      </c>
      <c r="F23">
        <v>1307.9549999999999</v>
      </c>
      <c r="G23">
        <v>796.52700000000004</v>
      </c>
      <c r="N23">
        <f>IF(ISBLANK($B23),NA(),IFERROR(SUM($B23:$B$177),NA()))</f>
        <v>1000388.0780000003</v>
      </c>
      <c r="O23">
        <f>IF(ISBLANK($C23),NA(),IFERROR(SUM($C23:$C$177),NA()))</f>
        <v>1297003.05</v>
      </c>
      <c r="P23">
        <f>IF(ISBLANK($D23),NA(),IFERROR(SUM($D23:$D$177),NA()))</f>
        <v>890314.47700000019</v>
      </c>
      <c r="Q23">
        <f t="shared" si="0"/>
        <v>2187317.5270000002</v>
      </c>
      <c r="R23">
        <f t="shared" si="1"/>
        <v>45.735841534268488</v>
      </c>
      <c r="S23">
        <f t="shared" si="2"/>
        <v>59.296514291589631</v>
      </c>
      <c r="T23">
        <f>IF(ISBLANK($E23),NA(),IFERROR(SUM($E23:$E$177),NA()))</f>
        <v>1159417.199</v>
      </c>
      <c r="U23">
        <f>IF(ISBLANK($F23),NA(),IFERROR(SUM($F23:$F$177),NA()))</f>
        <v>1515652.298</v>
      </c>
      <c r="V23">
        <f>IF(ISBLANK($G23),NA(),IFERROR(SUM($G23:$G$177),NA()))</f>
        <v>1184118.6420000005</v>
      </c>
      <c r="W23">
        <f t="shared" si="3"/>
        <v>2699770.9400000004</v>
      </c>
      <c r="X23">
        <f t="shared" si="4"/>
        <v>42.94502106908373</v>
      </c>
      <c r="Y23">
        <f t="shared" si="5"/>
        <v>56.140033050359442</v>
      </c>
      <c r="Z23" t="e">
        <f>IF(ISBLANK($H23),NA(),IFERROR(SUM($H23:$H$177),NA()))</f>
        <v>#N/A</v>
      </c>
      <c r="AA23" t="e">
        <f>IF(ISBLANK($I23),NA(),IFERROR(SUM($I23:$I$177),NA()))</f>
        <v>#N/A</v>
      </c>
      <c r="AB23" t="e">
        <f>IF(ISBLANK($J23),NA(),IFERROR(SUM($J23:$J$177),NA()))</f>
        <v>#N/A</v>
      </c>
      <c r="AC23" t="str">
        <f t="shared" si="6"/>
        <v/>
      </c>
      <c r="AD23" t="e">
        <f t="shared" si="7"/>
        <v>#N/A</v>
      </c>
      <c r="AE23" t="e">
        <f t="shared" si="8"/>
        <v>#N/A</v>
      </c>
      <c r="AF23" t="e">
        <f>IF(ISBLANK($K23),NA(),IFERROR(SUM($K23:$K$177),NA()))</f>
        <v>#N/A</v>
      </c>
      <c r="AG23" t="e">
        <f>IF(ISBLANK($L23),NA(),IFERROR(SUM($L23:$L$177),NA()))</f>
        <v>#N/A</v>
      </c>
      <c r="AH23" t="e">
        <f>IF(ISBLANK($M23),NA(),IFERROR(SUM($M23:$M$177),NA()))</f>
        <v>#N/A</v>
      </c>
      <c r="AI23" t="str">
        <f t="shared" si="9"/>
        <v/>
      </c>
      <c r="AJ23" t="e">
        <f t="shared" si="10"/>
        <v>#N/A</v>
      </c>
      <c r="AK23" t="e">
        <f t="shared" si="11"/>
        <v>#N/A</v>
      </c>
    </row>
    <row r="24" spans="1:37" x14ac:dyDescent="0.35">
      <c r="A24">
        <v>1871</v>
      </c>
      <c r="B24">
        <v>781.98</v>
      </c>
      <c r="C24">
        <v>908.30799999999999</v>
      </c>
      <c r="D24">
        <v>243.71100000000001</v>
      </c>
      <c r="E24">
        <v>1079.5609999999999</v>
      </c>
      <c r="F24">
        <v>1353.4960000000001</v>
      </c>
      <c r="G24">
        <v>802.029</v>
      </c>
      <c r="N24">
        <f>IF(ISBLANK($B24),NA(),IFERROR(SUM($B24:$B$177),NA()))</f>
        <v>999638.24600000016</v>
      </c>
      <c r="O24">
        <f>IF(ISBLANK($C24),NA(),IFERROR(SUM($C24:$C$177),NA()))</f>
        <v>1296132.868</v>
      </c>
      <c r="P24">
        <f>IF(ISBLANK($D24),NA(),IFERROR(SUM($D24:$D$177),NA()))</f>
        <v>890072.63300000015</v>
      </c>
      <c r="Q24">
        <f t="shared" si="0"/>
        <v>2186205.5010000002</v>
      </c>
      <c r="R24">
        <f t="shared" si="1"/>
        <v>45.724807002029408</v>
      </c>
      <c r="S24">
        <f t="shared" si="2"/>
        <v>59.286872501561781</v>
      </c>
      <c r="T24">
        <f>IF(ISBLANK($E24),NA(),IFERROR(SUM($E24:$E$177),NA()))</f>
        <v>1158375.142</v>
      </c>
      <c r="U24">
        <f>IF(ISBLANK($F24),NA(),IFERROR(SUM($F24:$F$177),NA()))</f>
        <v>1514344.3429999999</v>
      </c>
      <c r="V24">
        <f>IF(ISBLANK($G24),NA(),IFERROR(SUM($G24:$G$177),NA()))</f>
        <v>1183322.1150000002</v>
      </c>
      <c r="W24">
        <f t="shared" si="3"/>
        <v>2697666.4580000001</v>
      </c>
      <c r="X24">
        <f t="shared" si="4"/>
        <v>42.93989490675574</v>
      </c>
      <c r="Y24">
        <f t="shared" si="5"/>
        <v>56.135343882457093</v>
      </c>
      <c r="Z24" t="e">
        <f>IF(ISBLANK($H24),NA(),IFERROR(SUM($H24:$H$177),NA()))</f>
        <v>#N/A</v>
      </c>
      <c r="AA24" t="e">
        <f>IF(ISBLANK($I24),NA(),IFERROR(SUM($I24:$I$177),NA()))</f>
        <v>#N/A</v>
      </c>
      <c r="AB24" t="e">
        <f>IF(ISBLANK($J24),NA(),IFERROR(SUM($J24:$J$177),NA()))</f>
        <v>#N/A</v>
      </c>
      <c r="AC24" t="str">
        <f t="shared" si="6"/>
        <v/>
      </c>
      <c r="AD24" t="e">
        <f t="shared" si="7"/>
        <v>#N/A</v>
      </c>
      <c r="AE24" t="e">
        <f t="shared" si="8"/>
        <v>#N/A</v>
      </c>
      <c r="AF24" t="e">
        <f>IF(ISBLANK($K24),NA(),IFERROR(SUM($K24:$K$177),NA()))</f>
        <v>#N/A</v>
      </c>
      <c r="AG24" t="e">
        <f>IF(ISBLANK($L24),NA(),IFERROR(SUM($L24:$L$177),NA()))</f>
        <v>#N/A</v>
      </c>
      <c r="AH24" t="e">
        <f>IF(ISBLANK($M24),NA(),IFERROR(SUM($M24:$M$177),NA()))</f>
        <v>#N/A</v>
      </c>
      <c r="AI24" t="str">
        <f t="shared" si="9"/>
        <v/>
      </c>
      <c r="AJ24" t="e">
        <f t="shared" si="10"/>
        <v>#N/A</v>
      </c>
      <c r="AK24" t="e">
        <f t="shared" si="11"/>
        <v>#N/A</v>
      </c>
    </row>
    <row r="25" spans="1:37" x14ac:dyDescent="0.35">
      <c r="A25">
        <v>1872</v>
      </c>
      <c r="B25">
        <v>849.23900000000003</v>
      </c>
      <c r="C25">
        <v>979.34699999999998</v>
      </c>
      <c r="D25">
        <v>245.60599999999999</v>
      </c>
      <c r="E25">
        <v>1154.4829999999999</v>
      </c>
      <c r="F25">
        <v>1434.66</v>
      </c>
      <c r="G25">
        <v>807.56</v>
      </c>
      <c r="N25">
        <f>IF(ISBLANK($B25),NA(),IFERROR(SUM($B25:$B$177),NA()))</f>
        <v>998856.26600000018</v>
      </c>
      <c r="O25">
        <f>IF(ISBLANK($C25),NA(),IFERROR(SUM($C25:$C$177),NA()))</f>
        <v>1295224.56</v>
      </c>
      <c r="P25">
        <f>IF(ISBLANK($D25),NA(),IFERROR(SUM($D25:$D$177),NA()))</f>
        <v>889828.92200000014</v>
      </c>
      <c r="Q25">
        <f t="shared" si="0"/>
        <v>2185053.4820000003</v>
      </c>
      <c r="R25">
        <f t="shared" si="1"/>
        <v>45.713126668448297</v>
      </c>
      <c r="S25">
        <f t="shared" si="2"/>
        <v>59.276560993576624</v>
      </c>
      <c r="T25">
        <f>IF(ISBLANK($E25),NA(),IFERROR(SUM($E25:$E$177),NA()))</f>
        <v>1157295.581</v>
      </c>
      <c r="U25">
        <f>IF(ISBLANK($F25),NA(),IFERROR(SUM($F25:$F$177),NA()))</f>
        <v>1512990.8469999998</v>
      </c>
      <c r="V25">
        <f>IF(ISBLANK($G25),NA(),IFERROR(SUM($G25:$G$177),NA()))</f>
        <v>1182520.0860000001</v>
      </c>
      <c r="W25">
        <f t="shared" si="3"/>
        <v>2695510.9330000002</v>
      </c>
      <c r="X25">
        <f t="shared" si="4"/>
        <v>42.934182415352865</v>
      </c>
      <c r="Y25">
        <f t="shared" si="5"/>
        <v>56.130020786675097</v>
      </c>
      <c r="Z25" t="e">
        <f>IF(ISBLANK($H25),NA(),IFERROR(SUM($H25:$H$177),NA()))</f>
        <v>#N/A</v>
      </c>
      <c r="AA25" t="e">
        <f>IF(ISBLANK($I25),NA(),IFERROR(SUM($I25:$I$177),NA()))</f>
        <v>#N/A</v>
      </c>
      <c r="AB25" t="e">
        <f>IF(ISBLANK($J25),NA(),IFERROR(SUM($J25:$J$177),NA()))</f>
        <v>#N/A</v>
      </c>
      <c r="AC25" t="str">
        <f t="shared" si="6"/>
        <v/>
      </c>
      <c r="AD25" t="e">
        <f t="shared" si="7"/>
        <v>#N/A</v>
      </c>
      <c r="AE25" t="e">
        <f t="shared" si="8"/>
        <v>#N/A</v>
      </c>
      <c r="AF25" t="e">
        <f>IF(ISBLANK($K25),NA(),IFERROR(SUM($K25:$K$177),NA()))</f>
        <v>#N/A</v>
      </c>
      <c r="AG25" t="e">
        <f>IF(ISBLANK($L25),NA(),IFERROR(SUM($L25:$L$177),NA()))</f>
        <v>#N/A</v>
      </c>
      <c r="AH25" t="e">
        <f>IF(ISBLANK($M25),NA(),IFERROR(SUM($M25:$M$177),NA()))</f>
        <v>#N/A</v>
      </c>
      <c r="AI25" t="str">
        <f t="shared" si="9"/>
        <v/>
      </c>
      <c r="AJ25" t="e">
        <f t="shared" si="10"/>
        <v>#N/A</v>
      </c>
      <c r="AK25" t="e">
        <f t="shared" si="11"/>
        <v>#N/A</v>
      </c>
    </row>
    <row r="26" spans="1:37" x14ac:dyDescent="0.35">
      <c r="A26">
        <v>1873</v>
      </c>
      <c r="B26">
        <v>892.27</v>
      </c>
      <c r="C26">
        <v>1025.691</v>
      </c>
      <c r="D26">
        <v>247.303</v>
      </c>
      <c r="E26">
        <v>1204.9960000000001</v>
      </c>
      <c r="F26">
        <v>1491.268</v>
      </c>
      <c r="G26">
        <v>813.81500000000005</v>
      </c>
      <c r="N26">
        <f>IF(ISBLANK($B26),NA(),IFERROR(SUM($B26:$B$177),NA()))</f>
        <v>998007.02700000012</v>
      </c>
      <c r="O26">
        <f>IF(ISBLANK($C26),NA(),IFERROR(SUM($C26:$C$177),NA()))</f>
        <v>1294245.213</v>
      </c>
      <c r="P26">
        <f>IF(ISBLANK($D26),NA(),IFERROR(SUM($D26:$D$177),NA()))</f>
        <v>889583.31600000022</v>
      </c>
      <c r="Q26">
        <f t="shared" si="0"/>
        <v>2183828.5290000001</v>
      </c>
      <c r="R26">
        <f t="shared" si="1"/>
        <v>45.699880450641373</v>
      </c>
      <c r="S26">
        <f t="shared" si="2"/>
        <v>59.264964982971883</v>
      </c>
      <c r="T26">
        <f>IF(ISBLANK($E26),NA(),IFERROR(SUM($E26:$E$177),NA()))</f>
        <v>1156141.098</v>
      </c>
      <c r="U26">
        <f>IF(ISBLANK($F26),NA(),IFERROR(SUM($F26:$F$177),NA()))</f>
        <v>1511556.1869999999</v>
      </c>
      <c r="V26">
        <f>IF(ISBLANK($G26),NA(),IFERROR(SUM($G26:$G$177),NA()))</f>
        <v>1181712.5260000001</v>
      </c>
      <c r="W26">
        <f t="shared" si="3"/>
        <v>2693268.713</v>
      </c>
      <c r="X26">
        <f t="shared" si="4"/>
        <v>42.927060802343341</v>
      </c>
      <c r="Y26">
        <f t="shared" si="5"/>
        <v>56.123482209701066</v>
      </c>
      <c r="Z26" t="e">
        <f>IF(ISBLANK($H26),NA(),IFERROR(SUM($H26:$H$177),NA()))</f>
        <v>#N/A</v>
      </c>
      <c r="AA26" t="e">
        <f>IF(ISBLANK($I26),NA(),IFERROR(SUM($I26:$I$177),NA()))</f>
        <v>#N/A</v>
      </c>
      <c r="AB26" t="e">
        <f>IF(ISBLANK($J26),NA(),IFERROR(SUM($J26:$J$177),NA()))</f>
        <v>#N/A</v>
      </c>
      <c r="AC26" t="str">
        <f t="shared" si="6"/>
        <v/>
      </c>
      <c r="AD26" t="e">
        <f t="shared" si="7"/>
        <v>#N/A</v>
      </c>
      <c r="AE26" t="e">
        <f t="shared" si="8"/>
        <v>#N/A</v>
      </c>
      <c r="AF26" t="e">
        <f>IF(ISBLANK($K26),NA(),IFERROR(SUM($K26:$K$177),NA()))</f>
        <v>#N/A</v>
      </c>
      <c r="AG26" t="e">
        <f>IF(ISBLANK($L26),NA(),IFERROR(SUM($L26:$L$177),NA()))</f>
        <v>#N/A</v>
      </c>
      <c r="AH26" t="e">
        <f>IF(ISBLANK($M26),NA(),IFERROR(SUM($M26:$M$177),NA()))</f>
        <v>#N/A</v>
      </c>
      <c r="AI26" t="str">
        <f t="shared" si="9"/>
        <v/>
      </c>
      <c r="AJ26" t="e">
        <f t="shared" si="10"/>
        <v>#N/A</v>
      </c>
      <c r="AK26" t="e">
        <f t="shared" si="11"/>
        <v>#N/A</v>
      </c>
    </row>
    <row r="27" spans="1:37" x14ac:dyDescent="0.35">
      <c r="A27">
        <v>1874</v>
      </c>
      <c r="B27">
        <v>841.85400000000004</v>
      </c>
      <c r="C27">
        <v>979.99300000000005</v>
      </c>
      <c r="D27">
        <v>249.37700000000001</v>
      </c>
      <c r="E27">
        <v>1158.748</v>
      </c>
      <c r="F27">
        <v>1452.8920000000001</v>
      </c>
      <c r="G27">
        <v>820.67200000000003</v>
      </c>
      <c r="N27">
        <f>IF(ISBLANK($B27),NA(),IFERROR(SUM($B27:$B$177),NA()))</f>
        <v>997114.7570000001</v>
      </c>
      <c r="O27">
        <f>IF(ISBLANK($C27),NA(),IFERROR(SUM($C27:$C$177),NA()))</f>
        <v>1293219.5219999999</v>
      </c>
      <c r="P27">
        <f>IF(ISBLANK($D27),NA(),IFERROR(SUM($D27:$D$177),NA()))</f>
        <v>889336.01300000015</v>
      </c>
      <c r="Q27">
        <f t="shared" si="0"/>
        <v>2182555.5350000001</v>
      </c>
      <c r="R27">
        <f t="shared" si="1"/>
        <v>45.685653400796511</v>
      </c>
      <c r="S27">
        <f t="shared" si="2"/>
        <v>59.252536820328828</v>
      </c>
      <c r="T27">
        <f>IF(ISBLANK($E27),NA(),IFERROR(SUM($E27:$E$177),NA()))</f>
        <v>1154936.102</v>
      </c>
      <c r="U27">
        <f>IF(ISBLANK($F27),NA(),IFERROR(SUM($F27:$F$177),NA()))</f>
        <v>1510064.919</v>
      </c>
      <c r="V27">
        <f>IF(ISBLANK($G27),NA(),IFERROR(SUM($G27:$G$177),NA()))</f>
        <v>1180898.7110000001</v>
      </c>
      <c r="W27">
        <f t="shared" si="3"/>
        <v>2690963.63</v>
      </c>
      <c r="X27">
        <f t="shared" si="4"/>
        <v>42.919052830156609</v>
      </c>
      <c r="Y27">
        <f t="shared" si="5"/>
        <v>56.116140038652254</v>
      </c>
      <c r="Z27" t="e">
        <f>IF(ISBLANK($H27),NA(),IFERROR(SUM($H27:$H$177),NA()))</f>
        <v>#N/A</v>
      </c>
      <c r="AA27" t="e">
        <f>IF(ISBLANK($I27),NA(),IFERROR(SUM($I27:$I$177),NA()))</f>
        <v>#N/A</v>
      </c>
      <c r="AB27" t="e">
        <f>IF(ISBLANK($J27),NA(),IFERROR(SUM($J27:$J$177),NA()))</f>
        <v>#N/A</v>
      </c>
      <c r="AC27" t="str">
        <f t="shared" si="6"/>
        <v/>
      </c>
      <c r="AD27" t="e">
        <f t="shared" si="7"/>
        <v>#N/A</v>
      </c>
      <c r="AE27" t="e">
        <f t="shared" si="8"/>
        <v>#N/A</v>
      </c>
      <c r="AF27" t="e">
        <f>IF(ISBLANK($K27),NA(),IFERROR(SUM($K27:$K$177),NA()))</f>
        <v>#N/A</v>
      </c>
      <c r="AG27" t="e">
        <f>IF(ISBLANK($L27),NA(),IFERROR(SUM($L27:$L$177),NA()))</f>
        <v>#N/A</v>
      </c>
      <c r="AH27" t="e">
        <f>IF(ISBLANK($M27),NA(),IFERROR(SUM($M27:$M$177),NA()))</f>
        <v>#N/A</v>
      </c>
      <c r="AI27" t="str">
        <f t="shared" si="9"/>
        <v/>
      </c>
      <c r="AJ27" t="e">
        <f t="shared" si="10"/>
        <v>#N/A</v>
      </c>
      <c r="AK27" t="e">
        <f t="shared" si="11"/>
        <v>#N/A</v>
      </c>
    </row>
    <row r="28" spans="1:37" x14ac:dyDescent="0.35">
      <c r="A28">
        <v>1875</v>
      </c>
      <c r="B28">
        <v>900.45</v>
      </c>
      <c r="C28">
        <v>1040.9290000000001</v>
      </c>
      <c r="D28">
        <v>250.50700000000001</v>
      </c>
      <c r="E28">
        <v>1228.32</v>
      </c>
      <c r="F28">
        <v>1527.9749999999999</v>
      </c>
      <c r="G28">
        <v>827.71100000000001</v>
      </c>
      <c r="N28">
        <f>IF(ISBLANK($B28),NA(),IFERROR(SUM($B28:$B$177),NA()))</f>
        <v>996272.90300000028</v>
      </c>
      <c r="O28">
        <f>IF(ISBLANK($C28),NA(),IFERROR(SUM($C28:$C$177),NA()))</f>
        <v>1292239.5289999999</v>
      </c>
      <c r="P28">
        <f>IF(ISBLANK($D28),NA(),IFERROR(SUM($D28:$D$177),NA()))</f>
        <v>889086.63600000017</v>
      </c>
      <c r="Q28">
        <f t="shared" si="0"/>
        <v>2181326.165</v>
      </c>
      <c r="R28">
        <f t="shared" si="1"/>
        <v>45.672807624347193</v>
      </c>
      <c r="S28">
        <f t="shared" si="2"/>
        <v>59.241004382304276</v>
      </c>
      <c r="T28">
        <f>IF(ISBLANK($E28),NA(),IFERROR(SUM($E28:$E$177),NA()))</f>
        <v>1153777.3540000001</v>
      </c>
      <c r="U28">
        <f>IF(ISBLANK($F28),NA(),IFERROR(SUM($F28:$F$177),NA()))</f>
        <v>1508612.027</v>
      </c>
      <c r="V28">
        <f>IF(ISBLANK($G28),NA(),IFERROR(SUM($G28:$G$177),NA()))</f>
        <v>1180078.0390000003</v>
      </c>
      <c r="W28">
        <f t="shared" si="3"/>
        <v>2688690.0660000006</v>
      </c>
      <c r="X28">
        <f t="shared" si="4"/>
        <v>42.912248183238525</v>
      </c>
      <c r="Y28">
        <f t="shared" si="5"/>
        <v>56.109554837772059</v>
      </c>
      <c r="Z28" t="e">
        <f>IF(ISBLANK($H28),NA(),IFERROR(SUM($H28:$H$177),NA()))</f>
        <v>#N/A</v>
      </c>
      <c r="AA28" t="e">
        <f>IF(ISBLANK($I28),NA(),IFERROR(SUM($I28:$I$177),NA()))</f>
        <v>#N/A</v>
      </c>
      <c r="AB28" t="e">
        <f>IF(ISBLANK($J28),NA(),IFERROR(SUM($J28:$J$177),NA()))</f>
        <v>#N/A</v>
      </c>
      <c r="AC28" t="str">
        <f t="shared" si="6"/>
        <v/>
      </c>
      <c r="AD28" t="e">
        <f t="shared" si="7"/>
        <v>#N/A</v>
      </c>
      <c r="AE28" t="e">
        <f t="shared" si="8"/>
        <v>#N/A</v>
      </c>
      <c r="AF28" t="e">
        <f>IF(ISBLANK($K28),NA(),IFERROR(SUM($K28:$K$177),NA()))</f>
        <v>#N/A</v>
      </c>
      <c r="AG28" t="e">
        <f>IF(ISBLANK($L28),NA(),IFERROR(SUM($L28:$L$177),NA()))</f>
        <v>#N/A</v>
      </c>
      <c r="AH28" t="e">
        <f>IF(ISBLANK($M28),NA(),IFERROR(SUM($M28:$M$177),NA()))</f>
        <v>#N/A</v>
      </c>
      <c r="AI28" t="str">
        <f t="shared" si="9"/>
        <v/>
      </c>
      <c r="AJ28" t="e">
        <f t="shared" si="10"/>
        <v>#N/A</v>
      </c>
      <c r="AK28" t="e">
        <f t="shared" si="11"/>
        <v>#N/A</v>
      </c>
    </row>
    <row r="29" spans="1:37" x14ac:dyDescent="0.35">
      <c r="A29">
        <v>1876</v>
      </c>
      <c r="B29">
        <v>901.48299999999995</v>
      </c>
      <c r="C29">
        <v>1053.1420000000001</v>
      </c>
      <c r="D29">
        <v>252.14699999999999</v>
      </c>
      <c r="E29">
        <v>1237.194</v>
      </c>
      <c r="F29">
        <v>1551.845</v>
      </c>
      <c r="G29">
        <v>834.92899999999997</v>
      </c>
      <c r="N29">
        <f>IF(ISBLANK($B29),NA(),IFERROR(SUM($B29:$B$177),NA()))</f>
        <v>995372.45300000033</v>
      </c>
      <c r="O29">
        <f>IF(ISBLANK($C29),NA(),IFERROR(SUM($C29:$C$177),NA()))</f>
        <v>1291198.5999999999</v>
      </c>
      <c r="P29">
        <f>IF(ISBLANK($D29),NA(),IFERROR(SUM($D29:$D$177),NA()))</f>
        <v>888836.12900000019</v>
      </c>
      <c r="Q29">
        <f t="shared" si="0"/>
        <v>2180034.7290000003</v>
      </c>
      <c r="R29">
        <f t="shared" si="1"/>
        <v>45.658559460499319</v>
      </c>
      <c r="S29">
        <f t="shared" si="2"/>
        <v>59.228350026895363</v>
      </c>
      <c r="T29">
        <f>IF(ISBLANK($E29),NA(),IFERROR(SUM($E29:$E$177),NA()))</f>
        <v>1152549.034</v>
      </c>
      <c r="U29">
        <f>IF(ISBLANK($F29),NA(),IFERROR(SUM($F29:$F$177),NA()))</f>
        <v>1507084.0519999999</v>
      </c>
      <c r="V29">
        <f>IF(ISBLANK($G29),NA(),IFERROR(SUM($G29:$G$177),NA()))</f>
        <v>1179250.3280000002</v>
      </c>
      <c r="W29">
        <f t="shared" si="3"/>
        <v>2686334.38</v>
      </c>
      <c r="X29">
        <f t="shared" si="4"/>
        <v>42.904153800838451</v>
      </c>
      <c r="Y29">
        <f t="shared" si="5"/>
        <v>56.101878575518214</v>
      </c>
      <c r="Z29" t="e">
        <f>IF(ISBLANK($H29),NA(),IFERROR(SUM($H29:$H$177),NA()))</f>
        <v>#N/A</v>
      </c>
      <c r="AA29" t="e">
        <f>IF(ISBLANK($I29),NA(),IFERROR(SUM($I29:$I$177),NA()))</f>
        <v>#N/A</v>
      </c>
      <c r="AB29" t="e">
        <f>IF(ISBLANK($J29),NA(),IFERROR(SUM($J29:$J$177),NA()))</f>
        <v>#N/A</v>
      </c>
      <c r="AC29" t="str">
        <f t="shared" si="6"/>
        <v/>
      </c>
      <c r="AD29" t="e">
        <f t="shared" si="7"/>
        <v>#N/A</v>
      </c>
      <c r="AE29" t="e">
        <f t="shared" si="8"/>
        <v>#N/A</v>
      </c>
      <c r="AF29" t="e">
        <f>IF(ISBLANK($K29),NA(),IFERROR(SUM($K29:$K$177),NA()))</f>
        <v>#N/A</v>
      </c>
      <c r="AG29" t="e">
        <f>IF(ISBLANK($L29),NA(),IFERROR(SUM($L29:$L$177),NA()))</f>
        <v>#N/A</v>
      </c>
      <c r="AH29" t="e">
        <f>IF(ISBLANK($M29),NA(),IFERROR(SUM($M29:$M$177),NA()))</f>
        <v>#N/A</v>
      </c>
      <c r="AI29" t="str">
        <f t="shared" si="9"/>
        <v/>
      </c>
      <c r="AJ29" t="e">
        <f t="shared" si="10"/>
        <v>#N/A</v>
      </c>
      <c r="AK29" t="e">
        <f t="shared" si="11"/>
        <v>#N/A</v>
      </c>
    </row>
    <row r="30" spans="1:37" x14ac:dyDescent="0.35">
      <c r="A30">
        <v>1877</v>
      </c>
      <c r="B30">
        <v>917.68600000000004</v>
      </c>
      <c r="C30">
        <v>1070.25</v>
      </c>
      <c r="D30">
        <v>253.51900000000001</v>
      </c>
      <c r="E30">
        <v>1261.0409999999999</v>
      </c>
      <c r="F30">
        <v>1579.68</v>
      </c>
      <c r="G30">
        <v>841.78099999999995</v>
      </c>
      <c r="N30">
        <f>IF(ISBLANK($B30),NA(),IFERROR(SUM($B30:$B$177),NA()))</f>
        <v>994470.97000000032</v>
      </c>
      <c r="O30">
        <f>IF(ISBLANK($C30),NA(),IFERROR(SUM($C30:$C$177),NA()))</f>
        <v>1290145.4579999999</v>
      </c>
      <c r="P30">
        <f>IF(ISBLANK($D30),NA(),IFERROR(SUM($D30:$D$177),NA()))</f>
        <v>888583.98200000019</v>
      </c>
      <c r="Q30">
        <f t="shared" si="0"/>
        <v>2178729.44</v>
      </c>
      <c r="R30">
        <f t="shared" si="1"/>
        <v>45.644537212477395</v>
      </c>
      <c r="S30">
        <f t="shared" si="2"/>
        <v>59.215496624491379</v>
      </c>
      <c r="T30">
        <f>IF(ISBLANK($E30),NA(),IFERROR(SUM($E30:$E$177),NA()))</f>
        <v>1151311.8400000001</v>
      </c>
      <c r="U30">
        <f>IF(ISBLANK($F30),NA(),IFERROR(SUM($F30:$F$177),NA()))</f>
        <v>1505532.2069999999</v>
      </c>
      <c r="V30">
        <f>IF(ISBLANK($G30),NA(),IFERROR(SUM($G30:$G$177),NA()))</f>
        <v>1178415.3990000002</v>
      </c>
      <c r="W30">
        <f t="shared" si="3"/>
        <v>2683947.6060000001</v>
      </c>
      <c r="X30">
        <f t="shared" si="4"/>
        <v>42.896211439680393</v>
      </c>
      <c r="Y30">
        <f t="shared" si="5"/>
        <v>56.093949212509322</v>
      </c>
      <c r="Z30" t="e">
        <f>IF(ISBLANK($H30),NA(),IFERROR(SUM($H30:$H$177),NA()))</f>
        <v>#N/A</v>
      </c>
      <c r="AA30" t="e">
        <f>IF(ISBLANK($I30),NA(),IFERROR(SUM($I30:$I$177),NA()))</f>
        <v>#N/A</v>
      </c>
      <c r="AB30" t="e">
        <f>IF(ISBLANK($J30),NA(),IFERROR(SUM($J30:$J$177),NA()))</f>
        <v>#N/A</v>
      </c>
      <c r="AC30" t="str">
        <f t="shared" si="6"/>
        <v/>
      </c>
      <c r="AD30" t="e">
        <f t="shared" si="7"/>
        <v>#N/A</v>
      </c>
      <c r="AE30" t="e">
        <f t="shared" si="8"/>
        <v>#N/A</v>
      </c>
      <c r="AF30" t="e">
        <f>IF(ISBLANK($K30),NA(),IFERROR(SUM($K30:$K$177),NA()))</f>
        <v>#N/A</v>
      </c>
      <c r="AG30" t="e">
        <f>IF(ISBLANK($L30),NA(),IFERROR(SUM($L30:$L$177),NA()))</f>
        <v>#N/A</v>
      </c>
      <c r="AH30" t="e">
        <f>IF(ISBLANK($M30),NA(),IFERROR(SUM($M30:$M$177),NA()))</f>
        <v>#N/A</v>
      </c>
      <c r="AI30" t="str">
        <f t="shared" si="9"/>
        <v/>
      </c>
      <c r="AJ30" t="e">
        <f t="shared" si="10"/>
        <v>#N/A</v>
      </c>
      <c r="AK30" t="e">
        <f t="shared" si="11"/>
        <v>#N/A</v>
      </c>
    </row>
    <row r="31" spans="1:37" x14ac:dyDescent="0.35">
      <c r="A31">
        <v>1878</v>
      </c>
      <c r="B31">
        <v>916.96400000000006</v>
      </c>
      <c r="C31">
        <v>1075.376</v>
      </c>
      <c r="D31">
        <v>257.58800000000002</v>
      </c>
      <c r="E31">
        <v>1266.164</v>
      </c>
      <c r="F31">
        <v>1593.749</v>
      </c>
      <c r="G31">
        <v>849.12699999999995</v>
      </c>
      <c r="N31">
        <f>IF(ISBLANK($B31),NA(),IFERROR(SUM($B31:$B$177),NA()))</f>
        <v>993553.28400000033</v>
      </c>
      <c r="O31">
        <f>IF(ISBLANK($C31),NA(),IFERROR(SUM($C31:$C$177),NA()))</f>
        <v>1289075.2079999999</v>
      </c>
      <c r="P31">
        <f>IF(ISBLANK($D31),NA(),IFERROR(SUM($D31:$D$177),NA()))</f>
        <v>888330.46300000022</v>
      </c>
      <c r="Q31">
        <f t="shared" si="0"/>
        <v>2177405.6710000001</v>
      </c>
      <c r="R31">
        <f t="shared" si="1"/>
        <v>45.630141283856346</v>
      </c>
      <c r="S31">
        <f t="shared" si="2"/>
        <v>59.202344568523898</v>
      </c>
      <c r="T31">
        <f>IF(ISBLANK($E31),NA(),IFERROR(SUM($E31:$E$177),NA()))</f>
        <v>1150050.7990000001</v>
      </c>
      <c r="U31">
        <f>IF(ISBLANK($F31),NA(),IFERROR(SUM($F31:$F$177),NA()))</f>
        <v>1503952.527</v>
      </c>
      <c r="V31">
        <f>IF(ISBLANK($G31),NA(),IFERROR(SUM($G31:$G$177),NA()))</f>
        <v>1177573.6180000002</v>
      </c>
      <c r="W31">
        <f t="shared" si="3"/>
        <v>2681526.1450000005</v>
      </c>
      <c r="X31">
        <f t="shared" si="4"/>
        <v>42.887920415931646</v>
      </c>
      <c r="Y31">
        <f t="shared" si="5"/>
        <v>56.085693208857364</v>
      </c>
      <c r="Z31" t="e">
        <f>IF(ISBLANK($H31),NA(),IFERROR(SUM($H31:$H$177),NA()))</f>
        <v>#N/A</v>
      </c>
      <c r="AA31" t="e">
        <f>IF(ISBLANK($I31),NA(),IFERROR(SUM($I31:$I$177),NA()))</f>
        <v>#N/A</v>
      </c>
      <c r="AB31" t="e">
        <f>IF(ISBLANK($J31),NA(),IFERROR(SUM($J31:$J$177),NA()))</f>
        <v>#N/A</v>
      </c>
      <c r="AC31" t="str">
        <f t="shared" si="6"/>
        <v/>
      </c>
      <c r="AD31" t="e">
        <f t="shared" si="7"/>
        <v>#N/A</v>
      </c>
      <c r="AE31" t="e">
        <f t="shared" si="8"/>
        <v>#N/A</v>
      </c>
      <c r="AF31" t="e">
        <f>IF(ISBLANK($K31),NA(),IFERROR(SUM($K31:$K$177),NA()))</f>
        <v>#N/A</v>
      </c>
      <c r="AG31" t="e">
        <f>IF(ISBLANK($L31),NA(),IFERROR(SUM($L31:$L$177),NA()))</f>
        <v>#N/A</v>
      </c>
      <c r="AH31" t="e">
        <f>IF(ISBLANK($M31),NA(),IFERROR(SUM($M31:$M$177),NA()))</f>
        <v>#N/A</v>
      </c>
      <c r="AI31" t="str">
        <f t="shared" si="9"/>
        <v/>
      </c>
      <c r="AJ31" t="e">
        <f t="shared" si="10"/>
        <v>#N/A</v>
      </c>
      <c r="AK31" t="e">
        <f t="shared" si="11"/>
        <v>#N/A</v>
      </c>
    </row>
    <row r="32" spans="1:37" x14ac:dyDescent="0.35">
      <c r="A32">
        <v>1879</v>
      </c>
      <c r="B32">
        <v>969.42100000000005</v>
      </c>
      <c r="C32">
        <v>1132.7739999999999</v>
      </c>
      <c r="D32">
        <v>259.09300000000002</v>
      </c>
      <c r="E32">
        <v>1327.404</v>
      </c>
      <c r="F32">
        <v>1662.72</v>
      </c>
      <c r="G32">
        <v>855.10400000000004</v>
      </c>
      <c r="N32">
        <f>IF(ISBLANK($B32),NA(),IFERROR(SUM($B32:$B$177),NA()))</f>
        <v>992636.32000000018</v>
      </c>
      <c r="O32">
        <f>IF(ISBLANK($C32),NA(),IFERROR(SUM($C32:$C$177),NA()))</f>
        <v>1287999.8320000002</v>
      </c>
      <c r="P32">
        <f>IF(ISBLANK($D32),NA(),IFERROR(SUM($D32:$D$177),NA()))</f>
        <v>888072.87500000012</v>
      </c>
      <c r="Q32">
        <f t="shared" si="0"/>
        <v>2176072.7070000004</v>
      </c>
      <c r="R32">
        <f t="shared" si="1"/>
        <v>45.61595376877267</v>
      </c>
      <c r="S32">
        <f t="shared" si="2"/>
        <v>59.189191053072655</v>
      </c>
      <c r="T32">
        <f>IF(ISBLANK($E32),NA(),IFERROR(SUM($E32:$E$177),NA()))</f>
        <v>1148784.635</v>
      </c>
      <c r="U32">
        <f>IF(ISBLANK($F32),NA(),IFERROR(SUM($F32:$F$177),NA()))</f>
        <v>1502358.7779999999</v>
      </c>
      <c r="V32">
        <f>IF(ISBLANK($G32),NA(),IFERROR(SUM($G32:$G$177),NA()))</f>
        <v>1176724.4910000004</v>
      </c>
      <c r="W32">
        <f t="shared" si="3"/>
        <v>2679083.2690000003</v>
      </c>
      <c r="X32">
        <f t="shared" si="4"/>
        <v>42.879765936830978</v>
      </c>
      <c r="Y32">
        <f t="shared" si="5"/>
        <v>56.077345388401199</v>
      </c>
      <c r="Z32" t="e">
        <f>IF(ISBLANK($H32),NA(),IFERROR(SUM($H32:$H$177),NA()))</f>
        <v>#N/A</v>
      </c>
      <c r="AA32" t="e">
        <f>IF(ISBLANK($I32),NA(),IFERROR(SUM($I32:$I$177),NA()))</f>
        <v>#N/A</v>
      </c>
      <c r="AB32" t="e">
        <f>IF(ISBLANK($J32),NA(),IFERROR(SUM($J32:$J$177),NA()))</f>
        <v>#N/A</v>
      </c>
      <c r="AC32" t="str">
        <f t="shared" si="6"/>
        <v/>
      </c>
      <c r="AD32" t="e">
        <f t="shared" si="7"/>
        <v>#N/A</v>
      </c>
      <c r="AE32" t="e">
        <f t="shared" si="8"/>
        <v>#N/A</v>
      </c>
      <c r="AF32" t="e">
        <f>IF(ISBLANK($K32),NA(),IFERROR(SUM($K32:$K$177),NA()))</f>
        <v>#N/A</v>
      </c>
      <c r="AG32" t="e">
        <f>IF(ISBLANK($L32),NA(),IFERROR(SUM($L32:$L$177),NA()))</f>
        <v>#N/A</v>
      </c>
      <c r="AH32" t="e">
        <f>IF(ISBLANK($M32),NA(),IFERROR(SUM($M32:$M$177),NA()))</f>
        <v>#N/A</v>
      </c>
      <c r="AI32" t="str">
        <f t="shared" si="9"/>
        <v/>
      </c>
      <c r="AJ32" t="e">
        <f t="shared" si="10"/>
        <v>#N/A</v>
      </c>
      <c r="AK32" t="e">
        <f t="shared" si="11"/>
        <v>#N/A</v>
      </c>
    </row>
    <row r="33" spans="1:37" x14ac:dyDescent="0.35">
      <c r="A33">
        <v>1880</v>
      </c>
      <c r="B33">
        <v>1075.5450000000001</v>
      </c>
      <c r="C33">
        <v>1243.577</v>
      </c>
      <c r="D33">
        <v>261.38499999999999</v>
      </c>
      <c r="E33">
        <v>1445.9949999999999</v>
      </c>
      <c r="F33">
        <v>1788.386</v>
      </c>
      <c r="G33">
        <v>861.13800000000003</v>
      </c>
      <c r="N33">
        <f>IF(ISBLANK($B33),NA(),IFERROR(SUM($B33:$B$177),NA()))</f>
        <v>991666.89900000033</v>
      </c>
      <c r="O33">
        <f>IF(ISBLANK($C33),NA(),IFERROR(SUM($C33:$C$177),NA()))</f>
        <v>1286867.058</v>
      </c>
      <c r="P33">
        <f>IF(ISBLANK($D33),NA(),IFERROR(SUM($D33:$D$177),NA()))</f>
        <v>887813.78200000012</v>
      </c>
      <c r="Q33">
        <f t="shared" si="0"/>
        <v>2174680.84</v>
      </c>
      <c r="R33">
        <f t="shared" si="1"/>
        <v>45.600571852189603</v>
      </c>
      <c r="S33">
        <f t="shared" si="2"/>
        <v>59.174984868124369</v>
      </c>
      <c r="T33">
        <f>IF(ISBLANK($E33),NA(),IFERROR(SUM($E33:$E$177),NA()))</f>
        <v>1147457.2310000001</v>
      </c>
      <c r="U33">
        <f>IF(ISBLANK($F33),NA(),IFERROR(SUM($F33:$F$177),NA()))</f>
        <v>1500696.058</v>
      </c>
      <c r="V33">
        <f>IF(ISBLANK($G33),NA(),IFERROR(SUM($G33:$G$177),NA()))</f>
        <v>1175869.3870000001</v>
      </c>
      <c r="W33">
        <f t="shared" si="3"/>
        <v>2676565.4450000003</v>
      </c>
      <c r="X33">
        <f t="shared" si="4"/>
        <v>42.870509037749308</v>
      </c>
      <c r="Y33">
        <f t="shared" si="5"/>
        <v>56.067975502089759</v>
      </c>
      <c r="Z33" t="e">
        <f>IF(ISBLANK($H33),NA(),IFERROR(SUM($H33:$H$177),NA()))</f>
        <v>#N/A</v>
      </c>
      <c r="AA33" t="e">
        <f>IF(ISBLANK($I33),NA(),IFERROR(SUM($I33:$I$177),NA()))</f>
        <v>#N/A</v>
      </c>
      <c r="AB33" t="e">
        <f>IF(ISBLANK($J33),NA(),IFERROR(SUM($J33:$J$177),NA()))</f>
        <v>#N/A</v>
      </c>
      <c r="AC33" t="str">
        <f t="shared" si="6"/>
        <v/>
      </c>
      <c r="AD33" t="e">
        <f t="shared" si="7"/>
        <v>#N/A</v>
      </c>
      <c r="AE33" t="e">
        <f t="shared" si="8"/>
        <v>#N/A</v>
      </c>
      <c r="AF33" t="e">
        <f>IF(ISBLANK($K33),NA(),IFERROR(SUM($K33:$K$177),NA()))</f>
        <v>#N/A</v>
      </c>
      <c r="AG33" t="e">
        <f>IF(ISBLANK($L33),NA(),IFERROR(SUM($L33:$L$177),NA()))</f>
        <v>#N/A</v>
      </c>
      <c r="AH33" t="e">
        <f>IF(ISBLANK($M33),NA(),IFERROR(SUM($M33:$M$177),NA()))</f>
        <v>#N/A</v>
      </c>
      <c r="AI33" t="str">
        <f t="shared" si="9"/>
        <v/>
      </c>
      <c r="AJ33" t="e">
        <f t="shared" si="10"/>
        <v>#N/A</v>
      </c>
      <c r="AK33" t="e">
        <f t="shared" si="11"/>
        <v>#N/A</v>
      </c>
    </row>
    <row r="34" spans="1:37" x14ac:dyDescent="0.35">
      <c r="A34">
        <v>1881</v>
      </c>
      <c r="B34">
        <v>1108</v>
      </c>
      <c r="C34">
        <v>1279.3920000000001</v>
      </c>
      <c r="D34">
        <v>263.50900000000001</v>
      </c>
      <c r="E34">
        <v>1479.886</v>
      </c>
      <c r="F34">
        <v>1827.924</v>
      </c>
      <c r="G34">
        <v>868.73699999999997</v>
      </c>
      <c r="N34">
        <f>IF(ISBLANK($B34),NA(),IFERROR(SUM($B34:$B$177),NA()))</f>
        <v>990591.35400000017</v>
      </c>
      <c r="O34">
        <f>IF(ISBLANK($C34),NA(),IFERROR(SUM($C34:$C$177),NA()))</f>
        <v>1285623.4810000001</v>
      </c>
      <c r="P34">
        <f>IF(ISBLANK($D34),NA(),IFERROR(SUM($D34:$D$177),NA()))</f>
        <v>887552.39700000023</v>
      </c>
      <c r="Q34">
        <f t="shared" si="0"/>
        <v>2173175.8780000005</v>
      </c>
      <c r="R34">
        <f t="shared" si="1"/>
        <v>45.582659186869549</v>
      </c>
      <c r="S34">
        <f t="shared" si="2"/>
        <v>59.158740625410154</v>
      </c>
      <c r="T34">
        <f>IF(ISBLANK($E34),NA(),IFERROR(SUM($E34:$E$177),NA()))</f>
        <v>1146011.236</v>
      </c>
      <c r="U34">
        <f>IF(ISBLANK($F34),NA(),IFERROR(SUM($F34:$F$177),NA()))</f>
        <v>1498907.672</v>
      </c>
      <c r="V34">
        <f>IF(ISBLANK($G34),NA(),IFERROR(SUM($G34:$G$177),NA()))</f>
        <v>1175008.2490000003</v>
      </c>
      <c r="W34">
        <f t="shared" si="3"/>
        <v>2673915.9210000001</v>
      </c>
      <c r="X34">
        <f t="shared" si="4"/>
        <v>42.858910671036014</v>
      </c>
      <c r="Y34">
        <f t="shared" si="5"/>
        <v>56.056649359394719</v>
      </c>
      <c r="Z34" t="e">
        <f>IF(ISBLANK($H34),NA(),IFERROR(SUM($H34:$H$177),NA()))</f>
        <v>#N/A</v>
      </c>
      <c r="AA34" t="e">
        <f>IF(ISBLANK($I34),NA(),IFERROR(SUM($I34:$I$177),NA()))</f>
        <v>#N/A</v>
      </c>
      <c r="AB34" t="e">
        <f>IF(ISBLANK($J34),NA(),IFERROR(SUM($J34:$J$177),NA()))</f>
        <v>#N/A</v>
      </c>
      <c r="AC34" t="str">
        <f t="shared" si="6"/>
        <v/>
      </c>
      <c r="AD34" t="e">
        <f t="shared" si="7"/>
        <v>#N/A</v>
      </c>
      <c r="AE34" t="e">
        <f t="shared" si="8"/>
        <v>#N/A</v>
      </c>
      <c r="AF34" t="e">
        <f>IF(ISBLANK($K34),NA(),IFERROR(SUM($K34:$K$177),NA()))</f>
        <v>#N/A</v>
      </c>
      <c r="AG34" t="e">
        <f>IF(ISBLANK($L34),NA(),IFERROR(SUM($L34:$L$177),NA()))</f>
        <v>#N/A</v>
      </c>
      <c r="AH34" t="e">
        <f>IF(ISBLANK($M34),NA(),IFERROR(SUM($M34:$M$177),NA()))</f>
        <v>#N/A</v>
      </c>
      <c r="AI34" t="str">
        <f t="shared" si="9"/>
        <v/>
      </c>
      <c r="AJ34" t="e">
        <f t="shared" si="10"/>
        <v>#N/A</v>
      </c>
      <c r="AK34" t="e">
        <f t="shared" si="11"/>
        <v>#N/A</v>
      </c>
    </row>
    <row r="35" spans="1:37" x14ac:dyDescent="0.35">
      <c r="A35">
        <v>1882</v>
      </c>
      <c r="B35">
        <v>1160.296</v>
      </c>
      <c r="C35">
        <v>1335.271</v>
      </c>
      <c r="D35">
        <v>265.94200000000001</v>
      </c>
      <c r="E35">
        <v>1539.327</v>
      </c>
      <c r="F35">
        <v>1893.165</v>
      </c>
      <c r="G35">
        <v>876.74800000000005</v>
      </c>
      <c r="N35">
        <f>IF(ISBLANK($B35),NA(),IFERROR(SUM($B35:$B$177),NA()))</f>
        <v>989483.35400000017</v>
      </c>
      <c r="O35">
        <f>IF(ISBLANK($C35),NA(),IFERROR(SUM($C35:$C$177),NA()))</f>
        <v>1284344.0890000002</v>
      </c>
      <c r="P35">
        <f>IF(ISBLANK($D35),NA(),IFERROR(SUM($D35:$D$177),NA()))</f>
        <v>887288.88800000015</v>
      </c>
      <c r="Q35">
        <f t="shared" ref="Q35:Q66" si="12">IFERROR(O35+P35,"")</f>
        <v>2171632.9770000004</v>
      </c>
      <c r="R35">
        <f t="shared" ref="R35:R66" si="13">IFERROR(N35/Q35*100,NA())</f>
        <v>45.564023224906109</v>
      </c>
      <c r="S35">
        <f t="shared" ref="S35:S66" si="14">IFERROR(O35/Q35*100,NA())</f>
        <v>59.141857883105807</v>
      </c>
      <c r="T35">
        <f>IF(ISBLANK($E35),NA(),IFERROR(SUM($E35:$E$177),NA()))</f>
        <v>1144531.3500000001</v>
      </c>
      <c r="U35">
        <f>IF(ISBLANK($F35),NA(),IFERROR(SUM($F35:$F$177),NA()))</f>
        <v>1497079.7480000001</v>
      </c>
      <c r="V35">
        <f>IF(ISBLANK($G35),NA(),IFERROR(SUM($G35:$G$177),NA()))</f>
        <v>1174139.5120000001</v>
      </c>
      <c r="W35">
        <f t="shared" ref="W35:W66" si="15">IFERROR(U35+V35,"")</f>
        <v>2671219.2600000002</v>
      </c>
      <c r="X35">
        <f t="shared" ref="X35:X66" si="16">IFERROR(T35/W35*100,NA())</f>
        <v>42.846776643861126</v>
      </c>
      <c r="Y35">
        <f t="shared" ref="Y35:Y66" si="17">IFERROR(U35/W35*100,NA())</f>
        <v>56.044809590059629</v>
      </c>
      <c r="Z35" t="e">
        <f>IF(ISBLANK($H35),NA(),IFERROR(SUM($H35:$H$177),NA()))</f>
        <v>#N/A</v>
      </c>
      <c r="AA35" t="e">
        <f>IF(ISBLANK($I35),NA(),IFERROR(SUM($I35:$I$177),NA()))</f>
        <v>#N/A</v>
      </c>
      <c r="AB35" t="e">
        <f>IF(ISBLANK($J35),NA(),IFERROR(SUM($J35:$J$177),NA()))</f>
        <v>#N/A</v>
      </c>
      <c r="AC35" t="str">
        <f t="shared" ref="AC35:AC66" si="18">IFERROR(AA35+AB35,"")</f>
        <v/>
      </c>
      <c r="AD35" t="e">
        <f t="shared" ref="AD35:AD66" si="19">IFERROR(Z35/AC35*100,NA())</f>
        <v>#N/A</v>
      </c>
      <c r="AE35" t="e">
        <f t="shared" ref="AE35:AE66" si="20">IFERROR(AA35/AC35*100,NA())</f>
        <v>#N/A</v>
      </c>
      <c r="AF35" t="e">
        <f>IF(ISBLANK($K35),NA(),IFERROR(SUM($K35:$K$177),NA()))</f>
        <v>#N/A</v>
      </c>
      <c r="AG35" t="e">
        <f>IF(ISBLANK($L35),NA(),IFERROR(SUM($L35:$L$177),NA()))</f>
        <v>#N/A</v>
      </c>
      <c r="AH35" t="e">
        <f>IF(ISBLANK($M35),NA(),IFERROR(SUM($M35:$M$177),NA()))</f>
        <v>#N/A</v>
      </c>
      <c r="AI35" t="str">
        <f t="shared" ref="AI35:AI66" si="21">IFERROR(AG35+AH35,"")</f>
        <v/>
      </c>
      <c r="AJ35" t="e">
        <f t="shared" ref="AJ35:AJ66" si="22">IFERROR(AF35/AI35*100,NA())</f>
        <v>#N/A</v>
      </c>
      <c r="AK35" t="e">
        <f t="shared" ref="AK35:AK66" si="23">IFERROR(AG35/AI35*100,NA())</f>
        <v>#N/A</v>
      </c>
    </row>
    <row r="36" spans="1:37" x14ac:dyDescent="0.35">
      <c r="A36">
        <v>1883</v>
      </c>
      <c r="B36">
        <v>1218.8150000000001</v>
      </c>
      <c r="C36">
        <v>1402.26</v>
      </c>
      <c r="D36">
        <v>268.62599999999998</v>
      </c>
      <c r="E36">
        <v>1604.223</v>
      </c>
      <c r="F36">
        <v>1968.845</v>
      </c>
      <c r="G36">
        <v>884.83900000000006</v>
      </c>
      <c r="N36">
        <f>IF(ISBLANK($B36),NA(),IFERROR(SUM($B36:$B$177),NA()))</f>
        <v>988323.05800000031</v>
      </c>
      <c r="O36">
        <f>IF(ISBLANK($C36),NA(),IFERROR(SUM($C36:$C$177),NA()))</f>
        <v>1283008.818</v>
      </c>
      <c r="P36">
        <f>IF(ISBLANK($D36),NA(),IFERROR(SUM($D36:$D$177),NA()))</f>
        <v>887022.94600000023</v>
      </c>
      <c r="Q36">
        <f t="shared" si="12"/>
        <v>2170031.7640000004</v>
      </c>
      <c r="R36">
        <f t="shared" si="13"/>
        <v>45.54417471651351</v>
      </c>
      <c r="S36">
        <f t="shared" si="14"/>
        <v>59.123964878515935</v>
      </c>
      <c r="T36">
        <f>IF(ISBLANK($E36),NA(),IFERROR(SUM($E36:$E$177),NA()))</f>
        <v>1142992.023</v>
      </c>
      <c r="U36">
        <f>IF(ISBLANK($F36),NA(),IFERROR(SUM($F36:$F$177),NA()))</f>
        <v>1495186.5830000001</v>
      </c>
      <c r="V36">
        <f>IF(ISBLANK($G36),NA(),IFERROR(SUM($G36:$G$177),NA()))</f>
        <v>1173262.764</v>
      </c>
      <c r="W36">
        <f t="shared" si="15"/>
        <v>2668449.3470000001</v>
      </c>
      <c r="X36">
        <f t="shared" si="16"/>
        <v>42.833566403837011</v>
      </c>
      <c r="Y36">
        <f t="shared" si="17"/>
        <v>56.03203915715924</v>
      </c>
      <c r="Z36" t="e">
        <f>IF(ISBLANK($H36),NA(),IFERROR(SUM($H36:$H$177),NA()))</f>
        <v>#N/A</v>
      </c>
      <c r="AA36" t="e">
        <f>IF(ISBLANK($I36),NA(),IFERROR(SUM($I36:$I$177),NA()))</f>
        <v>#N/A</v>
      </c>
      <c r="AB36" t="e">
        <f>IF(ISBLANK($J36),NA(),IFERROR(SUM($J36:$J$177),NA()))</f>
        <v>#N/A</v>
      </c>
      <c r="AC36" t="str">
        <f t="shared" si="18"/>
        <v/>
      </c>
      <c r="AD36" t="e">
        <f t="shared" si="19"/>
        <v>#N/A</v>
      </c>
      <c r="AE36" t="e">
        <f t="shared" si="20"/>
        <v>#N/A</v>
      </c>
      <c r="AF36" t="e">
        <f>IF(ISBLANK($K36),NA(),IFERROR(SUM($K36:$K$177),NA()))</f>
        <v>#N/A</v>
      </c>
      <c r="AG36" t="e">
        <f>IF(ISBLANK($L36),NA(),IFERROR(SUM($L36:$L$177),NA()))</f>
        <v>#N/A</v>
      </c>
      <c r="AH36" t="e">
        <f>IF(ISBLANK($M36),NA(),IFERROR(SUM($M36:$M$177),NA()))</f>
        <v>#N/A</v>
      </c>
      <c r="AI36" t="str">
        <f t="shared" si="21"/>
        <v/>
      </c>
      <c r="AJ36" t="e">
        <f t="shared" si="22"/>
        <v>#N/A</v>
      </c>
      <c r="AK36" t="e">
        <f t="shared" si="23"/>
        <v>#N/A</v>
      </c>
    </row>
    <row r="37" spans="1:37" x14ac:dyDescent="0.35">
      <c r="A37">
        <v>1884</v>
      </c>
      <c r="B37">
        <v>1226.058</v>
      </c>
      <c r="C37">
        <v>1413.7380000000001</v>
      </c>
      <c r="D37">
        <v>271.33100000000002</v>
      </c>
      <c r="E37">
        <v>1616.308</v>
      </c>
      <c r="F37">
        <v>1987.2850000000001</v>
      </c>
      <c r="G37">
        <v>892.60799999999995</v>
      </c>
      <c r="N37">
        <f>IF(ISBLANK($B37),NA(),IFERROR(SUM($B37:$B$177),NA()))</f>
        <v>987104.24300000037</v>
      </c>
      <c r="O37">
        <f>IF(ISBLANK($C37),NA(),IFERROR(SUM($C37:$C$177),NA()))</f>
        <v>1281606.558</v>
      </c>
      <c r="P37">
        <f>IF(ISBLANK($D37),NA(),IFERROR(SUM($D37:$D$177),NA()))</f>
        <v>886754.32000000018</v>
      </c>
      <c r="Q37">
        <f t="shared" si="12"/>
        <v>2168360.878</v>
      </c>
      <c r="R37">
        <f t="shared" si="13"/>
        <v>45.523060898906351</v>
      </c>
      <c r="S37">
        <f t="shared" si="14"/>
        <v>59.104855238953448</v>
      </c>
      <c r="T37">
        <f>IF(ISBLANK($E37),NA(),IFERROR(SUM($E37:$E$177),NA()))</f>
        <v>1141387.8000000003</v>
      </c>
      <c r="U37">
        <f>IF(ISBLANK($F37),NA(),IFERROR(SUM($F37:$F$177),NA()))</f>
        <v>1493217.7380000001</v>
      </c>
      <c r="V37">
        <f>IF(ISBLANK($G37),NA(),IFERROR(SUM($G37:$G$177),NA()))</f>
        <v>1172377.9250000003</v>
      </c>
      <c r="W37">
        <f t="shared" si="15"/>
        <v>2665595.6630000006</v>
      </c>
      <c r="X37">
        <f t="shared" si="16"/>
        <v>42.819239836075617</v>
      </c>
      <c r="Y37">
        <f t="shared" si="17"/>
        <v>56.018163546959507</v>
      </c>
      <c r="Z37" t="e">
        <f>IF(ISBLANK($H37),NA(),IFERROR(SUM($H37:$H$177),NA()))</f>
        <v>#N/A</v>
      </c>
      <c r="AA37" t="e">
        <f>IF(ISBLANK($I37),NA(),IFERROR(SUM($I37:$I$177),NA()))</f>
        <v>#N/A</v>
      </c>
      <c r="AB37" t="e">
        <f>IF(ISBLANK($J37),NA(),IFERROR(SUM($J37:$J$177),NA()))</f>
        <v>#N/A</v>
      </c>
      <c r="AC37" t="str">
        <f t="shared" si="18"/>
        <v/>
      </c>
      <c r="AD37" t="e">
        <f t="shared" si="19"/>
        <v>#N/A</v>
      </c>
      <c r="AE37" t="e">
        <f t="shared" si="20"/>
        <v>#N/A</v>
      </c>
      <c r="AF37" t="e">
        <f>IF(ISBLANK($K37),NA(),IFERROR(SUM($K37:$K$177),NA()))</f>
        <v>#N/A</v>
      </c>
      <c r="AG37" t="e">
        <f>IF(ISBLANK($L37),NA(),IFERROR(SUM($L37:$L$177),NA()))</f>
        <v>#N/A</v>
      </c>
      <c r="AH37" t="e">
        <f>IF(ISBLANK($M37),NA(),IFERROR(SUM($M37:$M$177),NA()))</f>
        <v>#N/A</v>
      </c>
      <c r="AI37" t="str">
        <f t="shared" si="21"/>
        <v/>
      </c>
      <c r="AJ37" t="e">
        <f t="shared" si="22"/>
        <v>#N/A</v>
      </c>
      <c r="AK37" t="e">
        <f t="shared" si="23"/>
        <v>#N/A</v>
      </c>
    </row>
    <row r="38" spans="1:37" x14ac:dyDescent="0.35">
      <c r="A38">
        <v>1885</v>
      </c>
      <c r="B38">
        <v>1228.0840000000001</v>
      </c>
      <c r="C38">
        <v>1421.578</v>
      </c>
      <c r="D38">
        <v>273.36</v>
      </c>
      <c r="E38">
        <v>1623.788</v>
      </c>
      <c r="F38">
        <v>2002.806</v>
      </c>
      <c r="G38">
        <v>899.96100000000001</v>
      </c>
      <c r="N38">
        <f>IF(ISBLANK($B38),NA(),IFERROR(SUM($B38:$B$177),NA()))</f>
        <v>985878.18500000017</v>
      </c>
      <c r="O38">
        <f>IF(ISBLANK($C38),NA(),IFERROR(SUM($C38:$C$177),NA()))</f>
        <v>1280192.82</v>
      </c>
      <c r="P38">
        <f>IF(ISBLANK($D38),NA(),IFERROR(SUM($D38:$D$177),NA()))</f>
        <v>886482.98900000018</v>
      </c>
      <c r="Q38">
        <f t="shared" si="12"/>
        <v>2166675.8090000004</v>
      </c>
      <c r="R38">
        <f t="shared" si="13"/>
        <v>45.501878079998448</v>
      </c>
      <c r="S38">
        <f t="shared" si="14"/>
        <v>59.085573147690042</v>
      </c>
      <c r="T38">
        <f>IF(ISBLANK($E38),NA(),IFERROR(SUM($E38:$E$177),NA()))</f>
        <v>1139771.4920000001</v>
      </c>
      <c r="U38">
        <f>IF(ISBLANK($F38),NA(),IFERROR(SUM($F38:$F$177),NA()))</f>
        <v>1491230.453</v>
      </c>
      <c r="V38">
        <f>IF(ISBLANK($G38),NA(),IFERROR(SUM($G38:$G$177),NA()))</f>
        <v>1171485.3170000003</v>
      </c>
      <c r="W38">
        <f t="shared" si="15"/>
        <v>2662715.7700000005</v>
      </c>
      <c r="X38">
        <f t="shared" si="16"/>
        <v>42.804850027233663</v>
      </c>
      <c r="Y38">
        <f t="shared" si="17"/>
        <v>56.004116917067712</v>
      </c>
      <c r="Z38" t="e">
        <f>IF(ISBLANK($H38),NA(),IFERROR(SUM($H38:$H$177),NA()))</f>
        <v>#N/A</v>
      </c>
      <c r="AA38" t="e">
        <f>IF(ISBLANK($I38),NA(),IFERROR(SUM($I38:$I$177),NA()))</f>
        <v>#N/A</v>
      </c>
      <c r="AB38" t="e">
        <f>IF(ISBLANK($J38),NA(),IFERROR(SUM($J38:$J$177),NA()))</f>
        <v>#N/A</v>
      </c>
      <c r="AC38" t="str">
        <f t="shared" si="18"/>
        <v/>
      </c>
      <c r="AD38" t="e">
        <f t="shared" si="19"/>
        <v>#N/A</v>
      </c>
      <c r="AE38" t="e">
        <f t="shared" si="20"/>
        <v>#N/A</v>
      </c>
      <c r="AF38" t="e">
        <f>IF(ISBLANK($K38),NA(),IFERROR(SUM($K38:$K$177),NA()))</f>
        <v>#N/A</v>
      </c>
      <c r="AG38" t="e">
        <f>IF(ISBLANK($L38),NA(),IFERROR(SUM($L38:$L$177),NA()))</f>
        <v>#N/A</v>
      </c>
      <c r="AH38" t="e">
        <f>IF(ISBLANK($M38),NA(),IFERROR(SUM($M38:$M$177),NA()))</f>
        <v>#N/A</v>
      </c>
      <c r="AI38" t="str">
        <f t="shared" si="21"/>
        <v/>
      </c>
      <c r="AJ38" t="e">
        <f t="shared" si="22"/>
        <v>#N/A</v>
      </c>
      <c r="AK38" t="e">
        <f t="shared" si="23"/>
        <v>#N/A</v>
      </c>
    </row>
    <row r="39" spans="1:37" x14ac:dyDescent="0.35">
      <c r="A39">
        <v>1886</v>
      </c>
      <c r="B39">
        <v>1241.635</v>
      </c>
      <c r="C39">
        <v>1438.519</v>
      </c>
      <c r="D39">
        <v>275.29300000000001</v>
      </c>
      <c r="E39">
        <v>1641.183</v>
      </c>
      <c r="F39">
        <v>2025.7739999999999</v>
      </c>
      <c r="G39">
        <v>907.74300000000005</v>
      </c>
      <c r="N39">
        <f>IF(ISBLANK($B39),NA(),IFERROR(SUM($B39:$B$177),NA()))</f>
        <v>984650.10100000037</v>
      </c>
      <c r="O39">
        <f>IF(ISBLANK($C39),NA(),IFERROR(SUM($C39:$C$177),NA()))</f>
        <v>1278771.2420000001</v>
      </c>
      <c r="P39">
        <f>IF(ISBLANK($D39),NA(),IFERROR(SUM($D39:$D$177),NA()))</f>
        <v>886209.62900000019</v>
      </c>
      <c r="Q39">
        <f t="shared" si="12"/>
        <v>2164980.8710000003</v>
      </c>
      <c r="R39">
        <f t="shared" si="13"/>
        <v>45.480776028528716</v>
      </c>
      <c r="S39">
        <f t="shared" si="14"/>
        <v>59.066168164771739</v>
      </c>
      <c r="T39">
        <f>IF(ISBLANK($E39),NA(),IFERROR(SUM($E39:$E$177),NA()))</f>
        <v>1138147.7040000001</v>
      </c>
      <c r="U39">
        <f>IF(ISBLANK($F39),NA(),IFERROR(SUM($F39:$F$177),NA()))</f>
        <v>1489227.6469999999</v>
      </c>
      <c r="V39">
        <f>IF(ISBLANK($G39),NA(),IFERROR(SUM($G39:$G$177),NA()))</f>
        <v>1170585.3560000001</v>
      </c>
      <c r="W39">
        <f t="shared" si="15"/>
        <v>2659813.003</v>
      </c>
      <c r="X39">
        <f t="shared" si="16"/>
        <v>42.790515826348866</v>
      </c>
      <c r="Y39">
        <f t="shared" si="17"/>
        <v>55.989937838498484</v>
      </c>
      <c r="Z39" t="e">
        <f>IF(ISBLANK($H39),NA(),IFERROR(SUM($H39:$H$177),NA()))</f>
        <v>#N/A</v>
      </c>
      <c r="AA39" t="e">
        <f>IF(ISBLANK($I39),NA(),IFERROR(SUM($I39:$I$177),NA()))</f>
        <v>#N/A</v>
      </c>
      <c r="AB39" t="e">
        <f>IF(ISBLANK($J39),NA(),IFERROR(SUM($J39:$J$177),NA()))</f>
        <v>#N/A</v>
      </c>
      <c r="AC39" t="str">
        <f t="shared" si="18"/>
        <v/>
      </c>
      <c r="AD39" t="e">
        <f t="shared" si="19"/>
        <v>#N/A</v>
      </c>
      <c r="AE39" t="e">
        <f t="shared" si="20"/>
        <v>#N/A</v>
      </c>
      <c r="AF39" t="e">
        <f>IF(ISBLANK($K39),NA(),IFERROR(SUM($K39:$K$177),NA()))</f>
        <v>#N/A</v>
      </c>
      <c r="AG39" t="e">
        <f>IF(ISBLANK($L39),NA(),IFERROR(SUM($L39:$L$177),NA()))</f>
        <v>#N/A</v>
      </c>
      <c r="AH39" t="e">
        <f>IF(ISBLANK($M39),NA(),IFERROR(SUM($M39:$M$177),NA()))</f>
        <v>#N/A</v>
      </c>
      <c r="AI39" t="str">
        <f t="shared" si="21"/>
        <v/>
      </c>
      <c r="AJ39" t="e">
        <f t="shared" si="22"/>
        <v>#N/A</v>
      </c>
      <c r="AK39" t="e">
        <f t="shared" si="23"/>
        <v>#N/A</v>
      </c>
    </row>
    <row r="40" spans="1:37" x14ac:dyDescent="0.35">
      <c r="A40">
        <v>1887</v>
      </c>
      <c r="B40">
        <v>1294.067</v>
      </c>
      <c r="C40">
        <v>1495.383</v>
      </c>
      <c r="D40">
        <v>278.52300000000002</v>
      </c>
      <c r="E40">
        <v>1699.212</v>
      </c>
      <c r="F40">
        <v>2090.4360000000001</v>
      </c>
      <c r="G40">
        <v>916.87599999999998</v>
      </c>
      <c r="N40">
        <f>IF(ISBLANK($B40),NA(),IFERROR(SUM($B40:$B$177),NA()))</f>
        <v>983408.46600000013</v>
      </c>
      <c r="O40">
        <f>IF(ISBLANK($C40),NA(),IFERROR(SUM($C40:$C$177),NA()))</f>
        <v>1277332.723</v>
      </c>
      <c r="P40">
        <f>IF(ISBLANK($D40),NA(),IFERROR(SUM($D40:$D$177),NA()))</f>
        <v>885934.33600000013</v>
      </c>
      <c r="Q40">
        <f t="shared" si="12"/>
        <v>2163267.0590000004</v>
      </c>
      <c r="R40">
        <f t="shared" si="13"/>
        <v>45.459411121186037</v>
      </c>
      <c r="S40">
        <f t="shared" si="14"/>
        <v>59.046464822076302</v>
      </c>
      <c r="T40">
        <f>IF(ISBLANK($E40),NA(),IFERROR(SUM($E40:$E$177),NA()))</f>
        <v>1136506.5210000002</v>
      </c>
      <c r="U40">
        <f>IF(ISBLANK($F40),NA(),IFERROR(SUM($F40:$F$177),NA()))</f>
        <v>1487201.8729999999</v>
      </c>
      <c r="V40">
        <f>IF(ISBLANK($G40),NA(),IFERROR(SUM($G40:$G$177),NA()))</f>
        <v>1169677.6130000004</v>
      </c>
      <c r="W40">
        <f t="shared" si="15"/>
        <v>2656879.4860000005</v>
      </c>
      <c r="X40">
        <f t="shared" si="16"/>
        <v>42.775990668324951</v>
      </c>
      <c r="Y40">
        <f t="shared" si="17"/>
        <v>55.975511152710212</v>
      </c>
      <c r="Z40" t="e">
        <f>IF(ISBLANK($H40),NA(),IFERROR(SUM($H40:$H$177),NA()))</f>
        <v>#N/A</v>
      </c>
      <c r="AA40" t="e">
        <f>IF(ISBLANK($I40),NA(),IFERROR(SUM($I40:$I$177),NA()))</f>
        <v>#N/A</v>
      </c>
      <c r="AB40" t="e">
        <f>IF(ISBLANK($J40),NA(),IFERROR(SUM($J40:$J$177),NA()))</f>
        <v>#N/A</v>
      </c>
      <c r="AC40" t="str">
        <f t="shared" si="18"/>
        <v/>
      </c>
      <c r="AD40" t="e">
        <f t="shared" si="19"/>
        <v>#N/A</v>
      </c>
      <c r="AE40" t="e">
        <f t="shared" si="20"/>
        <v>#N/A</v>
      </c>
      <c r="AF40" t="e">
        <f>IF(ISBLANK($K40),NA(),IFERROR(SUM($K40:$K$177),NA()))</f>
        <v>#N/A</v>
      </c>
      <c r="AG40" t="e">
        <f>IF(ISBLANK($L40),NA(),IFERROR(SUM($L40:$L$177),NA()))</f>
        <v>#N/A</v>
      </c>
      <c r="AH40" t="e">
        <f>IF(ISBLANK($M40),NA(),IFERROR(SUM($M40:$M$177),NA()))</f>
        <v>#N/A</v>
      </c>
      <c r="AI40" t="str">
        <f t="shared" si="21"/>
        <v/>
      </c>
      <c r="AJ40" t="e">
        <f t="shared" si="22"/>
        <v>#N/A</v>
      </c>
      <c r="AK40" t="e">
        <f t="shared" si="23"/>
        <v>#N/A</v>
      </c>
    </row>
    <row r="41" spans="1:37" x14ac:dyDescent="0.35">
      <c r="A41">
        <v>1888</v>
      </c>
      <c r="B41">
        <v>1414.1010000000001</v>
      </c>
      <c r="C41">
        <v>1624.2329999999999</v>
      </c>
      <c r="D41">
        <v>282.17899999999997</v>
      </c>
      <c r="E41">
        <v>1828.2</v>
      </c>
      <c r="F41">
        <v>2230.5250000000001</v>
      </c>
      <c r="G41">
        <v>924.61300000000006</v>
      </c>
      <c r="N41">
        <f>IF(ISBLANK($B41),NA(),IFERROR(SUM($B41:$B$177),NA()))</f>
        <v>982114.39900000033</v>
      </c>
      <c r="O41">
        <f>IF(ISBLANK($C41),NA(),IFERROR(SUM($C41:$C$177),NA()))</f>
        <v>1275837.3400000001</v>
      </c>
      <c r="P41">
        <f>IF(ISBLANK($D41),NA(),IFERROR(SUM($D41:$D$177),NA()))</f>
        <v>885655.8130000002</v>
      </c>
      <c r="Q41">
        <f t="shared" si="12"/>
        <v>2161493.1530000004</v>
      </c>
      <c r="R41">
        <f t="shared" si="13"/>
        <v>45.436849875600792</v>
      </c>
      <c r="S41">
        <f t="shared" si="14"/>
        <v>59.025740527062396</v>
      </c>
      <c r="T41">
        <f>IF(ISBLANK($E41),NA(),IFERROR(SUM($E41:$E$177),NA()))</f>
        <v>1134807.3090000001</v>
      </c>
      <c r="U41">
        <f>IF(ISBLANK($F41),NA(),IFERROR(SUM($F41:$F$177),NA()))</f>
        <v>1485111.4369999999</v>
      </c>
      <c r="V41">
        <f>IF(ISBLANK($G41),NA(),IFERROR(SUM($G41:$G$177),NA()))</f>
        <v>1168760.7370000002</v>
      </c>
      <c r="W41">
        <f t="shared" si="15"/>
        <v>2653872.1740000001</v>
      </c>
      <c r="X41">
        <f t="shared" si="16"/>
        <v>42.760435868679487</v>
      </c>
      <c r="Y41">
        <f t="shared" si="17"/>
        <v>55.960172142036257</v>
      </c>
      <c r="Z41" t="e">
        <f>IF(ISBLANK($H41),NA(),IFERROR(SUM($H41:$H$177),NA()))</f>
        <v>#N/A</v>
      </c>
      <c r="AA41" t="e">
        <f>IF(ISBLANK($I41),NA(),IFERROR(SUM($I41:$I$177),NA()))</f>
        <v>#N/A</v>
      </c>
      <c r="AB41" t="e">
        <f>IF(ISBLANK($J41),NA(),IFERROR(SUM($J41:$J$177),NA()))</f>
        <v>#N/A</v>
      </c>
      <c r="AC41" t="str">
        <f t="shared" si="18"/>
        <v/>
      </c>
      <c r="AD41" t="e">
        <f t="shared" si="19"/>
        <v>#N/A</v>
      </c>
      <c r="AE41" t="e">
        <f t="shared" si="20"/>
        <v>#N/A</v>
      </c>
      <c r="AF41" t="e">
        <f>IF(ISBLANK($K41),NA(),IFERROR(SUM($K41:$K$177),NA()))</f>
        <v>#N/A</v>
      </c>
      <c r="AG41" t="e">
        <f>IF(ISBLANK($L41),NA(),IFERROR(SUM($L41:$L$177),NA()))</f>
        <v>#N/A</v>
      </c>
      <c r="AH41" t="e">
        <f>IF(ISBLANK($M41),NA(),IFERROR(SUM($M41:$M$177),NA()))</f>
        <v>#N/A</v>
      </c>
      <c r="AI41" t="str">
        <f t="shared" si="21"/>
        <v/>
      </c>
      <c r="AJ41" t="e">
        <f t="shared" si="22"/>
        <v>#N/A</v>
      </c>
      <c r="AK41" t="e">
        <f t="shared" si="23"/>
        <v>#N/A</v>
      </c>
    </row>
    <row r="42" spans="1:37" x14ac:dyDescent="0.35">
      <c r="A42">
        <v>1889</v>
      </c>
      <c r="B42">
        <v>1404.9939999999999</v>
      </c>
      <c r="C42">
        <v>1623.423</v>
      </c>
      <c r="D42">
        <v>286.34500000000003</v>
      </c>
      <c r="E42">
        <v>1824.1659999999999</v>
      </c>
      <c r="F42">
        <v>2237.096</v>
      </c>
      <c r="G42">
        <v>934.01300000000003</v>
      </c>
      <c r="N42">
        <f>IF(ISBLANK($B42),NA(),IFERROR(SUM($B42:$B$177),NA()))</f>
        <v>980700.2980000003</v>
      </c>
      <c r="O42">
        <f>IF(ISBLANK($C42),NA(),IFERROR(SUM($C42:$C$177),NA()))</f>
        <v>1274213.1070000001</v>
      </c>
      <c r="P42">
        <f>IF(ISBLANK($D42),NA(),IFERROR(SUM($D42:$D$177),NA()))</f>
        <v>885373.63400000019</v>
      </c>
      <c r="Q42">
        <f t="shared" si="12"/>
        <v>2159586.7410000004</v>
      </c>
      <c r="R42">
        <f t="shared" si="13"/>
        <v>45.411479862387253</v>
      </c>
      <c r="S42">
        <f t="shared" si="14"/>
        <v>59.002636143708372</v>
      </c>
      <c r="T42">
        <f>IF(ISBLANK($E42),NA(),IFERROR(SUM($E42:$E$177),NA()))</f>
        <v>1132979.1090000002</v>
      </c>
      <c r="U42">
        <f>IF(ISBLANK($F42),NA(),IFERROR(SUM($F42:$F$177),NA()))</f>
        <v>1482880.912</v>
      </c>
      <c r="V42">
        <f>IF(ISBLANK($G42),NA(),IFERROR(SUM($G42:$G$177),NA()))</f>
        <v>1167836.1240000003</v>
      </c>
      <c r="W42">
        <f t="shared" si="15"/>
        <v>2650717.0360000003</v>
      </c>
      <c r="X42">
        <f t="shared" si="16"/>
        <v>42.742363428942028</v>
      </c>
      <c r="Y42">
        <f t="shared" si="17"/>
        <v>55.942633327535596</v>
      </c>
      <c r="Z42" t="e">
        <f>IF(ISBLANK($H42),NA(),IFERROR(SUM($H42:$H$177),NA()))</f>
        <v>#N/A</v>
      </c>
      <c r="AA42" t="e">
        <f>IF(ISBLANK($I42),NA(),IFERROR(SUM($I42:$I$177),NA()))</f>
        <v>#N/A</v>
      </c>
      <c r="AB42" t="e">
        <f>IF(ISBLANK($J42),NA(),IFERROR(SUM($J42:$J$177),NA()))</f>
        <v>#N/A</v>
      </c>
      <c r="AC42" t="str">
        <f t="shared" si="18"/>
        <v/>
      </c>
      <c r="AD42" t="e">
        <f t="shared" si="19"/>
        <v>#N/A</v>
      </c>
      <c r="AE42" t="e">
        <f t="shared" si="20"/>
        <v>#N/A</v>
      </c>
      <c r="AF42" t="e">
        <f>IF(ISBLANK($K42),NA(),IFERROR(SUM($K42:$K$177),NA()))</f>
        <v>#N/A</v>
      </c>
      <c r="AG42" t="e">
        <f>IF(ISBLANK($L42),NA(),IFERROR(SUM($L42:$L$177),NA()))</f>
        <v>#N/A</v>
      </c>
      <c r="AH42" t="e">
        <f>IF(ISBLANK($M42),NA(),IFERROR(SUM($M42:$M$177),NA()))</f>
        <v>#N/A</v>
      </c>
      <c r="AI42" t="str">
        <f t="shared" si="21"/>
        <v/>
      </c>
      <c r="AJ42" t="e">
        <f t="shared" si="22"/>
        <v>#N/A</v>
      </c>
      <c r="AK42" t="e">
        <f t="shared" si="23"/>
        <v>#N/A</v>
      </c>
    </row>
    <row r="43" spans="1:37" x14ac:dyDescent="0.35">
      <c r="A43">
        <v>1890</v>
      </c>
      <c r="B43">
        <v>1516.7829999999999</v>
      </c>
      <c r="C43">
        <v>1744.509</v>
      </c>
      <c r="D43">
        <v>288.69600000000003</v>
      </c>
      <c r="E43">
        <v>1945.4010000000001</v>
      </c>
      <c r="F43">
        <v>2370.7399999999998</v>
      </c>
      <c r="G43">
        <v>945.37099999999998</v>
      </c>
      <c r="N43">
        <f>IF(ISBLANK($B43),NA(),IFERROR(SUM($B43:$B$177),NA()))</f>
        <v>979295.30400000035</v>
      </c>
      <c r="O43">
        <f>IF(ISBLANK($C43),NA(),IFERROR(SUM($C43:$C$177),NA()))</f>
        <v>1272589.6839999999</v>
      </c>
      <c r="P43">
        <f>IF(ISBLANK($D43),NA(),IFERROR(SUM($D43:$D$177),NA()))</f>
        <v>885087.28900000022</v>
      </c>
      <c r="Q43">
        <f t="shared" si="12"/>
        <v>2157676.9730000002</v>
      </c>
      <c r="R43">
        <f t="shared" si="13"/>
        <v>45.386557684693805</v>
      </c>
      <c r="S43">
        <f t="shared" si="14"/>
        <v>58.9796202084231</v>
      </c>
      <c r="T43">
        <f>IF(ISBLANK($E43),NA(),IFERROR(SUM($E43:$E$177),NA()))</f>
        <v>1131154.9430000002</v>
      </c>
      <c r="U43">
        <f>IF(ISBLANK($F43),NA(),IFERROR(SUM($F43:$F$177),NA()))</f>
        <v>1480643.8159999999</v>
      </c>
      <c r="V43">
        <f>IF(ISBLANK($G43),NA(),IFERROR(SUM($G43:$G$177),NA()))</f>
        <v>1166902.111</v>
      </c>
      <c r="W43">
        <f t="shared" si="15"/>
        <v>2647545.9270000001</v>
      </c>
      <c r="X43">
        <f t="shared" si="16"/>
        <v>42.724658011192268</v>
      </c>
      <c r="Y43">
        <f t="shared" si="17"/>
        <v>55.925141879512331</v>
      </c>
      <c r="Z43" t="e">
        <f>IF(ISBLANK($H43),NA(),IFERROR(SUM($H43:$H$177),NA()))</f>
        <v>#N/A</v>
      </c>
      <c r="AA43" t="e">
        <f>IF(ISBLANK($I43),NA(),IFERROR(SUM($I43:$I$177),NA()))</f>
        <v>#N/A</v>
      </c>
      <c r="AB43" t="e">
        <f>IF(ISBLANK($J43),NA(),IFERROR(SUM($J43:$J$177),NA()))</f>
        <v>#N/A</v>
      </c>
      <c r="AC43" t="str">
        <f t="shared" si="18"/>
        <v/>
      </c>
      <c r="AD43" t="e">
        <f t="shared" si="19"/>
        <v>#N/A</v>
      </c>
      <c r="AE43" t="e">
        <f t="shared" si="20"/>
        <v>#N/A</v>
      </c>
      <c r="AF43" t="e">
        <f>IF(ISBLANK($K43),NA(),IFERROR(SUM($K43:$K$177),NA()))</f>
        <v>#N/A</v>
      </c>
      <c r="AG43" t="e">
        <f>IF(ISBLANK($L43),NA(),IFERROR(SUM($L43:$L$177),NA()))</f>
        <v>#N/A</v>
      </c>
      <c r="AH43" t="e">
        <f>IF(ISBLANK($M43),NA(),IFERROR(SUM($M43:$M$177),NA()))</f>
        <v>#N/A</v>
      </c>
      <c r="AI43" t="str">
        <f t="shared" si="21"/>
        <v/>
      </c>
      <c r="AJ43" t="e">
        <f t="shared" si="22"/>
        <v>#N/A</v>
      </c>
      <c r="AK43" t="e">
        <f t="shared" si="23"/>
        <v>#N/A</v>
      </c>
    </row>
    <row r="44" spans="1:37" x14ac:dyDescent="0.35">
      <c r="A44">
        <v>1891</v>
      </c>
      <c r="B44">
        <v>1574.8230000000001</v>
      </c>
      <c r="C44">
        <v>1812.9590000000001</v>
      </c>
      <c r="D44">
        <v>292.48099999999999</v>
      </c>
      <c r="E44">
        <v>2011.86</v>
      </c>
      <c r="F44">
        <v>2450.0340000000001</v>
      </c>
      <c r="G44">
        <v>953.62900000000002</v>
      </c>
      <c r="N44">
        <f>IF(ISBLANK($B44),NA(),IFERROR(SUM($B44:$B$177),NA()))</f>
        <v>977778.5210000003</v>
      </c>
      <c r="O44">
        <f>IF(ISBLANK($C44),NA(),IFERROR(SUM($C44:$C$177),NA()))</f>
        <v>1270845.1749999998</v>
      </c>
      <c r="P44">
        <f>IF(ISBLANK($D44),NA(),IFERROR(SUM($D44:$D$177),NA()))</f>
        <v>884798.59300000023</v>
      </c>
      <c r="Q44">
        <f t="shared" si="12"/>
        <v>2155643.7680000002</v>
      </c>
      <c r="R44">
        <f t="shared" si="13"/>
        <v>45.359002981609542</v>
      </c>
      <c r="S44">
        <f t="shared" si="14"/>
        <v>58.954322317322692</v>
      </c>
      <c r="T44">
        <f>IF(ISBLANK($E44),NA(),IFERROR(SUM($E44:$E$177),NA()))</f>
        <v>1129209.5420000001</v>
      </c>
      <c r="U44">
        <f>IF(ISBLANK($F44),NA(),IFERROR(SUM($F44:$F$177),NA()))</f>
        <v>1478273.0759999999</v>
      </c>
      <c r="V44">
        <f>IF(ISBLANK($G44),NA(),IFERROR(SUM($G44:$G$177),NA()))</f>
        <v>1165956.7400000002</v>
      </c>
      <c r="W44">
        <f t="shared" si="15"/>
        <v>2644229.8160000001</v>
      </c>
      <c r="X44">
        <f t="shared" si="16"/>
        <v>42.704667164981402</v>
      </c>
      <c r="Y44">
        <f t="shared" si="17"/>
        <v>55.905620118762009</v>
      </c>
      <c r="Z44" t="e">
        <f>IF(ISBLANK($H44),NA(),IFERROR(SUM($H44:$H$177),NA()))</f>
        <v>#N/A</v>
      </c>
      <c r="AA44" t="e">
        <f>IF(ISBLANK($I44),NA(),IFERROR(SUM($I44:$I$177),NA()))</f>
        <v>#N/A</v>
      </c>
      <c r="AB44" t="e">
        <f>IF(ISBLANK($J44),NA(),IFERROR(SUM($J44:$J$177),NA()))</f>
        <v>#N/A</v>
      </c>
      <c r="AC44" t="str">
        <f t="shared" si="18"/>
        <v/>
      </c>
      <c r="AD44" t="e">
        <f t="shared" si="19"/>
        <v>#N/A</v>
      </c>
      <c r="AE44" t="e">
        <f t="shared" si="20"/>
        <v>#N/A</v>
      </c>
      <c r="AF44" t="e">
        <f>IF(ISBLANK($K44),NA(),IFERROR(SUM($K44:$K$177),NA()))</f>
        <v>#N/A</v>
      </c>
      <c r="AG44" t="e">
        <f>IF(ISBLANK($L44),NA(),IFERROR(SUM($L44:$L$177),NA()))</f>
        <v>#N/A</v>
      </c>
      <c r="AH44" t="e">
        <f>IF(ISBLANK($M44),NA(),IFERROR(SUM($M44:$M$177),NA()))</f>
        <v>#N/A</v>
      </c>
      <c r="AI44" t="str">
        <f t="shared" si="21"/>
        <v/>
      </c>
      <c r="AJ44" t="e">
        <f t="shared" si="22"/>
        <v>#N/A</v>
      </c>
      <c r="AK44" t="e">
        <f t="shared" si="23"/>
        <v>#N/A</v>
      </c>
    </row>
    <row r="45" spans="1:37" x14ac:dyDescent="0.35">
      <c r="A45">
        <v>1892</v>
      </c>
      <c r="B45">
        <v>1584.3130000000001</v>
      </c>
      <c r="C45">
        <v>1823.53</v>
      </c>
      <c r="D45">
        <v>296.64600000000002</v>
      </c>
      <c r="E45">
        <v>2027.357</v>
      </c>
      <c r="F45">
        <v>2468.8139999999999</v>
      </c>
      <c r="G45">
        <v>962.91700000000003</v>
      </c>
      <c r="N45">
        <f>IF(ISBLANK($B45),NA(),IFERROR(SUM($B45:$B$177),NA()))</f>
        <v>976203.69800000044</v>
      </c>
      <c r="O45">
        <f>IF(ISBLANK($C45),NA(),IFERROR(SUM($C45:$C$177),NA()))</f>
        <v>1269032.216</v>
      </c>
      <c r="P45">
        <f>IF(ISBLANK($D45),NA(),IFERROR(SUM($D45:$D$177),NA()))</f>
        <v>884506.1120000002</v>
      </c>
      <c r="Q45">
        <f t="shared" si="12"/>
        <v>2153538.3280000002</v>
      </c>
      <c r="R45">
        <f t="shared" si="13"/>
        <v>45.330221677856308</v>
      </c>
      <c r="S45">
        <f t="shared" si="14"/>
        <v>58.927774792778145</v>
      </c>
      <c r="T45">
        <f>IF(ISBLANK($E45),NA(),IFERROR(SUM($E45:$E$177),NA()))</f>
        <v>1127197.682</v>
      </c>
      <c r="U45">
        <f>IF(ISBLANK($F45),NA(),IFERROR(SUM($F45:$F$177),NA()))</f>
        <v>1475823.0419999999</v>
      </c>
      <c r="V45">
        <f>IF(ISBLANK($G45),NA(),IFERROR(SUM($G45:$G$177),NA()))</f>
        <v>1165003.111</v>
      </c>
      <c r="W45">
        <f t="shared" si="15"/>
        <v>2640826.1529999999</v>
      </c>
      <c r="X45">
        <f t="shared" si="16"/>
        <v>42.683524650779994</v>
      </c>
      <c r="Y45">
        <f t="shared" si="17"/>
        <v>55.884899516140166</v>
      </c>
      <c r="Z45" t="e">
        <f>IF(ISBLANK($H45),NA(),IFERROR(SUM($H45:$H$177),NA()))</f>
        <v>#N/A</v>
      </c>
      <c r="AA45" t="e">
        <f>IF(ISBLANK($I45),NA(),IFERROR(SUM($I45:$I$177),NA()))</f>
        <v>#N/A</v>
      </c>
      <c r="AB45" t="e">
        <f>IF(ISBLANK($J45),NA(),IFERROR(SUM($J45:$J$177),NA()))</f>
        <v>#N/A</v>
      </c>
      <c r="AC45" t="str">
        <f t="shared" si="18"/>
        <v/>
      </c>
      <c r="AD45" t="e">
        <f t="shared" si="19"/>
        <v>#N/A</v>
      </c>
      <c r="AE45" t="e">
        <f t="shared" si="20"/>
        <v>#N/A</v>
      </c>
      <c r="AF45" t="e">
        <f>IF(ISBLANK($K45),NA(),IFERROR(SUM($K45:$K$177),NA()))</f>
        <v>#N/A</v>
      </c>
      <c r="AG45" t="e">
        <f>IF(ISBLANK($L45),NA(),IFERROR(SUM($L45:$L$177),NA()))</f>
        <v>#N/A</v>
      </c>
      <c r="AH45" t="e">
        <f>IF(ISBLANK($M45),NA(),IFERROR(SUM($M45:$M$177),NA()))</f>
        <v>#N/A</v>
      </c>
      <c r="AI45" t="str">
        <f t="shared" si="21"/>
        <v/>
      </c>
      <c r="AJ45" t="e">
        <f t="shared" si="22"/>
        <v>#N/A</v>
      </c>
      <c r="AK45" t="e">
        <f t="shared" si="23"/>
        <v>#N/A</v>
      </c>
    </row>
    <row r="46" spans="1:37" x14ac:dyDescent="0.35">
      <c r="A46">
        <v>1893</v>
      </c>
      <c r="B46">
        <v>1549.5260000000001</v>
      </c>
      <c r="C46">
        <v>1799.5440000000001</v>
      </c>
      <c r="D46">
        <v>301.63900000000001</v>
      </c>
      <c r="E46">
        <v>1999.405</v>
      </c>
      <c r="F46">
        <v>2454.1529999999998</v>
      </c>
      <c r="G46">
        <v>973.76800000000003</v>
      </c>
      <c r="N46">
        <f>IF(ISBLANK($B46),NA(),IFERROR(SUM($B46:$B$177),NA()))</f>
        <v>974619.38500000036</v>
      </c>
      <c r="O46">
        <f>IF(ISBLANK($C46),NA(),IFERROR(SUM($C46:$C$177),NA()))</f>
        <v>1267208.686</v>
      </c>
      <c r="P46">
        <f>IF(ISBLANK($D46),NA(),IFERROR(SUM($D46:$D$177),NA()))</f>
        <v>884209.46600000013</v>
      </c>
      <c r="Q46">
        <f t="shared" si="12"/>
        <v>2151418.1520000002</v>
      </c>
      <c r="R46">
        <f t="shared" si="13"/>
        <v>45.301253226574076</v>
      </c>
      <c r="S46">
        <f t="shared" si="14"/>
        <v>58.901087397723131</v>
      </c>
      <c r="T46">
        <f>IF(ISBLANK($E46),NA(),IFERROR(SUM($E46:$E$177),NA()))</f>
        <v>1125170.3250000002</v>
      </c>
      <c r="U46">
        <f>IF(ISBLANK($F46),NA(),IFERROR(SUM($F46:$F$177),NA()))</f>
        <v>1473354.2279999999</v>
      </c>
      <c r="V46">
        <f>IF(ISBLANK($G46),NA(),IFERROR(SUM($G46:$G$177),NA()))</f>
        <v>1164040.1940000001</v>
      </c>
      <c r="W46">
        <f t="shared" si="15"/>
        <v>2637394.4220000003</v>
      </c>
      <c r="X46">
        <f t="shared" si="16"/>
        <v>42.662194005353065</v>
      </c>
      <c r="Y46">
        <f t="shared" si="17"/>
        <v>55.864007890132704</v>
      </c>
      <c r="Z46" t="e">
        <f>IF(ISBLANK($H46),NA(),IFERROR(SUM($H46:$H$177),NA()))</f>
        <v>#N/A</v>
      </c>
      <c r="AA46" t="e">
        <f>IF(ISBLANK($I46),NA(),IFERROR(SUM($I46:$I$177),NA()))</f>
        <v>#N/A</v>
      </c>
      <c r="AB46" t="e">
        <f>IF(ISBLANK($J46),NA(),IFERROR(SUM($J46:$J$177),NA()))</f>
        <v>#N/A</v>
      </c>
      <c r="AC46" t="str">
        <f t="shared" si="18"/>
        <v/>
      </c>
      <c r="AD46" t="e">
        <f t="shared" si="19"/>
        <v>#N/A</v>
      </c>
      <c r="AE46" t="e">
        <f t="shared" si="20"/>
        <v>#N/A</v>
      </c>
      <c r="AF46" t="e">
        <f>IF(ISBLANK($K46),NA(),IFERROR(SUM($K46:$K$177),NA()))</f>
        <v>#N/A</v>
      </c>
      <c r="AG46" t="e">
        <f>IF(ISBLANK($L46),NA(),IFERROR(SUM($L46:$L$177),NA()))</f>
        <v>#N/A</v>
      </c>
      <c r="AH46" t="e">
        <f>IF(ISBLANK($M46),NA(),IFERROR(SUM($M46:$M$177),NA()))</f>
        <v>#N/A</v>
      </c>
      <c r="AI46" t="str">
        <f t="shared" si="21"/>
        <v/>
      </c>
      <c r="AJ46" t="e">
        <f t="shared" si="22"/>
        <v>#N/A</v>
      </c>
      <c r="AK46" t="e">
        <f t="shared" si="23"/>
        <v>#N/A</v>
      </c>
    </row>
    <row r="47" spans="1:37" x14ac:dyDescent="0.35">
      <c r="A47">
        <v>1894</v>
      </c>
      <c r="B47">
        <v>1601.453</v>
      </c>
      <c r="C47">
        <v>1854.71</v>
      </c>
      <c r="D47">
        <v>306.15699999999998</v>
      </c>
      <c r="E47">
        <v>2059.36</v>
      </c>
      <c r="F47">
        <v>2519.5630000000001</v>
      </c>
      <c r="G47">
        <v>982.40200000000004</v>
      </c>
      <c r="N47">
        <f>IF(ISBLANK($B47),NA(),IFERROR(SUM($B47:$B$177),NA()))</f>
        <v>973069.85900000029</v>
      </c>
      <c r="O47">
        <f>IF(ISBLANK($C47),NA(),IFERROR(SUM($C47:$C$177),NA()))</f>
        <v>1265409.142</v>
      </c>
      <c r="P47">
        <f>IF(ISBLANK($D47),NA(),IFERROR(SUM($D47:$D$177),NA()))</f>
        <v>883907.82700000016</v>
      </c>
      <c r="Q47">
        <f t="shared" si="12"/>
        <v>2149316.969</v>
      </c>
      <c r="R47">
        <f t="shared" si="13"/>
        <v>45.273446077743237</v>
      </c>
      <c r="S47">
        <f t="shared" si="14"/>
        <v>58.874943074996956</v>
      </c>
      <c r="T47">
        <f>IF(ISBLANK($E47),NA(),IFERROR(SUM($E47:$E$177),NA()))</f>
        <v>1123170.9200000002</v>
      </c>
      <c r="U47">
        <f>IF(ISBLANK($F47),NA(),IFERROR(SUM($F47:$F$177),NA()))</f>
        <v>1470900.075</v>
      </c>
      <c r="V47">
        <f>IF(ISBLANK($G47),NA(),IFERROR(SUM($G47:$G$177),NA()))</f>
        <v>1163066.426</v>
      </c>
      <c r="W47">
        <f t="shared" si="15"/>
        <v>2633966.5010000002</v>
      </c>
      <c r="X47">
        <f t="shared" si="16"/>
        <v>42.641807311276814</v>
      </c>
      <c r="Y47">
        <f t="shared" si="17"/>
        <v>55.843537662364518</v>
      </c>
      <c r="Z47" t="e">
        <f>IF(ISBLANK($H47),NA(),IFERROR(SUM($H47:$H$177),NA()))</f>
        <v>#N/A</v>
      </c>
      <c r="AA47" t="e">
        <f>IF(ISBLANK($I47),NA(),IFERROR(SUM($I47:$I$177),NA()))</f>
        <v>#N/A</v>
      </c>
      <c r="AB47" t="e">
        <f>IF(ISBLANK($J47),NA(),IFERROR(SUM($J47:$J$177),NA()))</f>
        <v>#N/A</v>
      </c>
      <c r="AC47" t="str">
        <f t="shared" si="18"/>
        <v/>
      </c>
      <c r="AD47" t="e">
        <f t="shared" si="19"/>
        <v>#N/A</v>
      </c>
      <c r="AE47" t="e">
        <f t="shared" si="20"/>
        <v>#N/A</v>
      </c>
      <c r="AF47" t="e">
        <f>IF(ISBLANK($K47),NA(),IFERROR(SUM($K47:$K$177),NA()))</f>
        <v>#N/A</v>
      </c>
      <c r="AG47" t="e">
        <f>IF(ISBLANK($L47),NA(),IFERROR(SUM($L47:$L$177),NA()))</f>
        <v>#N/A</v>
      </c>
      <c r="AH47" t="e">
        <f>IF(ISBLANK($M47),NA(),IFERROR(SUM($M47:$M$177),NA()))</f>
        <v>#N/A</v>
      </c>
      <c r="AI47" t="str">
        <f t="shared" si="21"/>
        <v/>
      </c>
      <c r="AJ47" t="e">
        <f t="shared" si="22"/>
        <v>#N/A</v>
      </c>
      <c r="AK47" t="e">
        <f t="shared" si="23"/>
        <v>#N/A</v>
      </c>
    </row>
    <row r="48" spans="1:37" x14ac:dyDescent="0.35">
      <c r="A48">
        <v>1895</v>
      </c>
      <c r="B48">
        <v>1679.933</v>
      </c>
      <c r="C48">
        <v>1946.6469999999999</v>
      </c>
      <c r="D48">
        <v>312.05200000000002</v>
      </c>
      <c r="E48">
        <v>2146.4490000000001</v>
      </c>
      <c r="F48">
        <v>2622.6970000000001</v>
      </c>
      <c r="G48">
        <v>994.76700000000005</v>
      </c>
      <c r="N48">
        <f>IF(ISBLANK($B48),NA(),IFERROR(SUM($B48:$B$177),NA()))</f>
        <v>971468.40600000031</v>
      </c>
      <c r="O48">
        <f>IF(ISBLANK($C48),NA(),IFERROR(SUM($C48:$C$177),NA()))</f>
        <v>1263554.4319999998</v>
      </c>
      <c r="P48">
        <f>IF(ISBLANK($D48),NA(),IFERROR(SUM($D48:$D$177),NA()))</f>
        <v>883601.67000000016</v>
      </c>
      <c r="Q48">
        <f t="shared" si="12"/>
        <v>2147156.102</v>
      </c>
      <c r="R48">
        <f t="shared" si="13"/>
        <v>45.244423779673582</v>
      </c>
      <c r="S48">
        <f t="shared" si="14"/>
        <v>58.847814130656062</v>
      </c>
      <c r="T48">
        <f>IF(ISBLANK($E48),NA(),IFERROR(SUM($E48:$E$177),NA()))</f>
        <v>1121111.56</v>
      </c>
      <c r="U48">
        <f>IF(ISBLANK($F48),NA(),IFERROR(SUM($F48:$F$177),NA()))</f>
        <v>1468380.5119999999</v>
      </c>
      <c r="V48">
        <f>IF(ISBLANK($G48),NA(),IFERROR(SUM($G48:$G$177),NA()))</f>
        <v>1162084.0240000002</v>
      </c>
      <c r="W48">
        <f t="shared" si="15"/>
        <v>2630464.5360000003</v>
      </c>
      <c r="X48">
        <f t="shared" si="16"/>
        <v>42.620287962703785</v>
      </c>
      <c r="Y48">
        <f t="shared" si="17"/>
        <v>55.822098792971509</v>
      </c>
      <c r="Z48" t="e">
        <f>IF(ISBLANK($H48),NA(),IFERROR(SUM($H48:$H$177),NA()))</f>
        <v>#N/A</v>
      </c>
      <c r="AA48" t="e">
        <f>IF(ISBLANK($I48),NA(),IFERROR(SUM($I48:$I$177),NA()))</f>
        <v>#N/A</v>
      </c>
      <c r="AB48" t="e">
        <f>IF(ISBLANK($J48),NA(),IFERROR(SUM($J48:$J$177),NA()))</f>
        <v>#N/A</v>
      </c>
      <c r="AC48" t="str">
        <f t="shared" si="18"/>
        <v/>
      </c>
      <c r="AD48" t="e">
        <f t="shared" si="19"/>
        <v>#N/A</v>
      </c>
      <c r="AE48" t="e">
        <f t="shared" si="20"/>
        <v>#N/A</v>
      </c>
      <c r="AF48" t="e">
        <f>IF(ISBLANK($K48),NA(),IFERROR(SUM($K48:$K$177),NA()))</f>
        <v>#N/A</v>
      </c>
      <c r="AG48" t="e">
        <f>IF(ISBLANK($L48),NA(),IFERROR(SUM($L48:$L$177),NA()))</f>
        <v>#N/A</v>
      </c>
      <c r="AH48" t="e">
        <f>IF(ISBLANK($M48),NA(),IFERROR(SUM($M48:$M$177),NA()))</f>
        <v>#N/A</v>
      </c>
      <c r="AI48" t="str">
        <f t="shared" si="21"/>
        <v/>
      </c>
      <c r="AJ48" t="e">
        <f t="shared" si="22"/>
        <v>#N/A</v>
      </c>
      <c r="AK48" t="e">
        <f t="shared" si="23"/>
        <v>#N/A</v>
      </c>
    </row>
    <row r="49" spans="1:37" x14ac:dyDescent="0.35">
      <c r="A49">
        <v>1896</v>
      </c>
      <c r="B49">
        <v>1725.2529999999999</v>
      </c>
      <c r="C49">
        <v>1999.2560000000001</v>
      </c>
      <c r="D49">
        <v>316.75700000000001</v>
      </c>
      <c r="E49">
        <v>2198.7530000000002</v>
      </c>
      <c r="F49">
        <v>2684.6210000000001</v>
      </c>
      <c r="G49">
        <v>1004.6</v>
      </c>
      <c r="N49">
        <f>IF(ISBLANK($B49),NA(),IFERROR(SUM($B49:$B$177),NA()))</f>
        <v>969788.47300000035</v>
      </c>
      <c r="O49">
        <f>IF(ISBLANK($C49),NA(),IFERROR(SUM($C49:$C$177),NA()))</f>
        <v>1261607.7849999999</v>
      </c>
      <c r="P49">
        <f>IF(ISBLANK($D49),NA(),IFERROR(SUM($D49:$D$177),NA()))</f>
        <v>883289.61800000013</v>
      </c>
      <c r="Q49">
        <f t="shared" si="12"/>
        <v>2144897.4029999999</v>
      </c>
      <c r="R49">
        <f t="shared" si="13"/>
        <v>45.213746431115446</v>
      </c>
      <c r="S49">
        <f t="shared" si="14"/>
        <v>58.819027112225932</v>
      </c>
      <c r="T49">
        <f>IF(ISBLANK($E49),NA(),IFERROR(SUM($E49:$E$177),NA()))</f>
        <v>1118965.111</v>
      </c>
      <c r="U49">
        <f>IF(ISBLANK($F49),NA(),IFERROR(SUM($F49:$F$177),NA()))</f>
        <v>1465757.8149999999</v>
      </c>
      <c r="V49">
        <f>IF(ISBLANK($G49),NA(),IFERROR(SUM($G49:$G$177),NA()))</f>
        <v>1161089.2570000002</v>
      </c>
      <c r="W49">
        <f t="shared" si="15"/>
        <v>2626847.0720000002</v>
      </c>
      <c r="X49">
        <f t="shared" si="16"/>
        <v>42.597268905648718</v>
      </c>
      <c r="Y49">
        <f t="shared" si="17"/>
        <v>55.799130091117831</v>
      </c>
      <c r="Z49" t="e">
        <f>IF(ISBLANK($H49),NA(),IFERROR(SUM($H49:$H$177),NA()))</f>
        <v>#N/A</v>
      </c>
      <c r="AA49" t="e">
        <f>IF(ISBLANK($I49),NA(),IFERROR(SUM($I49:$I$177),NA()))</f>
        <v>#N/A</v>
      </c>
      <c r="AB49" t="e">
        <f>IF(ISBLANK($J49),NA(),IFERROR(SUM($J49:$J$177),NA()))</f>
        <v>#N/A</v>
      </c>
      <c r="AC49" t="str">
        <f t="shared" si="18"/>
        <v/>
      </c>
      <c r="AD49" t="e">
        <f t="shared" si="19"/>
        <v>#N/A</v>
      </c>
      <c r="AE49" t="e">
        <f t="shared" si="20"/>
        <v>#N/A</v>
      </c>
      <c r="AF49" t="e">
        <f>IF(ISBLANK($K49),NA(),IFERROR(SUM($K49:$K$177),NA()))</f>
        <v>#N/A</v>
      </c>
      <c r="AG49" t="e">
        <f>IF(ISBLANK($L49),NA(),IFERROR(SUM($L49:$L$177),NA()))</f>
        <v>#N/A</v>
      </c>
      <c r="AH49" t="e">
        <f>IF(ISBLANK($M49),NA(),IFERROR(SUM($M49:$M$177),NA()))</f>
        <v>#N/A</v>
      </c>
      <c r="AI49" t="str">
        <f t="shared" si="21"/>
        <v/>
      </c>
      <c r="AJ49" t="e">
        <f t="shared" si="22"/>
        <v>#N/A</v>
      </c>
      <c r="AK49" t="e">
        <f t="shared" si="23"/>
        <v>#N/A</v>
      </c>
    </row>
    <row r="50" spans="1:37" x14ac:dyDescent="0.35">
      <c r="A50">
        <v>1897</v>
      </c>
      <c r="B50">
        <v>1792.04</v>
      </c>
      <c r="C50">
        <v>2080.0300000000002</v>
      </c>
      <c r="D50">
        <v>321.524</v>
      </c>
      <c r="E50">
        <v>2274.6320000000001</v>
      </c>
      <c r="F50">
        <v>2777.15</v>
      </c>
      <c r="G50">
        <v>1015.051</v>
      </c>
      <c r="N50">
        <f>IF(ISBLANK($B50),NA(),IFERROR(SUM($B50:$B$177),NA()))</f>
        <v>968063.22000000032</v>
      </c>
      <c r="O50">
        <f>IF(ISBLANK($C50),NA(),IFERROR(SUM($C50:$C$177),NA()))</f>
        <v>1259608.5289999999</v>
      </c>
      <c r="P50">
        <f>IF(ISBLANK($D50),NA(),IFERROR(SUM($D50:$D$177),NA()))</f>
        <v>882972.86100000015</v>
      </c>
      <c r="Q50">
        <f t="shared" si="12"/>
        <v>2142581.39</v>
      </c>
      <c r="R50">
        <f t="shared" si="13"/>
        <v>45.182097843200268</v>
      </c>
      <c r="S50">
        <f t="shared" si="14"/>
        <v>58.789296634374288</v>
      </c>
      <c r="T50">
        <f>IF(ISBLANK($E50),NA(),IFERROR(SUM($E50:$E$177),NA()))</f>
        <v>1116766.358</v>
      </c>
      <c r="U50">
        <f>IF(ISBLANK($F50),NA(),IFERROR(SUM($F50:$F$177),NA()))</f>
        <v>1463073.1939999999</v>
      </c>
      <c r="V50">
        <f>IF(ISBLANK($G50),NA(),IFERROR(SUM($G50:$G$177),NA()))</f>
        <v>1160084.6570000001</v>
      </c>
      <c r="W50">
        <f t="shared" si="15"/>
        <v>2623157.8509999998</v>
      </c>
      <c r="X50">
        <f t="shared" si="16"/>
        <v>42.573357054142456</v>
      </c>
      <c r="Y50">
        <f t="shared" si="17"/>
        <v>55.775263141036191</v>
      </c>
      <c r="Z50" t="e">
        <f>IF(ISBLANK($H50),NA(),IFERROR(SUM($H50:$H$177),NA()))</f>
        <v>#N/A</v>
      </c>
      <c r="AA50" t="e">
        <f>IF(ISBLANK($I50),NA(),IFERROR(SUM($I50:$I$177),NA()))</f>
        <v>#N/A</v>
      </c>
      <c r="AB50" t="e">
        <f>IF(ISBLANK($J50),NA(),IFERROR(SUM($J50:$J$177),NA()))</f>
        <v>#N/A</v>
      </c>
      <c r="AC50" t="str">
        <f t="shared" si="18"/>
        <v/>
      </c>
      <c r="AD50" t="e">
        <f t="shared" si="19"/>
        <v>#N/A</v>
      </c>
      <c r="AE50" t="e">
        <f t="shared" si="20"/>
        <v>#N/A</v>
      </c>
      <c r="AF50" t="e">
        <f>IF(ISBLANK($K50),NA(),IFERROR(SUM($K50:$K$177),NA()))</f>
        <v>#N/A</v>
      </c>
      <c r="AG50" t="e">
        <f>IF(ISBLANK($L50),NA(),IFERROR(SUM($L50:$L$177),NA()))</f>
        <v>#N/A</v>
      </c>
      <c r="AH50" t="e">
        <f>IF(ISBLANK($M50),NA(),IFERROR(SUM($M50:$M$177),NA()))</f>
        <v>#N/A</v>
      </c>
      <c r="AI50" t="str">
        <f t="shared" si="21"/>
        <v/>
      </c>
      <c r="AJ50" t="e">
        <f t="shared" si="22"/>
        <v>#N/A</v>
      </c>
      <c r="AK50" t="e">
        <f t="shared" si="23"/>
        <v>#N/A</v>
      </c>
    </row>
    <row r="51" spans="1:37" x14ac:dyDescent="0.35">
      <c r="A51">
        <v>1898</v>
      </c>
      <c r="B51">
        <v>1870.877</v>
      </c>
      <c r="C51">
        <v>2175.3890000000001</v>
      </c>
      <c r="D51">
        <v>328.54899999999998</v>
      </c>
      <c r="E51">
        <v>2362.1089999999999</v>
      </c>
      <c r="F51">
        <v>2883.5549999999998</v>
      </c>
      <c r="G51">
        <v>1027.46</v>
      </c>
      <c r="N51">
        <f>IF(ISBLANK($B51),NA(),IFERROR(SUM($B51:$B$177),NA()))</f>
        <v>966271.18000000028</v>
      </c>
      <c r="O51">
        <f>IF(ISBLANK($C51),NA(),IFERROR(SUM($C51:$C$177),NA()))</f>
        <v>1257528.4989999998</v>
      </c>
      <c r="P51">
        <f>IF(ISBLANK($D51),NA(),IFERROR(SUM($D51:$D$177),NA()))</f>
        <v>882651.33700000017</v>
      </c>
      <c r="Q51">
        <f t="shared" si="12"/>
        <v>2140179.8360000001</v>
      </c>
      <c r="R51">
        <f t="shared" si="13"/>
        <v>45.149064753640651</v>
      </c>
      <c r="S51">
        <f t="shared" si="14"/>
        <v>58.758076206825812</v>
      </c>
      <c r="T51">
        <f>IF(ISBLANK($E51),NA(),IFERROR(SUM($E51:$E$177),NA()))</f>
        <v>1114491.726</v>
      </c>
      <c r="U51">
        <f>IF(ISBLANK($F51),NA(),IFERROR(SUM($F51:$F$177),NA()))</f>
        <v>1460296.044</v>
      </c>
      <c r="V51">
        <f>IF(ISBLANK($G51),NA(),IFERROR(SUM($G51:$G$177),NA()))</f>
        <v>1159069.6060000001</v>
      </c>
      <c r="W51">
        <f t="shared" si="15"/>
        <v>2619365.6500000004</v>
      </c>
      <c r="X51">
        <f t="shared" si="16"/>
        <v>42.548153824953758</v>
      </c>
      <c r="Y51">
        <f t="shared" si="17"/>
        <v>55.749988322554344</v>
      </c>
      <c r="Z51" t="e">
        <f>IF(ISBLANK($H51),NA(),IFERROR(SUM($H51:$H$177),NA()))</f>
        <v>#N/A</v>
      </c>
      <c r="AA51" t="e">
        <f>IF(ISBLANK($I51),NA(),IFERROR(SUM($I51:$I$177),NA()))</f>
        <v>#N/A</v>
      </c>
      <c r="AB51" t="e">
        <f>IF(ISBLANK($J51),NA(),IFERROR(SUM($J51:$J$177),NA()))</f>
        <v>#N/A</v>
      </c>
      <c r="AC51" t="str">
        <f t="shared" si="18"/>
        <v/>
      </c>
      <c r="AD51" t="e">
        <f t="shared" si="19"/>
        <v>#N/A</v>
      </c>
      <c r="AE51" t="e">
        <f t="shared" si="20"/>
        <v>#N/A</v>
      </c>
      <c r="AF51" t="e">
        <f>IF(ISBLANK($K51),NA(),IFERROR(SUM($K51:$K$177),NA()))</f>
        <v>#N/A</v>
      </c>
      <c r="AG51" t="e">
        <f>IF(ISBLANK($L51),NA(),IFERROR(SUM($L51:$L$177),NA()))</f>
        <v>#N/A</v>
      </c>
      <c r="AH51" t="e">
        <f>IF(ISBLANK($M51),NA(),IFERROR(SUM($M51:$M$177),NA()))</f>
        <v>#N/A</v>
      </c>
      <c r="AI51" t="str">
        <f t="shared" si="21"/>
        <v/>
      </c>
      <c r="AJ51" t="e">
        <f t="shared" si="22"/>
        <v>#N/A</v>
      </c>
      <c r="AK51" t="e">
        <f t="shared" si="23"/>
        <v>#N/A</v>
      </c>
    </row>
    <row r="52" spans="1:37" x14ac:dyDescent="0.35">
      <c r="A52">
        <v>1899</v>
      </c>
      <c r="B52">
        <v>2031.8</v>
      </c>
      <c r="C52">
        <v>2350.6120000000001</v>
      </c>
      <c r="D52">
        <v>333.52</v>
      </c>
      <c r="E52">
        <v>2536.018</v>
      </c>
      <c r="F52">
        <v>3074.366</v>
      </c>
      <c r="G52">
        <v>1037.664</v>
      </c>
      <c r="N52">
        <f>IF(ISBLANK($B52),NA(),IFERROR(SUM($B52:$B$177),NA()))</f>
        <v>964400.30300000042</v>
      </c>
      <c r="O52">
        <f>IF(ISBLANK($C52),NA(),IFERROR(SUM($C52:$C$177),NA()))</f>
        <v>1255353.1099999999</v>
      </c>
      <c r="P52">
        <f>IF(ISBLANK($D52),NA(),IFERROR(SUM($D52:$D$177),NA()))</f>
        <v>882322.78800000018</v>
      </c>
      <c r="Q52">
        <f t="shared" si="12"/>
        <v>2137675.898</v>
      </c>
      <c r="R52">
        <f t="shared" si="13"/>
        <v>45.11443029798339</v>
      </c>
      <c r="S52">
        <f t="shared" si="14"/>
        <v>58.725137481060742</v>
      </c>
      <c r="T52">
        <f>IF(ISBLANK($E52),NA(),IFERROR(SUM($E52:$E$177),NA()))</f>
        <v>1112129.6170000001</v>
      </c>
      <c r="U52">
        <f>IF(ISBLANK($F52),NA(),IFERROR(SUM($F52:$F$177),NA()))</f>
        <v>1457412.4889999998</v>
      </c>
      <c r="V52">
        <f>IF(ISBLANK($G52),NA(),IFERROR(SUM($G52:$G$177),NA()))</f>
        <v>1158042.1460000002</v>
      </c>
      <c r="W52">
        <f t="shared" si="15"/>
        <v>2615454.6349999998</v>
      </c>
      <c r="X52">
        <f t="shared" si="16"/>
        <v>42.521464609536238</v>
      </c>
      <c r="Y52">
        <f t="shared" si="17"/>
        <v>55.723103337252113</v>
      </c>
      <c r="Z52" t="e">
        <f>IF(ISBLANK($H52),NA(),IFERROR(SUM($H52:$H$177),NA()))</f>
        <v>#N/A</v>
      </c>
      <c r="AA52" t="e">
        <f>IF(ISBLANK($I52),NA(),IFERROR(SUM($I52:$I$177),NA()))</f>
        <v>#N/A</v>
      </c>
      <c r="AB52" t="e">
        <f>IF(ISBLANK($J52),NA(),IFERROR(SUM($J52:$J$177),NA()))</f>
        <v>#N/A</v>
      </c>
      <c r="AC52" t="str">
        <f t="shared" si="18"/>
        <v/>
      </c>
      <c r="AD52" t="e">
        <f t="shared" si="19"/>
        <v>#N/A</v>
      </c>
      <c r="AE52" t="e">
        <f t="shared" si="20"/>
        <v>#N/A</v>
      </c>
      <c r="AF52" t="e">
        <f>IF(ISBLANK($K52),NA(),IFERROR(SUM($K52:$K$177),NA()))</f>
        <v>#N/A</v>
      </c>
      <c r="AG52" t="e">
        <f>IF(ISBLANK($L52),NA(),IFERROR(SUM($L52:$L$177),NA()))</f>
        <v>#N/A</v>
      </c>
      <c r="AH52" t="e">
        <f>IF(ISBLANK($M52),NA(),IFERROR(SUM($M52:$M$177),NA()))</f>
        <v>#N/A</v>
      </c>
      <c r="AI52" t="str">
        <f t="shared" si="21"/>
        <v/>
      </c>
      <c r="AJ52" t="e">
        <f t="shared" si="22"/>
        <v>#N/A</v>
      </c>
      <c r="AK52" t="e">
        <f t="shared" si="23"/>
        <v>#N/A</v>
      </c>
    </row>
    <row r="53" spans="1:37" x14ac:dyDescent="0.35">
      <c r="A53">
        <v>1900</v>
      </c>
      <c r="B53">
        <v>2132.0790000000002</v>
      </c>
      <c r="C53">
        <v>2465.038</v>
      </c>
      <c r="D53">
        <v>335.30900000000003</v>
      </c>
      <c r="E53">
        <v>2649.1410000000001</v>
      </c>
      <c r="F53">
        <v>3203.92</v>
      </c>
      <c r="G53">
        <v>1045.3230000000001</v>
      </c>
      <c r="N53">
        <f>IF(ISBLANK($B53),NA(),IFERROR(SUM($B53:$B$177),NA()))</f>
        <v>962368.50300000038</v>
      </c>
      <c r="O53">
        <f>IF(ISBLANK($C53),NA(),IFERROR(SUM($C53:$C$177),NA()))</f>
        <v>1253002.4979999999</v>
      </c>
      <c r="P53">
        <f>IF(ISBLANK($D53),NA(),IFERROR(SUM($D53:$D$177),NA()))</f>
        <v>881989.26800000016</v>
      </c>
      <c r="Q53">
        <f t="shared" si="12"/>
        <v>2134991.7659999998</v>
      </c>
      <c r="R53">
        <f t="shared" si="13"/>
        <v>45.075981946433444</v>
      </c>
      <c r="S53">
        <f t="shared" si="14"/>
        <v>58.688867936364673</v>
      </c>
      <c r="T53">
        <f>IF(ISBLANK($E53),NA(),IFERROR(SUM($E53:$E$177),NA()))</f>
        <v>1109593.5989999999</v>
      </c>
      <c r="U53">
        <f>IF(ISBLANK($F53),NA(),IFERROR(SUM($F53:$F$177),NA()))</f>
        <v>1454338.1230000001</v>
      </c>
      <c r="V53">
        <f>IF(ISBLANK($G53),NA(),IFERROR(SUM($G53:$G$177),NA()))</f>
        <v>1157004.4819999998</v>
      </c>
      <c r="W53">
        <f t="shared" si="15"/>
        <v>2611342.605</v>
      </c>
      <c r="X53">
        <f t="shared" si="16"/>
        <v>42.491306842519805</v>
      </c>
      <c r="Y53">
        <f t="shared" si="17"/>
        <v>55.693118176655346</v>
      </c>
      <c r="Z53" t="e">
        <f>IF(ISBLANK($H53),NA(),IFERROR(SUM($H53:$H$177),NA()))</f>
        <v>#N/A</v>
      </c>
      <c r="AA53" t="e">
        <f>IF(ISBLANK($I53),NA(),IFERROR(SUM($I53:$I$177),NA()))</f>
        <v>#N/A</v>
      </c>
      <c r="AB53" t="e">
        <f>IF(ISBLANK($J53),NA(),IFERROR(SUM($J53:$J$177),NA()))</f>
        <v>#N/A</v>
      </c>
      <c r="AC53" t="str">
        <f t="shared" si="18"/>
        <v/>
      </c>
      <c r="AD53" t="e">
        <f t="shared" si="19"/>
        <v>#N/A</v>
      </c>
      <c r="AE53" t="e">
        <f t="shared" si="20"/>
        <v>#N/A</v>
      </c>
      <c r="AF53" t="e">
        <f>IF(ISBLANK($K53),NA(),IFERROR(SUM($K53:$K$177),NA()))</f>
        <v>#N/A</v>
      </c>
      <c r="AG53" t="e">
        <f>IF(ISBLANK($L53),NA(),IFERROR(SUM($L53:$L$177),NA()))</f>
        <v>#N/A</v>
      </c>
      <c r="AH53" t="e">
        <f>IF(ISBLANK($M53),NA(),IFERROR(SUM($M53:$M$177),NA()))</f>
        <v>#N/A</v>
      </c>
      <c r="AI53" t="str">
        <f t="shared" si="21"/>
        <v/>
      </c>
      <c r="AJ53" t="e">
        <f t="shared" si="22"/>
        <v>#N/A</v>
      </c>
      <c r="AK53" t="e">
        <f t="shared" si="23"/>
        <v>#N/A</v>
      </c>
    </row>
    <row r="54" spans="1:37" x14ac:dyDescent="0.35">
      <c r="A54">
        <v>1901</v>
      </c>
      <c r="B54">
        <v>2185.58</v>
      </c>
      <c r="C54">
        <v>2529.585</v>
      </c>
      <c r="D54">
        <v>344.54199999999997</v>
      </c>
      <c r="E54">
        <v>2707.11</v>
      </c>
      <c r="F54">
        <v>3276.6210000000001</v>
      </c>
      <c r="G54">
        <v>1062.902</v>
      </c>
      <c r="N54">
        <f>IF(ISBLANK($B54),NA(),IFERROR(SUM($B54:$B$177),NA()))</f>
        <v>960236.42400000046</v>
      </c>
      <c r="O54">
        <f>IF(ISBLANK($C54),NA(),IFERROR(SUM($C54:$C$177),NA()))</f>
        <v>1250537.46</v>
      </c>
      <c r="P54">
        <f>IF(ISBLANK($D54),NA(),IFERROR(SUM($D54:$D$177),NA()))</f>
        <v>881653.95900000015</v>
      </c>
      <c r="Q54">
        <f t="shared" si="12"/>
        <v>2132191.4190000002</v>
      </c>
      <c r="R54">
        <f t="shared" si="13"/>
        <v>45.035188465881369</v>
      </c>
      <c r="S54">
        <f t="shared" si="14"/>
        <v>58.650337341030259</v>
      </c>
      <c r="T54">
        <f>IF(ISBLANK($E54),NA(),IFERROR(SUM($E54:$E$177),NA()))</f>
        <v>1106944.4580000001</v>
      </c>
      <c r="U54">
        <f>IF(ISBLANK($F54),NA(),IFERROR(SUM($F54:$F$177),NA()))</f>
        <v>1451134.203</v>
      </c>
      <c r="V54">
        <f>IF(ISBLANK($G54),NA(),IFERROR(SUM($G54:$G$177),NA()))</f>
        <v>1155959.159</v>
      </c>
      <c r="W54">
        <f t="shared" si="15"/>
        <v>2607093.3619999997</v>
      </c>
      <c r="X54">
        <f t="shared" si="16"/>
        <v>42.458949653832931</v>
      </c>
      <c r="Y54">
        <f t="shared" si="17"/>
        <v>55.660998725675867</v>
      </c>
      <c r="Z54" t="e">
        <f>IF(ISBLANK($H54),NA(),IFERROR(SUM($H54:$H$177),NA()))</f>
        <v>#N/A</v>
      </c>
      <c r="AA54" t="e">
        <f>IF(ISBLANK($I54),NA(),IFERROR(SUM($I54:$I$177),NA()))</f>
        <v>#N/A</v>
      </c>
      <c r="AB54" t="e">
        <f>IF(ISBLANK($J54),NA(),IFERROR(SUM($J54:$J$177),NA()))</f>
        <v>#N/A</v>
      </c>
      <c r="AC54" t="str">
        <f t="shared" si="18"/>
        <v/>
      </c>
      <c r="AD54" t="e">
        <f t="shared" si="19"/>
        <v>#N/A</v>
      </c>
      <c r="AE54" t="e">
        <f t="shared" si="20"/>
        <v>#N/A</v>
      </c>
      <c r="AF54" t="e">
        <f>IF(ISBLANK($K54),NA(),IFERROR(SUM($K54:$K$177),NA()))</f>
        <v>#N/A</v>
      </c>
      <c r="AG54" t="e">
        <f>IF(ISBLANK($L54),NA(),IFERROR(SUM($L54:$L$177),NA()))</f>
        <v>#N/A</v>
      </c>
      <c r="AH54" t="e">
        <f>IF(ISBLANK($M54),NA(),IFERROR(SUM($M54:$M$177),NA()))</f>
        <v>#N/A</v>
      </c>
      <c r="AI54" t="str">
        <f t="shared" si="21"/>
        <v/>
      </c>
      <c r="AJ54" t="e">
        <f t="shared" si="22"/>
        <v>#N/A</v>
      </c>
      <c r="AK54" t="e">
        <f t="shared" si="23"/>
        <v>#N/A</v>
      </c>
    </row>
    <row r="55" spans="1:37" x14ac:dyDescent="0.35">
      <c r="A55">
        <v>1902</v>
      </c>
      <c r="B55">
        <v>2242.9789999999998</v>
      </c>
      <c r="C55">
        <v>2583.194</v>
      </c>
      <c r="D55">
        <v>350.34699999999998</v>
      </c>
      <c r="E55">
        <v>2770.732</v>
      </c>
      <c r="F55">
        <v>3339.7869999999998</v>
      </c>
      <c r="G55">
        <v>1073.9349999999999</v>
      </c>
      <c r="N55">
        <f>IF(ISBLANK($B55),NA(),IFERROR(SUM($B55:$B$177),NA()))</f>
        <v>958050.84400000039</v>
      </c>
      <c r="O55">
        <f>IF(ISBLANK($C55),NA(),IFERROR(SUM($C55:$C$177),NA()))</f>
        <v>1248007.8749999998</v>
      </c>
      <c r="P55">
        <f>IF(ISBLANK($D55),NA(),IFERROR(SUM($D55:$D$177),NA()))</f>
        <v>881309.41700000013</v>
      </c>
      <c r="Q55">
        <f t="shared" si="12"/>
        <v>2129317.2919999999</v>
      </c>
      <c r="R55">
        <f t="shared" si="13"/>
        <v>44.993334135756427</v>
      </c>
      <c r="S55">
        <f t="shared" si="14"/>
        <v>58.610704928234803</v>
      </c>
      <c r="T55">
        <f>IF(ISBLANK($E55),NA(),IFERROR(SUM($E55:$E$177),NA()))</f>
        <v>1104237.348</v>
      </c>
      <c r="U55">
        <f>IF(ISBLANK($F55),NA(),IFERROR(SUM($F55:$F$177),NA()))</f>
        <v>1447857.5819999999</v>
      </c>
      <c r="V55">
        <f>IF(ISBLANK($G55),NA(),IFERROR(SUM($G55:$G$177),NA()))</f>
        <v>1154896.2570000002</v>
      </c>
      <c r="W55">
        <f t="shared" si="15"/>
        <v>2602753.8390000002</v>
      </c>
      <c r="X55">
        <f t="shared" si="16"/>
        <v>42.425731217987838</v>
      </c>
      <c r="Y55">
        <f t="shared" si="17"/>
        <v>55.627910726904503</v>
      </c>
      <c r="Z55" t="e">
        <f>IF(ISBLANK($H55),NA(),IFERROR(SUM($H55:$H$177),NA()))</f>
        <v>#N/A</v>
      </c>
      <c r="AA55" t="e">
        <f>IF(ISBLANK($I55),NA(),IFERROR(SUM($I55:$I$177),NA()))</f>
        <v>#N/A</v>
      </c>
      <c r="AB55" t="e">
        <f>IF(ISBLANK($J55),NA(),IFERROR(SUM($J55:$J$177),NA()))</f>
        <v>#N/A</v>
      </c>
      <c r="AC55" t="str">
        <f t="shared" si="18"/>
        <v/>
      </c>
      <c r="AD55" t="e">
        <f t="shared" si="19"/>
        <v>#N/A</v>
      </c>
      <c r="AE55" t="e">
        <f t="shared" si="20"/>
        <v>#N/A</v>
      </c>
      <c r="AF55" t="e">
        <f>IF(ISBLANK($K55),NA(),IFERROR(SUM($K55:$K$177),NA()))</f>
        <v>#N/A</v>
      </c>
      <c r="AG55" t="e">
        <f>IF(ISBLANK($L55),NA(),IFERROR(SUM($L55:$L$177),NA()))</f>
        <v>#N/A</v>
      </c>
      <c r="AH55" t="e">
        <f>IF(ISBLANK($M55),NA(),IFERROR(SUM($M55:$M$177),NA()))</f>
        <v>#N/A</v>
      </c>
      <c r="AI55" t="str">
        <f t="shared" si="21"/>
        <v/>
      </c>
      <c r="AJ55" t="e">
        <f t="shared" si="22"/>
        <v>#N/A</v>
      </c>
      <c r="AK55" t="e">
        <f t="shared" si="23"/>
        <v>#N/A</v>
      </c>
    </row>
    <row r="56" spans="1:37" x14ac:dyDescent="0.35">
      <c r="A56">
        <v>1903</v>
      </c>
      <c r="B56">
        <v>2444.1010000000001</v>
      </c>
      <c r="C56">
        <v>2787.81</v>
      </c>
      <c r="D56">
        <v>358.91</v>
      </c>
      <c r="E56">
        <v>2984.2159999999999</v>
      </c>
      <c r="F56">
        <v>3560.152</v>
      </c>
      <c r="G56">
        <v>1088.575</v>
      </c>
      <c r="N56">
        <f>IF(ISBLANK($B56),NA(),IFERROR(SUM($B56:$B$177),NA()))</f>
        <v>955807.86500000034</v>
      </c>
      <c r="O56">
        <f>IF(ISBLANK($C56),NA(),IFERROR(SUM($C56:$C$177),NA()))</f>
        <v>1245424.6809999999</v>
      </c>
      <c r="P56">
        <f>IF(ISBLANK($D56),NA(),IFERROR(SUM($D56:$D$177),NA()))</f>
        <v>880959.07000000018</v>
      </c>
      <c r="Q56">
        <f t="shared" si="12"/>
        <v>2126383.7510000002</v>
      </c>
      <c r="R56">
        <f t="shared" si="13"/>
        <v>44.949923293502458</v>
      </c>
      <c r="S56">
        <f t="shared" si="14"/>
        <v>58.570080796295542</v>
      </c>
      <c r="T56">
        <f>IF(ISBLANK($E56),NA(),IFERROR(SUM($E56:$E$177),NA()))</f>
        <v>1101466.6160000002</v>
      </c>
      <c r="U56">
        <f>IF(ISBLANK($F56),NA(),IFERROR(SUM($F56:$F$177),NA()))</f>
        <v>1444517.7950000002</v>
      </c>
      <c r="V56">
        <f>IF(ISBLANK($G56),NA(),IFERROR(SUM($G56:$G$177),NA()))</f>
        <v>1153822.3220000002</v>
      </c>
      <c r="W56">
        <f t="shared" si="15"/>
        <v>2598340.1170000006</v>
      </c>
      <c r="X56">
        <f t="shared" si="16"/>
        <v>42.391163835461803</v>
      </c>
      <c r="Y56">
        <f t="shared" si="17"/>
        <v>55.593868776032906</v>
      </c>
      <c r="Z56" t="e">
        <f>IF(ISBLANK($H56),NA(),IFERROR(SUM($H56:$H$177),NA()))</f>
        <v>#N/A</v>
      </c>
      <c r="AA56" t="e">
        <f>IF(ISBLANK($I56),NA(),IFERROR(SUM($I56:$I$177),NA()))</f>
        <v>#N/A</v>
      </c>
      <c r="AB56" t="e">
        <f>IF(ISBLANK($J56),NA(),IFERROR(SUM($J56:$J$177),NA()))</f>
        <v>#N/A</v>
      </c>
      <c r="AC56" t="str">
        <f t="shared" si="18"/>
        <v/>
      </c>
      <c r="AD56" t="e">
        <f t="shared" si="19"/>
        <v>#N/A</v>
      </c>
      <c r="AE56" t="e">
        <f t="shared" si="20"/>
        <v>#N/A</v>
      </c>
      <c r="AF56" t="e">
        <f>IF(ISBLANK($K56),NA(),IFERROR(SUM($K56:$K$177),NA()))</f>
        <v>#N/A</v>
      </c>
      <c r="AG56" t="e">
        <f>IF(ISBLANK($L56),NA(),IFERROR(SUM($L56:$L$177),NA()))</f>
        <v>#N/A</v>
      </c>
      <c r="AH56" t="e">
        <f>IF(ISBLANK($M56),NA(),IFERROR(SUM($M56:$M$177),NA()))</f>
        <v>#N/A</v>
      </c>
      <c r="AI56" t="str">
        <f t="shared" si="21"/>
        <v/>
      </c>
      <c r="AJ56" t="e">
        <f t="shared" si="22"/>
        <v>#N/A</v>
      </c>
      <c r="AK56" t="e">
        <f t="shared" si="23"/>
        <v>#N/A</v>
      </c>
    </row>
    <row r="57" spans="1:37" x14ac:dyDescent="0.35">
      <c r="A57">
        <v>1904</v>
      </c>
      <c r="B57">
        <v>2455.1210000000001</v>
      </c>
      <c r="C57">
        <v>2811.0549999999998</v>
      </c>
      <c r="D57">
        <v>367.56900000000002</v>
      </c>
      <c r="E57">
        <v>2999.2089999999998</v>
      </c>
      <c r="F57">
        <v>3591.2020000000002</v>
      </c>
      <c r="G57">
        <v>1103.0650000000001</v>
      </c>
      <c r="N57">
        <f>IF(ISBLANK($B57),NA(),IFERROR(SUM($B57:$B$177),NA()))</f>
        <v>953363.76400000032</v>
      </c>
      <c r="O57">
        <f>IF(ISBLANK($C57),NA(),IFERROR(SUM($C57:$C$177),NA()))</f>
        <v>1242636.8709999998</v>
      </c>
      <c r="P57">
        <f>IF(ISBLANK($D57),NA(),IFERROR(SUM($D57:$D$177),NA()))</f>
        <v>880600.16000000015</v>
      </c>
      <c r="Q57">
        <f t="shared" si="12"/>
        <v>2123237.031</v>
      </c>
      <c r="R57">
        <f t="shared" si="13"/>
        <v>44.901428812730629</v>
      </c>
      <c r="S57">
        <f t="shared" si="14"/>
        <v>58.525583948333079</v>
      </c>
      <c r="T57">
        <f>IF(ISBLANK($E57),NA(),IFERROR(SUM($E57:$E$177),NA()))</f>
        <v>1098482.4000000001</v>
      </c>
      <c r="U57">
        <f>IF(ISBLANK($F57),NA(),IFERROR(SUM($F57:$F$177),NA()))</f>
        <v>1440957.6430000002</v>
      </c>
      <c r="V57">
        <f>IF(ISBLANK($G57),NA(),IFERROR(SUM($G57:$G$177),NA()))</f>
        <v>1152733.747</v>
      </c>
      <c r="W57">
        <f t="shared" si="15"/>
        <v>2593691.39</v>
      </c>
      <c r="X57">
        <f t="shared" si="16"/>
        <v>42.352085688960862</v>
      </c>
      <c r="Y57">
        <f t="shared" si="17"/>
        <v>55.55624884886555</v>
      </c>
      <c r="Z57" t="e">
        <f>IF(ISBLANK($H57),NA(),IFERROR(SUM($H57:$H$177),NA()))</f>
        <v>#N/A</v>
      </c>
      <c r="AA57" t="e">
        <f>IF(ISBLANK($I57),NA(),IFERROR(SUM($I57:$I$177),NA()))</f>
        <v>#N/A</v>
      </c>
      <c r="AB57" t="e">
        <f>IF(ISBLANK($J57),NA(),IFERROR(SUM($J57:$J$177),NA()))</f>
        <v>#N/A</v>
      </c>
      <c r="AC57" t="str">
        <f t="shared" si="18"/>
        <v/>
      </c>
      <c r="AD57" t="e">
        <f t="shared" si="19"/>
        <v>#N/A</v>
      </c>
      <c r="AE57" t="e">
        <f t="shared" si="20"/>
        <v>#N/A</v>
      </c>
      <c r="AF57" t="e">
        <f>IF(ISBLANK($K57),NA(),IFERROR(SUM($K57:$K$177),NA()))</f>
        <v>#N/A</v>
      </c>
      <c r="AG57" t="e">
        <f>IF(ISBLANK($L57),NA(),IFERROR(SUM($L57:$L$177),NA()))</f>
        <v>#N/A</v>
      </c>
      <c r="AH57" t="e">
        <f>IF(ISBLANK($M57),NA(),IFERROR(SUM($M57:$M$177),NA()))</f>
        <v>#N/A</v>
      </c>
      <c r="AI57" t="str">
        <f t="shared" si="21"/>
        <v/>
      </c>
      <c r="AJ57" t="e">
        <f t="shared" si="22"/>
        <v>#N/A</v>
      </c>
      <c r="AK57" t="e">
        <f t="shared" si="23"/>
        <v>#N/A</v>
      </c>
    </row>
    <row r="58" spans="1:37" x14ac:dyDescent="0.35">
      <c r="A58">
        <v>1905</v>
      </c>
      <c r="B58">
        <v>2617.37</v>
      </c>
      <c r="C58">
        <v>2971.3780000000002</v>
      </c>
      <c r="D58">
        <v>374.10500000000002</v>
      </c>
      <c r="E58">
        <v>3171.386</v>
      </c>
      <c r="F58">
        <v>3764.4630000000002</v>
      </c>
      <c r="G58">
        <v>1112.9939999999999</v>
      </c>
      <c r="N58">
        <f>IF(ISBLANK($B58),NA(),IFERROR(SUM($B58:$B$177),NA()))</f>
        <v>950908.64300000051</v>
      </c>
      <c r="O58">
        <f>IF(ISBLANK($C58),NA(),IFERROR(SUM($C58:$C$177),NA()))</f>
        <v>1239825.8159999999</v>
      </c>
      <c r="P58">
        <f>IF(ISBLANK($D58),NA(),IFERROR(SUM($D58:$D$177),NA()))</f>
        <v>880232.59100000013</v>
      </c>
      <c r="Q58">
        <f t="shared" si="12"/>
        <v>2120058.4070000001</v>
      </c>
      <c r="R58">
        <f t="shared" si="13"/>
        <v>44.852945553777872</v>
      </c>
      <c r="S58">
        <f t="shared" si="14"/>
        <v>58.480738639385976</v>
      </c>
      <c r="T58">
        <f>IF(ISBLANK($E58),NA(),IFERROR(SUM($E58:$E$177),NA()))</f>
        <v>1095483.1910000001</v>
      </c>
      <c r="U58">
        <f>IF(ISBLANK($F58),NA(),IFERROR(SUM($F58:$F$177),NA()))</f>
        <v>1437366.4410000001</v>
      </c>
      <c r="V58">
        <f>IF(ISBLANK($G58),NA(),IFERROR(SUM($G58:$G$177),NA()))</f>
        <v>1151630.682</v>
      </c>
      <c r="W58">
        <f t="shared" si="15"/>
        <v>2588997.1230000001</v>
      </c>
      <c r="X58">
        <f t="shared" si="16"/>
        <v>42.313032381071523</v>
      </c>
      <c r="Y58">
        <f t="shared" si="17"/>
        <v>55.518271079979108</v>
      </c>
      <c r="Z58" t="e">
        <f>IF(ISBLANK($H58),NA(),IFERROR(SUM($H58:$H$177),NA()))</f>
        <v>#N/A</v>
      </c>
      <c r="AA58" t="e">
        <f>IF(ISBLANK($I58),NA(),IFERROR(SUM($I58:$I$177),NA()))</f>
        <v>#N/A</v>
      </c>
      <c r="AB58" t="e">
        <f>IF(ISBLANK($J58),NA(),IFERROR(SUM($J58:$J$177),NA()))</f>
        <v>#N/A</v>
      </c>
      <c r="AC58" t="str">
        <f t="shared" si="18"/>
        <v/>
      </c>
      <c r="AD58" t="e">
        <f t="shared" si="19"/>
        <v>#N/A</v>
      </c>
      <c r="AE58" t="e">
        <f t="shared" si="20"/>
        <v>#N/A</v>
      </c>
      <c r="AF58" t="e">
        <f>IF(ISBLANK($K58),NA(),IFERROR(SUM($K58:$K$177),NA()))</f>
        <v>#N/A</v>
      </c>
      <c r="AG58" t="e">
        <f>IF(ISBLANK($L58),NA(),IFERROR(SUM($L58:$L$177),NA()))</f>
        <v>#N/A</v>
      </c>
      <c r="AH58" t="e">
        <f>IF(ISBLANK($M58),NA(),IFERROR(SUM($M58:$M$177),NA()))</f>
        <v>#N/A</v>
      </c>
      <c r="AI58" t="str">
        <f t="shared" si="21"/>
        <v/>
      </c>
      <c r="AJ58" t="e">
        <f t="shared" si="22"/>
        <v>#N/A</v>
      </c>
      <c r="AK58" t="e">
        <f t="shared" si="23"/>
        <v>#N/A</v>
      </c>
    </row>
    <row r="59" spans="1:37" x14ac:dyDescent="0.35">
      <c r="A59">
        <v>1906</v>
      </c>
      <c r="B59">
        <v>2712.136</v>
      </c>
      <c r="C59">
        <v>3087.41</v>
      </c>
      <c r="D59">
        <v>389.762</v>
      </c>
      <c r="E59">
        <v>3274.9459999999999</v>
      </c>
      <c r="F59">
        <v>3893.1869999999999</v>
      </c>
      <c r="G59">
        <v>1149.8599999999999</v>
      </c>
      <c r="N59">
        <f>IF(ISBLANK($B59),NA(),IFERROR(SUM($B59:$B$177),NA()))</f>
        <v>948291.27300000039</v>
      </c>
      <c r="O59">
        <f>IF(ISBLANK($C59),NA(),IFERROR(SUM($C59:$C$177),NA()))</f>
        <v>1236854.4379999998</v>
      </c>
      <c r="P59">
        <f>IF(ISBLANK($D59),NA(),IFERROR(SUM($D59:$D$177),NA()))</f>
        <v>879858.48600000015</v>
      </c>
      <c r="Q59">
        <f t="shared" si="12"/>
        <v>2116712.9240000001</v>
      </c>
      <c r="R59">
        <f t="shared" si="13"/>
        <v>44.8001834470776</v>
      </c>
      <c r="S59">
        <f t="shared" si="14"/>
        <v>58.432790955076143</v>
      </c>
      <c r="T59">
        <f>IF(ISBLANK($E59),NA(),IFERROR(SUM($E59:$E$177),NA()))</f>
        <v>1092311.8050000002</v>
      </c>
      <c r="U59">
        <f>IF(ISBLANK($F59),NA(),IFERROR(SUM($F59:$F$177),NA()))</f>
        <v>1433601.9780000001</v>
      </c>
      <c r="V59">
        <f>IF(ISBLANK($G59),NA(),IFERROR(SUM($G59:$G$177),NA()))</f>
        <v>1150517.6880000001</v>
      </c>
      <c r="W59">
        <f t="shared" si="15"/>
        <v>2584119.6660000002</v>
      </c>
      <c r="X59">
        <f t="shared" si="16"/>
        <v>42.270171129141517</v>
      </c>
      <c r="Y59">
        <f t="shared" si="17"/>
        <v>55.477383530736226</v>
      </c>
      <c r="Z59" t="e">
        <f>IF(ISBLANK($H59),NA(),IFERROR(SUM($H59:$H$177),NA()))</f>
        <v>#N/A</v>
      </c>
      <c r="AA59" t="e">
        <f>IF(ISBLANK($I59),NA(),IFERROR(SUM($I59:$I$177),NA()))</f>
        <v>#N/A</v>
      </c>
      <c r="AB59" t="e">
        <f>IF(ISBLANK($J59),NA(),IFERROR(SUM($J59:$J$177),NA()))</f>
        <v>#N/A</v>
      </c>
      <c r="AC59" t="str">
        <f t="shared" si="18"/>
        <v/>
      </c>
      <c r="AD59" t="e">
        <f t="shared" si="19"/>
        <v>#N/A</v>
      </c>
      <c r="AE59" t="e">
        <f t="shared" si="20"/>
        <v>#N/A</v>
      </c>
      <c r="AF59" t="e">
        <f>IF(ISBLANK($K59),NA(),IFERROR(SUM($K59:$K$177),NA()))</f>
        <v>#N/A</v>
      </c>
      <c r="AG59" t="e">
        <f>IF(ISBLANK($L59),NA(),IFERROR(SUM($L59:$L$177),NA()))</f>
        <v>#N/A</v>
      </c>
      <c r="AH59" t="e">
        <f>IF(ISBLANK($M59),NA(),IFERROR(SUM($M59:$M$177),NA()))</f>
        <v>#N/A</v>
      </c>
      <c r="AI59" t="str">
        <f t="shared" si="21"/>
        <v/>
      </c>
      <c r="AJ59" t="e">
        <f t="shared" si="22"/>
        <v>#N/A</v>
      </c>
      <c r="AK59" t="e">
        <f t="shared" si="23"/>
        <v>#N/A</v>
      </c>
    </row>
    <row r="60" spans="1:37" x14ac:dyDescent="0.35">
      <c r="A60">
        <v>1907</v>
      </c>
      <c r="B60">
        <v>3052.1080000000002</v>
      </c>
      <c r="C60">
        <v>3452.9780000000001</v>
      </c>
      <c r="D60">
        <v>421.98899999999998</v>
      </c>
      <c r="E60">
        <v>3638.2040000000002</v>
      </c>
      <c r="F60">
        <v>4286.45</v>
      </c>
      <c r="G60">
        <v>1165.557</v>
      </c>
      <c r="N60">
        <f>IF(ISBLANK($B60),NA(),IFERROR(SUM($B60:$B$177),NA()))</f>
        <v>945579.13700000045</v>
      </c>
      <c r="O60">
        <f>IF(ISBLANK($C60),NA(),IFERROR(SUM($C60:$C$177),NA()))</f>
        <v>1233767.0279999999</v>
      </c>
      <c r="P60">
        <f>IF(ISBLANK($D60),NA(),IFERROR(SUM($D60:$D$177),NA()))</f>
        <v>879468.72400000016</v>
      </c>
      <c r="Q60">
        <f t="shared" si="12"/>
        <v>2113235.7520000003</v>
      </c>
      <c r="R60">
        <f t="shared" si="13"/>
        <v>44.745558374407075</v>
      </c>
      <c r="S60">
        <f t="shared" si="14"/>
        <v>58.382839057703009</v>
      </c>
      <c r="T60">
        <f>IF(ISBLANK($E60),NA(),IFERROR(SUM($E60:$E$177),NA()))</f>
        <v>1089036.8590000002</v>
      </c>
      <c r="U60">
        <f>IF(ISBLANK($F60),NA(),IFERROR(SUM($F60:$F$177),NA()))</f>
        <v>1429708.7910000002</v>
      </c>
      <c r="V60">
        <f>IF(ISBLANK($G60),NA(),IFERROR(SUM($G60:$G$177),NA()))</f>
        <v>1149367.8280000002</v>
      </c>
      <c r="W60">
        <f t="shared" si="15"/>
        <v>2579076.6190000004</v>
      </c>
      <c r="X60">
        <f t="shared" si="16"/>
        <v>42.225843582043652</v>
      </c>
      <c r="Y60">
        <f t="shared" si="17"/>
        <v>55.434909551246648</v>
      </c>
      <c r="Z60" t="e">
        <f>IF(ISBLANK($H60),NA(),IFERROR(SUM($H60:$H$177),NA()))</f>
        <v>#N/A</v>
      </c>
      <c r="AA60" t="e">
        <f>IF(ISBLANK($I60),NA(),IFERROR(SUM($I60:$I$177),NA()))</f>
        <v>#N/A</v>
      </c>
      <c r="AB60" t="e">
        <f>IF(ISBLANK($J60),NA(),IFERROR(SUM($J60:$J$177),NA()))</f>
        <v>#N/A</v>
      </c>
      <c r="AC60" t="str">
        <f t="shared" si="18"/>
        <v/>
      </c>
      <c r="AD60" t="e">
        <f t="shared" si="19"/>
        <v>#N/A</v>
      </c>
      <c r="AE60" t="e">
        <f t="shared" si="20"/>
        <v>#N/A</v>
      </c>
      <c r="AF60" t="e">
        <f>IF(ISBLANK($K60),NA(),IFERROR(SUM($K60:$K$177),NA()))</f>
        <v>#N/A</v>
      </c>
      <c r="AG60" t="e">
        <f>IF(ISBLANK($L60),NA(),IFERROR(SUM($L60:$L$177),NA()))</f>
        <v>#N/A</v>
      </c>
      <c r="AH60" t="e">
        <f>IF(ISBLANK($M60),NA(),IFERROR(SUM($M60:$M$177),NA()))</f>
        <v>#N/A</v>
      </c>
      <c r="AI60" t="str">
        <f t="shared" si="21"/>
        <v/>
      </c>
      <c r="AJ60" t="e">
        <f t="shared" si="22"/>
        <v>#N/A</v>
      </c>
      <c r="AK60" t="e">
        <f t="shared" si="23"/>
        <v>#N/A</v>
      </c>
    </row>
    <row r="61" spans="1:37" x14ac:dyDescent="0.35">
      <c r="A61">
        <v>1908</v>
      </c>
      <c r="B61">
        <v>2905.933</v>
      </c>
      <c r="C61">
        <v>3316.4349999999999</v>
      </c>
      <c r="D61">
        <v>434.67</v>
      </c>
      <c r="E61">
        <v>3499.9650000000001</v>
      </c>
      <c r="F61">
        <v>4161.6850000000004</v>
      </c>
      <c r="G61">
        <v>1189.884</v>
      </c>
      <c r="N61">
        <f>IF(ISBLANK($B61),NA(),IFERROR(SUM($B61:$B$177),NA()))</f>
        <v>942527.02900000045</v>
      </c>
      <c r="O61">
        <f>IF(ISBLANK($C61),NA(),IFERROR(SUM($C61:$C$177),NA()))</f>
        <v>1230314.0499999998</v>
      </c>
      <c r="P61">
        <f>IF(ISBLANK($D61),NA(),IFERROR(SUM($D61:$D$177),NA()))</f>
        <v>879046.73500000022</v>
      </c>
      <c r="Q61">
        <f t="shared" si="12"/>
        <v>2109360.7850000001</v>
      </c>
      <c r="R61">
        <f t="shared" si="13"/>
        <v>44.683063973809503</v>
      </c>
      <c r="S61">
        <f t="shared" si="14"/>
        <v>58.326392466805984</v>
      </c>
      <c r="T61">
        <f>IF(ISBLANK($E61),NA(),IFERROR(SUM($E61:$E$177),NA()))</f>
        <v>1085398.6550000003</v>
      </c>
      <c r="U61">
        <f>IF(ISBLANK($F61),NA(),IFERROR(SUM($F61:$F$177),NA()))</f>
        <v>1425422.3410000002</v>
      </c>
      <c r="V61">
        <f>IF(ISBLANK($G61),NA(),IFERROR(SUM($G61:$G$177),NA()))</f>
        <v>1148202.2710000002</v>
      </c>
      <c r="W61">
        <f t="shared" si="15"/>
        <v>2573624.6120000007</v>
      </c>
      <c r="X61">
        <f t="shared" si="16"/>
        <v>42.173930492393033</v>
      </c>
      <c r="Y61">
        <f t="shared" si="17"/>
        <v>55.385790699766588</v>
      </c>
      <c r="Z61" t="e">
        <f>IF(ISBLANK($H61),NA(),IFERROR(SUM($H61:$H$177),NA()))</f>
        <v>#N/A</v>
      </c>
      <c r="AA61" t="e">
        <f>IF(ISBLANK($I61),NA(),IFERROR(SUM($I61:$I$177),NA()))</f>
        <v>#N/A</v>
      </c>
      <c r="AB61" t="e">
        <f>IF(ISBLANK($J61),NA(),IFERROR(SUM($J61:$J$177),NA()))</f>
        <v>#N/A</v>
      </c>
      <c r="AC61" t="str">
        <f t="shared" si="18"/>
        <v/>
      </c>
      <c r="AD61" t="e">
        <f t="shared" si="19"/>
        <v>#N/A</v>
      </c>
      <c r="AE61" t="e">
        <f t="shared" si="20"/>
        <v>#N/A</v>
      </c>
      <c r="AF61" t="e">
        <f>IF(ISBLANK($K61),NA(),IFERROR(SUM($K61:$K$177),NA()))</f>
        <v>#N/A</v>
      </c>
      <c r="AG61" t="e">
        <f>IF(ISBLANK($L61),NA(),IFERROR(SUM($L61:$L$177),NA()))</f>
        <v>#N/A</v>
      </c>
      <c r="AH61" t="e">
        <f>IF(ISBLANK($M61),NA(),IFERROR(SUM($M61:$M$177),NA()))</f>
        <v>#N/A</v>
      </c>
      <c r="AI61" t="str">
        <f t="shared" si="21"/>
        <v/>
      </c>
      <c r="AJ61" t="e">
        <f t="shared" si="22"/>
        <v>#N/A</v>
      </c>
      <c r="AK61" t="e">
        <f t="shared" si="23"/>
        <v>#N/A</v>
      </c>
    </row>
    <row r="62" spans="1:37" x14ac:dyDescent="0.35">
      <c r="A62">
        <v>1909</v>
      </c>
      <c r="B62">
        <v>3024.1709999999998</v>
      </c>
      <c r="C62">
        <v>3446.26</v>
      </c>
      <c r="D62">
        <v>441.43299999999999</v>
      </c>
      <c r="E62">
        <v>3620.5619999999999</v>
      </c>
      <c r="F62">
        <v>4297.5280000000002</v>
      </c>
      <c r="G62">
        <v>1197.0050000000001</v>
      </c>
      <c r="N62">
        <f>IF(ISBLANK($B62),NA(),IFERROR(SUM($B62:$B$177),NA()))</f>
        <v>939621.09600000049</v>
      </c>
      <c r="O62">
        <f>IF(ISBLANK($C62),NA(),IFERROR(SUM($C62:$C$177),NA()))</f>
        <v>1226997.6149999998</v>
      </c>
      <c r="P62">
        <f>IF(ISBLANK($D62),NA(),IFERROR(SUM($D62:$D$177),NA()))</f>
        <v>878612.06500000018</v>
      </c>
      <c r="Q62">
        <f t="shared" si="12"/>
        <v>2105609.6799999997</v>
      </c>
      <c r="R62">
        <f t="shared" si="13"/>
        <v>44.624656930718551</v>
      </c>
      <c r="S62">
        <f t="shared" si="14"/>
        <v>58.272795126967694</v>
      </c>
      <c r="T62">
        <f>IF(ISBLANK($E62),NA(),IFERROR(SUM($E62:$E$177),NA()))</f>
        <v>1081898.6900000002</v>
      </c>
      <c r="U62">
        <f>IF(ISBLANK($F62),NA(),IFERROR(SUM($F62:$F$177),NA()))</f>
        <v>1421260.6560000002</v>
      </c>
      <c r="V62">
        <f>IF(ISBLANK($G62),NA(),IFERROR(SUM($G62:$G$177),NA()))</f>
        <v>1147012.3870000001</v>
      </c>
      <c r="W62">
        <f t="shared" si="15"/>
        <v>2568273.0430000005</v>
      </c>
      <c r="X62">
        <f t="shared" si="16"/>
        <v>42.12553228905265</v>
      </c>
      <c r="Y62">
        <f t="shared" si="17"/>
        <v>55.339157176988671</v>
      </c>
      <c r="Z62" t="e">
        <f>IF(ISBLANK($H62),NA(),IFERROR(SUM($H62:$H$177),NA()))</f>
        <v>#N/A</v>
      </c>
      <c r="AA62" t="e">
        <f>IF(ISBLANK($I62),NA(),IFERROR(SUM($I62:$I$177),NA()))</f>
        <v>#N/A</v>
      </c>
      <c r="AB62" t="e">
        <f>IF(ISBLANK($J62),NA(),IFERROR(SUM($J62:$J$177),NA()))</f>
        <v>#N/A</v>
      </c>
      <c r="AC62" t="str">
        <f t="shared" si="18"/>
        <v/>
      </c>
      <c r="AD62" t="e">
        <f t="shared" si="19"/>
        <v>#N/A</v>
      </c>
      <c r="AE62" t="e">
        <f t="shared" si="20"/>
        <v>#N/A</v>
      </c>
      <c r="AF62" t="e">
        <f>IF(ISBLANK($K62),NA(),IFERROR(SUM($K62:$K$177),NA()))</f>
        <v>#N/A</v>
      </c>
      <c r="AG62" t="e">
        <f>IF(ISBLANK($L62),NA(),IFERROR(SUM($L62:$L$177),NA()))</f>
        <v>#N/A</v>
      </c>
      <c r="AH62" t="e">
        <f>IF(ISBLANK($M62),NA(),IFERROR(SUM($M62:$M$177),NA()))</f>
        <v>#N/A</v>
      </c>
      <c r="AI62" t="str">
        <f t="shared" si="21"/>
        <v/>
      </c>
      <c r="AJ62" t="e">
        <f t="shared" si="22"/>
        <v>#N/A</v>
      </c>
      <c r="AK62" t="e">
        <f t="shared" si="23"/>
        <v>#N/A</v>
      </c>
    </row>
    <row r="63" spans="1:37" x14ac:dyDescent="0.35">
      <c r="A63">
        <v>1910</v>
      </c>
      <c r="B63">
        <v>3179.9810000000002</v>
      </c>
      <c r="C63">
        <v>3599.6849999999999</v>
      </c>
      <c r="D63">
        <v>449.55500000000001</v>
      </c>
      <c r="E63">
        <v>3788.402</v>
      </c>
      <c r="F63">
        <v>4466.0619999999999</v>
      </c>
      <c r="G63">
        <v>1209.2249999999999</v>
      </c>
      <c r="N63">
        <f>IF(ISBLANK($B63),NA(),IFERROR(SUM($B63:$B$177),NA()))</f>
        <v>936596.9250000004</v>
      </c>
      <c r="O63">
        <f>IF(ISBLANK($C63),NA(),IFERROR(SUM($C63:$C$177),NA()))</f>
        <v>1223551.3549999997</v>
      </c>
      <c r="P63">
        <f>IF(ISBLANK($D63),NA(),IFERROR(SUM($D63:$D$177),NA()))</f>
        <v>878170.63200000022</v>
      </c>
      <c r="Q63">
        <f t="shared" si="12"/>
        <v>2101721.9869999997</v>
      </c>
      <c r="R63">
        <f t="shared" si="13"/>
        <v>44.563311931512878</v>
      </c>
      <c r="S63">
        <f t="shared" si="14"/>
        <v>58.216612975843596</v>
      </c>
      <c r="T63">
        <f>IF(ISBLANK($E63),NA(),IFERROR(SUM($E63:$E$177),NA()))</f>
        <v>1078278.128</v>
      </c>
      <c r="U63">
        <f>IF(ISBLANK($F63),NA(),IFERROR(SUM($F63:$F$177),NA()))</f>
        <v>1416963.128</v>
      </c>
      <c r="V63">
        <f>IF(ISBLANK($G63),NA(),IFERROR(SUM($G63:$G$177),NA()))</f>
        <v>1145815.3820000002</v>
      </c>
      <c r="W63">
        <f t="shared" si="15"/>
        <v>2562778.5100000002</v>
      </c>
      <c r="X63">
        <f t="shared" si="16"/>
        <v>42.074573506549342</v>
      </c>
      <c r="Y63">
        <f t="shared" si="17"/>
        <v>55.290112761246768</v>
      </c>
      <c r="Z63" t="e">
        <f>IF(ISBLANK($H63),NA(),IFERROR(SUM($H63:$H$177),NA()))</f>
        <v>#N/A</v>
      </c>
      <c r="AA63" t="e">
        <f>IF(ISBLANK($I63),NA(),IFERROR(SUM($I63:$I$177),NA()))</f>
        <v>#N/A</v>
      </c>
      <c r="AB63" t="e">
        <f>IF(ISBLANK($J63),NA(),IFERROR(SUM($J63:$J$177),NA()))</f>
        <v>#N/A</v>
      </c>
      <c r="AC63" t="str">
        <f t="shared" si="18"/>
        <v/>
      </c>
      <c r="AD63" t="e">
        <f t="shared" si="19"/>
        <v>#N/A</v>
      </c>
      <c r="AE63" t="e">
        <f t="shared" si="20"/>
        <v>#N/A</v>
      </c>
      <c r="AF63" t="e">
        <f>IF(ISBLANK($K63),NA(),IFERROR(SUM($K63:$K$177),NA()))</f>
        <v>#N/A</v>
      </c>
      <c r="AG63" t="e">
        <f>IF(ISBLANK($L63),NA(),IFERROR(SUM($L63:$L$177),NA()))</f>
        <v>#N/A</v>
      </c>
      <c r="AH63" t="e">
        <f>IF(ISBLANK($M63),NA(),IFERROR(SUM($M63:$M$177),NA()))</f>
        <v>#N/A</v>
      </c>
      <c r="AI63" t="str">
        <f t="shared" si="21"/>
        <v/>
      </c>
      <c r="AJ63" t="e">
        <f t="shared" si="22"/>
        <v>#N/A</v>
      </c>
      <c r="AK63" t="e">
        <f t="shared" si="23"/>
        <v>#N/A</v>
      </c>
    </row>
    <row r="64" spans="1:37" x14ac:dyDescent="0.35">
      <c r="A64">
        <v>1911</v>
      </c>
      <c r="B64">
        <v>3212.9630000000002</v>
      </c>
      <c r="C64">
        <v>3644.3919999999998</v>
      </c>
      <c r="D64">
        <v>465.41300000000001</v>
      </c>
      <c r="E64">
        <v>3824.9989999999998</v>
      </c>
      <c r="F64">
        <v>4514.308</v>
      </c>
      <c r="G64">
        <v>1242.5650000000001</v>
      </c>
      <c r="N64">
        <f>IF(ISBLANK($B64),NA(),IFERROR(SUM($B64:$B$177),NA()))</f>
        <v>933416.94400000025</v>
      </c>
      <c r="O64">
        <f>IF(ISBLANK($C64),NA(),IFERROR(SUM($C64:$C$177),NA()))</f>
        <v>1219951.67</v>
      </c>
      <c r="P64">
        <f>IF(ISBLANK($D64),NA(),IFERROR(SUM($D64:$D$177),NA()))</f>
        <v>877721.07700000016</v>
      </c>
      <c r="Q64">
        <f t="shared" si="12"/>
        <v>2097672.747</v>
      </c>
      <c r="R64">
        <f t="shared" si="13"/>
        <v>44.497738998370096</v>
      </c>
      <c r="S64">
        <f t="shared" si="14"/>
        <v>58.15738759750402</v>
      </c>
      <c r="T64">
        <f>IF(ISBLANK($E64),NA(),IFERROR(SUM($E64:$E$177),NA()))</f>
        <v>1074489.726</v>
      </c>
      <c r="U64">
        <f>IF(ISBLANK($F64),NA(),IFERROR(SUM($F64:$F$177),NA()))</f>
        <v>1412497.0660000001</v>
      </c>
      <c r="V64">
        <f>IF(ISBLANK($G64),NA(),IFERROR(SUM($G64:$G$177),NA()))</f>
        <v>1144606.1570000001</v>
      </c>
      <c r="W64">
        <f t="shared" si="15"/>
        <v>2557103.2230000002</v>
      </c>
      <c r="X64">
        <f t="shared" si="16"/>
        <v>42.019802577207102</v>
      </c>
      <c r="Y64">
        <f t="shared" si="17"/>
        <v>55.238171587881965</v>
      </c>
      <c r="Z64" t="e">
        <f>IF(ISBLANK($H64),NA(),IFERROR(SUM($H64:$H$177),NA()))</f>
        <v>#N/A</v>
      </c>
      <c r="AA64" t="e">
        <f>IF(ISBLANK($I64),NA(),IFERROR(SUM($I64:$I$177),NA()))</f>
        <v>#N/A</v>
      </c>
      <c r="AB64" t="e">
        <f>IF(ISBLANK($J64),NA(),IFERROR(SUM($J64:$J$177),NA()))</f>
        <v>#N/A</v>
      </c>
      <c r="AC64" t="str">
        <f t="shared" si="18"/>
        <v/>
      </c>
      <c r="AD64" t="e">
        <f t="shared" si="19"/>
        <v>#N/A</v>
      </c>
      <c r="AE64" t="e">
        <f t="shared" si="20"/>
        <v>#N/A</v>
      </c>
      <c r="AF64" t="e">
        <f>IF(ISBLANK($K64),NA(),IFERROR(SUM($K64:$K$177),NA()))</f>
        <v>#N/A</v>
      </c>
      <c r="AG64" t="e">
        <f>IF(ISBLANK($L64),NA(),IFERROR(SUM($L64:$L$177),NA()))</f>
        <v>#N/A</v>
      </c>
      <c r="AH64" t="e">
        <f>IF(ISBLANK($M64),NA(),IFERROR(SUM($M64:$M$177),NA()))</f>
        <v>#N/A</v>
      </c>
      <c r="AI64" t="str">
        <f t="shared" si="21"/>
        <v/>
      </c>
      <c r="AJ64" t="e">
        <f t="shared" si="22"/>
        <v>#N/A</v>
      </c>
      <c r="AK64" t="e">
        <f t="shared" si="23"/>
        <v>#N/A</v>
      </c>
    </row>
    <row r="65" spans="1:37" x14ac:dyDescent="0.35">
      <c r="A65">
        <v>1912</v>
      </c>
      <c r="B65">
        <v>3354.3389999999999</v>
      </c>
      <c r="C65">
        <v>3816.36</v>
      </c>
      <c r="D65">
        <v>466.18400000000003</v>
      </c>
      <c r="E65">
        <v>3983.741</v>
      </c>
      <c r="F65">
        <v>4705.0209999999997</v>
      </c>
      <c r="G65">
        <v>1242.6610000000001</v>
      </c>
      <c r="N65">
        <f>IF(ISBLANK($B65),NA(),IFERROR(SUM($B65:$B$177),NA()))</f>
        <v>930203.98100000026</v>
      </c>
      <c r="O65">
        <f>IF(ISBLANK($C65),NA(),IFERROR(SUM($C65:$C$177),NA()))</f>
        <v>1216307.2779999999</v>
      </c>
      <c r="P65">
        <f>IF(ISBLANK($D65),NA(),IFERROR(SUM($D65:$D$177),NA()))</f>
        <v>877255.66400000022</v>
      </c>
      <c r="Q65">
        <f t="shared" si="12"/>
        <v>2093562.9420000003</v>
      </c>
      <c r="R65">
        <f t="shared" si="13"/>
        <v>44.431622395425464</v>
      </c>
      <c r="S65">
        <f t="shared" si="14"/>
        <v>58.097478399099387</v>
      </c>
      <c r="T65">
        <f>IF(ISBLANK($E65),NA(),IFERROR(SUM($E65:$E$177),NA()))</f>
        <v>1070664.7270000002</v>
      </c>
      <c r="U65">
        <f>IF(ISBLANK($F65),NA(),IFERROR(SUM($F65:$F$177),NA()))</f>
        <v>1407982.7580000001</v>
      </c>
      <c r="V65">
        <f>IF(ISBLANK($G65),NA(),IFERROR(SUM($G65:$G$177),NA()))</f>
        <v>1143363.5920000002</v>
      </c>
      <c r="W65">
        <f t="shared" si="15"/>
        <v>2551346.3500000006</v>
      </c>
      <c r="X65">
        <f t="shared" si="16"/>
        <v>41.964695502827361</v>
      </c>
      <c r="Y65">
        <f t="shared" si="17"/>
        <v>55.18587305874798</v>
      </c>
      <c r="Z65" t="e">
        <f>IF(ISBLANK($H65),NA(),IFERROR(SUM($H65:$H$177),NA()))</f>
        <v>#N/A</v>
      </c>
      <c r="AA65" t="e">
        <f>IF(ISBLANK($I65),NA(),IFERROR(SUM($I65:$I$177),NA()))</f>
        <v>#N/A</v>
      </c>
      <c r="AB65" t="e">
        <f>IF(ISBLANK($J65),NA(),IFERROR(SUM($J65:$J$177),NA()))</f>
        <v>#N/A</v>
      </c>
      <c r="AC65" t="str">
        <f t="shared" si="18"/>
        <v/>
      </c>
      <c r="AD65" t="e">
        <f t="shared" si="19"/>
        <v>#N/A</v>
      </c>
      <c r="AE65" t="e">
        <f t="shared" si="20"/>
        <v>#N/A</v>
      </c>
      <c r="AF65" t="e">
        <f>IF(ISBLANK($K65),NA(),IFERROR(SUM($K65:$K$177),NA()))</f>
        <v>#N/A</v>
      </c>
      <c r="AG65" t="e">
        <f>IF(ISBLANK($L65),NA(),IFERROR(SUM($L65:$L$177),NA()))</f>
        <v>#N/A</v>
      </c>
      <c r="AH65" t="e">
        <f>IF(ISBLANK($M65),NA(),IFERROR(SUM($M65:$M$177),NA()))</f>
        <v>#N/A</v>
      </c>
      <c r="AI65" t="str">
        <f t="shared" si="21"/>
        <v/>
      </c>
      <c r="AJ65" t="e">
        <f t="shared" si="22"/>
        <v>#N/A</v>
      </c>
      <c r="AK65" t="e">
        <f t="shared" si="23"/>
        <v>#N/A</v>
      </c>
    </row>
    <row r="66" spans="1:37" x14ac:dyDescent="0.35">
      <c r="A66">
        <v>1913</v>
      </c>
      <c r="B66">
        <v>3612.76</v>
      </c>
      <c r="C66">
        <v>4095.8679999999999</v>
      </c>
      <c r="D66">
        <v>491.43</v>
      </c>
      <c r="E66">
        <v>4257.259</v>
      </c>
      <c r="F66">
        <v>5001.1970000000001</v>
      </c>
      <c r="G66">
        <v>1272.8599999999999</v>
      </c>
      <c r="N66">
        <f>IF(ISBLANK($B66),NA(),IFERROR(SUM($B66:$B$177),NA()))</f>
        <v>926849.64200000034</v>
      </c>
      <c r="O66">
        <f>IF(ISBLANK($C66),NA(),IFERROR(SUM($C66:$C$177),NA()))</f>
        <v>1212490.9179999998</v>
      </c>
      <c r="P66">
        <f>IF(ISBLANK($D66),NA(),IFERROR(SUM($D66:$D$177),NA()))</f>
        <v>876789.48000000021</v>
      </c>
      <c r="Q66">
        <f t="shared" si="12"/>
        <v>2089280.398</v>
      </c>
      <c r="R66">
        <f t="shared" si="13"/>
        <v>44.362147028577077</v>
      </c>
      <c r="S66">
        <f t="shared" si="14"/>
        <v>58.033901010160136</v>
      </c>
      <c r="T66">
        <f>IF(ISBLANK($E66),NA(),IFERROR(SUM($E66:$E$177),NA()))</f>
        <v>1066680.986</v>
      </c>
      <c r="U66">
        <f>IF(ISBLANK($F66),NA(),IFERROR(SUM($F66:$F$177),NA()))</f>
        <v>1403277.737</v>
      </c>
      <c r="V66">
        <f>IF(ISBLANK($G66),NA(),IFERROR(SUM($G66:$G$177),NA()))</f>
        <v>1142120.9309999999</v>
      </c>
      <c r="W66">
        <f t="shared" si="15"/>
        <v>2545398.6679999996</v>
      </c>
      <c r="X66">
        <f t="shared" si="16"/>
        <v>41.906244369889812</v>
      </c>
      <c r="Y66">
        <f t="shared" si="17"/>
        <v>55.129978444696825</v>
      </c>
      <c r="Z66" t="e">
        <f>IF(ISBLANK($H66),NA(),IFERROR(SUM($H66:$H$177),NA()))</f>
        <v>#N/A</v>
      </c>
      <c r="AA66" t="e">
        <f>IF(ISBLANK($I66),NA(),IFERROR(SUM($I66:$I$177),NA()))</f>
        <v>#N/A</v>
      </c>
      <c r="AB66" t="e">
        <f>IF(ISBLANK($J66),NA(),IFERROR(SUM($J66:$J$177),NA()))</f>
        <v>#N/A</v>
      </c>
      <c r="AC66" t="str">
        <f t="shared" si="18"/>
        <v/>
      </c>
      <c r="AD66" t="e">
        <f t="shared" si="19"/>
        <v>#N/A</v>
      </c>
      <c r="AE66" t="e">
        <f t="shared" si="20"/>
        <v>#N/A</v>
      </c>
      <c r="AF66" t="e">
        <f>IF(ISBLANK($K66),NA(),IFERROR(SUM($K66:$K$177),NA()))</f>
        <v>#N/A</v>
      </c>
      <c r="AG66" t="e">
        <f>IF(ISBLANK($L66),NA(),IFERROR(SUM($L66:$L$177),NA()))</f>
        <v>#N/A</v>
      </c>
      <c r="AH66" t="e">
        <f>IF(ISBLANK($M66),NA(),IFERROR(SUM($M66:$M$177),NA()))</f>
        <v>#N/A</v>
      </c>
      <c r="AI66" t="str">
        <f t="shared" si="21"/>
        <v/>
      </c>
      <c r="AJ66" t="e">
        <f t="shared" si="22"/>
        <v>#N/A</v>
      </c>
      <c r="AK66" t="e">
        <f t="shared" si="23"/>
        <v>#N/A</v>
      </c>
    </row>
    <row r="67" spans="1:37" x14ac:dyDescent="0.35">
      <c r="A67">
        <v>1914</v>
      </c>
      <c r="B67">
        <v>3294.2730000000001</v>
      </c>
      <c r="C67">
        <v>3734.3040000000001</v>
      </c>
      <c r="D67">
        <v>491.36799999999999</v>
      </c>
      <c r="E67">
        <v>3929.6149999999998</v>
      </c>
      <c r="F67">
        <v>4631.3919999999998</v>
      </c>
      <c r="G67">
        <v>1286.76</v>
      </c>
      <c r="N67">
        <f>IF(ISBLANK($B67),NA(),IFERROR(SUM($B67:$B$177),NA()))</f>
        <v>923236.88200000033</v>
      </c>
      <c r="O67">
        <f>IF(ISBLANK($C67),NA(),IFERROR(SUM($C67:$C$177),NA()))</f>
        <v>1208395.0499999998</v>
      </c>
      <c r="P67">
        <f>IF(ISBLANK($D67),NA(),IFERROR(SUM($D67:$D$177),NA()))</f>
        <v>876298.05000000016</v>
      </c>
      <c r="Q67">
        <f t="shared" ref="Q67:Q98" si="24">IFERROR(O67+P67,"")</f>
        <v>2084693.1</v>
      </c>
      <c r="R67">
        <f t="shared" ref="R67:R98" si="25">IFERROR(N67/Q67*100,NA())</f>
        <v>44.286465091672262</v>
      </c>
      <c r="S67">
        <f t="shared" ref="S67:S98" si="26">IFERROR(O67/Q67*100,NA())</f>
        <v>57.965129255716327</v>
      </c>
      <c r="T67">
        <f>IF(ISBLANK($E67),NA(),IFERROR(SUM($E67:$E$177),NA()))</f>
        <v>1062423.727</v>
      </c>
      <c r="U67">
        <f>IF(ISBLANK($F67),NA(),IFERROR(SUM($F67:$F$177),NA()))</f>
        <v>1398276.54</v>
      </c>
      <c r="V67">
        <f>IF(ISBLANK($G67),NA(),IFERROR(SUM($G67:$G$177),NA()))</f>
        <v>1140848.071</v>
      </c>
      <c r="W67">
        <f t="shared" ref="W67:W98" si="27">IFERROR(U67+V67,"")</f>
        <v>2539124.611</v>
      </c>
      <c r="X67">
        <f t="shared" ref="X67:X98" si="28">IFERROR(T67/W67*100,NA())</f>
        <v>41.842126313823513</v>
      </c>
      <c r="Y67">
        <f t="shared" ref="Y67:Y98" si="29">IFERROR(U67/W67*100,NA())</f>
        <v>55.069236615736941</v>
      </c>
      <c r="Z67" t="e">
        <f>IF(ISBLANK($H67),NA(),IFERROR(SUM($H67:$H$177),NA()))</f>
        <v>#N/A</v>
      </c>
      <c r="AA67" t="e">
        <f>IF(ISBLANK($I67),NA(),IFERROR(SUM($I67:$I$177),NA()))</f>
        <v>#N/A</v>
      </c>
      <c r="AB67" t="e">
        <f>IF(ISBLANK($J67),NA(),IFERROR(SUM($J67:$J$177),NA()))</f>
        <v>#N/A</v>
      </c>
      <c r="AC67" t="str">
        <f t="shared" ref="AC67:AC98" si="30">IFERROR(AA67+AB67,"")</f>
        <v/>
      </c>
      <c r="AD67" t="e">
        <f t="shared" ref="AD67:AD98" si="31">IFERROR(Z67/AC67*100,NA())</f>
        <v>#N/A</v>
      </c>
      <c r="AE67" t="e">
        <f t="shared" ref="AE67:AE98" si="32">IFERROR(AA67/AC67*100,NA())</f>
        <v>#N/A</v>
      </c>
      <c r="AF67" t="e">
        <f>IF(ISBLANK($K67),NA(),IFERROR(SUM($K67:$K$177),NA()))</f>
        <v>#N/A</v>
      </c>
      <c r="AG67" t="e">
        <f>IF(ISBLANK($L67),NA(),IFERROR(SUM($L67:$L$177),NA()))</f>
        <v>#N/A</v>
      </c>
      <c r="AH67" t="e">
        <f>IF(ISBLANK($M67),NA(),IFERROR(SUM($M67:$M$177),NA()))</f>
        <v>#N/A</v>
      </c>
      <c r="AI67" t="str">
        <f t="shared" ref="AI67:AI98" si="33">IFERROR(AG67+AH67,"")</f>
        <v/>
      </c>
      <c r="AJ67" t="e">
        <f t="shared" ref="AJ67:AJ98" si="34">IFERROR(AF67/AI67*100,NA())</f>
        <v>#N/A</v>
      </c>
      <c r="AK67" t="e">
        <f t="shared" ref="AK67:AK98" si="35">IFERROR(AG67/AI67*100,NA())</f>
        <v>#N/A</v>
      </c>
    </row>
    <row r="68" spans="1:37" x14ac:dyDescent="0.35">
      <c r="A68">
        <v>1915</v>
      </c>
      <c r="B68">
        <v>3255.4319999999998</v>
      </c>
      <c r="C68">
        <v>3681.2910000000002</v>
      </c>
      <c r="D68">
        <v>495.97699999999998</v>
      </c>
      <c r="E68">
        <v>3890.9470000000001</v>
      </c>
      <c r="F68">
        <v>4579.7209999999995</v>
      </c>
      <c r="G68">
        <v>1306.53</v>
      </c>
      <c r="N68">
        <f>IF(ISBLANK($B68),NA(),IFERROR(SUM($B68:$B$177),NA()))</f>
        <v>919942.60900000029</v>
      </c>
      <c r="O68">
        <f>IF(ISBLANK($C68),NA(),IFERROR(SUM($C68:$C$177),NA()))</f>
        <v>1204660.7459999998</v>
      </c>
      <c r="P68">
        <f>IF(ISBLANK($D68),NA(),IFERROR(SUM($D68:$D$177),NA()))</f>
        <v>875806.68200000015</v>
      </c>
      <c r="Q68">
        <f t="shared" si="24"/>
        <v>2080467.4279999998</v>
      </c>
      <c r="R68">
        <f t="shared" si="25"/>
        <v>44.218073141590196</v>
      </c>
      <c r="S68">
        <f t="shared" si="26"/>
        <v>57.90336968447842</v>
      </c>
      <c r="T68">
        <f>IF(ISBLANK($E68),NA(),IFERROR(SUM($E68:$E$177),NA()))</f>
        <v>1058494.112</v>
      </c>
      <c r="U68">
        <f>IF(ISBLANK($F68),NA(),IFERROR(SUM($F68:$F$177),NA()))</f>
        <v>1393645.148</v>
      </c>
      <c r="V68">
        <f>IF(ISBLANK($G68),NA(),IFERROR(SUM($G68:$G$177),NA()))</f>
        <v>1139561.3109999998</v>
      </c>
      <c r="W68">
        <f t="shared" si="27"/>
        <v>2533206.4589999998</v>
      </c>
      <c r="X68">
        <f t="shared" si="28"/>
        <v>41.784754978788726</v>
      </c>
      <c r="Y68">
        <f t="shared" si="29"/>
        <v>55.015063736658512</v>
      </c>
      <c r="Z68" t="e">
        <f>IF(ISBLANK($H68),NA(),IFERROR(SUM($H68:$H$177),NA()))</f>
        <v>#N/A</v>
      </c>
      <c r="AA68" t="e">
        <f>IF(ISBLANK($I68),NA(),IFERROR(SUM($I68:$I$177),NA()))</f>
        <v>#N/A</v>
      </c>
      <c r="AB68" t="e">
        <f>IF(ISBLANK($J68),NA(),IFERROR(SUM($J68:$J$177),NA()))</f>
        <v>#N/A</v>
      </c>
      <c r="AC68" t="str">
        <f t="shared" si="30"/>
        <v/>
      </c>
      <c r="AD68" t="e">
        <f t="shared" si="31"/>
        <v>#N/A</v>
      </c>
      <c r="AE68" t="e">
        <f t="shared" si="32"/>
        <v>#N/A</v>
      </c>
      <c r="AF68" t="e">
        <f>IF(ISBLANK($K68),NA(),IFERROR(SUM($K68:$K$177),NA()))</f>
        <v>#N/A</v>
      </c>
      <c r="AG68" t="e">
        <f>IF(ISBLANK($L68),NA(),IFERROR(SUM($L68:$L$177),NA()))</f>
        <v>#N/A</v>
      </c>
      <c r="AH68" t="e">
        <f>IF(ISBLANK($M68),NA(),IFERROR(SUM($M68:$M$177),NA()))</f>
        <v>#N/A</v>
      </c>
      <c r="AI68" t="str">
        <f t="shared" si="33"/>
        <v/>
      </c>
      <c r="AJ68" t="e">
        <f t="shared" si="34"/>
        <v>#N/A</v>
      </c>
      <c r="AK68" t="e">
        <f t="shared" si="35"/>
        <v>#N/A</v>
      </c>
    </row>
    <row r="69" spans="1:37" x14ac:dyDescent="0.35">
      <c r="A69">
        <v>1916</v>
      </c>
      <c r="B69">
        <v>3498.5210000000002</v>
      </c>
      <c r="C69">
        <v>3945.56</v>
      </c>
      <c r="D69">
        <v>517.90099999999995</v>
      </c>
      <c r="E69">
        <v>4138.9750000000004</v>
      </c>
      <c r="F69">
        <v>4851.9359999999997</v>
      </c>
      <c r="G69">
        <v>1334.5509999999999</v>
      </c>
      <c r="N69">
        <f>IF(ISBLANK($B69),NA(),IFERROR(SUM($B69:$B$177),NA()))</f>
        <v>916687.17700000026</v>
      </c>
      <c r="O69">
        <f>IF(ISBLANK($C69),NA(),IFERROR(SUM($C69:$C$177),NA()))</f>
        <v>1200979.4549999998</v>
      </c>
      <c r="P69">
        <f>IF(ISBLANK($D69),NA(),IFERROR(SUM($D69:$D$177),NA()))</f>
        <v>875310.70500000019</v>
      </c>
      <c r="Q69">
        <f t="shared" si="24"/>
        <v>2076290.1600000001</v>
      </c>
      <c r="R69">
        <f t="shared" si="25"/>
        <v>44.150244251025114</v>
      </c>
      <c r="S69">
        <f t="shared" si="26"/>
        <v>57.842563536495298</v>
      </c>
      <c r="T69">
        <f>IF(ISBLANK($E69),NA(),IFERROR(SUM($E69:$E$177),NA()))</f>
        <v>1054603.1649999998</v>
      </c>
      <c r="U69">
        <f>IF(ISBLANK($F69),NA(),IFERROR(SUM($F69:$F$177),NA()))</f>
        <v>1389065.4270000001</v>
      </c>
      <c r="V69">
        <f>IF(ISBLANK($G69),NA(),IFERROR(SUM($G69:$G$177),NA()))</f>
        <v>1138254.781</v>
      </c>
      <c r="W69">
        <f t="shared" si="27"/>
        <v>2527320.2080000001</v>
      </c>
      <c r="X69">
        <f t="shared" si="28"/>
        <v>41.728118251963096</v>
      </c>
      <c r="Y69">
        <f t="shared" si="29"/>
        <v>54.961987903354746</v>
      </c>
      <c r="Z69" t="e">
        <f>IF(ISBLANK($H69),NA(),IFERROR(SUM($H69:$H$177),NA()))</f>
        <v>#N/A</v>
      </c>
      <c r="AA69" t="e">
        <f>IF(ISBLANK($I69),NA(),IFERROR(SUM($I69:$I$177),NA()))</f>
        <v>#N/A</v>
      </c>
      <c r="AB69" t="e">
        <f>IF(ISBLANK($J69),NA(),IFERROR(SUM($J69:$J$177),NA()))</f>
        <v>#N/A</v>
      </c>
      <c r="AC69" t="str">
        <f t="shared" si="30"/>
        <v/>
      </c>
      <c r="AD69" t="e">
        <f t="shared" si="31"/>
        <v>#N/A</v>
      </c>
      <c r="AE69" t="e">
        <f t="shared" si="32"/>
        <v>#N/A</v>
      </c>
      <c r="AF69" t="e">
        <f>IF(ISBLANK($K69),NA(),IFERROR(SUM($K69:$K$177),NA()))</f>
        <v>#N/A</v>
      </c>
      <c r="AG69" t="e">
        <f>IF(ISBLANK($L69),NA(),IFERROR(SUM($L69:$L$177),NA()))</f>
        <v>#N/A</v>
      </c>
      <c r="AH69" t="e">
        <f>IF(ISBLANK($M69),NA(),IFERROR(SUM($M69:$M$177),NA()))</f>
        <v>#N/A</v>
      </c>
      <c r="AI69" t="str">
        <f t="shared" si="33"/>
        <v/>
      </c>
      <c r="AJ69" t="e">
        <f t="shared" si="34"/>
        <v>#N/A</v>
      </c>
      <c r="AK69" t="e">
        <f t="shared" si="35"/>
        <v>#N/A</v>
      </c>
    </row>
    <row r="70" spans="1:37" x14ac:dyDescent="0.35">
      <c r="A70">
        <v>1917</v>
      </c>
      <c r="B70">
        <v>3660.971</v>
      </c>
      <c r="C70">
        <v>4104.1149999999998</v>
      </c>
      <c r="D70">
        <v>538.76599999999996</v>
      </c>
      <c r="E70">
        <v>4285.143</v>
      </c>
      <c r="F70">
        <v>4995.5290000000005</v>
      </c>
      <c r="G70">
        <v>1362.6179999999999</v>
      </c>
      <c r="N70">
        <f>IF(ISBLANK($B70),NA(),IFERROR(SUM($B70:$B$177),NA()))</f>
        <v>913188.65600000031</v>
      </c>
      <c r="O70">
        <f>IF(ISBLANK($C70),NA(),IFERROR(SUM($C70:$C$177),NA()))</f>
        <v>1197033.8949999998</v>
      </c>
      <c r="P70">
        <f>IF(ISBLANK($D70),NA(),IFERROR(SUM($D70:$D$177),NA()))</f>
        <v>874792.80400000024</v>
      </c>
      <c r="Q70">
        <f t="shared" si="24"/>
        <v>2071826.699</v>
      </c>
      <c r="R70">
        <f t="shared" si="25"/>
        <v>44.076498118339977</v>
      </c>
      <c r="S70">
        <f t="shared" si="26"/>
        <v>57.776738545640285</v>
      </c>
      <c r="T70">
        <f>IF(ISBLANK($E70),NA(),IFERROR(SUM($E70:$E$177),NA()))</f>
        <v>1050464.19</v>
      </c>
      <c r="U70">
        <f>IF(ISBLANK($F70),NA(),IFERROR(SUM($F70:$F$177),NA()))</f>
        <v>1384213.4909999999</v>
      </c>
      <c r="V70">
        <f>IF(ISBLANK($G70),NA(),IFERROR(SUM($G70:$G$177),NA()))</f>
        <v>1136920.23</v>
      </c>
      <c r="W70">
        <f t="shared" si="27"/>
        <v>2521133.7209999999</v>
      </c>
      <c r="X70">
        <f t="shared" si="28"/>
        <v>41.666341664072327</v>
      </c>
      <c r="Y70">
        <f t="shared" si="29"/>
        <v>54.90440588176957</v>
      </c>
      <c r="Z70" t="e">
        <f>IF(ISBLANK($H70),NA(),IFERROR(SUM($H70:$H$177),NA()))</f>
        <v>#N/A</v>
      </c>
      <c r="AA70" t="e">
        <f>IF(ISBLANK($I70),NA(),IFERROR(SUM($I70:$I$177),NA()))</f>
        <v>#N/A</v>
      </c>
      <c r="AB70" t="e">
        <f>IF(ISBLANK($J70),NA(),IFERROR(SUM($J70:$J$177),NA()))</f>
        <v>#N/A</v>
      </c>
      <c r="AC70" t="str">
        <f t="shared" si="30"/>
        <v/>
      </c>
      <c r="AD70" t="e">
        <f t="shared" si="31"/>
        <v>#N/A</v>
      </c>
      <c r="AE70" t="e">
        <f t="shared" si="32"/>
        <v>#N/A</v>
      </c>
      <c r="AF70" t="e">
        <f>IF(ISBLANK($K70),NA(),IFERROR(SUM($K70:$K$177),NA()))</f>
        <v>#N/A</v>
      </c>
      <c r="AG70" t="e">
        <f>IF(ISBLANK($L70),NA(),IFERROR(SUM($L70:$L$177),NA()))</f>
        <v>#N/A</v>
      </c>
      <c r="AH70" t="e">
        <f>IF(ISBLANK($M70),NA(),IFERROR(SUM($M70:$M$177),NA()))</f>
        <v>#N/A</v>
      </c>
      <c r="AI70" t="str">
        <f t="shared" si="33"/>
        <v/>
      </c>
      <c r="AJ70" t="e">
        <f t="shared" si="34"/>
        <v>#N/A</v>
      </c>
      <c r="AK70" t="e">
        <f t="shared" si="35"/>
        <v>#N/A</v>
      </c>
    </row>
    <row r="71" spans="1:37" x14ac:dyDescent="0.35">
      <c r="A71">
        <v>1918</v>
      </c>
      <c r="B71">
        <v>3682.8910000000001</v>
      </c>
      <c r="C71">
        <v>4027.1860000000001</v>
      </c>
      <c r="D71">
        <v>548.41499999999996</v>
      </c>
      <c r="E71">
        <v>4320.6589999999997</v>
      </c>
      <c r="F71">
        <v>4929.7240000000002</v>
      </c>
      <c r="G71">
        <v>1380.636</v>
      </c>
      <c r="N71">
        <f>IF(ISBLANK($B71),NA(),IFERROR(SUM($B71:$B$177),NA()))</f>
        <v>909527.68500000017</v>
      </c>
      <c r="O71">
        <f>IF(ISBLANK($C71),NA(),IFERROR(SUM($C71:$C$177),NA()))</f>
        <v>1192929.7799999998</v>
      </c>
      <c r="P71">
        <f>IF(ISBLANK($D71),NA(),IFERROR(SUM($D71:$D$177),NA()))</f>
        <v>874254.03800000018</v>
      </c>
      <c r="Q71">
        <f t="shared" si="24"/>
        <v>2067183.818</v>
      </c>
      <c r="R71">
        <f t="shared" si="25"/>
        <v>43.998394196021138</v>
      </c>
      <c r="S71">
        <f t="shared" si="26"/>
        <v>57.707968184182057</v>
      </c>
      <c r="T71">
        <f>IF(ISBLANK($E71),NA(),IFERROR(SUM($E71:$E$177),NA()))</f>
        <v>1046179.0469999999</v>
      </c>
      <c r="U71">
        <f>IF(ISBLANK($F71),NA(),IFERROR(SUM($F71:$F$177),NA()))</f>
        <v>1379217.9620000001</v>
      </c>
      <c r="V71">
        <f>IF(ISBLANK($G71),NA(),IFERROR(SUM($G71:$G$177),NA()))</f>
        <v>1135557.6120000002</v>
      </c>
      <c r="W71">
        <f t="shared" si="27"/>
        <v>2514775.574</v>
      </c>
      <c r="X71">
        <f t="shared" si="28"/>
        <v>41.601288712055855</v>
      </c>
      <c r="Y71">
        <f t="shared" si="29"/>
        <v>54.844574452670422</v>
      </c>
      <c r="Z71" t="e">
        <f>IF(ISBLANK($H71),NA(),IFERROR(SUM($H71:$H$177),NA()))</f>
        <v>#N/A</v>
      </c>
      <c r="AA71" t="e">
        <f>IF(ISBLANK($I71),NA(),IFERROR(SUM($I71:$I$177),NA()))</f>
        <v>#N/A</v>
      </c>
      <c r="AB71" t="e">
        <f>IF(ISBLANK($J71),NA(),IFERROR(SUM($J71:$J$177),NA()))</f>
        <v>#N/A</v>
      </c>
      <c r="AC71" t="str">
        <f t="shared" si="30"/>
        <v/>
      </c>
      <c r="AD71" t="e">
        <f t="shared" si="31"/>
        <v>#N/A</v>
      </c>
      <c r="AE71" t="e">
        <f t="shared" si="32"/>
        <v>#N/A</v>
      </c>
      <c r="AF71" t="e">
        <f>IF(ISBLANK($K71),NA(),IFERROR(SUM($K71:$K$177),NA()))</f>
        <v>#N/A</v>
      </c>
      <c r="AG71" t="e">
        <f>IF(ISBLANK($L71),NA(),IFERROR(SUM($L71:$L$177),NA()))</f>
        <v>#N/A</v>
      </c>
      <c r="AH71" t="e">
        <f>IF(ISBLANK($M71),NA(),IFERROR(SUM($M71:$M$177),NA()))</f>
        <v>#N/A</v>
      </c>
      <c r="AI71" t="str">
        <f t="shared" si="33"/>
        <v/>
      </c>
      <c r="AJ71" t="e">
        <f t="shared" si="34"/>
        <v>#N/A</v>
      </c>
      <c r="AK71" t="e">
        <f t="shared" si="35"/>
        <v>#N/A</v>
      </c>
    </row>
    <row r="72" spans="1:37" x14ac:dyDescent="0.35">
      <c r="A72">
        <v>1919</v>
      </c>
      <c r="B72">
        <v>3268.21</v>
      </c>
      <c r="C72">
        <v>3492.0740000000001</v>
      </c>
      <c r="D72">
        <v>578.42100000000005</v>
      </c>
      <c r="E72">
        <v>3893.431</v>
      </c>
      <c r="F72">
        <v>4381.0690000000004</v>
      </c>
      <c r="G72">
        <v>1420.462</v>
      </c>
      <c r="N72">
        <f>IF(ISBLANK($B72),NA(),IFERROR(SUM($B72:$B$177),NA()))</f>
        <v>905844.79400000034</v>
      </c>
      <c r="O72">
        <f>IF(ISBLANK($C72),NA(),IFERROR(SUM($C72:$C$177),NA()))</f>
        <v>1188902.5939999998</v>
      </c>
      <c r="P72">
        <f>IF(ISBLANK($D72),NA(),IFERROR(SUM($D72:$D$177),NA()))</f>
        <v>873705.62300000014</v>
      </c>
      <c r="Q72">
        <f t="shared" si="24"/>
        <v>2062608.2169999999</v>
      </c>
      <c r="R72">
        <f t="shared" si="25"/>
        <v>43.917443290200971</v>
      </c>
      <c r="S72">
        <f t="shared" si="26"/>
        <v>57.640737790195665</v>
      </c>
      <c r="T72">
        <f>IF(ISBLANK($E72),NA(),IFERROR(SUM($E72:$E$177),NA()))</f>
        <v>1041858.3879999999</v>
      </c>
      <c r="U72">
        <f>IF(ISBLANK($F72),NA(),IFERROR(SUM($F72:$F$177),NA()))</f>
        <v>1374288.2379999999</v>
      </c>
      <c r="V72">
        <f>IF(ISBLANK($G72),NA(),IFERROR(SUM($G72:$G$177),NA()))</f>
        <v>1134176.9759999998</v>
      </c>
      <c r="W72">
        <f t="shared" si="27"/>
        <v>2508465.2139999997</v>
      </c>
      <c r="X72">
        <f t="shared" si="28"/>
        <v>41.533698860374152</v>
      </c>
      <c r="Y72">
        <f t="shared" si="29"/>
        <v>54.786019368734209</v>
      </c>
      <c r="Z72" t="e">
        <f>IF(ISBLANK($H72),NA(),IFERROR(SUM($H72:$H$177),NA()))</f>
        <v>#N/A</v>
      </c>
      <c r="AA72" t="e">
        <f>IF(ISBLANK($I72),NA(),IFERROR(SUM($I72:$I$177),NA()))</f>
        <v>#N/A</v>
      </c>
      <c r="AB72" t="e">
        <f>IF(ISBLANK($J72),NA(),IFERROR(SUM($J72:$J$177),NA()))</f>
        <v>#N/A</v>
      </c>
      <c r="AC72" t="str">
        <f t="shared" si="30"/>
        <v/>
      </c>
      <c r="AD72" t="e">
        <f t="shared" si="31"/>
        <v>#N/A</v>
      </c>
      <c r="AE72" t="e">
        <f t="shared" si="32"/>
        <v>#N/A</v>
      </c>
      <c r="AF72" t="e">
        <f>IF(ISBLANK($K72),NA(),IFERROR(SUM($K72:$K$177),NA()))</f>
        <v>#N/A</v>
      </c>
      <c r="AG72" t="e">
        <f>IF(ISBLANK($L72),NA(),IFERROR(SUM($L72:$L$177),NA()))</f>
        <v>#N/A</v>
      </c>
      <c r="AH72" t="e">
        <f>IF(ISBLANK($M72),NA(),IFERROR(SUM($M72:$M$177),NA()))</f>
        <v>#N/A</v>
      </c>
      <c r="AI72" t="str">
        <f t="shared" si="33"/>
        <v/>
      </c>
      <c r="AJ72" t="e">
        <f t="shared" si="34"/>
        <v>#N/A</v>
      </c>
      <c r="AK72" t="e">
        <f t="shared" si="35"/>
        <v>#N/A</v>
      </c>
    </row>
    <row r="73" spans="1:37" x14ac:dyDescent="0.35">
      <c r="A73">
        <v>1920</v>
      </c>
      <c r="B73">
        <v>3709.5819999999999</v>
      </c>
      <c r="C73">
        <v>4010.2950000000001</v>
      </c>
      <c r="D73">
        <v>622.59699999999998</v>
      </c>
      <c r="E73">
        <v>4347.9560000000001</v>
      </c>
      <c r="F73">
        <v>4914.0600000000004</v>
      </c>
      <c r="G73">
        <v>1470.0309999999999</v>
      </c>
      <c r="N73">
        <f>IF(ISBLANK($B73),NA(),IFERROR(SUM($B73:$B$177),NA()))</f>
        <v>902576.58400000015</v>
      </c>
      <c r="O73">
        <f>IF(ISBLANK($C73),NA(),IFERROR(SUM($C73:$C$177),NA()))</f>
        <v>1185410.5199999998</v>
      </c>
      <c r="P73">
        <f>IF(ISBLANK($D73),NA(),IFERROR(SUM($D73:$D$177),NA()))</f>
        <v>873127.20200000016</v>
      </c>
      <c r="Q73">
        <f t="shared" si="24"/>
        <v>2058537.7220000001</v>
      </c>
      <c r="R73">
        <f t="shared" si="25"/>
        <v>43.845520747761171</v>
      </c>
      <c r="S73">
        <f t="shared" si="26"/>
        <v>57.585076403083747</v>
      </c>
      <c r="T73">
        <f>IF(ISBLANK($E73),NA(),IFERROR(SUM($E73:$E$177),NA()))</f>
        <v>1037964.9569999998</v>
      </c>
      <c r="U73">
        <f>IF(ISBLANK($F73),NA(),IFERROR(SUM($F73:$F$177),NA()))</f>
        <v>1369907.169</v>
      </c>
      <c r="V73">
        <f>IF(ISBLANK($G73),NA(),IFERROR(SUM($G73:$G$177),NA()))</f>
        <v>1132756.514</v>
      </c>
      <c r="W73">
        <f t="shared" si="27"/>
        <v>2502663.6830000002</v>
      </c>
      <c r="X73">
        <f t="shared" si="28"/>
        <v>41.47440840935397</v>
      </c>
      <c r="Y73">
        <f t="shared" si="29"/>
        <v>54.737964925349495</v>
      </c>
      <c r="Z73" t="e">
        <f>IF(ISBLANK($H73),NA(),IFERROR(SUM($H73:$H$177),NA()))</f>
        <v>#N/A</v>
      </c>
      <c r="AA73" t="e">
        <f>IF(ISBLANK($I73),NA(),IFERROR(SUM($I73:$I$177),NA()))</f>
        <v>#N/A</v>
      </c>
      <c r="AB73" t="e">
        <f>IF(ISBLANK($J73),NA(),IFERROR(SUM($J73:$J$177),NA()))</f>
        <v>#N/A</v>
      </c>
      <c r="AC73" t="str">
        <f t="shared" si="30"/>
        <v/>
      </c>
      <c r="AD73" t="e">
        <f t="shared" si="31"/>
        <v>#N/A</v>
      </c>
      <c r="AE73" t="e">
        <f t="shared" si="32"/>
        <v>#N/A</v>
      </c>
      <c r="AF73" t="e">
        <f>IF(ISBLANK($K73),NA(),IFERROR(SUM($K73:$K$177),NA()))</f>
        <v>#N/A</v>
      </c>
      <c r="AG73" t="e">
        <f>IF(ISBLANK($L73),NA(),IFERROR(SUM($L73:$L$177),NA()))</f>
        <v>#N/A</v>
      </c>
      <c r="AH73" t="e">
        <f>IF(ISBLANK($M73),NA(),IFERROR(SUM($M73:$M$177),NA()))</f>
        <v>#N/A</v>
      </c>
      <c r="AI73" t="str">
        <f t="shared" si="33"/>
        <v/>
      </c>
      <c r="AJ73" t="e">
        <f t="shared" si="34"/>
        <v>#N/A</v>
      </c>
      <c r="AK73" t="e">
        <f t="shared" si="35"/>
        <v>#N/A</v>
      </c>
    </row>
    <row r="74" spans="1:37" x14ac:dyDescent="0.35">
      <c r="A74">
        <v>1921</v>
      </c>
      <c r="B74">
        <v>3195.0859999999998</v>
      </c>
      <c r="C74">
        <v>3498.35</v>
      </c>
      <c r="D74">
        <v>645.31299999999999</v>
      </c>
      <c r="E74">
        <v>3819.5169999999998</v>
      </c>
      <c r="F74">
        <v>4390.9570000000003</v>
      </c>
      <c r="G74">
        <v>1505.508</v>
      </c>
      <c r="N74">
        <f>IF(ISBLANK($B74),NA(),IFERROR(SUM($B74:$B$177),NA()))</f>
        <v>898867.00200000021</v>
      </c>
      <c r="O74">
        <f>IF(ISBLANK($C74),NA(),IFERROR(SUM($C74:$C$177),NA()))</f>
        <v>1181400.2249999999</v>
      </c>
      <c r="P74">
        <f>IF(ISBLANK($D74),NA(),IFERROR(SUM($D74:$D$177),NA()))</f>
        <v>872504.60500000021</v>
      </c>
      <c r="Q74">
        <f t="shared" si="24"/>
        <v>2053904.83</v>
      </c>
      <c r="R74">
        <f t="shared" si="25"/>
        <v>43.763809737961431</v>
      </c>
      <c r="S74">
        <f t="shared" si="26"/>
        <v>57.519715993851563</v>
      </c>
      <c r="T74">
        <f>IF(ISBLANK($E74),NA(),IFERROR(SUM($E74:$E$177),NA()))</f>
        <v>1033617.0009999998</v>
      </c>
      <c r="U74">
        <f>IF(ISBLANK($F74),NA(),IFERROR(SUM($F74:$F$177),NA()))</f>
        <v>1364993.1089999999</v>
      </c>
      <c r="V74">
        <f>IF(ISBLANK($G74),NA(),IFERROR(SUM($G74:$G$177),NA()))</f>
        <v>1131286.483</v>
      </c>
      <c r="W74">
        <f t="shared" si="27"/>
        <v>2496279.5920000002</v>
      </c>
      <c r="X74">
        <f t="shared" si="28"/>
        <v>41.406299370972057</v>
      </c>
      <c r="Y74">
        <f t="shared" si="29"/>
        <v>54.681098758908561</v>
      </c>
      <c r="Z74" t="e">
        <f>IF(ISBLANK($H74),NA(),IFERROR(SUM($H74:$H$177),NA()))</f>
        <v>#N/A</v>
      </c>
      <c r="AA74" t="e">
        <f>IF(ISBLANK($I74),NA(),IFERROR(SUM($I74:$I$177),NA()))</f>
        <v>#N/A</v>
      </c>
      <c r="AB74" t="e">
        <f>IF(ISBLANK($J74),NA(),IFERROR(SUM($J74:$J$177),NA()))</f>
        <v>#N/A</v>
      </c>
      <c r="AC74" t="str">
        <f t="shared" si="30"/>
        <v/>
      </c>
      <c r="AD74" t="e">
        <f t="shared" si="31"/>
        <v>#N/A</v>
      </c>
      <c r="AE74" t="e">
        <f t="shared" si="32"/>
        <v>#N/A</v>
      </c>
      <c r="AF74" t="e">
        <f>IF(ISBLANK($K74),NA(),IFERROR(SUM($K74:$K$177),NA()))</f>
        <v>#N/A</v>
      </c>
      <c r="AG74" t="e">
        <f>IF(ISBLANK($L74),NA(),IFERROR(SUM($L74:$L$177),NA()))</f>
        <v>#N/A</v>
      </c>
      <c r="AH74" t="e">
        <f>IF(ISBLANK($M74),NA(),IFERROR(SUM($M74:$M$177),NA()))</f>
        <v>#N/A</v>
      </c>
      <c r="AI74" t="str">
        <f t="shared" si="33"/>
        <v/>
      </c>
      <c r="AJ74" t="e">
        <f t="shared" si="34"/>
        <v>#N/A</v>
      </c>
      <c r="AK74" t="e">
        <f t="shared" si="35"/>
        <v>#N/A</v>
      </c>
    </row>
    <row r="75" spans="1:37" x14ac:dyDescent="0.35">
      <c r="A75">
        <v>1922</v>
      </c>
      <c r="B75">
        <v>3370.6010000000001</v>
      </c>
      <c r="C75">
        <v>3677.4989999999998</v>
      </c>
      <c r="D75">
        <v>651.84500000000003</v>
      </c>
      <c r="E75">
        <v>4015.1860000000001</v>
      </c>
      <c r="F75">
        <v>4593.5519999999997</v>
      </c>
      <c r="G75">
        <v>1526.954</v>
      </c>
      <c r="N75">
        <f>IF(ISBLANK($B75),NA(),IFERROR(SUM($B75:$B$177),NA()))</f>
        <v>895671.91600000032</v>
      </c>
      <c r="O75">
        <f>IF(ISBLANK($C75),NA(),IFERROR(SUM($C75:$C$177),NA()))</f>
        <v>1177901.8749999998</v>
      </c>
      <c r="P75">
        <f>IF(ISBLANK($D75),NA(),IFERROR(SUM($D75:$D$177),NA()))</f>
        <v>871859.29200000025</v>
      </c>
      <c r="Q75">
        <f t="shared" si="24"/>
        <v>2049761.1669999999</v>
      </c>
      <c r="R75">
        <f t="shared" si="25"/>
        <v>43.696403777172364</v>
      </c>
      <c r="S75">
        <f t="shared" si="26"/>
        <v>57.465322983162935</v>
      </c>
      <c r="T75">
        <f>IF(ISBLANK($E75),NA(),IFERROR(SUM($E75:$E$177),NA()))</f>
        <v>1029797.4839999998</v>
      </c>
      <c r="U75">
        <f>IF(ISBLANK($F75),NA(),IFERROR(SUM($F75:$F$177),NA()))</f>
        <v>1360602.1519999998</v>
      </c>
      <c r="V75">
        <f>IF(ISBLANK($G75),NA(),IFERROR(SUM($G75:$G$177),NA()))</f>
        <v>1129780.9750000001</v>
      </c>
      <c r="W75">
        <f t="shared" si="27"/>
        <v>2490383.1269999999</v>
      </c>
      <c r="X75">
        <f t="shared" si="28"/>
        <v>41.350966155979734</v>
      </c>
      <c r="Y75">
        <f t="shared" si="29"/>
        <v>54.63425033878331</v>
      </c>
      <c r="Z75" t="e">
        <f>IF(ISBLANK($H75),NA(),IFERROR(SUM($H75:$H$177),NA()))</f>
        <v>#N/A</v>
      </c>
      <c r="AA75" t="e">
        <f>IF(ISBLANK($I75),NA(),IFERROR(SUM($I75:$I$177),NA()))</f>
        <v>#N/A</v>
      </c>
      <c r="AB75" t="e">
        <f>IF(ISBLANK($J75),NA(),IFERROR(SUM($J75:$J$177),NA()))</f>
        <v>#N/A</v>
      </c>
      <c r="AC75" t="str">
        <f t="shared" si="30"/>
        <v/>
      </c>
      <c r="AD75" t="e">
        <f t="shared" si="31"/>
        <v>#N/A</v>
      </c>
      <c r="AE75" t="e">
        <f t="shared" si="32"/>
        <v>#N/A</v>
      </c>
      <c r="AF75" t="e">
        <f>IF(ISBLANK($K75),NA(),IFERROR(SUM($K75:$K$177),NA()))</f>
        <v>#N/A</v>
      </c>
      <c r="AG75" t="e">
        <f>IF(ISBLANK($L75),NA(),IFERROR(SUM($L75:$L$177),NA()))</f>
        <v>#N/A</v>
      </c>
      <c r="AH75" t="e">
        <f>IF(ISBLANK($M75),NA(),IFERROR(SUM($M75:$M$177),NA()))</f>
        <v>#N/A</v>
      </c>
      <c r="AI75" t="str">
        <f t="shared" si="33"/>
        <v/>
      </c>
      <c r="AJ75" t="e">
        <f t="shared" si="34"/>
        <v>#N/A</v>
      </c>
      <c r="AK75" t="e">
        <f t="shared" si="35"/>
        <v>#N/A</v>
      </c>
    </row>
    <row r="76" spans="1:37" x14ac:dyDescent="0.35">
      <c r="A76">
        <v>1923</v>
      </c>
      <c r="B76">
        <v>3866.1849999999999</v>
      </c>
      <c r="C76">
        <v>4163.924</v>
      </c>
      <c r="D76">
        <v>669.65099999999995</v>
      </c>
      <c r="E76">
        <v>4527.5219999999999</v>
      </c>
      <c r="F76">
        <v>5100.6629999999996</v>
      </c>
      <c r="G76">
        <v>1558.1389999999999</v>
      </c>
      <c r="N76">
        <f>IF(ISBLANK($B76),NA(),IFERROR(SUM($B76:$B$177),NA()))</f>
        <v>892301.31500000029</v>
      </c>
      <c r="O76">
        <f>IF(ISBLANK($C76),NA(),IFERROR(SUM($C76:$C$177),NA()))</f>
        <v>1174224.3759999997</v>
      </c>
      <c r="P76">
        <f>IF(ISBLANK($D76),NA(),IFERROR(SUM($D76:$D$177),NA()))</f>
        <v>871207.44700000016</v>
      </c>
      <c r="Q76">
        <f t="shared" si="24"/>
        <v>2045431.8229999999</v>
      </c>
      <c r="R76">
        <f t="shared" si="25"/>
        <v>43.624104453957166</v>
      </c>
      <c r="S76">
        <f t="shared" si="26"/>
        <v>57.407162771027245</v>
      </c>
      <c r="T76">
        <f>IF(ISBLANK($E76),NA(),IFERROR(SUM($E76:$E$177),NA()))</f>
        <v>1025782.2979999998</v>
      </c>
      <c r="U76">
        <f>IF(ISBLANK($F76),NA(),IFERROR(SUM($F76:$F$177),NA()))</f>
        <v>1356008.5999999999</v>
      </c>
      <c r="V76">
        <f>IF(ISBLANK($G76),NA(),IFERROR(SUM($G76:$G$177),NA()))</f>
        <v>1128254.0210000002</v>
      </c>
      <c r="W76">
        <f t="shared" si="27"/>
        <v>2484262.6210000003</v>
      </c>
      <c r="X76">
        <f t="shared" si="28"/>
        <v>41.291218139694408</v>
      </c>
      <c r="Y76">
        <f t="shared" si="29"/>
        <v>54.583947306430922</v>
      </c>
      <c r="Z76" t="e">
        <f>IF(ISBLANK($H76),NA(),IFERROR(SUM($H76:$H$177),NA()))</f>
        <v>#N/A</v>
      </c>
      <c r="AA76" t="e">
        <f>IF(ISBLANK($I76),NA(),IFERROR(SUM($I76:$I$177),NA()))</f>
        <v>#N/A</v>
      </c>
      <c r="AB76" t="e">
        <f>IF(ISBLANK($J76),NA(),IFERROR(SUM($J76:$J$177),NA()))</f>
        <v>#N/A</v>
      </c>
      <c r="AC76" t="str">
        <f t="shared" si="30"/>
        <v/>
      </c>
      <c r="AD76" t="e">
        <f t="shared" si="31"/>
        <v>#N/A</v>
      </c>
      <c r="AE76" t="e">
        <f t="shared" si="32"/>
        <v>#N/A</v>
      </c>
      <c r="AF76" t="e">
        <f>IF(ISBLANK($K76),NA(),IFERROR(SUM($K76:$K$177),NA()))</f>
        <v>#N/A</v>
      </c>
      <c r="AG76" t="e">
        <f>IF(ISBLANK($L76),NA(),IFERROR(SUM($L76:$L$177),NA()))</f>
        <v>#N/A</v>
      </c>
      <c r="AH76" t="e">
        <f>IF(ISBLANK($M76),NA(),IFERROR(SUM($M76:$M$177),NA()))</f>
        <v>#N/A</v>
      </c>
      <c r="AI76" t="str">
        <f t="shared" si="33"/>
        <v/>
      </c>
      <c r="AJ76" t="e">
        <f t="shared" si="34"/>
        <v>#N/A</v>
      </c>
      <c r="AK76" t="e">
        <f t="shared" si="35"/>
        <v>#N/A</v>
      </c>
    </row>
    <row r="77" spans="1:37" x14ac:dyDescent="0.35">
      <c r="A77">
        <v>1924</v>
      </c>
      <c r="B77">
        <v>3854.1909999999998</v>
      </c>
      <c r="C77">
        <v>4169.9279999999999</v>
      </c>
      <c r="D77">
        <v>691.13400000000001</v>
      </c>
      <c r="E77">
        <v>4525.6729999999998</v>
      </c>
      <c r="F77">
        <v>5122.0119999999997</v>
      </c>
      <c r="G77">
        <v>1593.8789999999999</v>
      </c>
      <c r="N77">
        <f>IF(ISBLANK($B77),NA(),IFERROR(SUM($B77:$B$177),NA()))</f>
        <v>888435.13000000024</v>
      </c>
      <c r="O77">
        <f>IF(ISBLANK($C77),NA(),IFERROR(SUM($C77:$C$177),NA()))</f>
        <v>1170060.4519999998</v>
      </c>
      <c r="P77">
        <f>IF(ISBLANK($D77),NA(),IFERROR(SUM($D77:$D$177),NA()))</f>
        <v>870537.79600000021</v>
      </c>
      <c r="Q77">
        <f t="shared" si="24"/>
        <v>2040598.2480000001</v>
      </c>
      <c r="R77">
        <f t="shared" si="25"/>
        <v>43.537973771699534</v>
      </c>
      <c r="S77">
        <f t="shared" si="26"/>
        <v>57.339089315928874</v>
      </c>
      <c r="T77">
        <f>IF(ISBLANK($E77),NA(),IFERROR(SUM($E77:$E$177),NA()))</f>
        <v>1021254.7759999998</v>
      </c>
      <c r="U77">
        <f>IF(ISBLANK($F77),NA(),IFERROR(SUM($F77:$F$177),NA()))</f>
        <v>1350907.9369999999</v>
      </c>
      <c r="V77">
        <f>IF(ISBLANK($G77),NA(),IFERROR(SUM($G77:$G$177),NA()))</f>
        <v>1126695.8820000002</v>
      </c>
      <c r="W77">
        <f t="shared" si="27"/>
        <v>2477603.8190000001</v>
      </c>
      <c r="X77">
        <f t="shared" si="28"/>
        <v>41.219454384446109</v>
      </c>
      <c r="Y77">
        <f t="shared" si="29"/>
        <v>54.524776182547519</v>
      </c>
      <c r="Z77" t="e">
        <f>IF(ISBLANK($H77),NA(),IFERROR(SUM($H77:$H$177),NA()))</f>
        <v>#N/A</v>
      </c>
      <c r="AA77" t="e">
        <f>IF(ISBLANK($I77),NA(),IFERROR(SUM($I77:$I$177),NA()))</f>
        <v>#N/A</v>
      </c>
      <c r="AB77" t="e">
        <f>IF(ISBLANK($J77),NA(),IFERROR(SUM($J77:$J$177),NA()))</f>
        <v>#N/A</v>
      </c>
      <c r="AC77" t="str">
        <f t="shared" si="30"/>
        <v/>
      </c>
      <c r="AD77" t="e">
        <f t="shared" si="31"/>
        <v>#N/A</v>
      </c>
      <c r="AE77" t="e">
        <f t="shared" si="32"/>
        <v>#N/A</v>
      </c>
      <c r="AF77" t="e">
        <f>IF(ISBLANK($K77),NA(),IFERROR(SUM($K77:$K$177),NA()))</f>
        <v>#N/A</v>
      </c>
      <c r="AG77" t="e">
        <f>IF(ISBLANK($L77),NA(),IFERROR(SUM($L77:$L$177),NA()))</f>
        <v>#N/A</v>
      </c>
      <c r="AH77" t="e">
        <f>IF(ISBLANK($M77),NA(),IFERROR(SUM($M77:$M$177),NA()))</f>
        <v>#N/A</v>
      </c>
      <c r="AI77" t="str">
        <f t="shared" si="33"/>
        <v/>
      </c>
      <c r="AJ77" t="e">
        <f t="shared" si="34"/>
        <v>#N/A</v>
      </c>
      <c r="AK77" t="e">
        <f t="shared" si="35"/>
        <v>#N/A</v>
      </c>
    </row>
    <row r="78" spans="1:37" x14ac:dyDescent="0.35">
      <c r="A78">
        <v>1925</v>
      </c>
      <c r="B78">
        <v>3889.7289999999998</v>
      </c>
      <c r="C78">
        <v>4204.0389999999998</v>
      </c>
      <c r="D78">
        <v>690.92</v>
      </c>
      <c r="E78">
        <v>4591.1790000000001</v>
      </c>
      <c r="F78">
        <v>5190.0020000000004</v>
      </c>
      <c r="G78">
        <v>1608.9549999999999</v>
      </c>
      <c r="N78">
        <f>IF(ISBLANK($B78),NA(),IFERROR(SUM($B78:$B$177),NA()))</f>
        <v>884580.93900000036</v>
      </c>
      <c r="O78">
        <f>IF(ISBLANK($C78),NA(),IFERROR(SUM($C78:$C$177),NA()))</f>
        <v>1165890.5239999997</v>
      </c>
      <c r="P78">
        <f>IF(ISBLANK($D78),NA(),IFERROR(SUM($D78:$D$177),NA()))</f>
        <v>869846.66200000024</v>
      </c>
      <c r="Q78">
        <f t="shared" si="24"/>
        <v>2035737.186</v>
      </c>
      <c r="R78">
        <f t="shared" si="25"/>
        <v>43.452609948050551</v>
      </c>
      <c r="S78">
        <f t="shared" si="26"/>
        <v>57.271170955561637</v>
      </c>
      <c r="T78">
        <f>IF(ISBLANK($E78),NA(),IFERROR(SUM($E78:$E$177),NA()))</f>
        <v>1016729.1029999999</v>
      </c>
      <c r="U78">
        <f>IF(ISBLANK($F78),NA(),IFERROR(SUM($F78:$F$177),NA()))</f>
        <v>1345785.9249999998</v>
      </c>
      <c r="V78">
        <f>IF(ISBLANK($G78),NA(),IFERROR(SUM($G78:$G$177),NA()))</f>
        <v>1125102.003</v>
      </c>
      <c r="W78">
        <f t="shared" si="27"/>
        <v>2470887.9279999998</v>
      </c>
      <c r="X78">
        <f t="shared" si="28"/>
        <v>41.148329370930497</v>
      </c>
      <c r="Y78">
        <f t="shared" si="29"/>
        <v>54.465680525191338</v>
      </c>
      <c r="Z78" t="e">
        <f>IF(ISBLANK($H78),NA(),IFERROR(SUM($H78:$H$177),NA()))</f>
        <v>#N/A</v>
      </c>
      <c r="AA78" t="e">
        <f>IF(ISBLANK($I78),NA(),IFERROR(SUM($I78:$I$177),NA()))</f>
        <v>#N/A</v>
      </c>
      <c r="AB78" t="e">
        <f>IF(ISBLANK($J78),NA(),IFERROR(SUM($J78:$J$177),NA()))</f>
        <v>#N/A</v>
      </c>
      <c r="AC78" t="str">
        <f t="shared" si="30"/>
        <v/>
      </c>
      <c r="AD78" t="e">
        <f t="shared" si="31"/>
        <v>#N/A</v>
      </c>
      <c r="AE78" t="e">
        <f t="shared" si="32"/>
        <v>#N/A</v>
      </c>
      <c r="AF78" t="e">
        <f>IF(ISBLANK($K78),NA(),IFERROR(SUM($K78:$K$177),NA()))</f>
        <v>#N/A</v>
      </c>
      <c r="AG78" t="e">
        <f>IF(ISBLANK($L78),NA(),IFERROR(SUM($L78:$L$177),NA()))</f>
        <v>#N/A</v>
      </c>
      <c r="AH78" t="e">
        <f>IF(ISBLANK($M78),NA(),IFERROR(SUM($M78:$M$177),NA()))</f>
        <v>#N/A</v>
      </c>
      <c r="AI78" t="str">
        <f t="shared" si="33"/>
        <v/>
      </c>
      <c r="AJ78" t="e">
        <f t="shared" si="34"/>
        <v>#N/A</v>
      </c>
      <c r="AK78" t="e">
        <f t="shared" si="35"/>
        <v>#N/A</v>
      </c>
    </row>
    <row r="79" spans="1:37" x14ac:dyDescent="0.35">
      <c r="A79">
        <v>1926</v>
      </c>
      <c r="B79">
        <v>3786.8130000000001</v>
      </c>
      <c r="C79">
        <v>4134.4870000000001</v>
      </c>
      <c r="D79">
        <v>691.327</v>
      </c>
      <c r="E79">
        <v>4488.8739999999998</v>
      </c>
      <c r="F79">
        <v>5126.0510000000004</v>
      </c>
      <c r="G79">
        <v>1632.3109999999999</v>
      </c>
      <c r="N79">
        <f>IF(ISBLANK($B79),NA(),IFERROR(SUM($B79:$B$177),NA()))</f>
        <v>880691.21000000031</v>
      </c>
      <c r="O79">
        <f>IF(ISBLANK($C79),NA(),IFERROR(SUM($C79:$C$177),NA()))</f>
        <v>1161686.4849999999</v>
      </c>
      <c r="P79">
        <f>IF(ISBLANK($D79),NA(),IFERROR(SUM($D79:$D$177),NA()))</f>
        <v>869155.7420000002</v>
      </c>
      <c r="Q79">
        <f t="shared" si="24"/>
        <v>2030842.227</v>
      </c>
      <c r="R79">
        <f t="shared" si="25"/>
        <v>43.365811400375236</v>
      </c>
      <c r="S79">
        <f t="shared" si="26"/>
        <v>57.202202591388208</v>
      </c>
      <c r="T79">
        <f>IF(ISBLANK($E79),NA(),IFERROR(SUM($E79:$E$177),NA()))</f>
        <v>1012137.9239999999</v>
      </c>
      <c r="U79">
        <f>IF(ISBLANK($F79),NA(),IFERROR(SUM($F79:$F$177),NA()))</f>
        <v>1340595.923</v>
      </c>
      <c r="V79">
        <f>IF(ISBLANK($G79),NA(),IFERROR(SUM($G79:$G$177),NA()))</f>
        <v>1123493.048</v>
      </c>
      <c r="W79">
        <f t="shared" si="27"/>
        <v>2464088.9709999999</v>
      </c>
      <c r="X79">
        <f t="shared" si="28"/>
        <v>41.075542965855021</v>
      </c>
      <c r="Y79">
        <f t="shared" si="29"/>
        <v>54.40533758226865</v>
      </c>
      <c r="Z79" t="e">
        <f>IF(ISBLANK($H79),NA(),IFERROR(SUM($H79:$H$177),NA()))</f>
        <v>#N/A</v>
      </c>
      <c r="AA79" t="e">
        <f>IF(ISBLANK($I79),NA(),IFERROR(SUM($I79:$I$177),NA()))</f>
        <v>#N/A</v>
      </c>
      <c r="AB79" t="e">
        <f>IF(ISBLANK($J79),NA(),IFERROR(SUM($J79:$J$177),NA()))</f>
        <v>#N/A</v>
      </c>
      <c r="AC79" t="str">
        <f t="shared" si="30"/>
        <v/>
      </c>
      <c r="AD79" t="e">
        <f t="shared" si="31"/>
        <v>#N/A</v>
      </c>
      <c r="AE79" t="e">
        <f t="shared" si="32"/>
        <v>#N/A</v>
      </c>
      <c r="AF79" t="e">
        <f>IF(ISBLANK($K79),NA(),IFERROR(SUM($K79:$K$177),NA()))</f>
        <v>#N/A</v>
      </c>
      <c r="AG79" t="e">
        <f>IF(ISBLANK($L79),NA(),IFERROR(SUM($L79:$L$177),NA()))</f>
        <v>#N/A</v>
      </c>
      <c r="AH79" t="e">
        <f>IF(ISBLANK($M79),NA(),IFERROR(SUM($M79:$M$177),NA()))</f>
        <v>#N/A</v>
      </c>
      <c r="AI79" t="str">
        <f t="shared" si="33"/>
        <v/>
      </c>
      <c r="AJ79" t="e">
        <f t="shared" si="34"/>
        <v>#N/A</v>
      </c>
      <c r="AK79" t="e">
        <f t="shared" si="35"/>
        <v>#N/A</v>
      </c>
    </row>
    <row r="80" spans="1:37" x14ac:dyDescent="0.35">
      <c r="A80">
        <v>1927</v>
      </c>
      <c r="B80">
        <v>4127.5810000000001</v>
      </c>
      <c r="C80">
        <v>4518.1080000000002</v>
      </c>
      <c r="D80">
        <v>702.90499999999997</v>
      </c>
      <c r="E80">
        <v>4861.8670000000002</v>
      </c>
      <c r="F80">
        <v>5550.2520000000004</v>
      </c>
      <c r="G80">
        <v>1660.6010000000001</v>
      </c>
      <c r="N80">
        <f>IF(ISBLANK($B80),NA(),IFERROR(SUM($B80:$B$177),NA()))</f>
        <v>876904.39700000046</v>
      </c>
      <c r="O80">
        <f>IF(ISBLANK($C80),NA(),IFERROR(SUM($C80:$C$177),NA()))</f>
        <v>1157551.9979999999</v>
      </c>
      <c r="P80">
        <f>IF(ISBLANK($D80),NA(),IFERROR(SUM($D80:$D$177),NA()))</f>
        <v>868464.41500000015</v>
      </c>
      <c r="Q80">
        <f t="shared" si="24"/>
        <v>2026016.4130000002</v>
      </c>
      <c r="R80">
        <f t="shared" si="25"/>
        <v>43.282196105288925</v>
      </c>
      <c r="S80">
        <f t="shared" si="26"/>
        <v>57.13438403423239</v>
      </c>
      <c r="T80">
        <f>IF(ISBLANK($E80),NA(),IFERROR(SUM($E80:$E$177),NA()))</f>
        <v>1007649.0499999998</v>
      </c>
      <c r="U80">
        <f>IF(ISBLANK($F80),NA(),IFERROR(SUM($F80:$F$177),NA()))</f>
        <v>1335469.8719999997</v>
      </c>
      <c r="V80">
        <f>IF(ISBLANK($G80),NA(),IFERROR(SUM($G80:$G$177),NA()))</f>
        <v>1121860.7370000002</v>
      </c>
      <c r="W80">
        <f t="shared" si="27"/>
        <v>2457330.6090000002</v>
      </c>
      <c r="X80">
        <f t="shared" si="28"/>
        <v>41.005839682681447</v>
      </c>
      <c r="Y80">
        <f t="shared" si="29"/>
        <v>54.346365405974552</v>
      </c>
      <c r="Z80" t="e">
        <f>IF(ISBLANK($H80),NA(),IFERROR(SUM($H80:$H$177),NA()))</f>
        <v>#N/A</v>
      </c>
      <c r="AA80" t="e">
        <f>IF(ISBLANK($I80),NA(),IFERROR(SUM($I80:$I$177),NA()))</f>
        <v>#N/A</v>
      </c>
      <c r="AB80" t="e">
        <f>IF(ISBLANK($J80),NA(),IFERROR(SUM($J80:$J$177),NA()))</f>
        <v>#N/A</v>
      </c>
      <c r="AC80" t="str">
        <f t="shared" si="30"/>
        <v/>
      </c>
      <c r="AD80" t="e">
        <f t="shared" si="31"/>
        <v>#N/A</v>
      </c>
      <c r="AE80" t="e">
        <f t="shared" si="32"/>
        <v>#N/A</v>
      </c>
      <c r="AF80" t="e">
        <f>IF(ISBLANK($K80),NA(),IFERROR(SUM($K80:$K$177),NA()))</f>
        <v>#N/A</v>
      </c>
      <c r="AG80" t="e">
        <f>IF(ISBLANK($L80),NA(),IFERROR(SUM($L80:$L$177),NA()))</f>
        <v>#N/A</v>
      </c>
      <c r="AH80" t="e">
        <f>IF(ISBLANK($M80),NA(),IFERROR(SUM($M80:$M$177),NA()))</f>
        <v>#N/A</v>
      </c>
      <c r="AI80" t="str">
        <f t="shared" si="33"/>
        <v/>
      </c>
      <c r="AJ80" t="e">
        <f t="shared" si="34"/>
        <v>#N/A</v>
      </c>
      <c r="AK80" t="e">
        <f t="shared" si="35"/>
        <v>#N/A</v>
      </c>
    </row>
    <row r="81" spans="1:37" x14ac:dyDescent="0.35">
      <c r="A81">
        <v>1928</v>
      </c>
      <c r="B81">
        <v>4079.09</v>
      </c>
      <c r="C81">
        <v>4490.0780000000004</v>
      </c>
      <c r="D81">
        <v>716.995</v>
      </c>
      <c r="E81">
        <v>4805.9799999999996</v>
      </c>
      <c r="F81">
        <v>5517.2209999999995</v>
      </c>
      <c r="G81">
        <v>1702.973</v>
      </c>
      <c r="N81">
        <f>IF(ISBLANK($B81),NA(),IFERROR(SUM($B81:$B$177),NA()))</f>
        <v>872776.81600000022</v>
      </c>
      <c r="O81">
        <f>IF(ISBLANK($C81),NA(),IFERROR(SUM($C81:$C$177),NA()))</f>
        <v>1153033.8899999999</v>
      </c>
      <c r="P81">
        <f>IF(ISBLANK($D81),NA(),IFERROR(SUM($D81:$D$177),NA()))</f>
        <v>867761.51000000024</v>
      </c>
      <c r="Q81">
        <f t="shared" si="24"/>
        <v>2020795.4000000001</v>
      </c>
      <c r="R81">
        <f t="shared" si="25"/>
        <v>43.189766564195473</v>
      </c>
      <c r="S81">
        <f t="shared" si="26"/>
        <v>57.058418185235368</v>
      </c>
      <c r="T81">
        <f>IF(ISBLANK($E81),NA(),IFERROR(SUM($E81:$E$177),NA()))</f>
        <v>1002787.1829999997</v>
      </c>
      <c r="U81">
        <f>IF(ISBLANK($F81),NA(),IFERROR(SUM($F81:$F$177),NA()))</f>
        <v>1329919.6199999999</v>
      </c>
      <c r="V81">
        <f>IF(ISBLANK($G81),NA(),IFERROR(SUM($G81:$G$177),NA()))</f>
        <v>1120200.1359999999</v>
      </c>
      <c r="W81">
        <f t="shared" si="27"/>
        <v>2450119.7560000001</v>
      </c>
      <c r="X81">
        <f t="shared" si="28"/>
        <v>40.928088537073108</v>
      </c>
      <c r="Y81">
        <f t="shared" si="29"/>
        <v>54.279780273727972</v>
      </c>
      <c r="Z81" t="e">
        <f>IF(ISBLANK($H81),NA(),IFERROR(SUM($H81:$H$177),NA()))</f>
        <v>#N/A</v>
      </c>
      <c r="AA81" t="e">
        <f>IF(ISBLANK($I81),NA(),IFERROR(SUM($I81:$I$177),NA()))</f>
        <v>#N/A</v>
      </c>
      <c r="AB81" t="e">
        <f>IF(ISBLANK($J81),NA(),IFERROR(SUM($J81:$J$177),NA()))</f>
        <v>#N/A</v>
      </c>
      <c r="AC81" t="str">
        <f t="shared" si="30"/>
        <v/>
      </c>
      <c r="AD81" t="e">
        <f t="shared" si="31"/>
        <v>#N/A</v>
      </c>
      <c r="AE81" t="e">
        <f t="shared" si="32"/>
        <v>#N/A</v>
      </c>
      <c r="AF81" t="e">
        <f>IF(ISBLANK($K81),NA(),IFERROR(SUM($K81:$K$177),NA()))</f>
        <v>#N/A</v>
      </c>
      <c r="AG81" t="e">
        <f>IF(ISBLANK($L81),NA(),IFERROR(SUM($L81:$L$177),NA()))</f>
        <v>#N/A</v>
      </c>
      <c r="AH81" t="e">
        <f>IF(ISBLANK($M81),NA(),IFERROR(SUM($M81:$M$177),NA()))</f>
        <v>#N/A</v>
      </c>
      <c r="AI81" t="str">
        <f t="shared" si="33"/>
        <v/>
      </c>
      <c r="AJ81" t="e">
        <f t="shared" si="34"/>
        <v>#N/A</v>
      </c>
      <c r="AK81" t="e">
        <f t="shared" si="35"/>
        <v>#N/A</v>
      </c>
    </row>
    <row r="82" spans="1:37" x14ac:dyDescent="0.35">
      <c r="A82">
        <v>1929</v>
      </c>
      <c r="B82">
        <v>4362.1530000000002</v>
      </c>
      <c r="C82">
        <v>4807.4309999999996</v>
      </c>
      <c r="D82">
        <v>736.21</v>
      </c>
      <c r="E82">
        <v>5109.88</v>
      </c>
      <c r="F82">
        <v>5858.9110000000001</v>
      </c>
      <c r="G82">
        <v>1744.1189999999999</v>
      </c>
      <c r="N82">
        <f>IF(ISBLANK($B82),NA(),IFERROR(SUM($B82:$B$177),NA()))</f>
        <v>868697.72600000014</v>
      </c>
      <c r="O82">
        <f>IF(ISBLANK($C82),NA(),IFERROR(SUM($C82:$C$177),NA()))</f>
        <v>1148543.8119999999</v>
      </c>
      <c r="P82">
        <f>IF(ISBLANK($D82),NA(),IFERROR(SUM($D82:$D$177),NA()))</f>
        <v>867044.51500000025</v>
      </c>
      <c r="Q82">
        <f t="shared" si="24"/>
        <v>2015588.327</v>
      </c>
      <c r="R82">
        <f t="shared" si="25"/>
        <v>43.098965912993208</v>
      </c>
      <c r="S82">
        <f t="shared" si="26"/>
        <v>56.983055349873538</v>
      </c>
      <c r="T82">
        <f>IF(ISBLANK($E82),NA(),IFERROR(SUM($E82:$E$177),NA()))</f>
        <v>997981.20299999986</v>
      </c>
      <c r="U82">
        <f>IF(ISBLANK($F82),NA(),IFERROR(SUM($F82:$F$177),NA()))</f>
        <v>1324402.399</v>
      </c>
      <c r="V82">
        <f>IF(ISBLANK($G82),NA(),IFERROR(SUM($G82:$G$177),NA()))</f>
        <v>1118497.1630000002</v>
      </c>
      <c r="W82">
        <f t="shared" si="27"/>
        <v>2442899.5619999999</v>
      </c>
      <c r="X82">
        <f t="shared" si="28"/>
        <v>40.852322319094995</v>
      </c>
      <c r="Y82">
        <f t="shared" si="29"/>
        <v>54.21436147443216</v>
      </c>
      <c r="Z82" t="e">
        <f>IF(ISBLANK($H82),NA(),IFERROR(SUM($H82:$H$177),NA()))</f>
        <v>#N/A</v>
      </c>
      <c r="AA82" t="e">
        <f>IF(ISBLANK($I82),NA(),IFERROR(SUM($I82:$I$177),NA()))</f>
        <v>#N/A</v>
      </c>
      <c r="AB82" t="e">
        <f>IF(ISBLANK($J82),NA(),IFERROR(SUM($J82:$J$177),NA()))</f>
        <v>#N/A</v>
      </c>
      <c r="AC82" t="str">
        <f t="shared" si="30"/>
        <v/>
      </c>
      <c r="AD82" t="e">
        <f t="shared" si="31"/>
        <v>#N/A</v>
      </c>
      <c r="AE82" t="e">
        <f t="shared" si="32"/>
        <v>#N/A</v>
      </c>
      <c r="AF82" t="e">
        <f>IF(ISBLANK($K82),NA(),IFERROR(SUM($K82:$K$177),NA()))</f>
        <v>#N/A</v>
      </c>
      <c r="AG82" t="e">
        <f>IF(ISBLANK($L82),NA(),IFERROR(SUM($L82:$L$177),NA()))</f>
        <v>#N/A</v>
      </c>
      <c r="AH82" t="e">
        <f>IF(ISBLANK($M82),NA(),IFERROR(SUM($M82:$M$177),NA()))</f>
        <v>#N/A</v>
      </c>
      <c r="AI82" t="str">
        <f t="shared" si="33"/>
        <v/>
      </c>
      <c r="AJ82" t="e">
        <f t="shared" si="34"/>
        <v>#N/A</v>
      </c>
      <c r="AK82" t="e">
        <f t="shared" si="35"/>
        <v>#N/A</v>
      </c>
    </row>
    <row r="83" spans="1:37" x14ac:dyDescent="0.35">
      <c r="A83">
        <v>1930</v>
      </c>
      <c r="B83">
        <v>3986.2429999999999</v>
      </c>
      <c r="C83">
        <v>4459.4070000000002</v>
      </c>
      <c r="D83">
        <v>742.37699999999995</v>
      </c>
      <c r="E83">
        <v>4717.2129999999997</v>
      </c>
      <c r="F83">
        <v>5498.174</v>
      </c>
      <c r="G83">
        <v>1771.011</v>
      </c>
      <c r="N83">
        <f>IF(ISBLANK($B83),NA(),IFERROR(SUM($B83:$B$177),NA()))</f>
        <v>864335.57300000021</v>
      </c>
      <c r="O83">
        <f>IF(ISBLANK($C83),NA(),IFERROR(SUM($C83:$C$177),NA()))</f>
        <v>1143736.3810000001</v>
      </c>
      <c r="P83">
        <f>IF(ISBLANK($D83),NA(),IFERROR(SUM($D83:$D$177),NA()))</f>
        <v>866308.30500000017</v>
      </c>
      <c r="Q83">
        <f t="shared" si="24"/>
        <v>2010044.6860000002</v>
      </c>
      <c r="R83">
        <f t="shared" si="25"/>
        <v>43.000813813748223</v>
      </c>
      <c r="S83">
        <f t="shared" si="26"/>
        <v>56.901042497519875</v>
      </c>
      <c r="T83">
        <f>IF(ISBLANK($E83),NA(),IFERROR(SUM($E83:$E$177),NA()))</f>
        <v>992871.32299999986</v>
      </c>
      <c r="U83">
        <f>IF(ISBLANK($F83),NA(),IFERROR(SUM($F83:$F$177),NA()))</f>
        <v>1318543.4879999999</v>
      </c>
      <c r="V83">
        <f>IF(ISBLANK($G83),NA(),IFERROR(SUM($G83:$G$177),NA()))</f>
        <v>1116753.0440000002</v>
      </c>
      <c r="W83">
        <f t="shared" si="27"/>
        <v>2435296.5320000001</v>
      </c>
      <c r="X83">
        <f t="shared" si="28"/>
        <v>40.7700380612212</v>
      </c>
      <c r="Y83">
        <f t="shared" si="29"/>
        <v>54.143036409497903</v>
      </c>
      <c r="Z83" t="e">
        <f>IF(ISBLANK($H83),NA(),IFERROR(SUM($H83:$H$177),NA()))</f>
        <v>#N/A</v>
      </c>
      <c r="AA83" t="e">
        <f>IF(ISBLANK($I83),NA(),IFERROR(SUM($I83:$I$177),NA()))</f>
        <v>#N/A</v>
      </c>
      <c r="AB83" t="e">
        <f>IF(ISBLANK($J83),NA(),IFERROR(SUM($J83:$J$177),NA()))</f>
        <v>#N/A</v>
      </c>
      <c r="AC83" t="str">
        <f t="shared" si="30"/>
        <v/>
      </c>
      <c r="AD83" t="e">
        <f t="shared" si="31"/>
        <v>#N/A</v>
      </c>
      <c r="AE83" t="e">
        <f t="shared" si="32"/>
        <v>#N/A</v>
      </c>
      <c r="AF83" t="e">
        <f>IF(ISBLANK($K83),NA(),IFERROR(SUM($K83:$K$177),NA()))</f>
        <v>#N/A</v>
      </c>
      <c r="AG83" t="e">
        <f>IF(ISBLANK($L83),NA(),IFERROR(SUM($L83:$L$177),NA()))</f>
        <v>#N/A</v>
      </c>
      <c r="AH83" t="e">
        <f>IF(ISBLANK($M83),NA(),IFERROR(SUM($M83:$M$177),NA()))</f>
        <v>#N/A</v>
      </c>
      <c r="AI83" t="str">
        <f t="shared" si="33"/>
        <v/>
      </c>
      <c r="AJ83" t="e">
        <f t="shared" si="34"/>
        <v>#N/A</v>
      </c>
      <c r="AK83" t="e">
        <f t="shared" si="35"/>
        <v>#N/A</v>
      </c>
    </row>
    <row r="84" spans="1:37" x14ac:dyDescent="0.35">
      <c r="A84">
        <v>1931</v>
      </c>
      <c r="B84">
        <v>3509.8110000000001</v>
      </c>
      <c r="C84">
        <v>4016.5430000000001</v>
      </c>
      <c r="D84">
        <v>736.39</v>
      </c>
      <c r="E84">
        <v>4226.1469999999999</v>
      </c>
      <c r="F84">
        <v>5044.8379999999997</v>
      </c>
      <c r="G84">
        <v>1769.7539999999999</v>
      </c>
      <c r="N84">
        <f>IF(ISBLANK($B84),NA(),IFERROR(SUM($B84:$B$177),NA()))</f>
        <v>860349.33000000019</v>
      </c>
      <c r="O84">
        <f>IF(ISBLANK($C84),NA(),IFERROR(SUM($C84:$C$177),NA()))</f>
        <v>1139276.9739999999</v>
      </c>
      <c r="P84">
        <f>IF(ISBLANK($D84),NA(),IFERROR(SUM($D84:$D$177),NA()))</f>
        <v>865565.92800000019</v>
      </c>
      <c r="Q84">
        <f t="shared" si="24"/>
        <v>2004842.9020000002</v>
      </c>
      <c r="R84">
        <f t="shared" si="25"/>
        <v>42.913553433125806</v>
      </c>
      <c r="S84">
        <f t="shared" si="26"/>
        <v>56.82624672803415</v>
      </c>
      <c r="T84">
        <f>IF(ISBLANK($E84),NA(),IFERROR(SUM($E84:$E$177),NA()))</f>
        <v>988154.10999999975</v>
      </c>
      <c r="U84">
        <f>IF(ISBLANK($F84),NA(),IFERROR(SUM($F84:$F$177),NA()))</f>
        <v>1313045.314</v>
      </c>
      <c r="V84">
        <f>IF(ISBLANK($G84),NA(),IFERROR(SUM($G84:$G$177),NA()))</f>
        <v>1114982.0329999998</v>
      </c>
      <c r="W84">
        <f t="shared" si="27"/>
        <v>2428027.3470000001</v>
      </c>
      <c r="X84">
        <f t="shared" si="28"/>
        <v>40.697816324883419</v>
      </c>
      <c r="Y84">
        <f t="shared" si="29"/>
        <v>54.078687195280587</v>
      </c>
      <c r="Z84" t="e">
        <f>IF(ISBLANK($H84),NA(),IFERROR(SUM($H84:$H$177),NA()))</f>
        <v>#N/A</v>
      </c>
      <c r="AA84" t="e">
        <f>IF(ISBLANK($I84),NA(),IFERROR(SUM($I84:$I$177),NA()))</f>
        <v>#N/A</v>
      </c>
      <c r="AB84" t="e">
        <f>IF(ISBLANK($J84),NA(),IFERROR(SUM($J84:$J$177),NA()))</f>
        <v>#N/A</v>
      </c>
      <c r="AC84" t="str">
        <f t="shared" si="30"/>
        <v/>
      </c>
      <c r="AD84" t="e">
        <f t="shared" si="31"/>
        <v>#N/A</v>
      </c>
      <c r="AE84" t="e">
        <f t="shared" si="32"/>
        <v>#N/A</v>
      </c>
      <c r="AF84" t="e">
        <f>IF(ISBLANK($K84),NA(),IFERROR(SUM($K84:$K$177),NA()))</f>
        <v>#N/A</v>
      </c>
      <c r="AG84" t="e">
        <f>IF(ISBLANK($L84),NA(),IFERROR(SUM($L84:$L$177),NA()))</f>
        <v>#N/A</v>
      </c>
      <c r="AH84" t="e">
        <f>IF(ISBLANK($M84),NA(),IFERROR(SUM($M84:$M$177),NA()))</f>
        <v>#N/A</v>
      </c>
      <c r="AI84" t="str">
        <f t="shared" si="33"/>
        <v/>
      </c>
      <c r="AJ84" t="e">
        <f t="shared" si="34"/>
        <v>#N/A</v>
      </c>
      <c r="AK84" t="e">
        <f t="shared" si="35"/>
        <v>#N/A</v>
      </c>
    </row>
    <row r="85" spans="1:37" x14ac:dyDescent="0.35">
      <c r="A85">
        <v>1932</v>
      </c>
      <c r="B85">
        <v>3122.1959999999999</v>
      </c>
      <c r="C85">
        <v>3633.0210000000002</v>
      </c>
      <c r="D85">
        <v>754.22</v>
      </c>
      <c r="E85">
        <v>3826.2130000000002</v>
      </c>
      <c r="F85">
        <v>4651.2030000000004</v>
      </c>
      <c r="G85">
        <v>1795.8240000000001</v>
      </c>
      <c r="N85">
        <f>IF(ISBLANK($B85),NA(),IFERROR(SUM($B85:$B$177),NA()))</f>
        <v>856839.5190000002</v>
      </c>
      <c r="O85">
        <f>IF(ISBLANK($C85),NA(),IFERROR(SUM($C85:$C$177),NA()))</f>
        <v>1135260.4310000001</v>
      </c>
      <c r="P85">
        <f>IF(ISBLANK($D85),NA(),IFERROR(SUM($D85:$D$177),NA()))</f>
        <v>864829.53800000018</v>
      </c>
      <c r="Q85">
        <f t="shared" si="24"/>
        <v>2000089.9690000003</v>
      </c>
      <c r="R85">
        <f t="shared" si="25"/>
        <v>42.840048811824225</v>
      </c>
      <c r="S85">
        <f t="shared" si="26"/>
        <v>56.76046820871786</v>
      </c>
      <c r="T85">
        <f>IF(ISBLANK($E85),NA(),IFERROR(SUM($E85:$E$177),NA()))</f>
        <v>983927.96299999976</v>
      </c>
      <c r="U85">
        <f>IF(ISBLANK($F85),NA(),IFERROR(SUM($F85:$F$177),NA()))</f>
        <v>1308000.476</v>
      </c>
      <c r="V85">
        <f>IF(ISBLANK($G85),NA(),IFERROR(SUM($G85:$G$177),NA()))</f>
        <v>1113212.2790000001</v>
      </c>
      <c r="W85">
        <f t="shared" si="27"/>
        <v>2421212.7549999999</v>
      </c>
      <c r="X85">
        <f t="shared" si="28"/>
        <v>40.637815118399203</v>
      </c>
      <c r="Y85">
        <f t="shared" si="29"/>
        <v>54.022533678582086</v>
      </c>
      <c r="Z85" t="e">
        <f>IF(ISBLANK($H85),NA(),IFERROR(SUM($H85:$H$177),NA()))</f>
        <v>#N/A</v>
      </c>
      <c r="AA85" t="e">
        <f>IF(ISBLANK($I85),NA(),IFERROR(SUM($I85:$I$177),NA()))</f>
        <v>#N/A</v>
      </c>
      <c r="AB85" t="e">
        <f>IF(ISBLANK($J85),NA(),IFERROR(SUM($J85:$J$177),NA()))</f>
        <v>#N/A</v>
      </c>
      <c r="AC85" t="str">
        <f t="shared" si="30"/>
        <v/>
      </c>
      <c r="AD85" t="e">
        <f t="shared" si="31"/>
        <v>#N/A</v>
      </c>
      <c r="AE85" t="e">
        <f t="shared" si="32"/>
        <v>#N/A</v>
      </c>
      <c r="AF85" t="e">
        <f>IF(ISBLANK($K85),NA(),IFERROR(SUM($K85:$K$177),NA()))</f>
        <v>#N/A</v>
      </c>
      <c r="AG85" t="e">
        <f>IF(ISBLANK($L85),NA(),IFERROR(SUM($L85:$L$177),NA()))</f>
        <v>#N/A</v>
      </c>
      <c r="AH85" t="e">
        <f>IF(ISBLANK($M85),NA(),IFERROR(SUM($M85:$M$177),NA()))</f>
        <v>#N/A</v>
      </c>
      <c r="AI85" t="str">
        <f t="shared" si="33"/>
        <v/>
      </c>
      <c r="AJ85" t="e">
        <f t="shared" si="34"/>
        <v>#N/A</v>
      </c>
      <c r="AK85" t="e">
        <f t="shared" si="35"/>
        <v>#N/A</v>
      </c>
    </row>
    <row r="86" spans="1:37" x14ac:dyDescent="0.35">
      <c r="A86">
        <v>1933</v>
      </c>
      <c r="B86">
        <v>3268.902</v>
      </c>
      <c r="C86">
        <v>3803.6039999999998</v>
      </c>
      <c r="D86">
        <v>783.41</v>
      </c>
      <c r="E86">
        <v>3981.1790000000001</v>
      </c>
      <c r="F86">
        <v>4832.1670000000004</v>
      </c>
      <c r="G86">
        <v>1838.864</v>
      </c>
      <c r="N86">
        <f>IF(ISBLANK($B86),NA(),IFERROR(SUM($B86:$B$177),NA()))</f>
        <v>853717.32300000021</v>
      </c>
      <c r="O86">
        <f>IF(ISBLANK($C86),NA(),IFERROR(SUM($C86:$C$177),NA()))</f>
        <v>1131627.4100000001</v>
      </c>
      <c r="P86">
        <f>IF(ISBLANK($D86),NA(),IFERROR(SUM($D86:$D$177),NA()))</f>
        <v>864075.3180000002</v>
      </c>
      <c r="Q86">
        <f t="shared" si="24"/>
        <v>1995702.7280000004</v>
      </c>
      <c r="R86">
        <f t="shared" si="25"/>
        <v>42.777780028168607</v>
      </c>
      <c r="S86">
        <f t="shared" si="26"/>
        <v>56.703205047680825</v>
      </c>
      <c r="T86">
        <f>IF(ISBLANK($E86),NA(),IFERROR(SUM($E86:$E$177),NA()))</f>
        <v>980101.74999999977</v>
      </c>
      <c r="U86">
        <f>IF(ISBLANK($F86),NA(),IFERROR(SUM($F86:$F$177),NA()))</f>
        <v>1303349.2729999998</v>
      </c>
      <c r="V86">
        <f>IF(ISBLANK($G86),NA(),IFERROR(SUM($G86:$G$177),NA()))</f>
        <v>1111416.4550000001</v>
      </c>
      <c r="W86">
        <f t="shared" si="27"/>
        <v>2414765.7280000001</v>
      </c>
      <c r="X86">
        <f t="shared" si="28"/>
        <v>40.587860703645021</v>
      </c>
      <c r="Y86">
        <f t="shared" si="29"/>
        <v>53.974149868338685</v>
      </c>
      <c r="Z86" t="e">
        <f>IF(ISBLANK($H86),NA(),IFERROR(SUM($H86:$H$177),NA()))</f>
        <v>#N/A</v>
      </c>
      <c r="AA86" t="e">
        <f>IF(ISBLANK($I86),NA(),IFERROR(SUM($I86:$I$177),NA()))</f>
        <v>#N/A</v>
      </c>
      <c r="AB86" t="e">
        <f>IF(ISBLANK($J86),NA(),IFERROR(SUM($J86:$J$177),NA()))</f>
        <v>#N/A</v>
      </c>
      <c r="AC86" t="str">
        <f t="shared" si="30"/>
        <v/>
      </c>
      <c r="AD86" t="e">
        <f t="shared" si="31"/>
        <v>#N/A</v>
      </c>
      <c r="AE86" t="e">
        <f t="shared" si="32"/>
        <v>#N/A</v>
      </c>
      <c r="AF86" t="e">
        <f>IF(ISBLANK($K86),NA(),IFERROR(SUM($K86:$K$177),NA()))</f>
        <v>#N/A</v>
      </c>
      <c r="AG86" t="e">
        <f>IF(ISBLANK($L86),NA(),IFERROR(SUM($L86:$L$177),NA()))</f>
        <v>#N/A</v>
      </c>
      <c r="AH86" t="e">
        <f>IF(ISBLANK($M86),NA(),IFERROR(SUM($M86:$M$177),NA()))</f>
        <v>#N/A</v>
      </c>
      <c r="AI86" t="str">
        <f t="shared" si="33"/>
        <v/>
      </c>
      <c r="AJ86" t="e">
        <f t="shared" si="34"/>
        <v>#N/A</v>
      </c>
      <c r="AK86" t="e">
        <f t="shared" si="35"/>
        <v>#N/A</v>
      </c>
    </row>
    <row r="87" spans="1:37" x14ac:dyDescent="0.35">
      <c r="A87">
        <v>1934</v>
      </c>
      <c r="B87">
        <v>3496.0419999999999</v>
      </c>
      <c r="C87">
        <v>4095.5010000000002</v>
      </c>
      <c r="D87">
        <v>837.42100000000005</v>
      </c>
      <c r="E87">
        <v>4222.9369999999999</v>
      </c>
      <c r="F87">
        <v>5142.0569999999998</v>
      </c>
      <c r="G87">
        <v>1912.3150000000001</v>
      </c>
      <c r="N87">
        <f>IF(ISBLANK($B87),NA(),IFERROR(SUM($B87:$B$177),NA()))</f>
        <v>850448.42100000021</v>
      </c>
      <c r="O87">
        <f>IF(ISBLANK($C87),NA(),IFERROR(SUM($C87:$C$177),NA()))</f>
        <v>1127823.8060000001</v>
      </c>
      <c r="P87">
        <f>IF(ISBLANK($D87),NA(),IFERROR(SUM($D87:$D$177),NA()))</f>
        <v>863291.90800000017</v>
      </c>
      <c r="Q87">
        <f t="shared" si="24"/>
        <v>1991115.7140000002</v>
      </c>
      <c r="R87">
        <f t="shared" si="25"/>
        <v>42.712154548341843</v>
      </c>
      <c r="S87">
        <f t="shared" si="26"/>
        <v>56.642805743031765</v>
      </c>
      <c r="T87">
        <f>IF(ISBLANK($E87),NA(),IFERROR(SUM($E87:$E$177),NA()))</f>
        <v>976120.57099999976</v>
      </c>
      <c r="U87">
        <f>IF(ISBLANK($F87),NA(),IFERROR(SUM($F87:$F$177),NA()))</f>
        <v>1298517.1059999999</v>
      </c>
      <c r="V87">
        <f>IF(ISBLANK($G87),NA(),IFERROR(SUM($G87:$G$177),NA()))</f>
        <v>1109577.591</v>
      </c>
      <c r="W87">
        <f t="shared" si="27"/>
        <v>2408094.6969999997</v>
      </c>
      <c r="X87">
        <f t="shared" si="28"/>
        <v>40.534974484850991</v>
      </c>
      <c r="Y87">
        <f t="shared" si="29"/>
        <v>53.923008410661353</v>
      </c>
      <c r="Z87" t="e">
        <f>IF(ISBLANK($H87),NA(),IFERROR(SUM($H87:$H$177),NA()))</f>
        <v>#N/A</v>
      </c>
      <c r="AA87" t="e">
        <f>IF(ISBLANK($I87),NA(),IFERROR(SUM($I87:$I$177),NA()))</f>
        <v>#N/A</v>
      </c>
      <c r="AB87" t="e">
        <f>IF(ISBLANK($J87),NA(),IFERROR(SUM($J87:$J$177),NA()))</f>
        <v>#N/A</v>
      </c>
      <c r="AC87" t="str">
        <f t="shared" si="30"/>
        <v/>
      </c>
      <c r="AD87" t="e">
        <f t="shared" si="31"/>
        <v>#N/A</v>
      </c>
      <c r="AE87" t="e">
        <f t="shared" si="32"/>
        <v>#N/A</v>
      </c>
      <c r="AF87" t="e">
        <f>IF(ISBLANK($K87),NA(),IFERROR(SUM($K87:$K$177),NA()))</f>
        <v>#N/A</v>
      </c>
      <c r="AG87" t="e">
        <f>IF(ISBLANK($L87),NA(),IFERROR(SUM($L87:$L$177),NA()))</f>
        <v>#N/A</v>
      </c>
      <c r="AH87" t="e">
        <f>IF(ISBLANK($M87),NA(),IFERROR(SUM($M87:$M$177),NA()))</f>
        <v>#N/A</v>
      </c>
      <c r="AI87" t="str">
        <f t="shared" si="33"/>
        <v/>
      </c>
      <c r="AJ87" t="e">
        <f t="shared" si="34"/>
        <v>#N/A</v>
      </c>
      <c r="AK87" t="e">
        <f t="shared" si="35"/>
        <v>#N/A</v>
      </c>
    </row>
    <row r="88" spans="1:37" x14ac:dyDescent="0.35">
      <c r="A88">
        <v>1935</v>
      </c>
      <c r="B88">
        <v>3617.741</v>
      </c>
      <c r="C88">
        <v>4261.2060000000001</v>
      </c>
      <c r="D88">
        <v>888.21699999999998</v>
      </c>
      <c r="E88">
        <v>4356.2380000000003</v>
      </c>
      <c r="F88">
        <v>5322.1940000000004</v>
      </c>
      <c r="G88">
        <v>1984.9359999999999</v>
      </c>
      <c r="N88">
        <f>IF(ISBLANK($B88),NA(),IFERROR(SUM($B88:$B$177),NA()))</f>
        <v>846952.37900000007</v>
      </c>
      <c r="O88">
        <f>IF(ISBLANK($C88),NA(),IFERROR(SUM($C88:$C$177),NA()))</f>
        <v>1123728.3049999999</v>
      </c>
      <c r="P88">
        <f>IF(ISBLANK($D88),NA(),IFERROR(SUM($D88:$D$177),NA()))</f>
        <v>862454.4870000002</v>
      </c>
      <c r="Q88">
        <f t="shared" si="24"/>
        <v>1986182.7920000001</v>
      </c>
      <c r="R88">
        <f t="shared" si="25"/>
        <v>42.642217141915509</v>
      </c>
      <c r="S88">
        <f t="shared" si="26"/>
        <v>56.577285309599034</v>
      </c>
      <c r="T88">
        <f>IF(ISBLANK($E88),NA(),IFERROR(SUM($E88:$E$177),NA()))</f>
        <v>971897.63399999985</v>
      </c>
      <c r="U88">
        <f>IF(ISBLANK($F88),NA(),IFERROR(SUM($F88:$F$177),NA()))</f>
        <v>1293375.0489999999</v>
      </c>
      <c r="V88">
        <f>IF(ISBLANK($G88),NA(),IFERROR(SUM($G88:$G$177),NA()))</f>
        <v>1107665.2760000001</v>
      </c>
      <c r="W88">
        <f t="shared" si="27"/>
        <v>2401040.3250000002</v>
      </c>
      <c r="X88">
        <f t="shared" si="28"/>
        <v>40.478188720133211</v>
      </c>
      <c r="Y88">
        <f t="shared" si="29"/>
        <v>53.867277260326716</v>
      </c>
      <c r="Z88" t="e">
        <f>IF(ISBLANK($H88),NA(),IFERROR(SUM($H88:$H$177),NA()))</f>
        <v>#N/A</v>
      </c>
      <c r="AA88" t="e">
        <f>IF(ISBLANK($I88),NA(),IFERROR(SUM($I88:$I$177),NA()))</f>
        <v>#N/A</v>
      </c>
      <c r="AB88" t="e">
        <f>IF(ISBLANK($J88),NA(),IFERROR(SUM($J88:$J$177),NA()))</f>
        <v>#N/A</v>
      </c>
      <c r="AC88" t="str">
        <f t="shared" si="30"/>
        <v/>
      </c>
      <c r="AD88" t="e">
        <f t="shared" si="31"/>
        <v>#N/A</v>
      </c>
      <c r="AE88" t="e">
        <f t="shared" si="32"/>
        <v>#N/A</v>
      </c>
      <c r="AF88" t="e">
        <f>IF(ISBLANK($K88),NA(),IFERROR(SUM($K88:$K$177),NA()))</f>
        <v>#N/A</v>
      </c>
      <c r="AG88" t="e">
        <f>IF(ISBLANK($L88),NA(),IFERROR(SUM($L88:$L$177),NA()))</f>
        <v>#N/A</v>
      </c>
      <c r="AH88" t="e">
        <f>IF(ISBLANK($M88),NA(),IFERROR(SUM($M88:$M$177),NA()))</f>
        <v>#N/A</v>
      </c>
      <c r="AI88" t="str">
        <f t="shared" si="33"/>
        <v/>
      </c>
      <c r="AJ88" t="e">
        <f t="shared" si="34"/>
        <v>#N/A</v>
      </c>
      <c r="AK88" t="e">
        <f t="shared" si="35"/>
        <v>#N/A</v>
      </c>
    </row>
    <row r="89" spans="1:37" x14ac:dyDescent="0.35">
      <c r="A89">
        <v>1936</v>
      </c>
      <c r="B89">
        <v>3951.7089999999998</v>
      </c>
      <c r="C89">
        <v>4658.3280000000004</v>
      </c>
      <c r="D89">
        <v>921.93799999999999</v>
      </c>
      <c r="E89">
        <v>4707.6030000000001</v>
      </c>
      <c r="F89">
        <v>5738.3710000000001</v>
      </c>
      <c r="G89">
        <v>2043.8689999999999</v>
      </c>
      <c r="N89">
        <f>IF(ISBLANK($B89),NA(),IFERROR(SUM($B89:$B$177),NA()))</f>
        <v>843334.63800000015</v>
      </c>
      <c r="O89">
        <f>IF(ISBLANK($C89),NA(),IFERROR(SUM($C89:$C$177),NA()))</f>
        <v>1119467.0990000002</v>
      </c>
      <c r="P89">
        <f>IF(ISBLANK($D89),NA(),IFERROR(SUM($D89:$D$177),NA()))</f>
        <v>861566.27000000014</v>
      </c>
      <c r="Q89">
        <f t="shared" si="24"/>
        <v>1981033.3690000004</v>
      </c>
      <c r="R89">
        <f t="shared" si="25"/>
        <v>42.570440821282297</v>
      </c>
      <c r="S89">
        <f t="shared" si="26"/>
        <v>56.509249996384078</v>
      </c>
      <c r="T89">
        <f>IF(ISBLANK($E89),NA(),IFERROR(SUM($E89:$E$177),NA()))</f>
        <v>967541.39599999983</v>
      </c>
      <c r="U89">
        <f>IF(ISBLANK($F89),NA(),IFERROR(SUM($F89:$F$177),NA()))</f>
        <v>1288052.8549999997</v>
      </c>
      <c r="V89">
        <f>IF(ISBLANK($G89),NA(),IFERROR(SUM($G89:$G$177),NA()))</f>
        <v>1105680.3400000003</v>
      </c>
      <c r="W89">
        <f t="shared" si="27"/>
        <v>2393733.1950000003</v>
      </c>
      <c r="X89">
        <f t="shared" si="28"/>
        <v>40.419767667549081</v>
      </c>
      <c r="Y89">
        <f t="shared" si="29"/>
        <v>53.809374315001705</v>
      </c>
      <c r="Z89" t="e">
        <f>IF(ISBLANK($H89),NA(),IFERROR(SUM($H89:$H$177),NA()))</f>
        <v>#N/A</v>
      </c>
      <c r="AA89" t="e">
        <f>IF(ISBLANK($I89),NA(),IFERROR(SUM($I89:$I$177),NA()))</f>
        <v>#N/A</v>
      </c>
      <c r="AB89" t="e">
        <f>IF(ISBLANK($J89),NA(),IFERROR(SUM($J89:$J$177),NA()))</f>
        <v>#N/A</v>
      </c>
      <c r="AC89" t="str">
        <f t="shared" si="30"/>
        <v/>
      </c>
      <c r="AD89" t="e">
        <f t="shared" si="31"/>
        <v>#N/A</v>
      </c>
      <c r="AE89" t="e">
        <f t="shared" si="32"/>
        <v>#N/A</v>
      </c>
      <c r="AF89" t="e">
        <f>IF(ISBLANK($K89),NA(),IFERROR(SUM($K89:$K$177),NA()))</f>
        <v>#N/A</v>
      </c>
      <c r="AG89" t="e">
        <f>IF(ISBLANK($L89),NA(),IFERROR(SUM($L89:$L$177),NA()))</f>
        <v>#N/A</v>
      </c>
      <c r="AH89" t="e">
        <f>IF(ISBLANK($M89),NA(),IFERROR(SUM($M89:$M$177),NA()))</f>
        <v>#N/A</v>
      </c>
      <c r="AI89" t="str">
        <f t="shared" si="33"/>
        <v/>
      </c>
      <c r="AJ89" t="e">
        <f t="shared" si="34"/>
        <v>#N/A</v>
      </c>
      <c r="AK89" t="e">
        <f t="shared" si="35"/>
        <v>#N/A</v>
      </c>
    </row>
    <row r="90" spans="1:37" x14ac:dyDescent="0.35">
      <c r="A90">
        <v>1937</v>
      </c>
      <c r="B90">
        <v>4214.7860000000001</v>
      </c>
      <c r="C90">
        <v>4944.5150000000003</v>
      </c>
      <c r="D90">
        <v>967.00400000000002</v>
      </c>
      <c r="E90">
        <v>4994.5929999999998</v>
      </c>
      <c r="F90">
        <v>6049.1859999999997</v>
      </c>
      <c r="G90">
        <v>2115.8789999999999</v>
      </c>
      <c r="N90">
        <f>IF(ISBLANK($B90),NA(),IFERROR(SUM($B90:$B$177),NA()))</f>
        <v>839382.92900000012</v>
      </c>
      <c r="O90">
        <f>IF(ISBLANK($C90),NA(),IFERROR(SUM($C90:$C$177),NA()))</f>
        <v>1114808.7710000002</v>
      </c>
      <c r="P90">
        <f>IF(ISBLANK($D90),NA(),IFERROR(SUM($D90:$D$177),NA()))</f>
        <v>860644.33200000017</v>
      </c>
      <c r="Q90">
        <f t="shared" si="24"/>
        <v>1975453.1030000004</v>
      </c>
      <c r="R90">
        <f t="shared" si="25"/>
        <v>42.490653294946881</v>
      </c>
      <c r="S90">
        <f t="shared" si="26"/>
        <v>56.433066890173599</v>
      </c>
      <c r="T90">
        <f>IF(ISBLANK($E90),NA(),IFERROR(SUM($E90:$E$177),NA()))</f>
        <v>962833.79299999983</v>
      </c>
      <c r="U90">
        <f>IF(ISBLANK($F90),NA(),IFERROR(SUM($F90:$F$177),NA()))</f>
        <v>1282314.4839999999</v>
      </c>
      <c r="V90">
        <f>IF(ISBLANK($G90),NA(),IFERROR(SUM($G90:$G$177),NA()))</f>
        <v>1103636.4709999999</v>
      </c>
      <c r="W90">
        <f t="shared" si="27"/>
        <v>2385950.9550000001</v>
      </c>
      <c r="X90">
        <f t="shared" si="28"/>
        <v>40.354299445354684</v>
      </c>
      <c r="Y90">
        <f t="shared" si="29"/>
        <v>53.744377323129001</v>
      </c>
      <c r="Z90" t="e">
        <f>IF(ISBLANK($H90),NA(),IFERROR(SUM($H90:$H$177),NA()))</f>
        <v>#N/A</v>
      </c>
      <c r="AA90" t="e">
        <f>IF(ISBLANK($I90),NA(),IFERROR(SUM($I90:$I$177),NA()))</f>
        <v>#N/A</v>
      </c>
      <c r="AB90" t="e">
        <f>IF(ISBLANK($J90),NA(),IFERROR(SUM($J90:$J$177),NA()))</f>
        <v>#N/A</v>
      </c>
      <c r="AC90" t="str">
        <f t="shared" si="30"/>
        <v/>
      </c>
      <c r="AD90" t="e">
        <f t="shared" si="31"/>
        <v>#N/A</v>
      </c>
      <c r="AE90" t="e">
        <f t="shared" si="32"/>
        <v>#N/A</v>
      </c>
      <c r="AF90" t="e">
        <f>IF(ISBLANK($K90),NA(),IFERROR(SUM($K90:$K$177),NA()))</f>
        <v>#N/A</v>
      </c>
      <c r="AG90" t="e">
        <f>IF(ISBLANK($L90),NA(),IFERROR(SUM($L90:$L$177),NA()))</f>
        <v>#N/A</v>
      </c>
      <c r="AH90" t="e">
        <f>IF(ISBLANK($M90),NA(),IFERROR(SUM($M90:$M$177),NA()))</f>
        <v>#N/A</v>
      </c>
      <c r="AI90" t="str">
        <f t="shared" si="33"/>
        <v/>
      </c>
      <c r="AJ90" t="e">
        <f t="shared" si="34"/>
        <v>#N/A</v>
      </c>
      <c r="AK90" t="e">
        <f t="shared" si="35"/>
        <v>#N/A</v>
      </c>
    </row>
    <row r="91" spans="1:37" x14ac:dyDescent="0.35">
      <c r="A91">
        <v>1938</v>
      </c>
      <c r="B91">
        <v>3882.904</v>
      </c>
      <c r="C91">
        <v>4649.6000000000004</v>
      </c>
      <c r="D91">
        <v>981.42700000000002</v>
      </c>
      <c r="E91">
        <v>4649.2520000000004</v>
      </c>
      <c r="F91">
        <v>5741.9440000000004</v>
      </c>
      <c r="G91">
        <v>2156.319</v>
      </c>
      <c r="N91">
        <f>IF(ISBLANK($B91),NA(),IFERROR(SUM($B91:$B$177),NA()))</f>
        <v>835168.14300000004</v>
      </c>
      <c r="O91">
        <f>IF(ISBLANK($C91),NA(),IFERROR(SUM($C91:$C$177),NA()))</f>
        <v>1109864.2560000001</v>
      </c>
      <c r="P91">
        <f>IF(ISBLANK($D91),NA(),IFERROR(SUM($D91:$D$177),NA()))</f>
        <v>859677.32800000021</v>
      </c>
      <c r="Q91">
        <f t="shared" si="24"/>
        <v>1969541.5840000003</v>
      </c>
      <c r="R91">
        <f t="shared" si="25"/>
        <v>42.404189369986916</v>
      </c>
      <c r="S91">
        <f t="shared" si="26"/>
        <v>56.351399991562701</v>
      </c>
      <c r="T91">
        <f>IF(ISBLANK($E91),NA(),IFERROR(SUM($E91:$E$177),NA()))</f>
        <v>957839.19999999984</v>
      </c>
      <c r="U91">
        <f>IF(ISBLANK($F91),NA(),IFERROR(SUM($F91:$F$177),NA()))</f>
        <v>1276265.2979999997</v>
      </c>
      <c r="V91">
        <f>IF(ISBLANK($G91),NA(),IFERROR(SUM($G91:$G$177),NA()))</f>
        <v>1101520.5920000002</v>
      </c>
      <c r="W91">
        <f t="shared" si="27"/>
        <v>2377785.8899999997</v>
      </c>
      <c r="X91">
        <f t="shared" si="28"/>
        <v>40.282819577165547</v>
      </c>
      <c r="Y91">
        <f t="shared" si="29"/>
        <v>53.674525673966379</v>
      </c>
      <c r="Z91" t="e">
        <f>IF(ISBLANK($H91),NA(),IFERROR(SUM($H91:$H$177),NA()))</f>
        <v>#N/A</v>
      </c>
      <c r="AA91" t="e">
        <f>IF(ISBLANK($I91),NA(),IFERROR(SUM($I91:$I$177),NA()))</f>
        <v>#N/A</v>
      </c>
      <c r="AB91" t="e">
        <f>IF(ISBLANK($J91),NA(),IFERROR(SUM($J91:$J$177),NA()))</f>
        <v>#N/A</v>
      </c>
      <c r="AC91" t="str">
        <f t="shared" si="30"/>
        <v/>
      </c>
      <c r="AD91" t="e">
        <f t="shared" si="31"/>
        <v>#N/A</v>
      </c>
      <c r="AE91" t="e">
        <f t="shared" si="32"/>
        <v>#N/A</v>
      </c>
      <c r="AF91" t="e">
        <f>IF(ISBLANK($K91),NA(),IFERROR(SUM($K91:$K$177),NA()))</f>
        <v>#N/A</v>
      </c>
      <c r="AG91" t="e">
        <f>IF(ISBLANK($L91),NA(),IFERROR(SUM($L91:$L$177),NA()))</f>
        <v>#N/A</v>
      </c>
      <c r="AH91" t="e">
        <f>IF(ISBLANK($M91),NA(),IFERROR(SUM($M91:$M$177),NA()))</f>
        <v>#N/A</v>
      </c>
      <c r="AI91" t="str">
        <f t="shared" si="33"/>
        <v/>
      </c>
      <c r="AJ91" t="e">
        <f t="shared" si="34"/>
        <v>#N/A</v>
      </c>
      <c r="AK91" t="e">
        <f t="shared" si="35"/>
        <v>#N/A</v>
      </c>
    </row>
    <row r="92" spans="1:37" x14ac:dyDescent="0.35">
      <c r="A92">
        <v>1939</v>
      </c>
      <c r="B92">
        <v>4116.1530000000002</v>
      </c>
      <c r="C92">
        <v>4886.25</v>
      </c>
      <c r="D92">
        <v>1021.832</v>
      </c>
      <c r="E92">
        <v>4909.9939999999997</v>
      </c>
      <c r="F92">
        <v>6005.8869999999997</v>
      </c>
      <c r="G92">
        <v>2222.7170000000001</v>
      </c>
      <c r="N92">
        <f>IF(ISBLANK($B92),NA(),IFERROR(SUM($B92:$B$177),NA()))</f>
        <v>831285.23899999994</v>
      </c>
      <c r="O92">
        <f>IF(ISBLANK($C92),NA(),IFERROR(SUM($C92:$C$177),NA()))</f>
        <v>1105214.6560000002</v>
      </c>
      <c r="P92">
        <f>IF(ISBLANK($D92),NA(),IFERROR(SUM($D92:$D$177),NA()))</f>
        <v>858695.90100000019</v>
      </c>
      <c r="Q92">
        <f t="shared" si="24"/>
        <v>1963910.5570000005</v>
      </c>
      <c r="R92">
        <f t="shared" si="25"/>
        <v>42.328060004414944</v>
      </c>
      <c r="S92">
        <f t="shared" si="26"/>
        <v>56.276221544849093</v>
      </c>
      <c r="T92">
        <f>IF(ISBLANK($E92),NA(),IFERROR(SUM($E92:$E$177),NA()))</f>
        <v>953189.94799999986</v>
      </c>
      <c r="U92">
        <f>IF(ISBLANK($F92),NA(),IFERROR(SUM($F92:$F$177),NA()))</f>
        <v>1270523.3539999998</v>
      </c>
      <c r="V92">
        <f>IF(ISBLANK($G92),NA(),IFERROR(SUM($G92:$G$177),NA()))</f>
        <v>1099364.273</v>
      </c>
      <c r="W92">
        <f t="shared" si="27"/>
        <v>2369887.6269999999</v>
      </c>
      <c r="X92">
        <f t="shared" si="28"/>
        <v>40.22089221194959</v>
      </c>
      <c r="Y92">
        <f t="shared" si="29"/>
        <v>53.611122296475024</v>
      </c>
      <c r="Z92" t="e">
        <f>IF(ISBLANK($H92),NA(),IFERROR(SUM($H92:$H$177),NA()))</f>
        <v>#N/A</v>
      </c>
      <c r="AA92" t="e">
        <f>IF(ISBLANK($I92),NA(),IFERROR(SUM($I92:$I$177),NA()))</f>
        <v>#N/A</v>
      </c>
      <c r="AB92" t="e">
        <f>IF(ISBLANK($J92),NA(),IFERROR(SUM($J92:$J$177),NA()))</f>
        <v>#N/A</v>
      </c>
      <c r="AC92" t="str">
        <f t="shared" si="30"/>
        <v/>
      </c>
      <c r="AD92" t="e">
        <f t="shared" si="31"/>
        <v>#N/A</v>
      </c>
      <c r="AE92" t="e">
        <f t="shared" si="32"/>
        <v>#N/A</v>
      </c>
      <c r="AF92" t="e">
        <f>IF(ISBLANK($K92),NA(),IFERROR(SUM($K92:$K$177),NA()))</f>
        <v>#N/A</v>
      </c>
      <c r="AG92" t="e">
        <f>IF(ISBLANK($L92),NA(),IFERROR(SUM($L92:$L$177),NA()))</f>
        <v>#N/A</v>
      </c>
      <c r="AH92" t="e">
        <f>IF(ISBLANK($M92),NA(),IFERROR(SUM($M92:$M$177),NA()))</f>
        <v>#N/A</v>
      </c>
      <c r="AI92" t="str">
        <f t="shared" si="33"/>
        <v/>
      </c>
      <c r="AJ92" t="e">
        <f t="shared" si="34"/>
        <v>#N/A</v>
      </c>
      <c r="AK92" t="e">
        <f t="shared" si="35"/>
        <v>#N/A</v>
      </c>
    </row>
    <row r="93" spans="1:37" x14ac:dyDescent="0.35">
      <c r="A93">
        <v>1940</v>
      </c>
      <c r="B93">
        <v>4309.67</v>
      </c>
      <c r="C93">
        <v>5299.2809999999999</v>
      </c>
      <c r="D93">
        <v>1068.0709999999999</v>
      </c>
      <c r="E93">
        <v>5082.3130000000001</v>
      </c>
      <c r="F93">
        <v>6404.0820000000003</v>
      </c>
      <c r="G93">
        <v>2270.2460000000001</v>
      </c>
      <c r="N93">
        <f>IF(ISBLANK($B93),NA(),IFERROR(SUM($B93:$B$177),NA()))</f>
        <v>827169.08600000001</v>
      </c>
      <c r="O93">
        <f>IF(ISBLANK($C93),NA(),IFERROR(SUM($C93:$C$177),NA()))</f>
        <v>1100328.4060000002</v>
      </c>
      <c r="P93">
        <f>IF(ISBLANK($D93),NA(),IFERROR(SUM($D93:$D$177),NA()))</f>
        <v>857674.06900000025</v>
      </c>
      <c r="Q93">
        <f t="shared" si="24"/>
        <v>1958002.4750000006</v>
      </c>
      <c r="R93">
        <f t="shared" si="25"/>
        <v>42.245558754975512</v>
      </c>
      <c r="S93">
        <f t="shared" si="26"/>
        <v>56.196476769009188</v>
      </c>
      <c r="T93">
        <f>IF(ISBLANK($E93),NA(),IFERROR(SUM($E93:$E$177),NA()))</f>
        <v>948279.95399999991</v>
      </c>
      <c r="U93">
        <f>IF(ISBLANK($F93),NA(),IFERROR(SUM($F93:$F$177),NA()))</f>
        <v>1264517.4669999999</v>
      </c>
      <c r="V93">
        <f>IF(ISBLANK($G93),NA(),IFERROR(SUM($G93:$G$177),NA()))</f>
        <v>1097141.5560000003</v>
      </c>
      <c r="W93">
        <f t="shared" si="27"/>
        <v>2361659.023</v>
      </c>
      <c r="X93">
        <f t="shared" si="28"/>
        <v>40.153127304355991</v>
      </c>
      <c r="Y93">
        <f t="shared" si="29"/>
        <v>53.543608737966395</v>
      </c>
      <c r="Z93" t="e">
        <f>IF(ISBLANK($H93),NA(),IFERROR(SUM($H93:$H$177),NA()))</f>
        <v>#N/A</v>
      </c>
      <c r="AA93" t="e">
        <f>IF(ISBLANK($I93),NA(),IFERROR(SUM($I93:$I$177),NA()))</f>
        <v>#N/A</v>
      </c>
      <c r="AB93" t="e">
        <f>IF(ISBLANK($J93),NA(),IFERROR(SUM($J93:$J$177),NA()))</f>
        <v>#N/A</v>
      </c>
      <c r="AC93" t="str">
        <f t="shared" si="30"/>
        <v/>
      </c>
      <c r="AD93" t="e">
        <f t="shared" si="31"/>
        <v>#N/A</v>
      </c>
      <c r="AE93" t="e">
        <f t="shared" si="32"/>
        <v>#N/A</v>
      </c>
      <c r="AF93" t="e">
        <f>IF(ISBLANK($K93),NA(),IFERROR(SUM($K93:$K$177),NA()))</f>
        <v>#N/A</v>
      </c>
      <c r="AG93" t="e">
        <f>IF(ISBLANK($L93),NA(),IFERROR(SUM($L93:$L$177),NA()))</f>
        <v>#N/A</v>
      </c>
      <c r="AH93" t="e">
        <f>IF(ISBLANK($M93),NA(),IFERROR(SUM($M93:$M$177),NA()))</f>
        <v>#N/A</v>
      </c>
      <c r="AI93" t="str">
        <f t="shared" si="33"/>
        <v/>
      </c>
      <c r="AJ93" t="e">
        <f t="shared" si="34"/>
        <v>#N/A</v>
      </c>
      <c r="AK93" t="e">
        <f t="shared" si="35"/>
        <v>#N/A</v>
      </c>
    </row>
    <row r="94" spans="1:37" x14ac:dyDescent="0.35">
      <c r="A94">
        <v>1941</v>
      </c>
      <c r="B94">
        <v>4503.8739999999998</v>
      </c>
      <c r="C94">
        <v>5428.3410000000003</v>
      </c>
      <c r="D94">
        <v>1083.367</v>
      </c>
      <c r="E94">
        <v>5282.7290000000003</v>
      </c>
      <c r="F94">
        <v>6538.8919999999998</v>
      </c>
      <c r="G94">
        <v>2320.9079999999999</v>
      </c>
      <c r="N94">
        <f>IF(ISBLANK($B94),NA(),IFERROR(SUM($B94:$B$177),NA()))</f>
        <v>822859.41600000008</v>
      </c>
      <c r="O94">
        <f>IF(ISBLANK($C94),NA(),IFERROR(SUM($C94:$C$177),NA()))</f>
        <v>1095029.1250000002</v>
      </c>
      <c r="P94">
        <f>IF(ISBLANK($D94),NA(),IFERROR(SUM($D94:$D$177),NA()))</f>
        <v>856605.99800000014</v>
      </c>
      <c r="Q94">
        <f t="shared" si="24"/>
        <v>1951635.1230000004</v>
      </c>
      <c r="R94">
        <f t="shared" si="25"/>
        <v>42.162564421115924</v>
      </c>
      <c r="S94">
        <f t="shared" si="26"/>
        <v>56.108291559989517</v>
      </c>
      <c r="T94">
        <f>IF(ISBLANK($E94),NA(),IFERROR(SUM($E94:$E$177),NA()))</f>
        <v>943197.64099999995</v>
      </c>
      <c r="U94">
        <f>IF(ISBLANK($F94),NA(),IFERROR(SUM($F94:$F$177),NA()))</f>
        <v>1258113.385</v>
      </c>
      <c r="V94">
        <f>IF(ISBLANK($G94),NA(),IFERROR(SUM($G94:$G$177),NA()))</f>
        <v>1094871.31</v>
      </c>
      <c r="W94">
        <f t="shared" si="27"/>
        <v>2352984.6950000003</v>
      </c>
      <c r="X94">
        <f t="shared" si="28"/>
        <v>40.085158352464326</v>
      </c>
      <c r="Y94">
        <f t="shared" si="29"/>
        <v>53.468829936439512</v>
      </c>
      <c r="Z94" t="e">
        <f>IF(ISBLANK($H94),NA(),IFERROR(SUM($H94:$H$177),NA()))</f>
        <v>#N/A</v>
      </c>
      <c r="AA94" t="e">
        <f>IF(ISBLANK($I94),NA(),IFERROR(SUM($I94:$I$177),NA()))</f>
        <v>#N/A</v>
      </c>
      <c r="AB94" t="e">
        <f>IF(ISBLANK($J94),NA(),IFERROR(SUM($J94:$J$177),NA()))</f>
        <v>#N/A</v>
      </c>
      <c r="AC94" t="str">
        <f t="shared" si="30"/>
        <v/>
      </c>
      <c r="AD94" t="e">
        <f t="shared" si="31"/>
        <v>#N/A</v>
      </c>
      <c r="AE94" t="e">
        <f t="shared" si="32"/>
        <v>#N/A</v>
      </c>
      <c r="AF94" t="e">
        <f>IF(ISBLANK($K94),NA(),IFERROR(SUM($K94:$K$177),NA()))</f>
        <v>#N/A</v>
      </c>
      <c r="AG94" t="e">
        <f>IF(ISBLANK($L94),NA(),IFERROR(SUM($L94:$L$177),NA()))</f>
        <v>#N/A</v>
      </c>
      <c r="AH94" t="e">
        <f>IF(ISBLANK($M94),NA(),IFERROR(SUM($M94:$M$177),NA()))</f>
        <v>#N/A</v>
      </c>
      <c r="AI94" t="str">
        <f t="shared" si="33"/>
        <v/>
      </c>
      <c r="AJ94" t="e">
        <f t="shared" si="34"/>
        <v>#N/A</v>
      </c>
      <c r="AK94" t="e">
        <f t="shared" si="35"/>
        <v>#N/A</v>
      </c>
    </row>
    <row r="95" spans="1:37" x14ac:dyDescent="0.35">
      <c r="A95">
        <v>1942</v>
      </c>
      <c r="B95">
        <v>4685.6009999999997</v>
      </c>
      <c r="C95">
        <v>5448.7619999999997</v>
      </c>
      <c r="D95">
        <v>1060.71</v>
      </c>
      <c r="E95">
        <v>5491.01</v>
      </c>
      <c r="F95">
        <v>6637.3779999999997</v>
      </c>
      <c r="G95">
        <v>2309.3679999999999</v>
      </c>
      <c r="N95">
        <f>IF(ISBLANK($B95),NA(),IFERROR(SUM($B95:$B$177),NA()))</f>
        <v>818355.54200000002</v>
      </c>
      <c r="O95">
        <f>IF(ISBLANK($C95),NA(),IFERROR(SUM($C95:$C$177),NA()))</f>
        <v>1089600.784</v>
      </c>
      <c r="P95">
        <f>IF(ISBLANK($D95),NA(),IFERROR(SUM($D95:$D$177),NA()))</f>
        <v>855522.63100000017</v>
      </c>
      <c r="Q95">
        <f t="shared" si="24"/>
        <v>1945123.415</v>
      </c>
      <c r="R95">
        <f t="shared" si="25"/>
        <v>42.072165482620541</v>
      </c>
      <c r="S95">
        <f t="shared" si="26"/>
        <v>56.017051442465927</v>
      </c>
      <c r="T95">
        <f>IF(ISBLANK($E95),NA(),IFERROR(SUM($E95:$E$177),NA()))</f>
        <v>937914.91199999989</v>
      </c>
      <c r="U95">
        <f>IF(ISBLANK($F95),NA(),IFERROR(SUM($F95:$F$177),NA()))</f>
        <v>1251574.493</v>
      </c>
      <c r="V95">
        <f>IF(ISBLANK($G95),NA(),IFERROR(SUM($G95:$G$177),NA()))</f>
        <v>1092550.4020000002</v>
      </c>
      <c r="W95">
        <f t="shared" si="27"/>
        <v>2344124.8950000005</v>
      </c>
      <c r="X95">
        <f t="shared" si="28"/>
        <v>40.011302896042992</v>
      </c>
      <c r="Y95">
        <f t="shared" si="29"/>
        <v>53.391971377873183</v>
      </c>
      <c r="Z95" t="e">
        <f>IF(ISBLANK($H95),NA(),IFERROR(SUM($H95:$H$177),NA()))</f>
        <v>#N/A</v>
      </c>
      <c r="AA95" t="e">
        <f>IF(ISBLANK($I95),NA(),IFERROR(SUM($I95:$I$177),NA()))</f>
        <v>#N/A</v>
      </c>
      <c r="AB95" t="e">
        <f>IF(ISBLANK($J95),NA(),IFERROR(SUM($J95:$J$177),NA()))</f>
        <v>#N/A</v>
      </c>
      <c r="AC95" t="str">
        <f t="shared" si="30"/>
        <v/>
      </c>
      <c r="AD95" t="e">
        <f t="shared" si="31"/>
        <v>#N/A</v>
      </c>
      <c r="AE95" t="e">
        <f t="shared" si="32"/>
        <v>#N/A</v>
      </c>
      <c r="AF95" t="e">
        <f>IF(ISBLANK($K95),NA(),IFERROR(SUM($K95:$K$177),NA()))</f>
        <v>#N/A</v>
      </c>
      <c r="AG95" t="e">
        <f>IF(ISBLANK($L95),NA(),IFERROR(SUM($L95:$L$177),NA()))</f>
        <v>#N/A</v>
      </c>
      <c r="AH95" t="e">
        <f>IF(ISBLANK($M95),NA(),IFERROR(SUM($M95:$M$177),NA()))</f>
        <v>#N/A</v>
      </c>
      <c r="AI95" t="str">
        <f t="shared" si="33"/>
        <v/>
      </c>
      <c r="AJ95" t="e">
        <f t="shared" si="34"/>
        <v>#N/A</v>
      </c>
      <c r="AK95" t="e">
        <f t="shared" si="35"/>
        <v>#N/A</v>
      </c>
    </row>
    <row r="96" spans="1:37" x14ac:dyDescent="0.35">
      <c r="A96">
        <v>1943</v>
      </c>
      <c r="B96">
        <v>4770.5379999999996</v>
      </c>
      <c r="C96">
        <v>5577.7489999999998</v>
      </c>
      <c r="D96">
        <v>1066.471</v>
      </c>
      <c r="E96">
        <v>5587.393</v>
      </c>
      <c r="F96">
        <v>6846.1040000000003</v>
      </c>
      <c r="G96">
        <v>2389.8490000000002</v>
      </c>
      <c r="N96">
        <f>IF(ISBLANK($B96),NA(),IFERROR(SUM($B96:$B$177),NA()))</f>
        <v>813669.94099999999</v>
      </c>
      <c r="O96">
        <f>IF(ISBLANK($C96),NA(),IFERROR(SUM($C96:$C$177),NA()))</f>
        <v>1084152.0220000001</v>
      </c>
      <c r="P96">
        <f>IF(ISBLANK($D96),NA(),IFERROR(SUM($D96:$D$177),NA()))</f>
        <v>854461.92100000021</v>
      </c>
      <c r="Q96">
        <f t="shared" si="24"/>
        <v>1938613.9430000004</v>
      </c>
      <c r="R96">
        <f t="shared" si="25"/>
        <v>41.971736762650522</v>
      </c>
      <c r="S96">
        <f t="shared" si="26"/>
        <v>55.924080496515849</v>
      </c>
      <c r="T96">
        <f>IF(ISBLANK($E96),NA(),IFERROR(SUM($E96:$E$177),NA()))</f>
        <v>932423.90199999989</v>
      </c>
      <c r="U96">
        <f>IF(ISBLANK($F96),NA(),IFERROR(SUM($F96:$F$177),NA()))</f>
        <v>1244937.115</v>
      </c>
      <c r="V96">
        <f>IF(ISBLANK($G96),NA(),IFERROR(SUM($G96:$G$177),NA()))</f>
        <v>1090241.034</v>
      </c>
      <c r="W96">
        <f t="shared" si="27"/>
        <v>2335178.1490000002</v>
      </c>
      <c r="X96">
        <f t="shared" si="28"/>
        <v>39.929454735575284</v>
      </c>
      <c r="Y96">
        <f t="shared" si="29"/>
        <v>53.312297202383583</v>
      </c>
      <c r="Z96" t="e">
        <f>IF(ISBLANK($H96),NA(),IFERROR(SUM($H96:$H$177),NA()))</f>
        <v>#N/A</v>
      </c>
      <c r="AA96" t="e">
        <f>IF(ISBLANK($I96),NA(),IFERROR(SUM($I96:$I$177),NA()))</f>
        <v>#N/A</v>
      </c>
      <c r="AB96" t="e">
        <f>IF(ISBLANK($J96),NA(),IFERROR(SUM($J96:$J$177),NA()))</f>
        <v>#N/A</v>
      </c>
      <c r="AC96" t="str">
        <f t="shared" si="30"/>
        <v/>
      </c>
      <c r="AD96" t="e">
        <f t="shared" si="31"/>
        <v>#N/A</v>
      </c>
      <c r="AE96" t="e">
        <f t="shared" si="32"/>
        <v>#N/A</v>
      </c>
      <c r="AF96" t="e">
        <f>IF(ISBLANK($K96),NA(),IFERROR(SUM($K96:$K$177),NA()))</f>
        <v>#N/A</v>
      </c>
      <c r="AG96" t="e">
        <f>IF(ISBLANK($L96),NA(),IFERROR(SUM($L96:$L$177),NA()))</f>
        <v>#N/A</v>
      </c>
      <c r="AH96" t="e">
        <f>IF(ISBLANK($M96),NA(),IFERROR(SUM($M96:$M$177),NA()))</f>
        <v>#N/A</v>
      </c>
      <c r="AI96" t="str">
        <f t="shared" si="33"/>
        <v/>
      </c>
      <c r="AJ96" t="e">
        <f t="shared" si="34"/>
        <v>#N/A</v>
      </c>
      <c r="AK96" t="e">
        <f t="shared" si="35"/>
        <v>#N/A</v>
      </c>
    </row>
    <row r="97" spans="1:37" x14ac:dyDescent="0.35">
      <c r="A97">
        <v>1944</v>
      </c>
      <c r="B97">
        <v>4765.9889999999996</v>
      </c>
      <c r="C97">
        <v>5647.3919999999998</v>
      </c>
      <c r="D97">
        <v>1108.559</v>
      </c>
      <c r="E97">
        <v>5580.4979999999996</v>
      </c>
      <c r="F97">
        <v>6801.4859999999999</v>
      </c>
      <c r="G97">
        <v>2482.52</v>
      </c>
      <c r="N97">
        <f>IF(ISBLANK($B97),NA(),IFERROR(SUM($B97:$B$177),NA()))</f>
        <v>808899.40300000005</v>
      </c>
      <c r="O97">
        <f>IF(ISBLANK($C97),NA(),IFERROR(SUM($C97:$C$177),NA()))</f>
        <v>1078574.273</v>
      </c>
      <c r="P97">
        <f>IF(ISBLANK($D97),NA(),IFERROR(SUM($D97:$D$177),NA()))</f>
        <v>853395.45000000019</v>
      </c>
      <c r="Q97">
        <f t="shared" si="24"/>
        <v>1931969.7230000002</v>
      </c>
      <c r="R97">
        <f t="shared" si="25"/>
        <v>41.86915526522462</v>
      </c>
      <c r="S97">
        <f t="shared" si="26"/>
        <v>55.827700618680964</v>
      </c>
      <c r="T97">
        <f>IF(ISBLANK($E97),NA(),IFERROR(SUM($E97:$E$177),NA()))</f>
        <v>926836.50899999996</v>
      </c>
      <c r="U97">
        <f>IF(ISBLANK($F97),NA(),IFERROR(SUM($F97:$F$177),NA()))</f>
        <v>1238091.0109999999</v>
      </c>
      <c r="V97">
        <f>IF(ISBLANK($G97),NA(),IFERROR(SUM($G97:$G$177),NA()))</f>
        <v>1087851.1850000001</v>
      </c>
      <c r="W97">
        <f t="shared" si="27"/>
        <v>2325942.196</v>
      </c>
      <c r="X97">
        <f t="shared" si="28"/>
        <v>39.84778773066293</v>
      </c>
      <c r="Y97">
        <f t="shared" si="29"/>
        <v>53.229655196469892</v>
      </c>
      <c r="Z97" t="e">
        <f>IF(ISBLANK($H97),NA(),IFERROR(SUM($H97:$H$177),NA()))</f>
        <v>#N/A</v>
      </c>
      <c r="AA97" t="e">
        <f>IF(ISBLANK($I97),NA(),IFERROR(SUM($I97:$I$177),NA()))</f>
        <v>#N/A</v>
      </c>
      <c r="AB97" t="e">
        <f>IF(ISBLANK($J97),NA(),IFERROR(SUM($J97:$J$177),NA()))</f>
        <v>#N/A</v>
      </c>
      <c r="AC97" t="str">
        <f t="shared" si="30"/>
        <v/>
      </c>
      <c r="AD97" t="e">
        <f t="shared" si="31"/>
        <v>#N/A</v>
      </c>
      <c r="AE97" t="e">
        <f t="shared" si="32"/>
        <v>#N/A</v>
      </c>
      <c r="AF97" t="e">
        <f>IF(ISBLANK($K97),NA(),IFERROR(SUM($K97:$K$177),NA()))</f>
        <v>#N/A</v>
      </c>
      <c r="AG97" t="e">
        <f>IF(ISBLANK($L97),NA(),IFERROR(SUM($L97:$L$177),NA()))</f>
        <v>#N/A</v>
      </c>
      <c r="AH97" t="e">
        <f>IF(ISBLANK($M97),NA(),IFERROR(SUM($M97:$M$177),NA()))</f>
        <v>#N/A</v>
      </c>
      <c r="AI97" t="str">
        <f t="shared" si="33"/>
        <v/>
      </c>
      <c r="AJ97" t="e">
        <f t="shared" si="34"/>
        <v>#N/A</v>
      </c>
      <c r="AK97" t="e">
        <f t="shared" si="35"/>
        <v>#N/A</v>
      </c>
    </row>
    <row r="98" spans="1:37" x14ac:dyDescent="0.35">
      <c r="A98">
        <v>1945</v>
      </c>
      <c r="B98">
        <v>4048.9290000000001</v>
      </c>
      <c r="C98">
        <v>4744.1959999999999</v>
      </c>
      <c r="D98">
        <v>1080.08</v>
      </c>
      <c r="E98">
        <v>4863.8469999999998</v>
      </c>
      <c r="F98">
        <v>5898.5129999999999</v>
      </c>
      <c r="G98">
        <v>2528.413</v>
      </c>
      <c r="N98">
        <f>IF(ISBLANK($B98),NA(),IFERROR(SUM($B98:$B$177),NA()))</f>
        <v>804133.41399999999</v>
      </c>
      <c r="O98">
        <f>IF(ISBLANK($C98),NA(),IFERROR(SUM($C98:$C$177),NA()))</f>
        <v>1072926.8810000001</v>
      </c>
      <c r="P98">
        <f>IF(ISBLANK($D98),NA(),IFERROR(SUM($D98:$D$177),NA()))</f>
        <v>852286.89100000018</v>
      </c>
      <c r="Q98">
        <f t="shared" si="24"/>
        <v>1925213.7720000003</v>
      </c>
      <c r="R98">
        <f t="shared" si="25"/>
        <v>41.768525952555876</v>
      </c>
      <c r="S98">
        <f t="shared" si="26"/>
        <v>55.730272482177099</v>
      </c>
      <c r="T98">
        <f>IF(ISBLANK($E98),NA(),IFERROR(SUM($E98:$E$177),NA()))</f>
        <v>921256.01099999982</v>
      </c>
      <c r="U98">
        <f>IF(ISBLANK($F98),NA(),IFERROR(SUM($F98:$F$177),NA()))</f>
        <v>1231289.5249999999</v>
      </c>
      <c r="V98">
        <f>IF(ISBLANK($G98),NA(),IFERROR(SUM($G98:$G$177),NA()))</f>
        <v>1085368.665</v>
      </c>
      <c r="W98">
        <f t="shared" si="27"/>
        <v>2316658.19</v>
      </c>
      <c r="X98">
        <f t="shared" si="28"/>
        <v>39.766592023659733</v>
      </c>
      <c r="Y98">
        <f t="shared" si="29"/>
        <v>53.149382602704975</v>
      </c>
      <c r="Z98" t="e">
        <f>IF(ISBLANK($H98),NA(),IFERROR(SUM($H98:$H$177),NA()))</f>
        <v>#N/A</v>
      </c>
      <c r="AA98" t="e">
        <f>IF(ISBLANK($I98),NA(),IFERROR(SUM($I98:$I$177),NA()))</f>
        <v>#N/A</v>
      </c>
      <c r="AB98" t="e">
        <f>IF(ISBLANK($J98),NA(),IFERROR(SUM($J98:$J$177),NA()))</f>
        <v>#N/A</v>
      </c>
      <c r="AC98" t="str">
        <f t="shared" si="30"/>
        <v/>
      </c>
      <c r="AD98" t="e">
        <f t="shared" si="31"/>
        <v>#N/A</v>
      </c>
      <c r="AE98" t="e">
        <f t="shared" si="32"/>
        <v>#N/A</v>
      </c>
      <c r="AF98" t="e">
        <f>IF(ISBLANK($K98),NA(),IFERROR(SUM($K98:$K$177),NA()))</f>
        <v>#N/A</v>
      </c>
      <c r="AG98" t="e">
        <f>IF(ISBLANK($L98),NA(),IFERROR(SUM($L98:$L$177),NA()))</f>
        <v>#N/A</v>
      </c>
      <c r="AH98" t="e">
        <f>IF(ISBLANK($M98),NA(),IFERROR(SUM($M98:$M$177),NA()))</f>
        <v>#N/A</v>
      </c>
      <c r="AI98" t="str">
        <f t="shared" si="33"/>
        <v/>
      </c>
      <c r="AJ98" t="e">
        <f t="shared" si="34"/>
        <v>#N/A</v>
      </c>
      <c r="AK98" t="e">
        <f t="shared" si="35"/>
        <v>#N/A</v>
      </c>
    </row>
    <row r="99" spans="1:37" x14ac:dyDescent="0.35">
      <c r="A99">
        <v>1946</v>
      </c>
      <c r="B99">
        <v>4260.3190000000004</v>
      </c>
      <c r="C99">
        <v>5067.1279999999997</v>
      </c>
      <c r="D99">
        <v>1149.3800000000001</v>
      </c>
      <c r="E99">
        <v>5168.2759999999998</v>
      </c>
      <c r="F99">
        <v>6326.3850000000002</v>
      </c>
      <c r="G99">
        <v>2707.8870000000002</v>
      </c>
      <c r="N99">
        <f>IF(ISBLANK($B99),NA(),IFERROR(SUM($B99:$B$177),NA()))</f>
        <v>800084.48499999999</v>
      </c>
      <c r="O99">
        <f>IF(ISBLANK($C99),NA(),IFERROR(SUM($C99:$C$177),NA()))</f>
        <v>1068182.6850000001</v>
      </c>
      <c r="P99">
        <f>IF(ISBLANK($D99),NA(),IFERROR(SUM($D99:$D$177),NA()))</f>
        <v>851206.81100000022</v>
      </c>
      <c r="Q99">
        <f t="shared" ref="Q99:Q130" si="36">IFERROR(O99+P99,"")</f>
        <v>1919389.4960000003</v>
      </c>
      <c r="R99">
        <f t="shared" ref="R99:R130" si="37">IFERROR(N99/Q99*100,NA())</f>
        <v>41.684321325472126</v>
      </c>
      <c r="S99">
        <f t="shared" ref="S99:S130" si="38">IFERROR(O99/Q99*100,NA())</f>
        <v>55.652210623538799</v>
      </c>
      <c r="T99">
        <f>IF(ISBLANK($E99),NA(),IFERROR(SUM($E99:$E$177),NA()))</f>
        <v>916392.16399999976</v>
      </c>
      <c r="U99">
        <f>IF(ISBLANK($F99),NA(),IFERROR(SUM($F99:$F$177),NA()))</f>
        <v>1225391.0119999999</v>
      </c>
      <c r="V99">
        <f>IF(ISBLANK($G99),NA(),IFERROR(SUM($G99:$G$177),NA()))</f>
        <v>1082840.2520000003</v>
      </c>
      <c r="W99">
        <f t="shared" ref="W99:W130" si="39">IFERROR(U99+V99,"")</f>
        <v>2308231.2640000004</v>
      </c>
      <c r="X99">
        <f t="shared" ref="X99:X130" si="40">IFERROR(T99/W99*100,NA())</f>
        <v>39.701055015256891</v>
      </c>
      <c r="Y99">
        <f t="shared" ref="Y99:Y130" si="41">IFERROR(U99/W99*100,NA())</f>
        <v>53.087878632944452</v>
      </c>
      <c r="Z99" t="e">
        <f>IF(ISBLANK($H99),NA(),IFERROR(SUM($H99:$H$177),NA()))</f>
        <v>#N/A</v>
      </c>
      <c r="AA99" t="e">
        <f>IF(ISBLANK($I99),NA(),IFERROR(SUM($I99:$I$177),NA()))</f>
        <v>#N/A</v>
      </c>
      <c r="AB99" t="e">
        <f>IF(ISBLANK($J99),NA(),IFERROR(SUM($J99:$J$177),NA()))</f>
        <v>#N/A</v>
      </c>
      <c r="AC99" t="str">
        <f t="shared" ref="AC99:AC130" si="42">IFERROR(AA99+AB99,"")</f>
        <v/>
      </c>
      <c r="AD99" t="e">
        <f t="shared" ref="AD99:AD130" si="43">IFERROR(Z99/AC99*100,NA())</f>
        <v>#N/A</v>
      </c>
      <c r="AE99" t="e">
        <f t="shared" ref="AE99:AE130" si="44">IFERROR(AA99/AC99*100,NA())</f>
        <v>#N/A</v>
      </c>
      <c r="AF99" t="e">
        <f>IF(ISBLANK($K99),NA(),IFERROR(SUM($K99:$K$177),NA()))</f>
        <v>#N/A</v>
      </c>
      <c r="AG99" t="e">
        <f>IF(ISBLANK($L99),NA(),IFERROR(SUM($L99:$L$177),NA()))</f>
        <v>#N/A</v>
      </c>
      <c r="AH99" t="e">
        <f>IF(ISBLANK($M99),NA(),IFERROR(SUM($M99:$M$177),NA()))</f>
        <v>#N/A</v>
      </c>
      <c r="AI99" t="str">
        <f t="shared" ref="AI99:AI130" si="45">IFERROR(AG99+AH99,"")</f>
        <v/>
      </c>
      <c r="AJ99" t="e">
        <f t="shared" ref="AJ99:AJ130" si="46">IFERROR(AF99/AI99*100,NA())</f>
        <v>#N/A</v>
      </c>
      <c r="AK99" t="e">
        <f t="shared" ref="AK99:AK130" si="47">IFERROR(AG99/AI99*100,NA())</f>
        <v>#N/A</v>
      </c>
    </row>
    <row r="100" spans="1:37" x14ac:dyDescent="0.35">
      <c r="A100">
        <v>1947</v>
      </c>
      <c r="B100">
        <v>4758.6450000000004</v>
      </c>
      <c r="C100">
        <v>5652.87</v>
      </c>
      <c r="D100">
        <v>1208.623</v>
      </c>
      <c r="E100">
        <v>5748.5860000000002</v>
      </c>
      <c r="F100">
        <v>7008.1760000000004</v>
      </c>
      <c r="G100">
        <v>2776.634</v>
      </c>
      <c r="N100">
        <f>IF(ISBLANK($B100),NA(),IFERROR(SUM($B100:$B$177),NA()))</f>
        <v>795824.16600000008</v>
      </c>
      <c r="O100">
        <f>IF(ISBLANK($C100),NA(),IFERROR(SUM($C100:$C$177),NA()))</f>
        <v>1063115.557</v>
      </c>
      <c r="P100">
        <f>IF(ISBLANK($D100),NA(),IFERROR(SUM($D100:$D$177),NA()))</f>
        <v>850057.43100000022</v>
      </c>
      <c r="Q100">
        <f t="shared" si="36"/>
        <v>1913172.9880000004</v>
      </c>
      <c r="R100">
        <f t="shared" si="37"/>
        <v>41.597083535657774</v>
      </c>
      <c r="S100">
        <f t="shared" si="38"/>
        <v>55.568187700128661</v>
      </c>
      <c r="T100">
        <f>IF(ISBLANK($E100),NA(),IFERROR(SUM($E100:$E$177),NA()))</f>
        <v>911223.88799999969</v>
      </c>
      <c r="U100">
        <f>IF(ISBLANK($F100),NA(),IFERROR(SUM($F100:$F$177),NA()))</f>
        <v>1219064.6269999999</v>
      </c>
      <c r="V100">
        <f>IF(ISBLANK($G100),NA(),IFERROR(SUM($G100:$G$177),NA()))</f>
        <v>1080132.3650000002</v>
      </c>
      <c r="W100">
        <f t="shared" si="39"/>
        <v>2299196.9920000001</v>
      </c>
      <c r="X100">
        <f t="shared" si="40"/>
        <v>39.63226688146257</v>
      </c>
      <c r="Y100">
        <f t="shared" si="41"/>
        <v>53.021321410984157</v>
      </c>
      <c r="Z100" t="e">
        <f>IF(ISBLANK($H100),NA(),IFERROR(SUM($H100:$H$177),NA()))</f>
        <v>#N/A</v>
      </c>
      <c r="AA100" t="e">
        <f>IF(ISBLANK($I100),NA(),IFERROR(SUM($I100:$I$177),NA()))</f>
        <v>#N/A</v>
      </c>
      <c r="AB100" t="e">
        <f>IF(ISBLANK($J100),NA(),IFERROR(SUM($J100:$J$177),NA()))</f>
        <v>#N/A</v>
      </c>
      <c r="AC100" t="str">
        <f t="shared" si="42"/>
        <v/>
      </c>
      <c r="AD100" t="e">
        <f t="shared" si="43"/>
        <v>#N/A</v>
      </c>
      <c r="AE100" t="e">
        <f t="shared" si="44"/>
        <v>#N/A</v>
      </c>
      <c r="AF100" t="e">
        <f>IF(ISBLANK($K100),NA(),IFERROR(SUM($K100:$K$177),NA()))</f>
        <v>#N/A</v>
      </c>
      <c r="AG100" t="e">
        <f>IF(ISBLANK($L100),NA(),IFERROR(SUM($L100:$L$177),NA()))</f>
        <v>#N/A</v>
      </c>
      <c r="AH100" t="e">
        <f>IF(ISBLANK($M100),NA(),IFERROR(SUM($M100:$M$177),NA()))</f>
        <v>#N/A</v>
      </c>
      <c r="AI100" t="str">
        <f t="shared" si="45"/>
        <v/>
      </c>
      <c r="AJ100" t="e">
        <f t="shared" si="46"/>
        <v>#N/A</v>
      </c>
      <c r="AK100" t="e">
        <f t="shared" si="47"/>
        <v>#N/A</v>
      </c>
    </row>
    <row r="101" spans="1:37" x14ac:dyDescent="0.35">
      <c r="A101">
        <v>1948</v>
      </c>
      <c r="B101">
        <v>5034.4570000000003</v>
      </c>
      <c r="C101">
        <v>5976.8969999999999</v>
      </c>
      <c r="D101">
        <v>1195.0029999999999</v>
      </c>
      <c r="E101">
        <v>6075.0730000000003</v>
      </c>
      <c r="F101">
        <v>7393.8810000000003</v>
      </c>
      <c r="G101">
        <v>2799.2930000000001</v>
      </c>
      <c r="N101">
        <f>IF(ISBLANK($B101),NA(),IFERROR(SUM($B101:$B$177),NA()))</f>
        <v>791065.52100000007</v>
      </c>
      <c r="O101">
        <f>IF(ISBLANK($C101),NA(),IFERROR(SUM($C101:$C$177),NA()))</f>
        <v>1057462.6869999997</v>
      </c>
      <c r="P101">
        <f>IF(ISBLANK($D101),NA(),IFERROR(SUM($D101:$D$177),NA()))</f>
        <v>848848.80800000019</v>
      </c>
      <c r="Q101">
        <f t="shared" si="36"/>
        <v>1906311.4949999999</v>
      </c>
      <c r="R101">
        <f t="shared" si="37"/>
        <v>41.497180448990584</v>
      </c>
      <c r="S101">
        <f t="shared" si="38"/>
        <v>55.471662935128016</v>
      </c>
      <c r="T101">
        <f>IF(ISBLANK($E101),NA(),IFERROR(SUM($E101:$E$177),NA()))</f>
        <v>905475.30199999968</v>
      </c>
      <c r="U101">
        <f>IF(ISBLANK($F101),NA(),IFERROR(SUM($F101:$F$177),NA()))</f>
        <v>1212056.4509999999</v>
      </c>
      <c r="V101">
        <f>IF(ISBLANK($G101),NA(),IFERROR(SUM($G101:$G$177),NA()))</f>
        <v>1077355.7310000001</v>
      </c>
      <c r="W101">
        <f t="shared" si="39"/>
        <v>2289412.182</v>
      </c>
      <c r="X101">
        <f t="shared" si="40"/>
        <v>39.550558397439318</v>
      </c>
      <c r="Y101">
        <f t="shared" si="41"/>
        <v>52.941818888251206</v>
      </c>
      <c r="Z101" t="e">
        <f>IF(ISBLANK($H101),NA(),IFERROR(SUM($H101:$H$177),NA()))</f>
        <v>#N/A</v>
      </c>
      <c r="AA101" t="e">
        <f>IF(ISBLANK($I101),NA(),IFERROR(SUM($I101:$I$177),NA()))</f>
        <v>#N/A</v>
      </c>
      <c r="AB101" t="e">
        <f>IF(ISBLANK($J101),NA(),IFERROR(SUM($J101:$J$177),NA()))</f>
        <v>#N/A</v>
      </c>
      <c r="AC101" t="str">
        <f t="shared" si="42"/>
        <v/>
      </c>
      <c r="AD101" t="e">
        <f t="shared" si="43"/>
        <v>#N/A</v>
      </c>
      <c r="AE101" t="e">
        <f t="shared" si="44"/>
        <v>#N/A</v>
      </c>
      <c r="AF101" t="e">
        <f>IF(ISBLANK($K101),NA(),IFERROR(SUM($K101:$K$177),NA()))</f>
        <v>#N/A</v>
      </c>
      <c r="AG101" t="e">
        <f>IF(ISBLANK($L101),NA(),IFERROR(SUM($L101:$L$177),NA()))</f>
        <v>#N/A</v>
      </c>
      <c r="AH101" t="e">
        <f>IF(ISBLANK($M101),NA(),IFERROR(SUM($M101:$M$177),NA()))</f>
        <v>#N/A</v>
      </c>
      <c r="AI101" t="str">
        <f t="shared" si="45"/>
        <v/>
      </c>
      <c r="AJ101" t="e">
        <f t="shared" si="46"/>
        <v>#N/A</v>
      </c>
      <c r="AK101" t="e">
        <f t="shared" si="47"/>
        <v>#N/A</v>
      </c>
    </row>
    <row r="102" spans="1:37" x14ac:dyDescent="0.35">
      <c r="A102">
        <v>1949</v>
      </c>
      <c r="B102">
        <v>4690.4189999999999</v>
      </c>
      <c r="C102">
        <v>5737.8019999999997</v>
      </c>
      <c r="D102">
        <v>1209.4469999999999</v>
      </c>
      <c r="E102">
        <v>5750.5659999999998</v>
      </c>
      <c r="F102">
        <v>7185.4539999999997</v>
      </c>
      <c r="G102">
        <v>2891.5729999999999</v>
      </c>
      <c r="N102">
        <f>IF(ISBLANK($B102),NA(),IFERROR(SUM($B102:$B$177),NA()))</f>
        <v>786031.06400000013</v>
      </c>
      <c r="O102">
        <f>IF(ISBLANK($C102),NA(),IFERROR(SUM($C102:$C$177),NA()))</f>
        <v>1051485.7899999998</v>
      </c>
      <c r="P102">
        <f>IF(ISBLANK($D102),NA(),IFERROR(SUM($D102:$D$177),NA()))</f>
        <v>847653.80500000017</v>
      </c>
      <c r="Q102">
        <f t="shared" si="36"/>
        <v>1899139.595</v>
      </c>
      <c r="R102">
        <f t="shared" si="37"/>
        <v>41.388798699655368</v>
      </c>
      <c r="S102">
        <f t="shared" si="38"/>
        <v>55.366429764737745</v>
      </c>
      <c r="T102">
        <f>IF(ISBLANK($E102),NA(),IFERROR(SUM($E102:$E$177),NA()))</f>
        <v>899400.2289999997</v>
      </c>
      <c r="U102">
        <f>IF(ISBLANK($F102),NA(),IFERROR(SUM($F102:$F$177),NA()))</f>
        <v>1204662.57</v>
      </c>
      <c r="V102">
        <f>IF(ISBLANK($G102),NA(),IFERROR(SUM($G102:$G$177),NA()))</f>
        <v>1074556.4380000001</v>
      </c>
      <c r="W102">
        <f t="shared" si="39"/>
        <v>2279219.0080000004</v>
      </c>
      <c r="X102">
        <f t="shared" si="40"/>
        <v>39.46089541387326</v>
      </c>
      <c r="Y102">
        <f t="shared" si="41"/>
        <v>52.854182321736751</v>
      </c>
      <c r="Z102" t="e">
        <f>IF(ISBLANK($H102),NA(),IFERROR(SUM($H102:$H$177),NA()))</f>
        <v>#N/A</v>
      </c>
      <c r="AA102" t="e">
        <f>IF(ISBLANK($I102),NA(),IFERROR(SUM($I102:$I$177),NA()))</f>
        <v>#N/A</v>
      </c>
      <c r="AB102" t="e">
        <f>IF(ISBLANK($J102),NA(),IFERROR(SUM($J102:$J$177),NA()))</f>
        <v>#N/A</v>
      </c>
      <c r="AC102" t="str">
        <f t="shared" si="42"/>
        <v/>
      </c>
      <c r="AD102" t="e">
        <f t="shared" si="43"/>
        <v>#N/A</v>
      </c>
      <c r="AE102" t="e">
        <f t="shared" si="44"/>
        <v>#N/A</v>
      </c>
      <c r="AF102" t="e">
        <f>IF(ISBLANK($K102),NA(),IFERROR(SUM($K102:$K$177),NA()))</f>
        <v>#N/A</v>
      </c>
      <c r="AG102" t="e">
        <f>IF(ISBLANK($L102),NA(),IFERROR(SUM($L102:$L$177),NA()))</f>
        <v>#N/A</v>
      </c>
      <c r="AH102" t="e">
        <f>IF(ISBLANK($M102),NA(),IFERROR(SUM($M102:$M$177),NA()))</f>
        <v>#N/A</v>
      </c>
      <c r="AI102" t="str">
        <f t="shared" si="45"/>
        <v/>
      </c>
      <c r="AJ102" t="e">
        <f t="shared" si="46"/>
        <v>#N/A</v>
      </c>
      <c r="AK102" t="e">
        <f t="shared" si="47"/>
        <v>#N/A</v>
      </c>
    </row>
    <row r="103" spans="1:37" x14ac:dyDescent="0.35">
      <c r="A103">
        <v>1950</v>
      </c>
      <c r="B103">
        <v>5192.7120000000004</v>
      </c>
      <c r="C103">
        <v>6314.183</v>
      </c>
      <c r="D103">
        <v>1285.104</v>
      </c>
      <c r="E103">
        <v>6286.86</v>
      </c>
      <c r="F103">
        <v>7810.674</v>
      </c>
      <c r="G103">
        <v>2814.6930000000002</v>
      </c>
      <c r="N103">
        <f>IF(ISBLANK($B103),NA(),IFERROR(SUM($B103:$B$177),NA()))</f>
        <v>781340.6449999999</v>
      </c>
      <c r="O103">
        <f>IF(ISBLANK($C103),NA(),IFERROR(SUM($C103:$C$177),NA()))</f>
        <v>1045747.9879999998</v>
      </c>
      <c r="P103">
        <f>IF(ISBLANK($D103),NA(),IFERROR(SUM($D103:$D$177),NA()))</f>
        <v>846444.35800000012</v>
      </c>
      <c r="Q103">
        <f t="shared" si="36"/>
        <v>1892192.3459999999</v>
      </c>
      <c r="R103">
        <f t="shared" si="37"/>
        <v>41.292876311000569</v>
      </c>
      <c r="S103">
        <f t="shared" si="38"/>
        <v>55.26647384504323</v>
      </c>
      <c r="T103">
        <f>IF(ISBLANK($E103),NA(),IFERROR(SUM($E103:$E$177),NA()))</f>
        <v>893649.66299999971</v>
      </c>
      <c r="U103">
        <f>IF(ISBLANK($F103),NA(),IFERROR(SUM($F103:$F$177),NA()))</f>
        <v>1197477.1159999999</v>
      </c>
      <c r="V103">
        <f>IF(ISBLANK($G103),NA(),IFERROR(SUM($G103:$G$177),NA()))</f>
        <v>1071664.8650000002</v>
      </c>
      <c r="W103">
        <f t="shared" si="39"/>
        <v>2269141.9810000001</v>
      </c>
      <c r="X103">
        <f t="shared" si="40"/>
        <v>39.382712517890681</v>
      </c>
      <c r="Y103">
        <f t="shared" si="41"/>
        <v>52.772242813659339</v>
      </c>
      <c r="Z103" t="e">
        <f>IF(ISBLANK($H103),NA(),IFERROR(SUM($H103:$H$177),NA()))</f>
        <v>#N/A</v>
      </c>
      <c r="AA103" t="e">
        <f>IF(ISBLANK($I103),NA(),IFERROR(SUM($I103:$I$177),NA()))</f>
        <v>#N/A</v>
      </c>
      <c r="AB103" t="e">
        <f>IF(ISBLANK($J103),NA(),IFERROR(SUM($J103:$J$177),NA()))</f>
        <v>#N/A</v>
      </c>
      <c r="AC103" t="str">
        <f t="shared" si="42"/>
        <v/>
      </c>
      <c r="AD103" t="e">
        <f t="shared" si="43"/>
        <v>#N/A</v>
      </c>
      <c r="AE103" t="e">
        <f t="shared" si="44"/>
        <v>#N/A</v>
      </c>
      <c r="AF103" t="e">
        <f>IF(ISBLANK($K103),NA(),IFERROR(SUM($K103:$K$177),NA()))</f>
        <v>#N/A</v>
      </c>
      <c r="AG103" t="e">
        <f>IF(ISBLANK($L103),NA(),IFERROR(SUM($L103:$L$177),NA()))</f>
        <v>#N/A</v>
      </c>
      <c r="AH103" t="e">
        <f>IF(ISBLANK($M103),NA(),IFERROR(SUM($M103:$M$177),NA()))</f>
        <v>#N/A</v>
      </c>
      <c r="AI103" t="str">
        <f t="shared" si="45"/>
        <v/>
      </c>
      <c r="AJ103" t="e">
        <f t="shared" si="46"/>
        <v>#N/A</v>
      </c>
      <c r="AK103" t="e">
        <f t="shared" si="47"/>
        <v>#N/A</v>
      </c>
    </row>
    <row r="104" spans="1:37" x14ac:dyDescent="0.35">
      <c r="A104">
        <v>1951</v>
      </c>
      <c r="B104">
        <v>5524.0940000000001</v>
      </c>
      <c r="C104">
        <v>6730.4629999999997</v>
      </c>
      <c r="D104">
        <v>1369.674</v>
      </c>
      <c r="E104">
        <v>6659.1859999999997</v>
      </c>
      <c r="F104">
        <v>8282.43</v>
      </c>
      <c r="G104">
        <v>2947.7370000000001</v>
      </c>
      <c r="N104">
        <f>IF(ISBLANK($B104),NA(),IFERROR(SUM($B104:$B$177),NA()))</f>
        <v>776147.93300000008</v>
      </c>
      <c r="O104">
        <f>IF(ISBLANK($C104),NA(),IFERROR(SUM($C104:$C$177),NA()))</f>
        <v>1039433.8049999998</v>
      </c>
      <c r="P104">
        <f>IF(ISBLANK($D104),NA(),IFERROR(SUM($D104:$D$177),NA()))</f>
        <v>845159.25400000019</v>
      </c>
      <c r="Q104">
        <f t="shared" si="36"/>
        <v>1884593.0589999999</v>
      </c>
      <c r="R104">
        <f t="shared" si="37"/>
        <v>41.18384758414841</v>
      </c>
      <c r="S104">
        <f t="shared" si="38"/>
        <v>55.154283840541297</v>
      </c>
      <c r="T104">
        <f>IF(ISBLANK($E104),NA(),IFERROR(SUM($E104:$E$177),NA()))</f>
        <v>887362.80299999972</v>
      </c>
      <c r="U104">
        <f>IF(ISBLANK($F104),NA(),IFERROR(SUM($F104:$F$177),NA()))</f>
        <v>1189666.4419999998</v>
      </c>
      <c r="V104">
        <f>IF(ISBLANK($G104),NA(),IFERROR(SUM($G104:$G$177),NA()))</f>
        <v>1068850.1720000003</v>
      </c>
      <c r="W104">
        <f t="shared" si="39"/>
        <v>2258516.6140000001</v>
      </c>
      <c r="X104">
        <f t="shared" si="40"/>
        <v>39.289629197299305</v>
      </c>
      <c r="Y104">
        <f t="shared" si="41"/>
        <v>52.674681896318333</v>
      </c>
      <c r="Z104" t="e">
        <f>IF(ISBLANK($H104),NA(),IFERROR(SUM($H104:$H$177),NA()))</f>
        <v>#N/A</v>
      </c>
      <c r="AA104" t="e">
        <f>IF(ISBLANK($I104),NA(),IFERROR(SUM($I104:$I$177),NA()))</f>
        <v>#N/A</v>
      </c>
      <c r="AB104" t="e">
        <f>IF(ISBLANK($J104),NA(),IFERROR(SUM($J104:$J$177),NA()))</f>
        <v>#N/A</v>
      </c>
      <c r="AC104" t="str">
        <f t="shared" si="42"/>
        <v/>
      </c>
      <c r="AD104" t="e">
        <f t="shared" si="43"/>
        <v>#N/A</v>
      </c>
      <c r="AE104" t="e">
        <f t="shared" si="44"/>
        <v>#N/A</v>
      </c>
      <c r="AF104" t="e">
        <f>IF(ISBLANK($K104),NA(),IFERROR(SUM($K104:$K$177),NA()))</f>
        <v>#N/A</v>
      </c>
      <c r="AG104" t="e">
        <f>IF(ISBLANK($L104),NA(),IFERROR(SUM($L104:$L$177),NA()))</f>
        <v>#N/A</v>
      </c>
      <c r="AH104" t="e">
        <f>IF(ISBLANK($M104),NA(),IFERROR(SUM($M104:$M$177),NA()))</f>
        <v>#N/A</v>
      </c>
      <c r="AI104" t="str">
        <f t="shared" si="45"/>
        <v/>
      </c>
      <c r="AJ104" t="e">
        <f t="shared" si="46"/>
        <v>#N/A</v>
      </c>
      <c r="AK104" t="e">
        <f t="shared" si="47"/>
        <v>#N/A</v>
      </c>
    </row>
    <row r="105" spans="1:37" x14ac:dyDescent="0.35">
      <c r="A105">
        <v>1952</v>
      </c>
      <c r="B105">
        <v>5489.3289999999997</v>
      </c>
      <c r="C105">
        <v>6776.6610000000001</v>
      </c>
      <c r="D105">
        <v>1452.9780000000001</v>
      </c>
      <c r="E105">
        <v>6639.5860000000002</v>
      </c>
      <c r="F105">
        <v>8358.0869999999995</v>
      </c>
      <c r="G105">
        <v>3058.357</v>
      </c>
      <c r="N105">
        <f>IF(ISBLANK($B105),NA(),IFERROR(SUM($B105:$B$177),NA()))</f>
        <v>770623.83900000004</v>
      </c>
      <c r="O105">
        <f>IF(ISBLANK($C105),NA(),IFERROR(SUM($C105:$C$177),NA()))</f>
        <v>1032703.3419999998</v>
      </c>
      <c r="P105">
        <f>IF(ISBLANK($D105),NA(),IFERROR(SUM($D105:$D$177),NA()))</f>
        <v>843789.58000000019</v>
      </c>
      <c r="Q105">
        <f t="shared" si="36"/>
        <v>1876492.922</v>
      </c>
      <c r="R105">
        <f t="shared" si="37"/>
        <v>41.06723931463889</v>
      </c>
      <c r="S105">
        <f t="shared" si="38"/>
        <v>55.033692367958729</v>
      </c>
      <c r="T105">
        <f>IF(ISBLANK($E105),NA(),IFERROR(SUM($E105:$E$177),NA()))</f>
        <v>880703.61699999974</v>
      </c>
      <c r="U105">
        <f>IF(ISBLANK($F105),NA(),IFERROR(SUM($F105:$F$177),NA()))</f>
        <v>1181384.0119999999</v>
      </c>
      <c r="V105">
        <f>IF(ISBLANK($G105),NA(),IFERROR(SUM($G105:$G$177),NA()))</f>
        <v>1065902.4350000001</v>
      </c>
      <c r="W105">
        <f t="shared" si="39"/>
        <v>2247286.4469999997</v>
      </c>
      <c r="X105">
        <f t="shared" si="40"/>
        <v>39.189646614729035</v>
      </c>
      <c r="Y105">
        <f t="shared" si="41"/>
        <v>52.569355970489681</v>
      </c>
      <c r="Z105" t="e">
        <f>IF(ISBLANK($H105),NA(),IFERROR(SUM($H105:$H$177),NA()))</f>
        <v>#N/A</v>
      </c>
      <c r="AA105" t="e">
        <f>IF(ISBLANK($I105),NA(),IFERROR(SUM($I105:$I$177),NA()))</f>
        <v>#N/A</v>
      </c>
      <c r="AB105" t="e">
        <f>IF(ISBLANK($J105),NA(),IFERROR(SUM($J105:$J$177),NA()))</f>
        <v>#N/A</v>
      </c>
      <c r="AC105" t="str">
        <f t="shared" si="42"/>
        <v/>
      </c>
      <c r="AD105" t="e">
        <f t="shared" si="43"/>
        <v>#N/A</v>
      </c>
      <c r="AE105" t="e">
        <f t="shared" si="44"/>
        <v>#N/A</v>
      </c>
      <c r="AF105" t="e">
        <f>IF(ISBLANK($K105),NA(),IFERROR(SUM($K105:$K$177),NA()))</f>
        <v>#N/A</v>
      </c>
      <c r="AG105" t="e">
        <f>IF(ISBLANK($L105),NA(),IFERROR(SUM($L105:$L$177),NA()))</f>
        <v>#N/A</v>
      </c>
      <c r="AH105" t="e">
        <f>IF(ISBLANK($M105),NA(),IFERROR(SUM($M105:$M$177),NA()))</f>
        <v>#N/A</v>
      </c>
      <c r="AI105" t="str">
        <f t="shared" si="45"/>
        <v/>
      </c>
      <c r="AJ105" t="e">
        <f t="shared" si="46"/>
        <v>#N/A</v>
      </c>
      <c r="AK105" t="e">
        <f t="shared" si="47"/>
        <v>#N/A</v>
      </c>
    </row>
    <row r="106" spans="1:37" x14ac:dyDescent="0.35">
      <c r="A106">
        <v>1953</v>
      </c>
      <c r="B106">
        <v>5606.6180000000004</v>
      </c>
      <c r="C106">
        <v>6973.223</v>
      </c>
      <c r="D106">
        <v>1488.1479999999999</v>
      </c>
      <c r="E106">
        <v>6780.22</v>
      </c>
      <c r="F106">
        <v>8592.1489999999994</v>
      </c>
      <c r="G106">
        <v>3132.9839999999999</v>
      </c>
      <c r="N106">
        <f>IF(ISBLANK($B106),NA(),IFERROR(SUM($B106:$B$177),NA()))</f>
        <v>765134.50999999989</v>
      </c>
      <c r="O106">
        <f>IF(ISBLANK($C106),NA(),IFERROR(SUM($C106:$C$177),NA()))</f>
        <v>1025926.6809999999</v>
      </c>
      <c r="P106">
        <f>IF(ISBLANK($D106),NA(),IFERROR(SUM($D106:$D$177),NA()))</f>
        <v>842336.60200000019</v>
      </c>
      <c r="Q106">
        <f t="shared" si="36"/>
        <v>1868263.2830000001</v>
      </c>
      <c r="R106">
        <f t="shared" si="37"/>
        <v>40.954319284772879</v>
      </c>
      <c r="S106">
        <f t="shared" si="38"/>
        <v>54.913388832038613</v>
      </c>
      <c r="T106">
        <f>IF(ISBLANK($E106),NA(),IFERROR(SUM($E106:$E$177),NA()))</f>
        <v>874064.03099999973</v>
      </c>
      <c r="U106">
        <f>IF(ISBLANK($F106),NA(),IFERROR(SUM($F106:$F$177),NA()))</f>
        <v>1173025.9249999998</v>
      </c>
      <c r="V106">
        <f>IF(ISBLANK($G106),NA(),IFERROR(SUM($G106:$G$177),NA()))</f>
        <v>1062844.0780000002</v>
      </c>
      <c r="W106">
        <f t="shared" si="39"/>
        <v>2235870.003</v>
      </c>
      <c r="X106">
        <f t="shared" si="40"/>
        <v>39.092792954295909</v>
      </c>
      <c r="Y106">
        <f t="shared" si="41"/>
        <v>52.46395914905969</v>
      </c>
      <c r="Z106" t="e">
        <f>IF(ISBLANK($H106),NA(),IFERROR(SUM($H106:$H$177),NA()))</f>
        <v>#N/A</v>
      </c>
      <c r="AA106" t="e">
        <f>IF(ISBLANK($I106),NA(),IFERROR(SUM($I106:$I$177),NA()))</f>
        <v>#N/A</v>
      </c>
      <c r="AB106" t="e">
        <f>IF(ISBLANK($J106),NA(),IFERROR(SUM($J106:$J$177),NA()))</f>
        <v>#N/A</v>
      </c>
      <c r="AC106" t="str">
        <f t="shared" si="42"/>
        <v/>
      </c>
      <c r="AD106" t="e">
        <f t="shared" si="43"/>
        <v>#N/A</v>
      </c>
      <c r="AE106" t="e">
        <f t="shared" si="44"/>
        <v>#N/A</v>
      </c>
      <c r="AF106" t="e">
        <f>IF(ISBLANK($K106),NA(),IFERROR(SUM($K106:$K$177),NA()))</f>
        <v>#N/A</v>
      </c>
      <c r="AG106" t="e">
        <f>IF(ISBLANK($L106),NA(),IFERROR(SUM($L106:$L$177),NA()))</f>
        <v>#N/A</v>
      </c>
      <c r="AH106" t="e">
        <f>IF(ISBLANK($M106),NA(),IFERROR(SUM($M106:$M$177),NA()))</f>
        <v>#N/A</v>
      </c>
      <c r="AI106" t="str">
        <f t="shared" si="45"/>
        <v/>
      </c>
      <c r="AJ106" t="e">
        <f t="shared" si="46"/>
        <v>#N/A</v>
      </c>
      <c r="AK106" t="e">
        <f t="shared" si="47"/>
        <v>#N/A</v>
      </c>
    </row>
    <row r="107" spans="1:37" x14ac:dyDescent="0.35">
      <c r="A107">
        <v>1954</v>
      </c>
      <c r="B107">
        <v>5593.241</v>
      </c>
      <c r="C107">
        <v>7064.6369999999997</v>
      </c>
      <c r="D107">
        <v>1593.2760000000001</v>
      </c>
      <c r="E107">
        <v>6799.7839999999997</v>
      </c>
      <c r="F107">
        <v>8735.1530000000002</v>
      </c>
      <c r="G107">
        <v>3281.5239999999999</v>
      </c>
      <c r="N107">
        <f>IF(ISBLANK($B107),NA(),IFERROR(SUM($B107:$B$177),NA()))</f>
        <v>759527.89199999988</v>
      </c>
      <c r="O107">
        <f>IF(ISBLANK($C107),NA(),IFERROR(SUM($C107:$C$177),NA()))</f>
        <v>1018953.4579999998</v>
      </c>
      <c r="P107">
        <f>IF(ISBLANK($D107),NA(),IFERROR(SUM($D107:$D$177),NA()))</f>
        <v>840848.45400000014</v>
      </c>
      <c r="Q107">
        <f t="shared" si="36"/>
        <v>1859801.912</v>
      </c>
      <c r="R107">
        <f t="shared" si="37"/>
        <v>40.839182232220431</v>
      </c>
      <c r="S107">
        <f t="shared" si="38"/>
        <v>54.788278871282273</v>
      </c>
      <c r="T107">
        <f>IF(ISBLANK($E107),NA(),IFERROR(SUM($E107:$E$177),NA()))</f>
        <v>867283.81099999975</v>
      </c>
      <c r="U107">
        <f>IF(ISBLANK($F107),NA(),IFERROR(SUM($F107:$F$177),NA()))</f>
        <v>1164433.7759999996</v>
      </c>
      <c r="V107">
        <f>IF(ISBLANK($G107),NA(),IFERROR(SUM($G107:$G$177),NA()))</f>
        <v>1059711.094</v>
      </c>
      <c r="W107">
        <f t="shared" si="39"/>
        <v>2224144.8699999996</v>
      </c>
      <c r="X107">
        <f t="shared" si="40"/>
        <v>38.994034188069769</v>
      </c>
      <c r="Y107">
        <f t="shared" si="41"/>
        <v>52.354223490846607</v>
      </c>
      <c r="Z107" t="e">
        <f>IF(ISBLANK($H107),NA(),IFERROR(SUM($H107:$H$177),NA()))</f>
        <v>#N/A</v>
      </c>
      <c r="AA107" t="e">
        <f>IF(ISBLANK($I107),NA(),IFERROR(SUM($I107:$I$177),NA()))</f>
        <v>#N/A</v>
      </c>
      <c r="AB107" t="e">
        <f>IF(ISBLANK($J107),NA(),IFERROR(SUM($J107:$J$177),NA()))</f>
        <v>#N/A</v>
      </c>
      <c r="AC107" t="str">
        <f t="shared" si="42"/>
        <v/>
      </c>
      <c r="AD107" t="e">
        <f t="shared" si="43"/>
        <v>#N/A</v>
      </c>
      <c r="AE107" t="e">
        <f t="shared" si="44"/>
        <v>#N/A</v>
      </c>
      <c r="AF107" t="e">
        <f>IF(ISBLANK($K107),NA(),IFERROR(SUM($K107:$K$177),NA()))</f>
        <v>#N/A</v>
      </c>
      <c r="AG107" t="e">
        <f>IF(ISBLANK($L107),NA(),IFERROR(SUM($L107:$L$177),NA()))</f>
        <v>#N/A</v>
      </c>
      <c r="AH107" t="e">
        <f>IF(ISBLANK($M107),NA(),IFERROR(SUM($M107:$M$177),NA()))</f>
        <v>#N/A</v>
      </c>
      <c r="AI107" t="str">
        <f t="shared" si="45"/>
        <v/>
      </c>
      <c r="AJ107" t="e">
        <f t="shared" si="46"/>
        <v>#N/A</v>
      </c>
      <c r="AK107" t="e">
        <f t="shared" si="47"/>
        <v>#N/A</v>
      </c>
    </row>
    <row r="108" spans="1:37" x14ac:dyDescent="0.35">
      <c r="A108">
        <v>1955</v>
      </c>
      <c r="B108">
        <v>6040.5959999999995</v>
      </c>
      <c r="C108">
        <v>7657.1419999999998</v>
      </c>
      <c r="D108">
        <v>1791.0160000000001</v>
      </c>
      <c r="E108">
        <v>7291.6139999999996</v>
      </c>
      <c r="F108">
        <v>9397.1350000000002</v>
      </c>
      <c r="G108">
        <v>3496.462</v>
      </c>
      <c r="N108">
        <f>IF(ISBLANK($B108),NA(),IFERROR(SUM($B108:$B$177),NA()))</f>
        <v>753934.65099999995</v>
      </c>
      <c r="O108">
        <f>IF(ISBLANK($C108),NA(),IFERROR(SUM($C108:$C$177),NA()))</f>
        <v>1011888.8209999998</v>
      </c>
      <c r="P108">
        <f>IF(ISBLANK($D108),NA(),IFERROR(SUM($D108:$D$177),NA()))</f>
        <v>839255.17800000019</v>
      </c>
      <c r="Q108">
        <f t="shared" si="36"/>
        <v>1851143.9989999998</v>
      </c>
      <c r="R108">
        <f t="shared" si="37"/>
        <v>40.728039061644068</v>
      </c>
      <c r="S108">
        <f t="shared" si="38"/>
        <v>54.662890706861745</v>
      </c>
      <c r="T108">
        <f>IF(ISBLANK($E108),NA(),IFERROR(SUM($E108:$E$177),NA()))</f>
        <v>860484.02699999977</v>
      </c>
      <c r="U108">
        <f>IF(ISBLANK($F108),NA(),IFERROR(SUM($F108:$F$177),NA()))</f>
        <v>1155698.6229999997</v>
      </c>
      <c r="V108">
        <f>IF(ISBLANK($G108),NA(),IFERROR(SUM($G108:$G$177),NA()))</f>
        <v>1056429.5699999998</v>
      </c>
      <c r="W108">
        <f t="shared" si="39"/>
        <v>2212128.1929999995</v>
      </c>
      <c r="X108">
        <f t="shared" si="40"/>
        <v>38.89847024792202</v>
      </c>
      <c r="Y108">
        <f t="shared" si="41"/>
        <v>52.243745487131442</v>
      </c>
      <c r="Z108" t="e">
        <f>IF(ISBLANK($H108),NA(),IFERROR(SUM($H108:$H$177),NA()))</f>
        <v>#N/A</v>
      </c>
      <c r="AA108" t="e">
        <f>IF(ISBLANK($I108),NA(),IFERROR(SUM($I108:$I$177),NA()))</f>
        <v>#N/A</v>
      </c>
      <c r="AB108" t="e">
        <f>IF(ISBLANK($J108),NA(),IFERROR(SUM($J108:$J$177),NA()))</f>
        <v>#N/A</v>
      </c>
      <c r="AC108" t="str">
        <f t="shared" si="42"/>
        <v/>
      </c>
      <c r="AD108" t="e">
        <f t="shared" si="43"/>
        <v>#N/A</v>
      </c>
      <c r="AE108" t="e">
        <f t="shared" si="44"/>
        <v>#N/A</v>
      </c>
      <c r="AF108" t="e">
        <f>IF(ISBLANK($K108),NA(),IFERROR(SUM($K108:$K$177),NA()))</f>
        <v>#N/A</v>
      </c>
      <c r="AG108" t="e">
        <f>IF(ISBLANK($L108),NA(),IFERROR(SUM($L108:$L$177),NA()))</f>
        <v>#N/A</v>
      </c>
      <c r="AH108" t="e">
        <f>IF(ISBLANK($M108),NA(),IFERROR(SUM($M108:$M$177),NA()))</f>
        <v>#N/A</v>
      </c>
      <c r="AI108" t="str">
        <f t="shared" si="45"/>
        <v/>
      </c>
      <c r="AJ108" t="e">
        <f t="shared" si="46"/>
        <v>#N/A</v>
      </c>
      <c r="AK108" t="e">
        <f t="shared" si="47"/>
        <v>#N/A</v>
      </c>
    </row>
    <row r="109" spans="1:37" x14ac:dyDescent="0.35">
      <c r="A109">
        <v>1956</v>
      </c>
      <c r="B109">
        <v>6364.7759999999998</v>
      </c>
      <c r="C109">
        <v>8112.9859999999999</v>
      </c>
      <c r="D109">
        <v>1894.884</v>
      </c>
      <c r="E109">
        <v>7654.3280000000004</v>
      </c>
      <c r="F109">
        <v>9912.6859999999997</v>
      </c>
      <c r="G109">
        <v>3640.78</v>
      </c>
      <c r="N109">
        <f>IF(ISBLANK($B109),NA(),IFERROR(SUM($B109:$B$177),NA()))</f>
        <v>747894.05499999982</v>
      </c>
      <c r="O109">
        <f>IF(ISBLANK($C109),NA(),IFERROR(SUM($C109:$C$177),NA()))</f>
        <v>1004231.6789999999</v>
      </c>
      <c r="P109">
        <f>IF(ISBLANK($D109),NA(),IFERROR(SUM($D109:$D$177),NA()))</f>
        <v>837464.16200000024</v>
      </c>
      <c r="Q109">
        <f t="shared" si="36"/>
        <v>1841695.841</v>
      </c>
      <c r="R109">
        <f t="shared" si="37"/>
        <v>40.608988647870866</v>
      </c>
      <c r="S109">
        <f t="shared" si="38"/>
        <v>54.527553173749055</v>
      </c>
      <c r="T109">
        <f>IF(ISBLANK($E109),NA(),IFERROR(SUM($E109:$E$177),NA()))</f>
        <v>853192.41299999971</v>
      </c>
      <c r="U109">
        <f>IF(ISBLANK($F109),NA(),IFERROR(SUM($F109:$F$177),NA()))</f>
        <v>1146301.4879999997</v>
      </c>
      <c r="V109">
        <f>IF(ISBLANK($G109),NA(),IFERROR(SUM($G109:$G$177),NA()))</f>
        <v>1052933.108</v>
      </c>
      <c r="W109">
        <f t="shared" si="39"/>
        <v>2199234.5959999999</v>
      </c>
      <c r="X109">
        <f t="shared" si="40"/>
        <v>38.794970511640663</v>
      </c>
      <c r="Y109">
        <f t="shared" si="41"/>
        <v>52.122747163258964</v>
      </c>
      <c r="Z109" t="e">
        <f>IF(ISBLANK($H109),NA(),IFERROR(SUM($H109:$H$177),NA()))</f>
        <v>#N/A</v>
      </c>
      <c r="AA109" t="e">
        <f>IF(ISBLANK($I109),NA(),IFERROR(SUM($I109:$I$177),NA()))</f>
        <v>#N/A</v>
      </c>
      <c r="AB109" t="e">
        <f>IF(ISBLANK($J109),NA(),IFERROR(SUM($J109:$J$177),NA()))</f>
        <v>#N/A</v>
      </c>
      <c r="AC109" t="str">
        <f t="shared" si="42"/>
        <v/>
      </c>
      <c r="AD109" t="e">
        <f t="shared" si="43"/>
        <v>#N/A</v>
      </c>
      <c r="AE109" t="e">
        <f t="shared" si="44"/>
        <v>#N/A</v>
      </c>
      <c r="AF109" t="e">
        <f>IF(ISBLANK($K109),NA(),IFERROR(SUM($K109:$K$177),NA()))</f>
        <v>#N/A</v>
      </c>
      <c r="AG109" t="e">
        <f>IF(ISBLANK($L109),NA(),IFERROR(SUM($L109:$L$177),NA()))</f>
        <v>#N/A</v>
      </c>
      <c r="AH109" t="e">
        <f>IF(ISBLANK($M109),NA(),IFERROR(SUM($M109:$M$177),NA()))</f>
        <v>#N/A</v>
      </c>
      <c r="AI109" t="str">
        <f t="shared" si="45"/>
        <v/>
      </c>
      <c r="AJ109" t="e">
        <f t="shared" si="46"/>
        <v>#N/A</v>
      </c>
      <c r="AK109" t="e">
        <f t="shared" si="47"/>
        <v>#N/A</v>
      </c>
    </row>
    <row r="110" spans="1:37" x14ac:dyDescent="0.35">
      <c r="A110">
        <v>1957</v>
      </c>
      <c r="B110">
        <v>6411.0510000000004</v>
      </c>
      <c r="C110">
        <v>8305.0010000000002</v>
      </c>
      <c r="D110">
        <v>2037.6489999999999</v>
      </c>
      <c r="E110">
        <v>7726.0469999999996</v>
      </c>
      <c r="F110">
        <v>10153.611999999999</v>
      </c>
      <c r="G110">
        <v>3825.692</v>
      </c>
      <c r="N110">
        <f>IF(ISBLANK($B110),NA(),IFERROR(SUM($B110:$B$177),NA()))</f>
        <v>741529.27899999998</v>
      </c>
      <c r="O110">
        <f>IF(ISBLANK($C110),NA(),IFERROR(SUM($C110:$C$177),NA()))</f>
        <v>996118.69299999985</v>
      </c>
      <c r="P110">
        <f>IF(ISBLANK($D110),NA(),IFERROR(SUM($D110:$D$177),NA()))</f>
        <v>835569.27800000017</v>
      </c>
      <c r="Q110">
        <f t="shared" si="36"/>
        <v>1831687.9709999999</v>
      </c>
      <c r="R110">
        <f t="shared" si="37"/>
        <v>40.483384219374777</v>
      </c>
      <c r="S110">
        <f t="shared" si="38"/>
        <v>54.382553621082877</v>
      </c>
      <c r="T110">
        <f>IF(ISBLANK($E110),NA(),IFERROR(SUM($E110:$E$177),NA()))</f>
        <v>845538.08499999973</v>
      </c>
      <c r="U110">
        <f>IF(ISBLANK($F110),NA(),IFERROR(SUM($F110:$F$177),NA()))</f>
        <v>1136388.8019999997</v>
      </c>
      <c r="V110">
        <f>IF(ISBLANK($G110),NA(),IFERROR(SUM($G110:$G$177),NA()))</f>
        <v>1049292.3280000002</v>
      </c>
      <c r="W110">
        <f t="shared" si="39"/>
        <v>2185681.13</v>
      </c>
      <c r="X110">
        <f t="shared" si="40"/>
        <v>38.685335815659435</v>
      </c>
      <c r="Y110">
        <f t="shared" si="41"/>
        <v>51.992433223779521</v>
      </c>
      <c r="Z110" t="e">
        <f>IF(ISBLANK($H110),NA(),IFERROR(SUM($H110:$H$177),NA()))</f>
        <v>#N/A</v>
      </c>
      <c r="AA110" t="e">
        <f>IF(ISBLANK($I110),NA(),IFERROR(SUM($I110:$I$177),NA()))</f>
        <v>#N/A</v>
      </c>
      <c r="AB110" t="e">
        <f>IF(ISBLANK($J110),NA(),IFERROR(SUM($J110:$J$177),NA()))</f>
        <v>#N/A</v>
      </c>
      <c r="AC110" t="str">
        <f t="shared" si="42"/>
        <v/>
      </c>
      <c r="AD110" t="e">
        <f t="shared" si="43"/>
        <v>#N/A</v>
      </c>
      <c r="AE110" t="e">
        <f t="shared" si="44"/>
        <v>#N/A</v>
      </c>
      <c r="AF110" t="e">
        <f>IF(ISBLANK($K110),NA(),IFERROR(SUM($K110:$K$177),NA()))</f>
        <v>#N/A</v>
      </c>
      <c r="AG110" t="e">
        <f>IF(ISBLANK($L110),NA(),IFERROR(SUM($L110:$L$177),NA()))</f>
        <v>#N/A</v>
      </c>
      <c r="AH110" t="e">
        <f>IF(ISBLANK($M110),NA(),IFERROR(SUM($M110:$M$177),NA()))</f>
        <v>#N/A</v>
      </c>
      <c r="AI110" t="str">
        <f t="shared" si="45"/>
        <v/>
      </c>
      <c r="AJ110" t="e">
        <f t="shared" si="46"/>
        <v>#N/A</v>
      </c>
      <c r="AK110" t="e">
        <f t="shared" si="47"/>
        <v>#N/A</v>
      </c>
    </row>
    <row r="111" spans="1:37" x14ac:dyDescent="0.35">
      <c r="A111">
        <v>1958</v>
      </c>
      <c r="B111">
        <v>6278.59</v>
      </c>
      <c r="C111">
        <v>8274.3780000000006</v>
      </c>
      <c r="D111">
        <v>2370.933</v>
      </c>
      <c r="E111">
        <v>7611.049</v>
      </c>
      <c r="F111">
        <v>10161.925999999999</v>
      </c>
      <c r="G111">
        <v>4209.2669999999998</v>
      </c>
      <c r="N111">
        <f>IF(ISBLANK($B111),NA(),IFERROR(SUM($B111:$B$177),NA()))</f>
        <v>735118.22799999977</v>
      </c>
      <c r="O111">
        <f>IF(ISBLANK($C111),NA(),IFERROR(SUM($C111:$C$177),NA()))</f>
        <v>987813.69199999992</v>
      </c>
      <c r="P111">
        <f>IF(ISBLANK($D111),NA(),IFERROR(SUM($D111:$D$177),NA()))</f>
        <v>833531.62900000019</v>
      </c>
      <c r="Q111">
        <f t="shared" si="36"/>
        <v>1821345.321</v>
      </c>
      <c r="R111">
        <f t="shared" si="37"/>
        <v>40.361276882759775</v>
      </c>
      <c r="S111">
        <f t="shared" si="38"/>
        <v>54.235387469392457</v>
      </c>
      <c r="T111">
        <f>IF(ISBLANK($E111),NA(),IFERROR(SUM($E111:$E$177),NA()))</f>
        <v>837812.03799999994</v>
      </c>
      <c r="U111">
        <f>IF(ISBLANK($F111),NA(),IFERROR(SUM($F111:$F$177),NA()))</f>
        <v>1126235.1899999997</v>
      </c>
      <c r="V111">
        <f>IF(ISBLANK($G111),NA(),IFERROR(SUM($G111:$G$177),NA()))</f>
        <v>1045466.6360000001</v>
      </c>
      <c r="W111">
        <f t="shared" si="39"/>
        <v>2171701.8259999999</v>
      </c>
      <c r="X111">
        <f t="shared" si="40"/>
        <v>38.578594352574811</v>
      </c>
      <c r="Y111">
        <f t="shared" si="41"/>
        <v>51.859568220485521</v>
      </c>
      <c r="Z111" t="e">
        <f>IF(ISBLANK($H111),NA(),IFERROR(SUM($H111:$H$177),NA()))</f>
        <v>#N/A</v>
      </c>
      <c r="AA111" t="e">
        <f>IF(ISBLANK($I111),NA(),IFERROR(SUM($I111:$I$177),NA()))</f>
        <v>#N/A</v>
      </c>
      <c r="AB111" t="e">
        <f>IF(ISBLANK($J111),NA(),IFERROR(SUM($J111:$J$177),NA()))</f>
        <v>#N/A</v>
      </c>
      <c r="AC111" t="str">
        <f t="shared" si="42"/>
        <v/>
      </c>
      <c r="AD111" t="e">
        <f t="shared" si="43"/>
        <v>#N/A</v>
      </c>
      <c r="AE111" t="e">
        <f t="shared" si="44"/>
        <v>#N/A</v>
      </c>
      <c r="AF111" t="e">
        <f>IF(ISBLANK($K111),NA(),IFERROR(SUM($K111:$K$177),NA()))</f>
        <v>#N/A</v>
      </c>
      <c r="AG111" t="e">
        <f>IF(ISBLANK($L111),NA(),IFERROR(SUM($L111:$L$177),NA()))</f>
        <v>#N/A</v>
      </c>
      <c r="AH111" t="e">
        <f>IF(ISBLANK($M111),NA(),IFERROR(SUM($M111:$M$177),NA()))</f>
        <v>#N/A</v>
      </c>
      <c r="AI111" t="str">
        <f t="shared" si="45"/>
        <v/>
      </c>
      <c r="AJ111" t="e">
        <f t="shared" si="46"/>
        <v>#N/A</v>
      </c>
      <c r="AK111" t="e">
        <f t="shared" si="47"/>
        <v>#N/A</v>
      </c>
    </row>
    <row r="112" spans="1:37" x14ac:dyDescent="0.35">
      <c r="A112">
        <v>1959</v>
      </c>
      <c r="B112">
        <v>6408.8969999999999</v>
      </c>
      <c r="C112">
        <v>8499.3780000000006</v>
      </c>
      <c r="D112">
        <v>2737.848</v>
      </c>
      <c r="E112">
        <v>7778.3869999999997</v>
      </c>
      <c r="F112">
        <v>10441.764999999999</v>
      </c>
      <c r="G112">
        <v>4618.7669999999998</v>
      </c>
      <c r="N112">
        <f>IF(ISBLANK($B112),NA(),IFERROR(SUM($B112:$B$177),NA()))</f>
        <v>728839.6379999998</v>
      </c>
      <c r="O112">
        <f>IF(ISBLANK($C112),NA(),IFERROR(SUM($C112:$C$177),NA()))</f>
        <v>979539.3139999999</v>
      </c>
      <c r="P112">
        <f>IF(ISBLANK($D112),NA(),IFERROR(SUM($D112:$D$177),NA()))</f>
        <v>831160.69600000023</v>
      </c>
      <c r="Q112">
        <f t="shared" si="36"/>
        <v>1810700.0100000002</v>
      </c>
      <c r="R112">
        <f t="shared" si="37"/>
        <v>40.251816091832886</v>
      </c>
      <c r="S112">
        <f t="shared" si="38"/>
        <v>54.097272247764536</v>
      </c>
      <c r="T112">
        <f>IF(ISBLANK($E112),NA(),IFERROR(SUM($E112:$E$177),NA()))</f>
        <v>830200.98899999994</v>
      </c>
      <c r="U112">
        <f>IF(ISBLANK($F112),NA(),IFERROR(SUM($F112:$F$177),NA()))</f>
        <v>1116073.264</v>
      </c>
      <c r="V112">
        <f>IF(ISBLANK($G112),NA(),IFERROR(SUM($G112:$G$177),NA()))</f>
        <v>1041257.3690000001</v>
      </c>
      <c r="W112">
        <f t="shared" si="39"/>
        <v>2157330.6329999999</v>
      </c>
      <c r="X112">
        <f t="shared" si="40"/>
        <v>38.482788697322498</v>
      </c>
      <c r="Y112">
        <f t="shared" si="41"/>
        <v>51.733992320313938</v>
      </c>
      <c r="Z112" t="e">
        <f>IF(ISBLANK($H112),NA(),IFERROR(SUM($H112:$H$177),NA()))</f>
        <v>#N/A</v>
      </c>
      <c r="AA112" t="e">
        <f>IF(ISBLANK($I112),NA(),IFERROR(SUM($I112:$I$177),NA()))</f>
        <v>#N/A</v>
      </c>
      <c r="AB112" t="e">
        <f>IF(ISBLANK($J112),NA(),IFERROR(SUM($J112:$J$177),NA()))</f>
        <v>#N/A</v>
      </c>
      <c r="AC112" t="str">
        <f t="shared" si="42"/>
        <v/>
      </c>
      <c r="AD112" t="e">
        <f t="shared" si="43"/>
        <v>#N/A</v>
      </c>
      <c r="AE112" t="e">
        <f t="shared" si="44"/>
        <v>#N/A</v>
      </c>
      <c r="AF112" t="e">
        <f>IF(ISBLANK($K112),NA(),IFERROR(SUM($K112:$K$177),NA()))</f>
        <v>#N/A</v>
      </c>
      <c r="AG112" t="e">
        <f>IF(ISBLANK($L112),NA(),IFERROR(SUM($L112:$L$177),NA()))</f>
        <v>#N/A</v>
      </c>
      <c r="AH112" t="e">
        <f>IF(ISBLANK($M112),NA(),IFERROR(SUM($M112:$M$177),NA()))</f>
        <v>#N/A</v>
      </c>
      <c r="AI112" t="str">
        <f t="shared" si="45"/>
        <v/>
      </c>
      <c r="AJ112" t="e">
        <f t="shared" si="46"/>
        <v>#N/A</v>
      </c>
      <c r="AK112" t="e">
        <f t="shared" si="47"/>
        <v>#N/A</v>
      </c>
    </row>
    <row r="113" spans="1:37" x14ac:dyDescent="0.35">
      <c r="A113">
        <v>1960</v>
      </c>
      <c r="B113">
        <v>6748.9560000000001</v>
      </c>
      <c r="C113">
        <v>8927.2540000000008</v>
      </c>
      <c r="D113">
        <v>2916.0639999999999</v>
      </c>
      <c r="E113">
        <v>8134.7960000000003</v>
      </c>
      <c r="F113">
        <v>10902.814</v>
      </c>
      <c r="G113">
        <v>4843.6109999999999</v>
      </c>
      <c r="N113">
        <f>IF(ISBLANK($B113),NA(),IFERROR(SUM($B113:$B$177),NA()))</f>
        <v>722430.74099999981</v>
      </c>
      <c r="O113">
        <f>IF(ISBLANK($C113),NA(),IFERROR(SUM($C113:$C$177),NA()))</f>
        <v>971039.93599999987</v>
      </c>
      <c r="P113">
        <f>IF(ISBLANK($D113),NA(),IFERROR(SUM($D113:$D$177),NA()))</f>
        <v>828422.84800000023</v>
      </c>
      <c r="Q113">
        <f t="shared" si="36"/>
        <v>1799462.784</v>
      </c>
      <c r="R113">
        <f t="shared" si="37"/>
        <v>40.147023179558005</v>
      </c>
      <c r="S113">
        <f t="shared" si="38"/>
        <v>53.962768479239628</v>
      </c>
      <c r="T113">
        <f>IF(ISBLANK($E113),NA(),IFERROR(SUM($E113:$E$177),NA()))</f>
        <v>822422.60199999984</v>
      </c>
      <c r="U113">
        <f>IF(ISBLANK($F113),NA(),IFERROR(SUM($F113:$F$177),NA()))</f>
        <v>1105631.4990000001</v>
      </c>
      <c r="V113">
        <f>IF(ISBLANK($G113),NA(),IFERROR(SUM($G113:$G$177),NA()))</f>
        <v>1036638.6020000001</v>
      </c>
      <c r="W113">
        <f t="shared" si="39"/>
        <v>2142270.1010000003</v>
      </c>
      <c r="X113">
        <f t="shared" si="40"/>
        <v>38.39023854256741</v>
      </c>
      <c r="Y113">
        <f t="shared" si="41"/>
        <v>51.610275402896079</v>
      </c>
      <c r="Z113" t="e">
        <f>IF(ISBLANK($H113),NA(),IFERROR(SUM($H113:$H$177),NA()))</f>
        <v>#N/A</v>
      </c>
      <c r="AA113" t="e">
        <f>IF(ISBLANK($I113),NA(),IFERROR(SUM($I113:$I$177),NA()))</f>
        <v>#N/A</v>
      </c>
      <c r="AB113" t="e">
        <f>IF(ISBLANK($J113),NA(),IFERROR(SUM($J113:$J$177),NA()))</f>
        <v>#N/A</v>
      </c>
      <c r="AC113" t="str">
        <f t="shared" si="42"/>
        <v/>
      </c>
      <c r="AD113" t="e">
        <f t="shared" si="43"/>
        <v>#N/A</v>
      </c>
      <c r="AE113" t="e">
        <f t="shared" si="44"/>
        <v>#N/A</v>
      </c>
      <c r="AF113" t="e">
        <f>IF(ISBLANK($K113),NA(),IFERROR(SUM($K113:$K$177),NA()))</f>
        <v>#N/A</v>
      </c>
      <c r="AG113" t="e">
        <f>IF(ISBLANK($L113),NA(),IFERROR(SUM($L113:$L$177),NA()))</f>
        <v>#N/A</v>
      </c>
      <c r="AH113" t="e">
        <f>IF(ISBLANK($M113),NA(),IFERROR(SUM($M113:$M$177),NA()))</f>
        <v>#N/A</v>
      </c>
      <c r="AI113" t="str">
        <f t="shared" si="45"/>
        <v/>
      </c>
      <c r="AJ113" t="e">
        <f t="shared" si="46"/>
        <v>#N/A</v>
      </c>
      <c r="AK113" t="e">
        <f t="shared" si="47"/>
        <v>#N/A</v>
      </c>
    </row>
    <row r="114" spans="1:37" x14ac:dyDescent="0.35">
      <c r="A114">
        <v>1961</v>
      </c>
      <c r="B114">
        <v>6898.4989999999998</v>
      </c>
      <c r="C114">
        <v>9154.357</v>
      </c>
      <c r="D114">
        <v>2732.73</v>
      </c>
      <c r="E114">
        <v>8321.2739999999994</v>
      </c>
      <c r="F114">
        <v>11183.376</v>
      </c>
      <c r="G114">
        <v>4684.9960000000001</v>
      </c>
      <c r="N114">
        <f>IF(ISBLANK($B114),NA(),IFERROR(SUM($B114:$B$177),NA()))</f>
        <v>715681.7849999998</v>
      </c>
      <c r="O114">
        <f>IF(ISBLANK($C114),NA(),IFERROR(SUM($C114:$C$177),NA()))</f>
        <v>962112.68199999991</v>
      </c>
      <c r="P114">
        <f>IF(ISBLANK($D114),NA(),IFERROR(SUM($D114:$D$177),NA()))</f>
        <v>825506.78400000022</v>
      </c>
      <c r="Q114">
        <f t="shared" si="36"/>
        <v>1787619.466</v>
      </c>
      <c r="R114">
        <f t="shared" si="37"/>
        <v>40.035466082802202</v>
      </c>
      <c r="S114">
        <f t="shared" si="38"/>
        <v>53.820888634248064</v>
      </c>
      <c r="T114">
        <f>IF(ISBLANK($E114),NA(),IFERROR(SUM($E114:$E$177),NA()))</f>
        <v>814287.80599999975</v>
      </c>
      <c r="U114">
        <f>IF(ISBLANK($F114),NA(),IFERROR(SUM($F114:$F$177),NA()))</f>
        <v>1094728.6850000001</v>
      </c>
      <c r="V114">
        <f>IF(ISBLANK($G114),NA(),IFERROR(SUM($G114:$G$177),NA()))</f>
        <v>1031794.991</v>
      </c>
      <c r="W114">
        <f t="shared" si="39"/>
        <v>2126523.676</v>
      </c>
      <c r="X114">
        <f t="shared" si="40"/>
        <v>38.291969903277945</v>
      </c>
      <c r="Y114">
        <f t="shared" si="41"/>
        <v>51.479731796788144</v>
      </c>
      <c r="Z114" t="e">
        <f>IF(ISBLANK($H114),NA(),IFERROR(SUM($H114:$H$177),NA()))</f>
        <v>#N/A</v>
      </c>
      <c r="AA114" t="e">
        <f>IF(ISBLANK($I114),NA(),IFERROR(SUM($I114:$I$177),NA()))</f>
        <v>#N/A</v>
      </c>
      <c r="AB114" t="e">
        <f>IF(ISBLANK($J114),NA(),IFERROR(SUM($J114:$J$177),NA()))</f>
        <v>#N/A</v>
      </c>
      <c r="AC114" t="str">
        <f t="shared" si="42"/>
        <v/>
      </c>
      <c r="AD114" t="e">
        <f t="shared" si="43"/>
        <v>#N/A</v>
      </c>
      <c r="AE114" t="e">
        <f t="shared" si="44"/>
        <v>#N/A</v>
      </c>
      <c r="AF114" t="e">
        <f>IF(ISBLANK($K114),NA(),IFERROR(SUM($K114:$K$177),NA()))</f>
        <v>#N/A</v>
      </c>
      <c r="AG114" t="e">
        <f>IF(ISBLANK($L114),NA(),IFERROR(SUM($L114:$L$177),NA()))</f>
        <v>#N/A</v>
      </c>
      <c r="AH114" t="e">
        <f>IF(ISBLANK($M114),NA(),IFERROR(SUM($M114:$M$177),NA()))</f>
        <v>#N/A</v>
      </c>
      <c r="AI114" t="str">
        <f t="shared" si="45"/>
        <v/>
      </c>
      <c r="AJ114" t="e">
        <f t="shared" si="46"/>
        <v>#N/A</v>
      </c>
      <c r="AK114" t="e">
        <f t="shared" si="47"/>
        <v>#N/A</v>
      </c>
    </row>
    <row r="115" spans="1:37" x14ac:dyDescent="0.35">
      <c r="A115">
        <v>1962</v>
      </c>
      <c r="B115">
        <v>7210.4859999999999</v>
      </c>
      <c r="C115">
        <v>9581.65</v>
      </c>
      <c r="D115">
        <v>2677.9140000000002</v>
      </c>
      <c r="E115">
        <v>8692.5130000000008</v>
      </c>
      <c r="F115">
        <v>11697.602000000001</v>
      </c>
      <c r="G115">
        <v>4673.3530000000001</v>
      </c>
      <c r="N115">
        <f>IF(ISBLANK($B115),NA(),IFERROR(SUM($B115:$B$177),NA()))</f>
        <v>708783.28599999973</v>
      </c>
      <c r="O115">
        <f>IF(ISBLANK($C115),NA(),IFERROR(SUM($C115:$C$177),NA()))</f>
        <v>952958.32499999995</v>
      </c>
      <c r="P115">
        <f>IF(ISBLANK($D115),NA(),IFERROR(SUM($D115:$D$177),NA()))</f>
        <v>822774.05400000024</v>
      </c>
      <c r="Q115">
        <f t="shared" si="36"/>
        <v>1775732.3790000002</v>
      </c>
      <c r="R115">
        <f t="shared" si="37"/>
        <v>39.914983495381748</v>
      </c>
      <c r="S115">
        <f t="shared" si="38"/>
        <v>53.665650087242113</v>
      </c>
      <c r="T115">
        <f>IF(ISBLANK($E115),NA(),IFERROR(SUM($E115:$E$177),NA()))</f>
        <v>805966.53199999977</v>
      </c>
      <c r="U115">
        <f>IF(ISBLANK($F115),NA(),IFERROR(SUM($F115:$F$177),NA()))</f>
        <v>1083545.3090000004</v>
      </c>
      <c r="V115">
        <f>IF(ISBLANK($G115),NA(),IFERROR(SUM($G115:$G$177),NA()))</f>
        <v>1027109.995</v>
      </c>
      <c r="W115">
        <f t="shared" si="39"/>
        <v>2110655.3040000005</v>
      </c>
      <c r="X115">
        <f t="shared" si="40"/>
        <v>38.185606644181803</v>
      </c>
      <c r="Y115">
        <f t="shared" si="41"/>
        <v>51.33691450927698</v>
      </c>
      <c r="Z115" t="e">
        <f>IF(ISBLANK($H115),NA(),IFERROR(SUM($H115:$H$177),NA()))</f>
        <v>#N/A</v>
      </c>
      <c r="AA115" t="e">
        <f>IF(ISBLANK($I115),NA(),IFERROR(SUM($I115:$I$177),NA()))</f>
        <v>#N/A</v>
      </c>
      <c r="AB115" t="e">
        <f>IF(ISBLANK($J115),NA(),IFERROR(SUM($J115:$J$177),NA()))</f>
        <v>#N/A</v>
      </c>
      <c r="AC115" t="str">
        <f t="shared" si="42"/>
        <v/>
      </c>
      <c r="AD115" t="e">
        <f t="shared" si="43"/>
        <v>#N/A</v>
      </c>
      <c r="AE115" t="e">
        <f t="shared" si="44"/>
        <v>#N/A</v>
      </c>
      <c r="AF115" t="e">
        <f>IF(ISBLANK($K115),NA(),IFERROR(SUM($K115:$K$177),NA()))</f>
        <v>#N/A</v>
      </c>
      <c r="AG115" t="e">
        <f>IF(ISBLANK($L115),NA(),IFERROR(SUM($L115:$L$177),NA()))</f>
        <v>#N/A</v>
      </c>
      <c r="AH115" t="e">
        <f>IF(ISBLANK($M115),NA(),IFERROR(SUM($M115:$M$177),NA()))</f>
        <v>#N/A</v>
      </c>
      <c r="AI115" t="str">
        <f t="shared" si="45"/>
        <v/>
      </c>
      <c r="AJ115" t="e">
        <f t="shared" si="46"/>
        <v>#N/A</v>
      </c>
      <c r="AK115" t="e">
        <f t="shared" si="47"/>
        <v>#N/A</v>
      </c>
    </row>
    <row r="116" spans="1:37" x14ac:dyDescent="0.35">
      <c r="A116">
        <v>1963</v>
      </c>
      <c r="B116">
        <v>7575.6530000000002</v>
      </c>
      <c r="C116">
        <v>10100.834999999999</v>
      </c>
      <c r="D116">
        <v>2791.5</v>
      </c>
      <c r="E116">
        <v>9144.8629999999994</v>
      </c>
      <c r="F116">
        <v>12331.325000000001</v>
      </c>
      <c r="G116">
        <v>4816.6139999999996</v>
      </c>
      <c r="N116">
        <f>IF(ISBLANK($B116),NA(),IFERROR(SUM($B116:$B$177),NA()))</f>
        <v>701572.79999999981</v>
      </c>
      <c r="O116">
        <f>IF(ISBLANK($C116),NA(),IFERROR(SUM($C116:$C$177),NA()))</f>
        <v>943376.67500000005</v>
      </c>
      <c r="P116">
        <f>IF(ISBLANK($D116),NA(),IFERROR(SUM($D116:$D$177),NA()))</f>
        <v>820096.14000000025</v>
      </c>
      <c r="Q116">
        <f t="shared" si="36"/>
        <v>1763472.8150000004</v>
      </c>
      <c r="R116">
        <f t="shared" si="37"/>
        <v>39.783590312958673</v>
      </c>
      <c r="S116">
        <f t="shared" si="38"/>
        <v>53.49539085466423</v>
      </c>
      <c r="T116">
        <f>IF(ISBLANK($E116),NA(),IFERROR(SUM($E116:$E$177),NA()))</f>
        <v>797274.01899999974</v>
      </c>
      <c r="U116">
        <f>IF(ISBLANK($F116),NA(),IFERROR(SUM($F116:$F$177),NA()))</f>
        <v>1071847.7070000004</v>
      </c>
      <c r="V116">
        <f>IF(ISBLANK($G116),NA(),IFERROR(SUM($G116:$G$177),NA()))</f>
        <v>1022436.6420000001</v>
      </c>
      <c r="W116">
        <f t="shared" si="39"/>
        <v>2094284.3490000004</v>
      </c>
      <c r="X116">
        <f t="shared" si="40"/>
        <v>38.069043460153345</v>
      </c>
      <c r="Y116">
        <f t="shared" si="41"/>
        <v>51.17966466739805</v>
      </c>
      <c r="Z116" t="e">
        <f>IF(ISBLANK($H116),NA(),IFERROR(SUM($H116:$H$177),NA()))</f>
        <v>#N/A</v>
      </c>
      <c r="AA116" t="e">
        <f>IF(ISBLANK($I116),NA(),IFERROR(SUM($I116:$I$177),NA()))</f>
        <v>#N/A</v>
      </c>
      <c r="AB116" t="e">
        <f>IF(ISBLANK($J116),NA(),IFERROR(SUM($J116:$J$177),NA()))</f>
        <v>#N/A</v>
      </c>
      <c r="AC116" t="str">
        <f t="shared" si="42"/>
        <v/>
      </c>
      <c r="AD116" t="e">
        <f t="shared" si="43"/>
        <v>#N/A</v>
      </c>
      <c r="AE116" t="e">
        <f t="shared" si="44"/>
        <v>#N/A</v>
      </c>
      <c r="AF116" t="e">
        <f>IF(ISBLANK($K116),NA(),IFERROR(SUM($K116:$K$177),NA()))</f>
        <v>#N/A</v>
      </c>
      <c r="AG116" t="e">
        <f>IF(ISBLANK($L116),NA(),IFERROR(SUM($L116:$L$177),NA()))</f>
        <v>#N/A</v>
      </c>
      <c r="AH116" t="e">
        <f>IF(ISBLANK($M116),NA(),IFERROR(SUM($M116:$M$177),NA()))</f>
        <v>#N/A</v>
      </c>
      <c r="AI116" t="str">
        <f t="shared" si="45"/>
        <v/>
      </c>
      <c r="AJ116" t="e">
        <f t="shared" si="46"/>
        <v>#N/A</v>
      </c>
      <c r="AK116" t="e">
        <f t="shared" si="47"/>
        <v>#N/A</v>
      </c>
    </row>
    <row r="117" spans="1:37" x14ac:dyDescent="0.35">
      <c r="A117">
        <v>1964</v>
      </c>
      <c r="B117">
        <v>7928.415</v>
      </c>
      <c r="C117">
        <v>10598.999</v>
      </c>
      <c r="D117">
        <v>2903.5920000000001</v>
      </c>
      <c r="E117">
        <v>9524.5820000000003</v>
      </c>
      <c r="F117">
        <v>12872.726000000001</v>
      </c>
      <c r="G117">
        <v>4963.7039999999997</v>
      </c>
      <c r="N117">
        <f>IF(ISBLANK($B117),NA(),IFERROR(SUM($B117:$B$177),NA()))</f>
        <v>693997.14699999988</v>
      </c>
      <c r="O117">
        <f>IF(ISBLANK($C117),NA(),IFERROR(SUM($C117:$C$177),NA()))</f>
        <v>933275.84</v>
      </c>
      <c r="P117">
        <f>IF(ISBLANK($D117),NA(),IFERROR(SUM($D117:$D$177),NA()))</f>
        <v>817304.64000000013</v>
      </c>
      <c r="Q117">
        <f t="shared" si="36"/>
        <v>1750580.48</v>
      </c>
      <c r="R117">
        <f t="shared" si="37"/>
        <v>39.643829856939789</v>
      </c>
      <c r="S117">
        <f t="shared" si="38"/>
        <v>53.312364136494885</v>
      </c>
      <c r="T117">
        <f>IF(ISBLANK($E117),NA(),IFERROR(SUM($E117:$E$177),NA()))</f>
        <v>788129.15599999996</v>
      </c>
      <c r="U117">
        <f>IF(ISBLANK($F117),NA(),IFERROR(SUM($F117:$F$177),NA()))</f>
        <v>1059516.3820000002</v>
      </c>
      <c r="V117">
        <f>IF(ISBLANK($G117),NA(),IFERROR(SUM($G117:$G$177),NA()))</f>
        <v>1017620.028</v>
      </c>
      <c r="W117">
        <f t="shared" si="39"/>
        <v>2077136.4100000001</v>
      </c>
      <c r="X117">
        <f t="shared" si="40"/>
        <v>37.943062006216529</v>
      </c>
      <c r="Y117">
        <f t="shared" si="41"/>
        <v>51.008512339350901</v>
      </c>
      <c r="Z117" t="e">
        <f>IF(ISBLANK($H117),NA(),IFERROR(SUM($H117:$H$177),NA()))</f>
        <v>#N/A</v>
      </c>
      <c r="AA117" t="e">
        <f>IF(ISBLANK($I117),NA(),IFERROR(SUM($I117:$I$177),NA()))</f>
        <v>#N/A</v>
      </c>
      <c r="AB117" t="e">
        <f>IF(ISBLANK($J117),NA(),IFERROR(SUM($J117:$J$177),NA()))</f>
        <v>#N/A</v>
      </c>
      <c r="AC117" t="str">
        <f t="shared" si="42"/>
        <v/>
      </c>
      <c r="AD117" t="e">
        <f t="shared" si="43"/>
        <v>#N/A</v>
      </c>
      <c r="AE117" t="e">
        <f t="shared" si="44"/>
        <v>#N/A</v>
      </c>
      <c r="AF117" t="e">
        <f>IF(ISBLANK($K117),NA(),IFERROR(SUM($K117:$K$177),NA()))</f>
        <v>#N/A</v>
      </c>
      <c r="AG117" t="e">
        <f>IF(ISBLANK($L117),NA(),IFERROR(SUM($L117:$L$177),NA()))</f>
        <v>#N/A</v>
      </c>
      <c r="AH117" t="e">
        <f>IF(ISBLANK($M117),NA(),IFERROR(SUM($M117:$M$177),NA()))</f>
        <v>#N/A</v>
      </c>
      <c r="AI117" t="str">
        <f t="shared" si="45"/>
        <v/>
      </c>
      <c r="AJ117" t="e">
        <f t="shared" si="46"/>
        <v>#N/A</v>
      </c>
      <c r="AK117" t="e">
        <f t="shared" si="47"/>
        <v>#N/A</v>
      </c>
    </row>
    <row r="118" spans="1:37" x14ac:dyDescent="0.35">
      <c r="A118">
        <v>1965</v>
      </c>
      <c r="B118">
        <v>8202.0370000000003</v>
      </c>
      <c r="C118">
        <v>10982.646000000001</v>
      </c>
      <c r="D118">
        <v>3123.9119999999998</v>
      </c>
      <c r="E118">
        <v>9860.3739999999998</v>
      </c>
      <c r="F118">
        <v>13349.254000000001</v>
      </c>
      <c r="G118">
        <v>5204.2460000000001</v>
      </c>
      <c r="N118">
        <f>IF(ISBLANK($B118),NA(),IFERROR(SUM($B118:$B$177),NA()))</f>
        <v>686068.73199999984</v>
      </c>
      <c r="O118">
        <f>IF(ISBLANK($C118),NA(),IFERROR(SUM($C118:$C$177),NA()))</f>
        <v>922676.8409999999</v>
      </c>
      <c r="P118">
        <f>IF(ISBLANK($D118),NA(),IFERROR(SUM($D118:$D$177),NA()))</f>
        <v>814401.04800000007</v>
      </c>
      <c r="Q118">
        <f t="shared" si="36"/>
        <v>1737077.889</v>
      </c>
      <c r="R118">
        <f t="shared" si="37"/>
        <v>39.495565302195835</v>
      </c>
      <c r="S118">
        <f t="shared" si="38"/>
        <v>53.11660731178646</v>
      </c>
      <c r="T118">
        <f>IF(ISBLANK($E118),NA(),IFERROR(SUM($E118:$E$177),NA()))</f>
        <v>778604.57399999991</v>
      </c>
      <c r="U118">
        <f>IF(ISBLANK($F118),NA(),IFERROR(SUM($F118:$F$177),NA()))</f>
        <v>1046643.6560000003</v>
      </c>
      <c r="V118">
        <f>IF(ISBLANK($G118),NA(),IFERROR(SUM($G118:$G$177),NA()))</f>
        <v>1012656.3240000001</v>
      </c>
      <c r="W118">
        <f t="shared" si="39"/>
        <v>2059299.9800000004</v>
      </c>
      <c r="X118">
        <f t="shared" si="40"/>
        <v>37.809186692654642</v>
      </c>
      <c r="Y118">
        <f t="shared" si="41"/>
        <v>50.825215663819904</v>
      </c>
      <c r="Z118" t="e">
        <f>IF(ISBLANK($H118),NA(),IFERROR(SUM($H118:$H$177),NA()))</f>
        <v>#N/A</v>
      </c>
      <c r="AA118" t="e">
        <f>IF(ISBLANK($I118),NA(),IFERROR(SUM($I118:$I$177),NA()))</f>
        <v>#N/A</v>
      </c>
      <c r="AB118" t="e">
        <f>IF(ISBLANK($J118),NA(),IFERROR(SUM($J118:$J$177),NA()))</f>
        <v>#N/A</v>
      </c>
      <c r="AC118" t="str">
        <f t="shared" si="42"/>
        <v/>
      </c>
      <c r="AD118" t="e">
        <f t="shared" si="43"/>
        <v>#N/A</v>
      </c>
      <c r="AE118" t="e">
        <f t="shared" si="44"/>
        <v>#N/A</v>
      </c>
      <c r="AF118" t="e">
        <f>IF(ISBLANK($K118),NA(),IFERROR(SUM($K118:$K$177),NA()))</f>
        <v>#N/A</v>
      </c>
      <c r="AG118" t="e">
        <f>IF(ISBLANK($L118),NA(),IFERROR(SUM($L118:$L$177),NA()))</f>
        <v>#N/A</v>
      </c>
      <c r="AH118" t="e">
        <f>IF(ISBLANK($M118),NA(),IFERROR(SUM($M118:$M$177),NA()))</f>
        <v>#N/A</v>
      </c>
      <c r="AI118" t="str">
        <f t="shared" si="45"/>
        <v/>
      </c>
      <c r="AJ118" t="e">
        <f t="shared" si="46"/>
        <v>#N/A</v>
      </c>
      <c r="AK118" t="e">
        <f t="shared" si="47"/>
        <v>#N/A</v>
      </c>
    </row>
    <row r="119" spans="1:37" x14ac:dyDescent="0.35">
      <c r="A119">
        <v>1966</v>
      </c>
      <c r="B119">
        <v>8529.9840000000004</v>
      </c>
      <c r="C119">
        <v>11422.924000000001</v>
      </c>
      <c r="D119">
        <v>3386.761</v>
      </c>
      <c r="E119">
        <v>10194.626</v>
      </c>
      <c r="F119">
        <v>13839.799000000001</v>
      </c>
      <c r="G119">
        <v>5526.2070000000003</v>
      </c>
      <c r="N119">
        <f>IF(ISBLANK($B119),NA(),IFERROR(SUM($B119:$B$177),NA()))</f>
        <v>677866.69499999983</v>
      </c>
      <c r="O119">
        <f>IF(ISBLANK($C119),NA(),IFERROR(SUM($C119:$C$177),NA()))</f>
        <v>911694.19499999995</v>
      </c>
      <c r="P119">
        <f>IF(ISBLANK($D119),NA(),IFERROR(SUM($D119:$D$177),NA()))</f>
        <v>811277.13600000006</v>
      </c>
      <c r="Q119">
        <f t="shared" si="36"/>
        <v>1722971.331</v>
      </c>
      <c r="R119">
        <f t="shared" si="37"/>
        <v>39.342888810957227</v>
      </c>
      <c r="S119">
        <f t="shared" si="38"/>
        <v>52.914066450012221</v>
      </c>
      <c r="T119">
        <f>IF(ISBLANK($E119),NA(),IFERROR(SUM($E119:$E$177),NA()))</f>
        <v>768744.2</v>
      </c>
      <c r="U119">
        <f>IF(ISBLANK($F119),NA(),IFERROR(SUM($F119:$F$177),NA()))</f>
        <v>1033294.4020000001</v>
      </c>
      <c r="V119">
        <f>IF(ISBLANK($G119),NA(),IFERROR(SUM($G119:$G$177),NA()))</f>
        <v>1007452.0780000001</v>
      </c>
      <c r="W119">
        <f t="shared" si="39"/>
        <v>2040746.4800000002</v>
      </c>
      <c r="X119">
        <f t="shared" si="40"/>
        <v>37.669755039832282</v>
      </c>
      <c r="Y119">
        <f t="shared" si="41"/>
        <v>50.633158607726713</v>
      </c>
      <c r="Z119" t="e">
        <f>IF(ISBLANK($H119),NA(),IFERROR(SUM($H119:$H$177),NA()))</f>
        <v>#N/A</v>
      </c>
      <c r="AA119" t="e">
        <f>IF(ISBLANK($I119),NA(),IFERROR(SUM($I119:$I$177),NA()))</f>
        <v>#N/A</v>
      </c>
      <c r="AB119" t="e">
        <f>IF(ISBLANK($J119),NA(),IFERROR(SUM($J119:$J$177),NA()))</f>
        <v>#N/A</v>
      </c>
      <c r="AC119" t="str">
        <f t="shared" si="42"/>
        <v/>
      </c>
      <c r="AD119" t="e">
        <f t="shared" si="43"/>
        <v>#N/A</v>
      </c>
      <c r="AE119" t="e">
        <f t="shared" si="44"/>
        <v>#N/A</v>
      </c>
      <c r="AF119" t="e">
        <f>IF(ISBLANK($K119),NA(),IFERROR(SUM($K119:$K$177),NA()))</f>
        <v>#N/A</v>
      </c>
      <c r="AG119" t="e">
        <f>IF(ISBLANK($L119),NA(),IFERROR(SUM($L119:$L$177),NA()))</f>
        <v>#N/A</v>
      </c>
      <c r="AH119" t="e">
        <f>IF(ISBLANK($M119),NA(),IFERROR(SUM($M119:$M$177),NA()))</f>
        <v>#N/A</v>
      </c>
      <c r="AI119" t="str">
        <f t="shared" si="45"/>
        <v/>
      </c>
      <c r="AJ119" t="e">
        <f t="shared" si="46"/>
        <v>#N/A</v>
      </c>
      <c r="AK119" t="e">
        <f t="shared" si="47"/>
        <v>#N/A</v>
      </c>
    </row>
    <row r="120" spans="1:37" x14ac:dyDescent="0.35">
      <c r="A120">
        <v>1967</v>
      </c>
      <c r="B120">
        <v>8826.0249999999996</v>
      </c>
      <c r="C120">
        <v>11818.596</v>
      </c>
      <c r="D120">
        <v>3377.3969999999999</v>
      </c>
      <c r="E120">
        <v>10536.778</v>
      </c>
      <c r="F120">
        <v>14313.971</v>
      </c>
      <c r="G120">
        <v>5494.4679999999998</v>
      </c>
      <c r="N120">
        <f>IF(ISBLANK($B120),NA(),IFERROR(SUM($B120:$B$177),NA()))</f>
        <v>669336.71099999989</v>
      </c>
      <c r="O120">
        <f>IF(ISBLANK($C120),NA(),IFERROR(SUM($C120:$C$177),NA()))</f>
        <v>900271.27099999995</v>
      </c>
      <c r="P120">
        <f>IF(ISBLANK($D120),NA(),IFERROR(SUM($D120:$D$177),NA()))</f>
        <v>807890.37500000012</v>
      </c>
      <c r="Q120">
        <f t="shared" si="36"/>
        <v>1708161.6460000002</v>
      </c>
      <c r="R120">
        <f t="shared" si="37"/>
        <v>39.184623572797385</v>
      </c>
      <c r="S120">
        <f t="shared" si="38"/>
        <v>52.704102864513082</v>
      </c>
      <c r="T120">
        <f>IF(ISBLANK($E120),NA(),IFERROR(SUM($E120:$E$177),NA()))</f>
        <v>758549.57400000002</v>
      </c>
      <c r="U120">
        <f>IF(ISBLANK($F120),NA(),IFERROR(SUM($F120:$F$177),NA()))</f>
        <v>1019454.6030000002</v>
      </c>
      <c r="V120">
        <f>IF(ISBLANK($G120),NA(),IFERROR(SUM($G120:$G$177),NA()))</f>
        <v>1001925.8710000002</v>
      </c>
      <c r="W120">
        <f t="shared" si="39"/>
        <v>2021380.4740000004</v>
      </c>
      <c r="X120">
        <f t="shared" si="40"/>
        <v>37.52631351479058</v>
      </c>
      <c r="Y120">
        <f t="shared" si="41"/>
        <v>50.433583192908593</v>
      </c>
      <c r="Z120" t="e">
        <f>IF(ISBLANK($H120),NA(),IFERROR(SUM($H120:$H$177),NA()))</f>
        <v>#N/A</v>
      </c>
      <c r="AA120" t="e">
        <f>IF(ISBLANK($I120),NA(),IFERROR(SUM($I120:$I$177),NA()))</f>
        <v>#N/A</v>
      </c>
      <c r="AB120" t="e">
        <f>IF(ISBLANK($J120),NA(),IFERROR(SUM($J120:$J$177),NA()))</f>
        <v>#N/A</v>
      </c>
      <c r="AC120" t="str">
        <f t="shared" si="42"/>
        <v/>
      </c>
      <c r="AD120" t="e">
        <f t="shared" si="43"/>
        <v>#N/A</v>
      </c>
      <c r="AE120" t="e">
        <f t="shared" si="44"/>
        <v>#N/A</v>
      </c>
      <c r="AF120" t="e">
        <f>IF(ISBLANK($K120),NA(),IFERROR(SUM($K120:$K$177),NA()))</f>
        <v>#N/A</v>
      </c>
      <c r="AG120" t="e">
        <f>IF(ISBLANK($L120),NA(),IFERROR(SUM($L120:$L$177),NA()))</f>
        <v>#N/A</v>
      </c>
      <c r="AH120" t="e">
        <f>IF(ISBLANK($M120),NA(),IFERROR(SUM($M120:$M$177),NA()))</f>
        <v>#N/A</v>
      </c>
      <c r="AI120" t="str">
        <f t="shared" si="45"/>
        <v/>
      </c>
      <c r="AJ120" t="e">
        <f t="shared" si="46"/>
        <v>#N/A</v>
      </c>
      <c r="AK120" t="e">
        <f t="shared" si="47"/>
        <v>#N/A</v>
      </c>
    </row>
    <row r="121" spans="1:37" x14ac:dyDescent="0.35">
      <c r="A121">
        <v>1968</v>
      </c>
      <c r="B121">
        <v>9271.5519999999997</v>
      </c>
      <c r="C121">
        <v>12356.956</v>
      </c>
      <c r="D121">
        <v>3562.973</v>
      </c>
      <c r="E121">
        <v>11022.069</v>
      </c>
      <c r="F121">
        <v>14911.022999999999</v>
      </c>
      <c r="G121">
        <v>5779.8069999999998</v>
      </c>
      <c r="N121">
        <f>IF(ISBLANK($B121),NA(),IFERROR(SUM($B121:$B$177),NA()))</f>
        <v>660510.68599999975</v>
      </c>
      <c r="O121">
        <f>IF(ISBLANK($C121),NA(),IFERROR(SUM($C121:$C$177),NA()))</f>
        <v>888452.67500000005</v>
      </c>
      <c r="P121">
        <f>IF(ISBLANK($D121),NA(),IFERROR(SUM($D121:$D$177),NA()))</f>
        <v>804512.97800000012</v>
      </c>
      <c r="Q121">
        <f t="shared" si="36"/>
        <v>1692965.6530000002</v>
      </c>
      <c r="R121">
        <f t="shared" si="37"/>
        <v>39.015008061714035</v>
      </c>
      <c r="S121">
        <f t="shared" si="38"/>
        <v>52.479072651333937</v>
      </c>
      <c r="T121">
        <f>IF(ISBLANK($E121),NA(),IFERROR(SUM($E121:$E$177),NA()))</f>
        <v>748012.79599999986</v>
      </c>
      <c r="U121">
        <f>IF(ISBLANK($F121),NA(),IFERROR(SUM($F121:$F$177),NA()))</f>
        <v>1005140.6320000001</v>
      </c>
      <c r="V121">
        <f>IF(ISBLANK($G121),NA(),IFERROR(SUM($G121:$G$177),NA()))</f>
        <v>996431.40300000017</v>
      </c>
      <c r="W121">
        <f t="shared" si="39"/>
        <v>2001572.0350000001</v>
      </c>
      <c r="X121">
        <f t="shared" si="40"/>
        <v>37.371265331452328</v>
      </c>
      <c r="Y121">
        <f t="shared" si="41"/>
        <v>50.217559719253366</v>
      </c>
      <c r="Z121" t="e">
        <f>IF(ISBLANK($H121),NA(),IFERROR(SUM($H121:$H$177),NA()))</f>
        <v>#N/A</v>
      </c>
      <c r="AA121" t="e">
        <f>IF(ISBLANK($I121),NA(),IFERROR(SUM($I121:$I$177),NA()))</f>
        <v>#N/A</v>
      </c>
      <c r="AB121" t="e">
        <f>IF(ISBLANK($J121),NA(),IFERROR(SUM($J121:$J$177),NA()))</f>
        <v>#N/A</v>
      </c>
      <c r="AC121" t="str">
        <f t="shared" si="42"/>
        <v/>
      </c>
      <c r="AD121" t="e">
        <f t="shared" si="43"/>
        <v>#N/A</v>
      </c>
      <c r="AE121" t="e">
        <f t="shared" si="44"/>
        <v>#N/A</v>
      </c>
      <c r="AF121" t="e">
        <f>IF(ISBLANK($K121),NA(),IFERROR(SUM($K121:$K$177),NA()))</f>
        <v>#N/A</v>
      </c>
      <c r="AG121" t="e">
        <f>IF(ISBLANK($L121),NA(),IFERROR(SUM($L121:$L$177),NA()))</f>
        <v>#N/A</v>
      </c>
      <c r="AH121" t="e">
        <f>IF(ISBLANK($M121),NA(),IFERROR(SUM($M121:$M$177),NA()))</f>
        <v>#N/A</v>
      </c>
      <c r="AI121" t="str">
        <f t="shared" si="45"/>
        <v/>
      </c>
      <c r="AJ121" t="e">
        <f t="shared" si="46"/>
        <v>#N/A</v>
      </c>
      <c r="AK121" t="e">
        <f t="shared" si="47"/>
        <v>#N/A</v>
      </c>
    </row>
    <row r="122" spans="1:37" x14ac:dyDescent="0.35">
      <c r="A122">
        <v>1969</v>
      </c>
      <c r="B122">
        <v>9806.1679999999997</v>
      </c>
      <c r="C122">
        <v>13018.927</v>
      </c>
      <c r="D122">
        <v>3925.0619999999999</v>
      </c>
      <c r="E122">
        <v>11606.642</v>
      </c>
      <c r="F122">
        <v>15640.609</v>
      </c>
      <c r="G122">
        <v>6159.5259999999998</v>
      </c>
      <c r="N122">
        <f>IF(ISBLANK($B122),NA(),IFERROR(SUM($B122:$B$177),NA()))</f>
        <v>651239.13399999973</v>
      </c>
      <c r="O122">
        <f>IF(ISBLANK($C122),NA(),IFERROR(SUM($C122:$C$177),NA()))</f>
        <v>876095.71900000004</v>
      </c>
      <c r="P122">
        <f>IF(ISBLANK($D122),NA(),IFERROR(SUM($D122:$D$177),NA()))</f>
        <v>800950.00500000012</v>
      </c>
      <c r="Q122">
        <f t="shared" si="36"/>
        <v>1677045.7240000002</v>
      </c>
      <c r="R122">
        <f t="shared" si="37"/>
        <v>38.83252106249666</v>
      </c>
      <c r="S122">
        <f t="shared" si="38"/>
        <v>52.240419355435527</v>
      </c>
      <c r="T122">
        <f>IF(ISBLANK($E122),NA(),IFERROR(SUM($E122:$E$177),NA()))</f>
        <v>736990.72699999996</v>
      </c>
      <c r="U122">
        <f>IF(ISBLANK($F122),NA(),IFERROR(SUM($F122:$F$177),NA()))</f>
        <v>990229.60900000005</v>
      </c>
      <c r="V122">
        <f>IF(ISBLANK($G122),NA(),IFERROR(SUM($G122:$G$177),NA()))</f>
        <v>990651.59600000025</v>
      </c>
      <c r="W122">
        <f t="shared" si="39"/>
        <v>1980881.2050000003</v>
      </c>
      <c r="X122">
        <f t="shared" si="40"/>
        <v>37.20519560384237</v>
      </c>
      <c r="Y122">
        <f t="shared" si="41"/>
        <v>49.98934850310723</v>
      </c>
      <c r="Z122" t="e">
        <f>IF(ISBLANK($H122),NA(),IFERROR(SUM($H122:$H$177),NA()))</f>
        <v>#N/A</v>
      </c>
      <c r="AA122" t="e">
        <f>IF(ISBLANK($I122),NA(),IFERROR(SUM($I122:$I$177),NA()))</f>
        <v>#N/A</v>
      </c>
      <c r="AB122" t="e">
        <f>IF(ISBLANK($J122),NA(),IFERROR(SUM($J122:$J$177),NA()))</f>
        <v>#N/A</v>
      </c>
      <c r="AC122" t="str">
        <f t="shared" si="42"/>
        <v/>
      </c>
      <c r="AD122" t="e">
        <f t="shared" si="43"/>
        <v>#N/A</v>
      </c>
      <c r="AE122" t="e">
        <f t="shared" si="44"/>
        <v>#N/A</v>
      </c>
      <c r="AF122" t="e">
        <f>IF(ISBLANK($K122),NA(),IFERROR(SUM($K122:$K$177),NA()))</f>
        <v>#N/A</v>
      </c>
      <c r="AG122" t="e">
        <f>IF(ISBLANK($L122),NA(),IFERROR(SUM($L122:$L$177),NA()))</f>
        <v>#N/A</v>
      </c>
      <c r="AH122" t="e">
        <f>IF(ISBLANK($M122),NA(),IFERROR(SUM($M122:$M$177),NA()))</f>
        <v>#N/A</v>
      </c>
      <c r="AI122" t="str">
        <f t="shared" si="45"/>
        <v/>
      </c>
      <c r="AJ122" t="e">
        <f t="shared" si="46"/>
        <v>#N/A</v>
      </c>
      <c r="AK122" t="e">
        <f t="shared" si="47"/>
        <v>#N/A</v>
      </c>
    </row>
    <row r="123" spans="1:37" x14ac:dyDescent="0.35">
      <c r="A123">
        <v>1970</v>
      </c>
      <c r="B123">
        <v>10352.019</v>
      </c>
      <c r="C123">
        <v>13720.338</v>
      </c>
      <c r="D123">
        <v>4400.2659999999996</v>
      </c>
      <c r="E123">
        <v>12144.936</v>
      </c>
      <c r="F123">
        <v>16354.745000000001</v>
      </c>
      <c r="G123">
        <v>6724.4210000000003</v>
      </c>
      <c r="H123">
        <v>11936.206</v>
      </c>
      <c r="I123">
        <v>15682.132</v>
      </c>
      <c r="J123">
        <v>6998.0360000000001</v>
      </c>
      <c r="N123">
        <f>IF(ISBLANK($B123),NA(),IFERROR(SUM($B123:$B$177),NA()))</f>
        <v>641432.96599999978</v>
      </c>
      <c r="O123">
        <f>IF(ISBLANK($C123),NA(),IFERROR(SUM($C123:$C$177),NA()))</f>
        <v>863076.79200000002</v>
      </c>
      <c r="P123">
        <f>IF(ISBLANK($D123),NA(),IFERROR(SUM($D123:$D$177),NA()))</f>
        <v>797024.94300000009</v>
      </c>
      <c r="Q123">
        <f t="shared" si="36"/>
        <v>1660101.7350000001</v>
      </c>
      <c r="R123">
        <f t="shared" si="37"/>
        <v>38.63817213587815</v>
      </c>
      <c r="S123">
        <f t="shared" si="38"/>
        <v>51.989391601955049</v>
      </c>
      <c r="T123">
        <f>IF(ISBLANK($E123),NA(),IFERROR(SUM($E123:$E$177),NA()))</f>
        <v>725384.08499999996</v>
      </c>
      <c r="U123">
        <f>IF(ISBLANK($F123),NA(),IFERROR(SUM($F123:$F$177),NA()))</f>
        <v>974589.00000000012</v>
      </c>
      <c r="V123">
        <f>IF(ISBLANK($G123),NA(),IFERROR(SUM($G123:$G$177),NA()))</f>
        <v>984492.07000000018</v>
      </c>
      <c r="W123">
        <f t="shared" si="39"/>
        <v>1959081.0700000003</v>
      </c>
      <c r="X123">
        <f t="shared" si="40"/>
        <v>37.02675178215059</v>
      </c>
      <c r="Y123">
        <f t="shared" si="41"/>
        <v>49.747252164505881</v>
      </c>
      <c r="Z123">
        <f>IF(ISBLANK($H123),NA(),IFERROR(SUM($H123:$H$177),NA()))</f>
        <v>711270.06399999978</v>
      </c>
      <c r="AA123">
        <f>IF(ISBLANK($I123),NA(),IFERROR(SUM($I123:$I$177),NA()))</f>
        <v>958755.88199999998</v>
      </c>
      <c r="AB123">
        <f>IF(ISBLANK($J123),NA(),IFERROR(SUM($J123:$J$177),NA()))</f>
        <v>1020077.9280000001</v>
      </c>
      <c r="AC123">
        <f t="shared" si="42"/>
        <v>1978833.81</v>
      </c>
      <c r="AD123">
        <f t="shared" si="43"/>
        <v>35.943900918086683</v>
      </c>
      <c r="AE123">
        <f t="shared" si="44"/>
        <v>48.45055088279495</v>
      </c>
      <c r="AF123" t="e">
        <f>IF(ISBLANK($K123),NA(),IFERROR(SUM($K123:$K$177),NA()))</f>
        <v>#N/A</v>
      </c>
      <c r="AG123" t="e">
        <f>IF(ISBLANK($L123),NA(),IFERROR(SUM($L123:$L$177),NA()))</f>
        <v>#N/A</v>
      </c>
      <c r="AH123" t="e">
        <f>IF(ISBLANK($M123),NA(),IFERROR(SUM($M123:$M$177),NA()))</f>
        <v>#N/A</v>
      </c>
      <c r="AI123" t="str">
        <f t="shared" si="45"/>
        <v/>
      </c>
      <c r="AJ123" t="e">
        <f t="shared" si="46"/>
        <v>#N/A</v>
      </c>
      <c r="AK123" t="e">
        <f t="shared" si="47"/>
        <v>#N/A</v>
      </c>
    </row>
    <row r="124" spans="1:37" x14ac:dyDescent="0.35">
      <c r="A124">
        <v>1971</v>
      </c>
      <c r="B124">
        <v>10493.987999999999</v>
      </c>
      <c r="C124">
        <v>14029.147000000001</v>
      </c>
      <c r="D124">
        <v>4705.308</v>
      </c>
      <c r="E124">
        <v>12286.099</v>
      </c>
      <c r="F124">
        <v>16642.456999999999</v>
      </c>
      <c r="G124">
        <v>6970.8230000000003</v>
      </c>
      <c r="H124">
        <v>11815.459000000001</v>
      </c>
      <c r="I124">
        <v>15605.096</v>
      </c>
      <c r="J124">
        <v>7108.741</v>
      </c>
      <c r="N124">
        <f>IF(ISBLANK($B124),NA(),IFERROR(SUM($B124:$B$177),NA()))</f>
        <v>631080.94699999969</v>
      </c>
      <c r="O124">
        <f>IF(ISBLANK($C124),NA(),IFERROR(SUM($C124:$C$177),NA()))</f>
        <v>849356.45400000003</v>
      </c>
      <c r="P124">
        <f>IF(ISBLANK($D124),NA(),IFERROR(SUM($D124:$D$177),NA()))</f>
        <v>792624.67700000014</v>
      </c>
      <c r="Q124">
        <f t="shared" si="36"/>
        <v>1641981.1310000001</v>
      </c>
      <c r="R124">
        <f t="shared" si="37"/>
        <v>38.434116877802275</v>
      </c>
      <c r="S124">
        <f t="shared" si="38"/>
        <v>51.727540467089575</v>
      </c>
      <c r="T124">
        <f>IF(ISBLANK($E124),NA(),IFERROR(SUM($E124:$E$177),NA()))</f>
        <v>713239.14899999998</v>
      </c>
      <c r="U124">
        <f>IF(ISBLANK($F124),NA(),IFERROR(SUM($F124:$F$177),NA()))</f>
        <v>958234.25500000024</v>
      </c>
      <c r="V124">
        <f>IF(ISBLANK($G124),NA(),IFERROR(SUM($G124:$G$177),NA()))</f>
        <v>977767.64900000009</v>
      </c>
      <c r="W124">
        <f t="shared" si="39"/>
        <v>1936001.9040000003</v>
      </c>
      <c r="X124">
        <f t="shared" si="40"/>
        <v>36.840828902407928</v>
      </c>
      <c r="Y124">
        <f t="shared" si="41"/>
        <v>49.495522345312736</v>
      </c>
      <c r="Z124">
        <f>IF(ISBLANK($H124),NA(),IFERROR(SUM($H124:$H$177),NA()))</f>
        <v>699333.85799999977</v>
      </c>
      <c r="AA124">
        <f>IF(ISBLANK($I124),NA(),IFERROR(SUM($I124:$I$177),NA()))</f>
        <v>943073.75</v>
      </c>
      <c r="AB124">
        <f>IF(ISBLANK($J124),NA(),IFERROR(SUM($J124:$J$177),NA()))</f>
        <v>1013079.8920000001</v>
      </c>
      <c r="AC124">
        <f t="shared" si="42"/>
        <v>1956153.642</v>
      </c>
      <c r="AD124">
        <f t="shared" si="43"/>
        <v>35.750456558462893</v>
      </c>
      <c r="AE124">
        <f t="shared" si="44"/>
        <v>48.210617497089217</v>
      </c>
      <c r="AF124" t="e">
        <f>IF(ISBLANK($K124),NA(),IFERROR(SUM($K124:$K$177),NA()))</f>
        <v>#N/A</v>
      </c>
      <c r="AG124" t="e">
        <f>IF(ISBLANK($L124),NA(),IFERROR(SUM($L124:$L$177),NA()))</f>
        <v>#N/A</v>
      </c>
      <c r="AH124" t="e">
        <f>IF(ISBLANK($M124),NA(),IFERROR(SUM($M124:$M$177),NA()))</f>
        <v>#N/A</v>
      </c>
      <c r="AI124" t="str">
        <f t="shared" si="45"/>
        <v/>
      </c>
      <c r="AJ124" t="e">
        <f t="shared" si="46"/>
        <v>#N/A</v>
      </c>
      <c r="AK124" t="e">
        <f t="shared" si="47"/>
        <v>#N/A</v>
      </c>
    </row>
    <row r="125" spans="1:37" x14ac:dyDescent="0.35">
      <c r="A125">
        <v>1972</v>
      </c>
      <c r="B125">
        <v>10894.134</v>
      </c>
      <c r="C125">
        <v>14589.731</v>
      </c>
      <c r="D125">
        <v>4929.1279999999997</v>
      </c>
      <c r="E125">
        <v>12739.251</v>
      </c>
      <c r="F125">
        <v>17297.101999999999</v>
      </c>
      <c r="G125">
        <v>7187.0770000000002</v>
      </c>
      <c r="H125">
        <v>12269.550999999999</v>
      </c>
      <c r="I125">
        <v>16221.078</v>
      </c>
      <c r="J125">
        <v>7403.53</v>
      </c>
      <c r="N125">
        <f>IF(ISBLANK($B125),NA(),IFERROR(SUM($B125:$B$177),NA()))</f>
        <v>620586.95899999968</v>
      </c>
      <c r="O125">
        <f>IF(ISBLANK($C125),NA(),IFERROR(SUM($C125:$C$177),NA()))</f>
        <v>835327.30700000003</v>
      </c>
      <c r="P125">
        <f>IF(ISBLANK($D125),NA(),IFERROR(SUM($D125:$D$177),NA()))</f>
        <v>787919.36900000006</v>
      </c>
      <c r="Q125">
        <f t="shared" si="36"/>
        <v>1623246.676</v>
      </c>
      <c r="R125">
        <f t="shared" si="37"/>
        <v>38.231216990953484</v>
      </c>
      <c r="S125">
        <f t="shared" si="38"/>
        <v>51.460281382396623</v>
      </c>
      <c r="T125">
        <f>IF(ISBLANK($E125),NA(),IFERROR(SUM($E125:$E$177),NA()))</f>
        <v>700953.04999999993</v>
      </c>
      <c r="U125">
        <f>IF(ISBLANK($F125),NA(),IFERROR(SUM($F125:$F$177),NA()))</f>
        <v>941591.79800000007</v>
      </c>
      <c r="V125">
        <f>IF(ISBLANK($G125),NA(),IFERROR(SUM($G125:$G$177),NA()))</f>
        <v>970796.82600000023</v>
      </c>
      <c r="W125">
        <f t="shared" si="39"/>
        <v>1912388.6240000003</v>
      </c>
      <c r="X125">
        <f t="shared" si="40"/>
        <v>36.65327440266136</v>
      </c>
      <c r="Y125">
        <f t="shared" si="41"/>
        <v>49.236425388817828</v>
      </c>
      <c r="Z125">
        <f>IF(ISBLANK($H125),NA(),IFERROR(SUM($H125:$H$177),NA()))</f>
        <v>687518.39899999974</v>
      </c>
      <c r="AA125">
        <f>IF(ISBLANK($I125),NA(),IFERROR(SUM($I125:$I$177),NA()))</f>
        <v>927468.65399999986</v>
      </c>
      <c r="AB125">
        <f>IF(ISBLANK($J125),NA(),IFERROR(SUM($J125:$J$177),NA()))</f>
        <v>1005971.1510000001</v>
      </c>
      <c r="AC125">
        <f t="shared" si="42"/>
        <v>1933439.8049999999</v>
      </c>
      <c r="AD125">
        <f t="shared" si="43"/>
        <v>35.559338192067472</v>
      </c>
      <c r="AE125">
        <f t="shared" si="44"/>
        <v>47.969874810765049</v>
      </c>
      <c r="AF125" t="e">
        <f>IF(ISBLANK($K125),NA(),IFERROR(SUM($K125:$K$177),NA()))</f>
        <v>#N/A</v>
      </c>
      <c r="AG125" t="e">
        <f>IF(ISBLANK($L125),NA(),IFERROR(SUM($L125:$L$177),NA()))</f>
        <v>#N/A</v>
      </c>
      <c r="AH125" t="e">
        <f>IF(ISBLANK($M125),NA(),IFERROR(SUM($M125:$M$177),NA()))</f>
        <v>#N/A</v>
      </c>
      <c r="AI125" t="str">
        <f t="shared" si="45"/>
        <v/>
      </c>
      <c r="AJ125" t="e">
        <f t="shared" si="46"/>
        <v>#N/A</v>
      </c>
      <c r="AK125" t="e">
        <f t="shared" si="47"/>
        <v>#N/A</v>
      </c>
    </row>
    <row r="126" spans="1:37" x14ac:dyDescent="0.35">
      <c r="A126">
        <v>1973</v>
      </c>
      <c r="B126">
        <v>11351.976000000001</v>
      </c>
      <c r="C126">
        <v>15201.677</v>
      </c>
      <c r="D126">
        <v>5292.5690000000004</v>
      </c>
      <c r="E126">
        <v>13274.075000000001</v>
      </c>
      <c r="F126">
        <v>18017.205999999998</v>
      </c>
      <c r="G126">
        <v>7568.9170000000004</v>
      </c>
      <c r="H126">
        <v>12828.771000000001</v>
      </c>
      <c r="I126">
        <v>16985.101999999999</v>
      </c>
      <c r="J126">
        <v>7831.6760000000004</v>
      </c>
      <c r="N126">
        <f>IF(ISBLANK($B126),NA(),IFERROR(SUM($B126:$B$177),NA()))</f>
        <v>609692.82499999972</v>
      </c>
      <c r="O126">
        <f>IF(ISBLANK($C126),NA(),IFERROR(SUM($C126:$C$177),NA()))</f>
        <v>820737.576</v>
      </c>
      <c r="P126">
        <f>IF(ISBLANK($D126),NA(),IFERROR(SUM($D126:$D$177),NA()))</f>
        <v>782990.24100000015</v>
      </c>
      <c r="Q126">
        <f t="shared" si="36"/>
        <v>1603727.8170000003</v>
      </c>
      <c r="R126">
        <f t="shared" si="37"/>
        <v>38.017225774665206</v>
      </c>
      <c r="S126">
        <f t="shared" si="38"/>
        <v>51.176862264277844</v>
      </c>
      <c r="T126">
        <f>IF(ISBLANK($E126),NA(),IFERROR(SUM($E126:$E$177),NA()))</f>
        <v>688213.799</v>
      </c>
      <c r="U126">
        <f>IF(ISBLANK($F126),NA(),IFERROR(SUM($F126:$F$177),NA()))</f>
        <v>924294.69600000011</v>
      </c>
      <c r="V126">
        <f>IF(ISBLANK($G126),NA(),IFERROR(SUM($G126:$G$177),NA()))</f>
        <v>963609.74900000019</v>
      </c>
      <c r="W126">
        <f t="shared" si="39"/>
        <v>1887904.4450000003</v>
      </c>
      <c r="X126">
        <f t="shared" si="40"/>
        <v>36.453847058980777</v>
      </c>
      <c r="Y126">
        <f t="shared" si="41"/>
        <v>48.958764753583701</v>
      </c>
      <c r="Z126">
        <f>IF(ISBLANK($H126),NA(),IFERROR(SUM($H126:$H$177),NA()))</f>
        <v>675248.84799999988</v>
      </c>
      <c r="AA126">
        <f>IF(ISBLANK($I126),NA(),IFERROR(SUM($I126:$I$177),NA()))</f>
        <v>911247.57599999988</v>
      </c>
      <c r="AB126">
        <f>IF(ISBLANK($J126),NA(),IFERROR(SUM($J126:$J$177),NA()))</f>
        <v>998567.62100000004</v>
      </c>
      <c r="AC126">
        <f t="shared" si="42"/>
        <v>1909815.1969999999</v>
      </c>
      <c r="AD126">
        <f t="shared" si="43"/>
        <v>35.356763788491307</v>
      </c>
      <c r="AE126">
        <f t="shared" si="44"/>
        <v>47.713913756232401</v>
      </c>
      <c r="AF126" t="e">
        <f>IF(ISBLANK($K126),NA(),IFERROR(SUM($K126:$K$177),NA()))</f>
        <v>#N/A</v>
      </c>
      <c r="AG126" t="e">
        <f>IF(ISBLANK($L126),NA(),IFERROR(SUM($L126:$L$177),NA()))</f>
        <v>#N/A</v>
      </c>
      <c r="AH126" t="e">
        <f>IF(ISBLANK($M126),NA(),IFERROR(SUM($M126:$M$177),NA()))</f>
        <v>#N/A</v>
      </c>
      <c r="AI126" t="str">
        <f t="shared" si="45"/>
        <v/>
      </c>
      <c r="AJ126" t="e">
        <f t="shared" si="46"/>
        <v>#N/A</v>
      </c>
      <c r="AK126" t="e">
        <f t="shared" si="47"/>
        <v>#N/A</v>
      </c>
    </row>
    <row r="127" spans="1:37" x14ac:dyDescent="0.35">
      <c r="A127">
        <v>1974</v>
      </c>
      <c r="B127">
        <v>11065.645</v>
      </c>
      <c r="C127">
        <v>15045.9</v>
      </c>
      <c r="D127">
        <v>5398.5389999999998</v>
      </c>
      <c r="E127">
        <v>12997.178</v>
      </c>
      <c r="F127">
        <v>17857.445</v>
      </c>
      <c r="G127">
        <v>7662.7470000000003</v>
      </c>
      <c r="H127">
        <v>12553.737999999999</v>
      </c>
      <c r="I127">
        <v>16860.289000000001</v>
      </c>
      <c r="J127">
        <v>7991.1890000000003</v>
      </c>
      <c r="N127">
        <f>IF(ISBLANK($B127),NA(),IFERROR(SUM($B127:$B$177),NA()))</f>
        <v>598340.84899999981</v>
      </c>
      <c r="O127">
        <f>IF(ISBLANK($C127),NA(),IFERROR(SUM($C127:$C$177),NA()))</f>
        <v>805535.89900000009</v>
      </c>
      <c r="P127">
        <f>IF(ISBLANK($D127),NA(),IFERROR(SUM($D127:$D$177),NA()))</f>
        <v>777697.67200000014</v>
      </c>
      <c r="Q127">
        <f t="shared" si="36"/>
        <v>1583233.5710000002</v>
      </c>
      <c r="R127">
        <f t="shared" si="37"/>
        <v>37.792329569039921</v>
      </c>
      <c r="S127">
        <f t="shared" si="38"/>
        <v>50.879157299021173</v>
      </c>
      <c r="T127">
        <f>IF(ISBLANK($E127),NA(),IFERROR(SUM($E127:$E$177),NA()))</f>
        <v>674939.72400000005</v>
      </c>
      <c r="U127">
        <f>IF(ISBLANK($F127),NA(),IFERROR(SUM($F127:$F$177),NA()))</f>
        <v>906277.49000000011</v>
      </c>
      <c r="V127">
        <f>IF(ISBLANK($G127),NA(),IFERROR(SUM($G127:$G$177),NA()))</f>
        <v>956040.83200000017</v>
      </c>
      <c r="W127">
        <f t="shared" si="39"/>
        <v>1862318.3220000002</v>
      </c>
      <c r="X127">
        <f t="shared" si="40"/>
        <v>36.241909668544835</v>
      </c>
      <c r="Y127">
        <f t="shared" si="41"/>
        <v>48.66394102951859</v>
      </c>
      <c r="Z127">
        <f>IF(ISBLANK($H127),NA(),IFERROR(SUM($H127:$H$177),NA()))</f>
        <v>662420.07699999993</v>
      </c>
      <c r="AA127">
        <f>IF(ISBLANK($I127),NA(),IFERROR(SUM($I127:$I$177),NA()))</f>
        <v>894262.47399999993</v>
      </c>
      <c r="AB127">
        <f>IF(ISBLANK($J127),NA(),IFERROR(SUM($J127:$J$177),NA()))</f>
        <v>990735.94500000007</v>
      </c>
      <c r="AC127">
        <f t="shared" si="42"/>
        <v>1884998.419</v>
      </c>
      <c r="AD127">
        <f t="shared" si="43"/>
        <v>35.141678121481753</v>
      </c>
      <c r="AE127">
        <f t="shared" si="44"/>
        <v>47.441019843104705</v>
      </c>
      <c r="AF127" t="e">
        <f>IF(ISBLANK($K127),NA(),IFERROR(SUM($K127:$K$177),NA()))</f>
        <v>#N/A</v>
      </c>
      <c r="AG127" t="e">
        <f>IF(ISBLANK($L127),NA(),IFERROR(SUM($L127:$L$177),NA()))</f>
        <v>#N/A</v>
      </c>
      <c r="AH127" t="e">
        <f>IF(ISBLANK($M127),NA(),IFERROR(SUM($M127:$M$177),NA()))</f>
        <v>#N/A</v>
      </c>
      <c r="AI127" t="str">
        <f t="shared" si="45"/>
        <v/>
      </c>
      <c r="AJ127" t="e">
        <f t="shared" si="46"/>
        <v>#N/A</v>
      </c>
      <c r="AK127" t="e">
        <f t="shared" si="47"/>
        <v>#N/A</v>
      </c>
    </row>
    <row r="128" spans="1:37" x14ac:dyDescent="0.35">
      <c r="A128">
        <v>1975</v>
      </c>
      <c r="B128">
        <v>10668.25</v>
      </c>
      <c r="C128">
        <v>14849.101000000001</v>
      </c>
      <c r="D128">
        <v>5634.3440000000001</v>
      </c>
      <c r="E128">
        <v>12567.922</v>
      </c>
      <c r="F128">
        <v>17635.179</v>
      </c>
      <c r="G128">
        <v>8027.6049999999996</v>
      </c>
      <c r="H128">
        <v>12109.99</v>
      </c>
      <c r="I128">
        <v>16617.985000000001</v>
      </c>
      <c r="J128">
        <v>8286.2489999999998</v>
      </c>
      <c r="N128">
        <f>IF(ISBLANK($B128),NA(),IFERROR(SUM($B128:$B$177),NA()))</f>
        <v>587275.20399999979</v>
      </c>
      <c r="O128">
        <f>IF(ISBLANK($C128),NA(),IFERROR(SUM($C128:$C$177),NA()))</f>
        <v>790489.99900000019</v>
      </c>
      <c r="P128">
        <f>IF(ISBLANK($D128),NA(),IFERROR(SUM($D128:$D$177),NA()))</f>
        <v>772299.13300000015</v>
      </c>
      <c r="Q128">
        <f t="shared" si="36"/>
        <v>1562789.1320000002</v>
      </c>
      <c r="R128">
        <f t="shared" si="37"/>
        <v>37.578659332524701</v>
      </c>
      <c r="S128">
        <f t="shared" si="38"/>
        <v>50.58200001610966</v>
      </c>
      <c r="T128">
        <f>IF(ISBLANK($E128),NA(),IFERROR(SUM($E128:$E$177),NA()))</f>
        <v>661942.54599999997</v>
      </c>
      <c r="U128">
        <f>IF(ISBLANK($F128),NA(),IFERROR(SUM($F128:$F$177),NA()))</f>
        <v>888420.04500000027</v>
      </c>
      <c r="V128">
        <f>IF(ISBLANK($G128),NA(),IFERROR(SUM($G128:$G$177),NA()))</f>
        <v>948378.0850000002</v>
      </c>
      <c r="W128">
        <f t="shared" si="39"/>
        <v>1836798.1300000004</v>
      </c>
      <c r="X128">
        <f t="shared" si="40"/>
        <v>36.037849515885547</v>
      </c>
      <c r="Y128">
        <f t="shared" si="41"/>
        <v>48.367865280873303</v>
      </c>
      <c r="Z128">
        <f>IF(ISBLANK($H128),NA(),IFERROR(SUM($H128:$H$177),NA()))</f>
        <v>649866.33899999992</v>
      </c>
      <c r="AA128">
        <f>IF(ISBLANK($I128),NA(),IFERROR(SUM($I128:$I$177),NA()))</f>
        <v>877402.18499999982</v>
      </c>
      <c r="AB128">
        <f>IF(ISBLANK($J128),NA(),IFERROR(SUM($J128:$J$177),NA()))</f>
        <v>982744.75600000005</v>
      </c>
      <c r="AC128">
        <f t="shared" si="42"/>
        <v>1860146.9409999999</v>
      </c>
      <c r="AD128">
        <f t="shared" si="43"/>
        <v>34.936290498138661</v>
      </c>
      <c r="AE128">
        <f t="shared" si="44"/>
        <v>47.168434152213564</v>
      </c>
      <c r="AF128" t="e">
        <f>IF(ISBLANK($K128),NA(),IFERROR(SUM($K128:$K$177),NA()))</f>
        <v>#N/A</v>
      </c>
      <c r="AG128" t="e">
        <f>IF(ISBLANK($L128),NA(),IFERROR(SUM($L128:$L$177),NA()))</f>
        <v>#N/A</v>
      </c>
      <c r="AH128" t="e">
        <f>IF(ISBLANK($M128),NA(),IFERROR(SUM($M128:$M$177),NA()))</f>
        <v>#N/A</v>
      </c>
      <c r="AI128" t="str">
        <f t="shared" si="45"/>
        <v/>
      </c>
      <c r="AJ128" t="e">
        <f t="shared" si="46"/>
        <v>#N/A</v>
      </c>
      <c r="AK128" t="e">
        <f t="shared" si="47"/>
        <v>#N/A</v>
      </c>
    </row>
    <row r="129" spans="1:37" x14ac:dyDescent="0.35">
      <c r="A129">
        <v>1976</v>
      </c>
      <c r="B129">
        <v>11153.432000000001</v>
      </c>
      <c r="C129">
        <v>15510.22</v>
      </c>
      <c r="D129">
        <v>5932.5569999999998</v>
      </c>
      <c r="E129">
        <v>13130.168</v>
      </c>
      <c r="F129">
        <v>18392.126</v>
      </c>
      <c r="G129">
        <v>8313.81</v>
      </c>
      <c r="H129">
        <v>12695.356</v>
      </c>
      <c r="I129">
        <v>17371.934000000001</v>
      </c>
      <c r="J129">
        <v>8660.6540000000005</v>
      </c>
      <c r="N129">
        <f>IF(ISBLANK($B129),NA(),IFERROR(SUM($B129:$B$177),NA()))</f>
        <v>576606.95399999979</v>
      </c>
      <c r="O129">
        <f>IF(ISBLANK($C129),NA(),IFERROR(SUM($C129:$C$177),NA()))</f>
        <v>775640.89800000016</v>
      </c>
      <c r="P129">
        <f>IF(ISBLANK($D129),NA(),IFERROR(SUM($D129:$D$177),NA()))</f>
        <v>766664.78900000011</v>
      </c>
      <c r="Q129">
        <f t="shared" si="36"/>
        <v>1542305.6870000004</v>
      </c>
      <c r="R129">
        <f t="shared" si="37"/>
        <v>37.386035651698904</v>
      </c>
      <c r="S129">
        <f t="shared" si="38"/>
        <v>50.290996430722487</v>
      </c>
      <c r="T129">
        <f>IF(ISBLANK($E129),NA(),IFERROR(SUM($E129:$E$177),NA()))</f>
        <v>649374.62399999995</v>
      </c>
      <c r="U129">
        <f>IF(ISBLANK($F129),NA(),IFERROR(SUM($F129:$F$177),NA()))</f>
        <v>870784.86600000027</v>
      </c>
      <c r="V129">
        <f>IF(ISBLANK($G129),NA(),IFERROR(SUM($G129:$G$177),NA()))</f>
        <v>940350.48000000021</v>
      </c>
      <c r="W129">
        <f t="shared" si="39"/>
        <v>1811135.3460000004</v>
      </c>
      <c r="X129">
        <f t="shared" si="40"/>
        <v>35.854560810940065</v>
      </c>
      <c r="Y129">
        <f t="shared" si="41"/>
        <v>48.07950261272191</v>
      </c>
      <c r="Z129">
        <f>IF(ISBLANK($H129),NA(),IFERROR(SUM($H129:$H$177),NA()))</f>
        <v>637756.34899999981</v>
      </c>
      <c r="AA129">
        <f>IF(ISBLANK($I129),NA(),IFERROR(SUM($I129:$I$177),NA()))</f>
        <v>860784.2</v>
      </c>
      <c r="AB129">
        <f>IF(ISBLANK($J129),NA(),IFERROR(SUM($J129:$J$177),NA()))</f>
        <v>974458.5070000001</v>
      </c>
      <c r="AC129">
        <f t="shared" si="42"/>
        <v>1835242.7069999999</v>
      </c>
      <c r="AD129">
        <f t="shared" si="43"/>
        <v>34.750518095915247</v>
      </c>
      <c r="AE129">
        <f t="shared" si="44"/>
        <v>46.903017062363951</v>
      </c>
      <c r="AF129" t="e">
        <f>IF(ISBLANK($K129),NA(),IFERROR(SUM($K129:$K$177),NA()))</f>
        <v>#N/A</v>
      </c>
      <c r="AG129" t="e">
        <f>IF(ISBLANK($L129),NA(),IFERROR(SUM($L129:$L$177),NA()))</f>
        <v>#N/A</v>
      </c>
      <c r="AH129" t="e">
        <f>IF(ISBLANK($M129),NA(),IFERROR(SUM($M129:$M$177),NA()))</f>
        <v>#N/A</v>
      </c>
      <c r="AI129" t="str">
        <f t="shared" si="45"/>
        <v/>
      </c>
      <c r="AJ129" t="e">
        <f t="shared" si="46"/>
        <v>#N/A</v>
      </c>
      <c r="AK129" t="e">
        <f t="shared" si="47"/>
        <v>#N/A</v>
      </c>
    </row>
    <row r="130" spans="1:37" x14ac:dyDescent="0.35">
      <c r="A130">
        <v>1977</v>
      </c>
      <c r="B130">
        <v>11257.169</v>
      </c>
      <c r="C130">
        <v>15761.662</v>
      </c>
      <c r="D130">
        <v>6239.6490000000003</v>
      </c>
      <c r="E130">
        <v>13200.678</v>
      </c>
      <c r="F130">
        <v>18608.023000000001</v>
      </c>
      <c r="G130">
        <v>8669.3389999999999</v>
      </c>
      <c r="H130">
        <v>12854.841</v>
      </c>
      <c r="I130">
        <v>17657.766</v>
      </c>
      <c r="J130">
        <v>9045.277</v>
      </c>
      <c r="N130">
        <f>IF(ISBLANK($B130),NA(),IFERROR(SUM($B130:$B$177),NA()))</f>
        <v>565453.52199999988</v>
      </c>
      <c r="O130">
        <f>IF(ISBLANK($C130),NA(),IFERROR(SUM($C130:$C$177),NA()))</f>
        <v>760130.67800000019</v>
      </c>
      <c r="P130">
        <f>IF(ISBLANK($D130),NA(),IFERROR(SUM($D130:$D$177),NA()))</f>
        <v>760732.23200000008</v>
      </c>
      <c r="Q130">
        <f t="shared" si="36"/>
        <v>1520862.9100000001</v>
      </c>
      <c r="R130">
        <f t="shared" si="37"/>
        <v>37.179782495977882</v>
      </c>
      <c r="S130">
        <f t="shared" si="38"/>
        <v>49.980223266803193</v>
      </c>
      <c r="T130">
        <f>IF(ISBLANK($E130),NA(),IFERROR(SUM($E130:$E$177),NA()))</f>
        <v>636244.45600000001</v>
      </c>
      <c r="U130">
        <f>IF(ISBLANK($F130),NA(),IFERROR(SUM($F130:$F$177),NA()))</f>
        <v>852392.74000000034</v>
      </c>
      <c r="V130">
        <f>IF(ISBLANK($G130),NA(),IFERROR(SUM($G130:$G$177),NA()))</f>
        <v>932036.67000000016</v>
      </c>
      <c r="W130">
        <f t="shared" si="39"/>
        <v>1784429.4100000006</v>
      </c>
      <c r="X130">
        <f t="shared" si="40"/>
        <v>35.655344640391228</v>
      </c>
      <c r="Y130">
        <f t="shared" si="41"/>
        <v>47.76836423022192</v>
      </c>
      <c r="Z130">
        <f>IF(ISBLANK($H130),NA(),IFERROR(SUM($H130:$H$177),NA()))</f>
        <v>625060.99300000002</v>
      </c>
      <c r="AA130">
        <f>IF(ISBLANK($I130),NA(),IFERROR(SUM($I130:$I$177),NA()))</f>
        <v>843412.26599999983</v>
      </c>
      <c r="AB130">
        <f>IF(ISBLANK($J130),NA(),IFERROR(SUM($J130:$J$177),NA()))</f>
        <v>965797.853</v>
      </c>
      <c r="AC130">
        <f t="shared" si="42"/>
        <v>1809210.1189999999</v>
      </c>
      <c r="AD130">
        <f t="shared" si="43"/>
        <v>34.548833573045037</v>
      </c>
      <c r="AE130">
        <f t="shared" si="44"/>
        <v>46.617706652347096</v>
      </c>
      <c r="AF130" t="e">
        <f>IF(ISBLANK($K130),NA(),IFERROR(SUM($K130:$K$177),NA()))</f>
        <v>#N/A</v>
      </c>
      <c r="AG130" t="e">
        <f>IF(ISBLANK($L130),NA(),IFERROR(SUM($L130:$L$177),NA()))</f>
        <v>#N/A</v>
      </c>
      <c r="AH130" t="e">
        <f>IF(ISBLANK($M130),NA(),IFERROR(SUM($M130:$M$177),NA()))</f>
        <v>#N/A</v>
      </c>
      <c r="AI130" t="str">
        <f t="shared" si="45"/>
        <v/>
      </c>
      <c r="AJ130" t="e">
        <f t="shared" si="46"/>
        <v>#N/A</v>
      </c>
      <c r="AK130" t="e">
        <f t="shared" si="47"/>
        <v>#N/A</v>
      </c>
    </row>
    <row r="131" spans="1:37" x14ac:dyDescent="0.35">
      <c r="A131">
        <v>1978</v>
      </c>
      <c r="B131">
        <v>11475.918</v>
      </c>
      <c r="C131">
        <v>16133.583000000001</v>
      </c>
      <c r="D131">
        <v>6585.7539999999999</v>
      </c>
      <c r="E131">
        <v>13448.47</v>
      </c>
      <c r="F131">
        <v>19025.561000000002</v>
      </c>
      <c r="G131">
        <v>9039.8430000000008</v>
      </c>
      <c r="H131">
        <v>12932.419</v>
      </c>
      <c r="I131">
        <v>17994.053</v>
      </c>
      <c r="J131">
        <v>9424.7520000000004</v>
      </c>
      <c r="N131">
        <f>IF(ISBLANK($B131),NA(),IFERROR(SUM($B131:$B$177),NA()))</f>
        <v>554196.35299999989</v>
      </c>
      <c r="O131">
        <f>IF(ISBLANK($C131),NA(),IFERROR(SUM($C131:$C$177),NA()))</f>
        <v>744369.01600000018</v>
      </c>
      <c r="P131">
        <f>IF(ISBLANK($D131),NA(),IFERROR(SUM($D131:$D$177),NA()))</f>
        <v>754492.5830000001</v>
      </c>
      <c r="Q131">
        <f t="shared" ref="Q131:Q162" si="48">IFERROR(O131+P131,"")</f>
        <v>1498861.5990000004</v>
      </c>
      <c r="R131">
        <f t="shared" ref="R131:R162" si="49">IFERROR(N131/Q131*100,NA())</f>
        <v>36.974484726925063</v>
      </c>
      <c r="S131">
        <f t="shared" ref="S131:S162" si="50">IFERROR(O131/Q131*100,NA())</f>
        <v>49.662291468179774</v>
      </c>
      <c r="T131">
        <f>IF(ISBLANK($E131),NA(),IFERROR(SUM($E131:$E$177),NA()))</f>
        <v>623043.77799999993</v>
      </c>
      <c r="U131">
        <f>IF(ISBLANK($F131),NA(),IFERROR(SUM($F131:$F$177),NA()))</f>
        <v>833784.7170000003</v>
      </c>
      <c r="V131">
        <f>IF(ISBLANK($G131),NA(),IFERROR(SUM($G131:$G$177),NA()))</f>
        <v>923367.33100000024</v>
      </c>
      <c r="W131">
        <f t="shared" ref="W131:W162" si="51">IFERROR(U131+V131,"")</f>
        <v>1757152.0480000004</v>
      </c>
      <c r="X131">
        <f t="shared" ref="X131:X162" si="52">IFERROR(T131/W131*100,NA())</f>
        <v>35.457590520362288</v>
      </c>
      <c r="Y131">
        <f t="shared" ref="Y131:Y162" si="53">IFERROR(U131/W131*100,NA())</f>
        <v>47.450914560809828</v>
      </c>
      <c r="Z131">
        <f>IF(ISBLANK($H131),NA(),IFERROR(SUM($H131:$H$177),NA()))</f>
        <v>612206.15199999989</v>
      </c>
      <c r="AA131">
        <f>IF(ISBLANK($I131),NA(),IFERROR(SUM($I131:$I$177),NA()))</f>
        <v>825754.5</v>
      </c>
      <c r="AB131">
        <f>IF(ISBLANK($J131),NA(),IFERROR(SUM($J131:$J$177),NA()))</f>
        <v>956752.576</v>
      </c>
      <c r="AC131">
        <f t="shared" ref="AC131:AC162" si="54">IFERROR(AA131+AB131,"")</f>
        <v>1782507.0759999999</v>
      </c>
      <c r="AD131">
        <f t="shared" ref="AD131:AD162" si="55">IFERROR(Z131/AC131*100,NA())</f>
        <v>34.345229830661268</v>
      </c>
      <c r="AE131">
        <f t="shared" ref="AE131:AE162" si="56">IFERROR(AA131/AC131*100,NA())</f>
        <v>46.325454250258474</v>
      </c>
      <c r="AF131" t="e">
        <f>IF(ISBLANK($K131),NA(),IFERROR(SUM($K131:$K$177),NA()))</f>
        <v>#N/A</v>
      </c>
      <c r="AG131" t="e">
        <f>IF(ISBLANK($L131),NA(),IFERROR(SUM($L131:$L$177),NA()))</f>
        <v>#N/A</v>
      </c>
      <c r="AH131" t="e">
        <f>IF(ISBLANK($M131),NA(),IFERROR(SUM($M131:$M$177),NA()))</f>
        <v>#N/A</v>
      </c>
      <c r="AI131" t="str">
        <f t="shared" ref="AI131:AI162" si="57">IFERROR(AG131+AH131,"")</f>
        <v/>
      </c>
      <c r="AJ131" t="e">
        <f t="shared" ref="AJ131:AJ162" si="58">IFERROR(AF131/AI131*100,NA())</f>
        <v>#N/A</v>
      </c>
      <c r="AK131" t="e">
        <f t="shared" ref="AK131:AK162" si="59">IFERROR(AG131/AI131*100,NA())</f>
        <v>#N/A</v>
      </c>
    </row>
    <row r="132" spans="1:37" x14ac:dyDescent="0.35">
      <c r="A132">
        <v>1979</v>
      </c>
      <c r="B132">
        <v>11743.637000000001</v>
      </c>
      <c r="C132">
        <v>16437.349999999999</v>
      </c>
      <c r="D132">
        <v>6882.277</v>
      </c>
      <c r="E132">
        <v>13756.334999999999</v>
      </c>
      <c r="F132">
        <v>19385.358</v>
      </c>
      <c r="G132">
        <v>9406.8889999999992</v>
      </c>
      <c r="H132">
        <v>13215.228999999999</v>
      </c>
      <c r="I132">
        <v>18351.504000000001</v>
      </c>
      <c r="J132">
        <v>9764.5</v>
      </c>
      <c r="N132">
        <f>IF(ISBLANK($B132),NA(),IFERROR(SUM($B132:$B$177),NA()))</f>
        <v>542720.43499999982</v>
      </c>
      <c r="O132">
        <f>IF(ISBLANK($C132),NA(),IFERROR(SUM($C132:$C$177),NA()))</f>
        <v>728235.43300000019</v>
      </c>
      <c r="P132">
        <f>IF(ISBLANK($D132),NA(),IFERROR(SUM($D132:$D$177),NA()))</f>
        <v>747906.82900000014</v>
      </c>
      <c r="Q132">
        <f t="shared" si="48"/>
        <v>1476142.2620000003</v>
      </c>
      <c r="R132">
        <f t="shared" si="49"/>
        <v>36.766133520537309</v>
      </c>
      <c r="S132">
        <f t="shared" si="50"/>
        <v>49.333689018111727</v>
      </c>
      <c r="T132">
        <f>IF(ISBLANK($E132),NA(),IFERROR(SUM($E132:$E$177),NA()))</f>
        <v>609595.30799999996</v>
      </c>
      <c r="U132">
        <f>IF(ISBLANK($F132),NA(),IFERROR(SUM($F132:$F$177),NA()))</f>
        <v>814759.15600000008</v>
      </c>
      <c r="V132">
        <f>IF(ISBLANK($G132),NA(),IFERROR(SUM($G132:$G$177),NA()))</f>
        <v>914327.48800000024</v>
      </c>
      <c r="W132">
        <f t="shared" si="51"/>
        <v>1729086.6440000003</v>
      </c>
      <c r="X132">
        <f t="shared" si="52"/>
        <v>35.255336111427383</v>
      </c>
      <c r="Y132">
        <f t="shared" si="53"/>
        <v>47.120782456289675</v>
      </c>
      <c r="Z132">
        <f>IF(ISBLANK($H132),NA(),IFERROR(SUM($H132:$H$177),NA()))</f>
        <v>599273.73299999989</v>
      </c>
      <c r="AA132">
        <f>IF(ISBLANK($I132),NA(),IFERROR(SUM($I132:$I$177),NA()))</f>
        <v>807760.44699999993</v>
      </c>
      <c r="AB132">
        <f>IF(ISBLANK($J132),NA(),IFERROR(SUM($J132:$J$177),NA()))</f>
        <v>947327.82400000002</v>
      </c>
      <c r="AC132">
        <f t="shared" si="54"/>
        <v>1755088.2709999999</v>
      </c>
      <c r="AD132">
        <f t="shared" si="55"/>
        <v>34.144934069814653</v>
      </c>
      <c r="AE132">
        <f t="shared" si="56"/>
        <v>46.02392143728251</v>
      </c>
      <c r="AF132" t="e">
        <f>IF(ISBLANK($K132),NA(),IFERROR(SUM($K132:$K$177),NA()))</f>
        <v>#N/A</v>
      </c>
      <c r="AG132" t="e">
        <f>IF(ISBLANK($L132),NA(),IFERROR(SUM($L132:$L$177),NA()))</f>
        <v>#N/A</v>
      </c>
      <c r="AH132" t="e">
        <f>IF(ISBLANK($M132),NA(),IFERROR(SUM($M132:$M$177),NA()))</f>
        <v>#N/A</v>
      </c>
      <c r="AI132" t="str">
        <f t="shared" si="57"/>
        <v/>
      </c>
      <c r="AJ132" t="e">
        <f t="shared" si="58"/>
        <v>#N/A</v>
      </c>
      <c r="AK132" t="e">
        <f t="shared" si="59"/>
        <v>#N/A</v>
      </c>
    </row>
    <row r="133" spans="1:37" x14ac:dyDescent="0.35">
      <c r="A133">
        <v>1980</v>
      </c>
      <c r="B133">
        <v>11421.004000000001</v>
      </c>
      <c r="C133">
        <v>16249.745000000001</v>
      </c>
      <c r="D133">
        <v>6874.3620000000001</v>
      </c>
      <c r="E133">
        <v>13384.493</v>
      </c>
      <c r="F133">
        <v>19154.857</v>
      </c>
      <c r="G133">
        <v>9472.9279999999999</v>
      </c>
      <c r="H133">
        <v>12814.18</v>
      </c>
      <c r="I133">
        <v>18049.305</v>
      </c>
      <c r="J133">
        <v>9803.482</v>
      </c>
      <c r="N133">
        <f>IF(ISBLANK($B133),NA(),IFERROR(SUM($B133:$B$177),NA()))</f>
        <v>530976.79799999995</v>
      </c>
      <c r="O133">
        <f>IF(ISBLANK($C133),NA(),IFERROR(SUM($C133:$C$177),NA()))</f>
        <v>711798.0830000001</v>
      </c>
      <c r="P133">
        <f>IF(ISBLANK($D133),NA(),IFERROR(SUM($D133:$D$177),NA()))</f>
        <v>741024.55200000014</v>
      </c>
      <c r="Q133">
        <f t="shared" si="48"/>
        <v>1452822.6350000002</v>
      </c>
      <c r="R133">
        <f t="shared" si="49"/>
        <v>36.547943651772734</v>
      </c>
      <c r="S133">
        <f t="shared" si="50"/>
        <v>48.994148759253051</v>
      </c>
      <c r="T133">
        <f>IF(ISBLANK($E133),NA(),IFERROR(SUM($E133:$E$177),NA()))</f>
        <v>595838.97299999988</v>
      </c>
      <c r="U133">
        <f>IF(ISBLANK($F133),NA(),IFERROR(SUM($F133:$F$177),NA()))</f>
        <v>795373.79800000007</v>
      </c>
      <c r="V133">
        <f>IF(ISBLANK($G133),NA(),IFERROR(SUM($G133:$G$177),NA()))</f>
        <v>904920.59900000016</v>
      </c>
      <c r="W133">
        <f t="shared" si="51"/>
        <v>1700294.3970000003</v>
      </c>
      <c r="X133">
        <f t="shared" si="52"/>
        <v>35.043282742759033</v>
      </c>
      <c r="Y133">
        <f t="shared" si="53"/>
        <v>46.778593130892958</v>
      </c>
      <c r="Z133">
        <f>IF(ISBLANK($H133),NA(),IFERROR(SUM($H133:$H$177),NA()))</f>
        <v>586058.50399999984</v>
      </c>
      <c r="AA133">
        <f>IF(ISBLANK($I133),NA(),IFERROR(SUM($I133:$I$177),NA()))</f>
        <v>789408.94299999997</v>
      </c>
      <c r="AB133">
        <f>IF(ISBLANK($J133),NA(),IFERROR(SUM($J133:$J$177),NA()))</f>
        <v>937563.32400000014</v>
      </c>
      <c r="AC133">
        <f t="shared" si="54"/>
        <v>1726972.267</v>
      </c>
      <c r="AD133">
        <f t="shared" si="55"/>
        <v>33.93560598503808</v>
      </c>
      <c r="AE133">
        <f t="shared" si="56"/>
        <v>45.710574401482269</v>
      </c>
      <c r="AF133" t="e">
        <f>IF(ISBLANK($K133),NA(),IFERROR(SUM($K133:$K$177),NA()))</f>
        <v>#N/A</v>
      </c>
      <c r="AG133" t="e">
        <f>IF(ISBLANK($L133),NA(),IFERROR(SUM($L133:$L$177),NA()))</f>
        <v>#N/A</v>
      </c>
      <c r="AH133" t="e">
        <f>IF(ISBLANK($M133),NA(),IFERROR(SUM($M133:$M$177),NA()))</f>
        <v>#N/A</v>
      </c>
      <c r="AI133" t="str">
        <f t="shared" si="57"/>
        <v/>
      </c>
      <c r="AJ133" t="e">
        <f t="shared" si="58"/>
        <v>#N/A</v>
      </c>
      <c r="AK133" t="e">
        <f t="shared" si="59"/>
        <v>#N/A</v>
      </c>
    </row>
    <row r="134" spans="1:37" x14ac:dyDescent="0.35">
      <c r="A134">
        <v>1981</v>
      </c>
      <c r="B134">
        <v>11008.27</v>
      </c>
      <c r="C134">
        <v>15717.598</v>
      </c>
      <c r="D134">
        <v>6746.1149999999998</v>
      </c>
      <c r="E134">
        <v>12978.811</v>
      </c>
      <c r="F134">
        <v>18634.061000000002</v>
      </c>
      <c r="G134">
        <v>9413.6779999999999</v>
      </c>
      <c r="H134">
        <v>12525.641</v>
      </c>
      <c r="I134">
        <v>17689.197</v>
      </c>
      <c r="J134">
        <v>9689.7759999999998</v>
      </c>
      <c r="N134">
        <f>IF(ISBLANK($B134),NA(),IFERROR(SUM($B134:$B$177),NA()))</f>
        <v>519555.79399999988</v>
      </c>
      <c r="O134">
        <f>IF(ISBLANK($C134),NA(),IFERROR(SUM($C134:$C$177),NA()))</f>
        <v>695548.33800000022</v>
      </c>
      <c r="P134">
        <f>IF(ISBLANK($D134),NA(),IFERROR(SUM($D134:$D$177),NA()))</f>
        <v>734150.19000000006</v>
      </c>
      <c r="Q134">
        <f t="shared" si="48"/>
        <v>1429698.5280000004</v>
      </c>
      <c r="R134">
        <f t="shared" si="49"/>
        <v>36.340234239927796</v>
      </c>
      <c r="S134">
        <f t="shared" si="50"/>
        <v>48.650000288732201</v>
      </c>
      <c r="T134">
        <f>IF(ISBLANK($E134),NA(),IFERROR(SUM($E134:$E$177),NA()))</f>
        <v>582454.47999999986</v>
      </c>
      <c r="U134">
        <f>IF(ISBLANK($F134),NA(),IFERROR(SUM($F134:$F$177),NA()))</f>
        <v>776218.94100000022</v>
      </c>
      <c r="V134">
        <f>IF(ISBLANK($G134),NA(),IFERROR(SUM($G134:$G$177),NA()))</f>
        <v>895447.67100000021</v>
      </c>
      <c r="W134">
        <f t="shared" si="51"/>
        <v>1671666.6120000004</v>
      </c>
      <c r="X134">
        <f t="shared" si="52"/>
        <v>34.842741717688845</v>
      </c>
      <c r="Y134">
        <f t="shared" si="53"/>
        <v>46.433836473609006</v>
      </c>
      <c r="Z134">
        <f>IF(ISBLANK($H134),NA(),IFERROR(SUM($H134:$H$177),NA()))</f>
        <v>573244.32399999991</v>
      </c>
      <c r="AA134">
        <f>IF(ISBLANK($I134),NA(),IFERROR(SUM($I134:$I$177),NA()))</f>
        <v>771359.63799999992</v>
      </c>
      <c r="AB134">
        <f>IF(ISBLANK($J134),NA(),IFERROR(SUM($J134:$J$177),NA()))</f>
        <v>927759.84200000006</v>
      </c>
      <c r="AC134">
        <f t="shared" si="54"/>
        <v>1699119.48</v>
      </c>
      <c r="AD134">
        <f t="shared" si="55"/>
        <v>33.737728908858131</v>
      </c>
      <c r="AE134">
        <f t="shared" si="56"/>
        <v>45.39761017865559</v>
      </c>
      <c r="AF134" t="e">
        <f>IF(ISBLANK($K134),NA(),IFERROR(SUM($K134:$K$177),NA()))</f>
        <v>#N/A</v>
      </c>
      <c r="AG134" t="e">
        <f>IF(ISBLANK($L134),NA(),IFERROR(SUM($L134:$L$177),NA()))</f>
        <v>#N/A</v>
      </c>
      <c r="AH134" t="e">
        <f>IF(ISBLANK($M134),NA(),IFERROR(SUM($M134:$M$177),NA()))</f>
        <v>#N/A</v>
      </c>
      <c r="AI134" t="str">
        <f t="shared" si="57"/>
        <v/>
      </c>
      <c r="AJ134" t="e">
        <f t="shared" si="58"/>
        <v>#N/A</v>
      </c>
      <c r="AK134" t="e">
        <f t="shared" si="59"/>
        <v>#N/A</v>
      </c>
    </row>
    <row r="135" spans="1:37" x14ac:dyDescent="0.35">
      <c r="A135">
        <v>1982</v>
      </c>
      <c r="B135">
        <v>10594.201999999999</v>
      </c>
      <c r="C135">
        <v>15398.5</v>
      </c>
      <c r="D135">
        <v>6985.4040000000005</v>
      </c>
      <c r="E135">
        <v>12468.414000000001</v>
      </c>
      <c r="F135">
        <v>18220.199000000001</v>
      </c>
      <c r="G135">
        <v>9683.5820000000003</v>
      </c>
      <c r="H135">
        <v>12076.191999999999</v>
      </c>
      <c r="I135">
        <v>17310.32</v>
      </c>
      <c r="J135">
        <v>9933.9030000000002</v>
      </c>
      <c r="N135">
        <f>IF(ISBLANK($B135),NA(),IFERROR(SUM($B135:$B$177),NA()))</f>
        <v>508547.52399999986</v>
      </c>
      <c r="O135">
        <f>IF(ISBLANK($C135),NA(),IFERROR(SUM($C135:$C$177),NA()))</f>
        <v>679830.74000000011</v>
      </c>
      <c r="P135">
        <f>IF(ISBLANK($D135),NA(),IFERROR(SUM($D135:$D$177),NA()))</f>
        <v>727404.07500000019</v>
      </c>
      <c r="Q135">
        <f t="shared" si="48"/>
        <v>1407234.8150000004</v>
      </c>
      <c r="R135">
        <f t="shared" si="49"/>
        <v>36.138071527174354</v>
      </c>
      <c r="S135">
        <f t="shared" si="50"/>
        <v>48.309687392149968</v>
      </c>
      <c r="T135">
        <f>IF(ISBLANK($E135),NA(),IFERROR(SUM($E135:$E$177),NA()))</f>
        <v>569475.66899999988</v>
      </c>
      <c r="U135">
        <f>IF(ISBLANK($F135),NA(),IFERROR(SUM($F135:$F$177),NA()))</f>
        <v>757584.88000000024</v>
      </c>
      <c r="V135">
        <f>IF(ISBLANK($G135),NA(),IFERROR(SUM($G135:$G$177),NA()))</f>
        <v>886033.99300000025</v>
      </c>
      <c r="W135">
        <f t="shared" si="51"/>
        <v>1643618.8730000006</v>
      </c>
      <c r="X135">
        <f t="shared" si="52"/>
        <v>34.64767157124264</v>
      </c>
      <c r="Y135">
        <f t="shared" si="53"/>
        <v>46.09249093235497</v>
      </c>
      <c r="Z135">
        <f>IF(ISBLANK($H135),NA(),IFERROR(SUM($H135:$H$177),NA()))</f>
        <v>560718.68299999996</v>
      </c>
      <c r="AA135">
        <f>IF(ISBLANK($I135),NA(),IFERROR(SUM($I135:$I$177),NA()))</f>
        <v>753670.44099999999</v>
      </c>
      <c r="AB135">
        <f>IF(ISBLANK($J135),NA(),IFERROR(SUM($J135:$J$177),NA()))</f>
        <v>918070.06600000011</v>
      </c>
      <c r="AC135">
        <f t="shared" si="54"/>
        <v>1671740.5070000002</v>
      </c>
      <c r="AD135">
        <f t="shared" si="55"/>
        <v>33.54101193648949</v>
      </c>
      <c r="AE135">
        <f t="shared" si="56"/>
        <v>45.082980154168148</v>
      </c>
      <c r="AF135" t="e">
        <f>IF(ISBLANK($K135),NA(),IFERROR(SUM($K135:$K$177),NA()))</f>
        <v>#N/A</v>
      </c>
      <c r="AG135" t="e">
        <f>IF(ISBLANK($L135),NA(),IFERROR(SUM($L135:$L$177),NA()))</f>
        <v>#N/A</v>
      </c>
      <c r="AH135" t="e">
        <f>IF(ISBLANK($M135),NA(),IFERROR(SUM($M135:$M$177),NA()))</f>
        <v>#N/A</v>
      </c>
      <c r="AI135" t="str">
        <f t="shared" si="57"/>
        <v/>
      </c>
      <c r="AJ135" t="e">
        <f t="shared" si="58"/>
        <v>#N/A</v>
      </c>
      <c r="AK135" t="e">
        <f t="shared" si="59"/>
        <v>#N/A</v>
      </c>
    </row>
    <row r="136" spans="1:37" x14ac:dyDescent="0.35">
      <c r="A136">
        <v>1983</v>
      </c>
      <c r="B136">
        <v>10536.266</v>
      </c>
      <c r="C136">
        <v>15401.039000000001</v>
      </c>
      <c r="D136">
        <v>7205.3040000000001</v>
      </c>
      <c r="E136">
        <v>12408.1</v>
      </c>
      <c r="F136">
        <v>18227.567999999999</v>
      </c>
      <c r="G136">
        <v>9935.4699999999993</v>
      </c>
      <c r="H136">
        <v>12009.929</v>
      </c>
      <c r="I136">
        <v>17307.414000000001</v>
      </c>
      <c r="J136">
        <v>10207.226000000001</v>
      </c>
      <c r="N136">
        <f>IF(ISBLANK($B136),NA(),IFERROR(SUM($B136:$B$177),NA()))</f>
        <v>497953.32199999987</v>
      </c>
      <c r="O136">
        <f>IF(ISBLANK($C136),NA(),IFERROR(SUM($C136:$C$177),NA()))</f>
        <v>664432.24000000011</v>
      </c>
      <c r="P136">
        <f>IF(ISBLANK($D136),NA(),IFERROR(SUM($D136:$D$177),NA()))</f>
        <v>720418.67100000009</v>
      </c>
      <c r="Q136">
        <f t="shared" si="48"/>
        <v>1384850.9110000003</v>
      </c>
      <c r="R136">
        <f t="shared" si="49"/>
        <v>35.957179075719274</v>
      </c>
      <c r="S136">
        <f t="shared" si="50"/>
        <v>47.978611612438037</v>
      </c>
      <c r="T136">
        <f>IF(ISBLANK($E136),NA(),IFERROR(SUM($E136:$E$177),NA()))</f>
        <v>557007.25499999989</v>
      </c>
      <c r="U136">
        <f>IF(ISBLANK($F136),NA(),IFERROR(SUM($F136:$F$177),NA()))</f>
        <v>739364.68099999998</v>
      </c>
      <c r="V136">
        <f>IF(ISBLANK($G136),NA(),IFERROR(SUM($G136:$G$177),NA()))</f>
        <v>876350.4110000002</v>
      </c>
      <c r="W136">
        <f t="shared" si="51"/>
        <v>1615715.0920000002</v>
      </c>
      <c r="X136">
        <f t="shared" si="52"/>
        <v>34.47434871147442</v>
      </c>
      <c r="Y136">
        <f t="shared" si="53"/>
        <v>45.760832752065419</v>
      </c>
      <c r="Z136">
        <f>IF(ISBLANK($H136),NA(),IFERROR(SUM($H136:$H$177),NA()))</f>
        <v>548642.49099999992</v>
      </c>
      <c r="AA136">
        <f>IF(ISBLANK($I136),NA(),IFERROR(SUM($I136:$I$177),NA()))</f>
        <v>736360.12099999993</v>
      </c>
      <c r="AB136">
        <f>IF(ISBLANK($J136),NA(),IFERROR(SUM($J136:$J$177),NA()))</f>
        <v>908136.16300000018</v>
      </c>
      <c r="AC136">
        <f t="shared" si="54"/>
        <v>1644496.284</v>
      </c>
      <c r="AD136">
        <f t="shared" si="55"/>
        <v>33.362343006668652</v>
      </c>
      <c r="AE136">
        <f t="shared" si="56"/>
        <v>44.777244446482428</v>
      </c>
      <c r="AF136" t="e">
        <f>IF(ISBLANK($K136),NA(),IFERROR(SUM($K136:$K$177),NA()))</f>
        <v>#N/A</v>
      </c>
      <c r="AG136" t="e">
        <f>IF(ISBLANK($L136),NA(),IFERROR(SUM($L136:$L$177),NA()))</f>
        <v>#N/A</v>
      </c>
      <c r="AH136" t="e">
        <f>IF(ISBLANK($M136),NA(),IFERROR(SUM($M136:$M$177),NA()))</f>
        <v>#N/A</v>
      </c>
      <c r="AI136" t="str">
        <f t="shared" si="57"/>
        <v/>
      </c>
      <c r="AJ136" t="e">
        <f t="shared" si="58"/>
        <v>#N/A</v>
      </c>
      <c r="AK136" t="e">
        <f t="shared" si="59"/>
        <v>#N/A</v>
      </c>
    </row>
    <row r="137" spans="1:37" x14ac:dyDescent="0.35">
      <c r="A137">
        <v>1984</v>
      </c>
      <c r="B137">
        <v>10745.463</v>
      </c>
      <c r="C137">
        <v>15656.59</v>
      </c>
      <c r="D137">
        <v>7572.2560000000003</v>
      </c>
      <c r="E137">
        <v>12686.045</v>
      </c>
      <c r="F137">
        <v>18575.028999999999</v>
      </c>
      <c r="G137">
        <v>10312.986000000001</v>
      </c>
      <c r="H137">
        <v>12330.431</v>
      </c>
      <c r="I137">
        <v>17707.934000000001</v>
      </c>
      <c r="J137">
        <v>10590.258</v>
      </c>
      <c r="N137">
        <f>IF(ISBLANK($B137),NA(),IFERROR(SUM($B137:$B$177),NA()))</f>
        <v>487417.05599999987</v>
      </c>
      <c r="O137">
        <f>IF(ISBLANK($C137),NA(),IFERROR(SUM($C137:$C$177),NA()))</f>
        <v>649031.201</v>
      </c>
      <c r="P137">
        <f>IF(ISBLANK($D137),NA(),IFERROR(SUM($D137:$D$177),NA()))</f>
        <v>713213.36700000009</v>
      </c>
      <c r="Q137">
        <f t="shared" si="48"/>
        <v>1362244.568</v>
      </c>
      <c r="R137">
        <f t="shared" si="49"/>
        <v>35.780436747537095</v>
      </c>
      <c r="S137">
        <f t="shared" si="50"/>
        <v>47.644249516288035</v>
      </c>
      <c r="T137">
        <f>IF(ISBLANK($E137),NA(),IFERROR(SUM($E137:$E$177),NA()))</f>
        <v>544599.15500000003</v>
      </c>
      <c r="U137">
        <f>IF(ISBLANK($F137),NA(),IFERROR(SUM($F137:$F$177),NA()))</f>
        <v>721137.11300000001</v>
      </c>
      <c r="V137">
        <f>IF(ISBLANK($G137),NA(),IFERROR(SUM($G137:$G$177),NA()))</f>
        <v>866414.94100000022</v>
      </c>
      <c r="W137">
        <f t="shared" si="51"/>
        <v>1587552.0540000002</v>
      </c>
      <c r="X137">
        <f t="shared" si="52"/>
        <v>34.30433374627475</v>
      </c>
      <c r="Y137">
        <f t="shared" si="53"/>
        <v>45.424470409207757</v>
      </c>
      <c r="Z137">
        <f>IF(ISBLANK($H137),NA(),IFERROR(SUM($H137:$H$177),NA()))</f>
        <v>536632.56199999992</v>
      </c>
      <c r="AA137">
        <f>IF(ISBLANK($I137),NA(),IFERROR(SUM($I137:$I$177),NA()))</f>
        <v>719052.70699999994</v>
      </c>
      <c r="AB137">
        <f>IF(ISBLANK($J137),NA(),IFERROR(SUM($J137:$J$177),NA()))</f>
        <v>897928.93700000015</v>
      </c>
      <c r="AC137">
        <f t="shared" si="54"/>
        <v>1616981.6440000001</v>
      </c>
      <c r="AD137">
        <f t="shared" si="55"/>
        <v>33.187300795357693</v>
      </c>
      <c r="AE137">
        <f t="shared" si="56"/>
        <v>44.468823110523815</v>
      </c>
      <c r="AF137" t="e">
        <f>IF(ISBLANK($K137),NA(),IFERROR(SUM($K137:$K$177),NA()))</f>
        <v>#N/A</v>
      </c>
      <c r="AG137" t="e">
        <f>IF(ISBLANK($L137),NA(),IFERROR(SUM($L137:$L$177),NA()))</f>
        <v>#N/A</v>
      </c>
      <c r="AH137" t="e">
        <f>IF(ISBLANK($M137),NA(),IFERROR(SUM($M137:$M$177),NA()))</f>
        <v>#N/A</v>
      </c>
      <c r="AI137" t="str">
        <f t="shared" si="57"/>
        <v/>
      </c>
      <c r="AJ137" t="e">
        <f t="shared" si="58"/>
        <v>#N/A</v>
      </c>
      <c r="AK137" t="e">
        <f t="shared" si="59"/>
        <v>#N/A</v>
      </c>
    </row>
    <row r="138" spans="1:37" x14ac:dyDescent="0.35">
      <c r="A138">
        <v>1985</v>
      </c>
      <c r="B138">
        <v>10807.509</v>
      </c>
      <c r="C138">
        <v>15979.126</v>
      </c>
      <c r="D138">
        <v>7965.4459999999999</v>
      </c>
      <c r="E138">
        <v>12728.306</v>
      </c>
      <c r="F138">
        <v>18870.223999999998</v>
      </c>
      <c r="G138">
        <v>10723.665000000001</v>
      </c>
      <c r="H138">
        <v>12370.183000000001</v>
      </c>
      <c r="I138">
        <v>17803.64</v>
      </c>
      <c r="J138">
        <v>10780.614</v>
      </c>
      <c r="N138">
        <f>IF(ISBLANK($B138),NA(),IFERROR(SUM($B138:$B$177),NA()))</f>
        <v>476671.59299999988</v>
      </c>
      <c r="O138">
        <f>IF(ISBLANK($C138),NA(),IFERROR(SUM($C138:$C$177),NA()))</f>
        <v>633374.61100000003</v>
      </c>
      <c r="P138">
        <f>IF(ISBLANK($D138),NA(),IFERROR(SUM($D138:$D$177),NA()))</f>
        <v>705641.11100000015</v>
      </c>
      <c r="Q138">
        <f t="shared" si="48"/>
        <v>1339015.7220000001</v>
      </c>
      <c r="R138">
        <f t="shared" si="49"/>
        <v>35.598655427885994</v>
      </c>
      <c r="S138">
        <f t="shared" si="50"/>
        <v>47.301506665953845</v>
      </c>
      <c r="T138">
        <f>IF(ISBLANK($E138),NA(),IFERROR(SUM($E138:$E$177),NA()))</f>
        <v>531913.11</v>
      </c>
      <c r="U138">
        <f>IF(ISBLANK($F138),NA(),IFERROR(SUM($F138:$F$177),NA()))</f>
        <v>702562.08399999992</v>
      </c>
      <c r="V138">
        <f>IF(ISBLANK($G138),NA(),IFERROR(SUM($G138:$G$177),NA()))</f>
        <v>856101.95500000019</v>
      </c>
      <c r="W138">
        <f t="shared" si="51"/>
        <v>1558664.0390000001</v>
      </c>
      <c r="X138">
        <f t="shared" si="52"/>
        <v>34.126219421939197</v>
      </c>
      <c r="Y138">
        <f t="shared" si="53"/>
        <v>45.074632276160436</v>
      </c>
      <c r="Z138">
        <f>IF(ISBLANK($H138),NA(),IFERROR(SUM($H138:$H$177),NA()))</f>
        <v>524302.13099999994</v>
      </c>
      <c r="AA138">
        <f>IF(ISBLANK($I138),NA(),IFERROR(SUM($I138:$I$177),NA()))</f>
        <v>701344.77299999993</v>
      </c>
      <c r="AB138">
        <f>IF(ISBLANK($J138),NA(),IFERROR(SUM($J138:$J$177),NA()))</f>
        <v>887338.67900000012</v>
      </c>
      <c r="AC138">
        <f t="shared" si="54"/>
        <v>1588683.452</v>
      </c>
      <c r="AD138">
        <f t="shared" si="55"/>
        <v>33.00230328074192</v>
      </c>
      <c r="AE138">
        <f t="shared" si="56"/>
        <v>44.146288054871732</v>
      </c>
      <c r="AF138" t="e">
        <f>IF(ISBLANK($K138),NA(),IFERROR(SUM($K138:$K$177),NA()))</f>
        <v>#N/A</v>
      </c>
      <c r="AG138" t="e">
        <f>IF(ISBLANK($L138),NA(),IFERROR(SUM($L138:$L$177),NA()))</f>
        <v>#N/A</v>
      </c>
      <c r="AH138" t="e">
        <f>IF(ISBLANK($M138),NA(),IFERROR(SUM($M138:$M$177),NA()))</f>
        <v>#N/A</v>
      </c>
      <c r="AI138" t="str">
        <f t="shared" si="57"/>
        <v/>
      </c>
      <c r="AJ138" t="e">
        <f t="shared" si="58"/>
        <v>#N/A</v>
      </c>
      <c r="AK138" t="e">
        <f t="shared" si="59"/>
        <v>#N/A</v>
      </c>
    </row>
    <row r="139" spans="1:37" x14ac:dyDescent="0.35">
      <c r="A139">
        <v>1986</v>
      </c>
      <c r="B139">
        <v>10775.297</v>
      </c>
      <c r="C139">
        <v>15987.415999999999</v>
      </c>
      <c r="D139">
        <v>8309.7970000000005</v>
      </c>
      <c r="E139">
        <v>12660.713</v>
      </c>
      <c r="F139">
        <v>18868.080000000002</v>
      </c>
      <c r="G139">
        <v>11067.876</v>
      </c>
      <c r="H139">
        <v>12330.494000000001</v>
      </c>
      <c r="I139">
        <v>17877.776999999998</v>
      </c>
      <c r="J139">
        <v>11160.313</v>
      </c>
      <c r="N139">
        <f>IF(ISBLANK($B139),NA(),IFERROR(SUM($B139:$B$177),NA()))</f>
        <v>465864.08399999986</v>
      </c>
      <c r="O139">
        <f>IF(ISBLANK($C139),NA(),IFERROR(SUM($C139:$C$177),NA()))</f>
        <v>617395.48499999999</v>
      </c>
      <c r="P139">
        <f>IF(ISBLANK($D139),NA(),IFERROR(SUM($D139:$D$177),NA()))</f>
        <v>697675.66500000015</v>
      </c>
      <c r="Q139">
        <f t="shared" si="48"/>
        <v>1315071.1500000001</v>
      </c>
      <c r="R139">
        <f t="shared" si="49"/>
        <v>35.425009817909839</v>
      </c>
      <c r="S139">
        <f t="shared" si="50"/>
        <v>46.947686822876463</v>
      </c>
      <c r="T139">
        <f>IF(ISBLANK($E139),NA(),IFERROR(SUM($E139:$E$177),NA()))</f>
        <v>519184.80399999995</v>
      </c>
      <c r="U139">
        <f>IF(ISBLANK($F139),NA(),IFERROR(SUM($F139:$F$177),NA()))</f>
        <v>683691.85999999987</v>
      </c>
      <c r="V139">
        <f>IF(ISBLANK($G139),NA(),IFERROR(SUM($G139:$G$177),NA()))</f>
        <v>845378.29000000015</v>
      </c>
      <c r="W139">
        <f t="shared" si="51"/>
        <v>1529070.15</v>
      </c>
      <c r="X139">
        <f t="shared" si="52"/>
        <v>33.954282869232649</v>
      </c>
      <c r="Y139">
        <f t="shared" si="53"/>
        <v>44.712916539506047</v>
      </c>
      <c r="Z139">
        <f>IF(ISBLANK($H139),NA(),IFERROR(SUM($H139:$H$177),NA()))</f>
        <v>511931.94800000003</v>
      </c>
      <c r="AA139">
        <f>IF(ISBLANK($I139),NA(),IFERROR(SUM($I139:$I$177),NA()))</f>
        <v>683541.13299999991</v>
      </c>
      <c r="AB139">
        <f>IF(ISBLANK($J139),NA(),IFERROR(SUM($J139:$J$177),NA()))</f>
        <v>876558.06500000006</v>
      </c>
      <c r="AC139">
        <f t="shared" si="54"/>
        <v>1560099.1979999999</v>
      </c>
      <c r="AD139">
        <f t="shared" si="55"/>
        <v>32.814063916979215</v>
      </c>
      <c r="AE139">
        <f t="shared" si="56"/>
        <v>43.813953232991786</v>
      </c>
      <c r="AF139" t="e">
        <f>IF(ISBLANK($K139),NA(),IFERROR(SUM($K139:$K$177),NA()))</f>
        <v>#N/A</v>
      </c>
      <c r="AG139" t="e">
        <f>IF(ISBLANK($L139),NA(),IFERROR(SUM($L139:$L$177),NA()))</f>
        <v>#N/A</v>
      </c>
      <c r="AH139" t="e">
        <f>IF(ISBLANK($M139),NA(),IFERROR(SUM($M139:$M$177),NA()))</f>
        <v>#N/A</v>
      </c>
      <c r="AI139" t="str">
        <f t="shared" si="57"/>
        <v/>
      </c>
      <c r="AJ139" t="e">
        <f t="shared" si="58"/>
        <v>#N/A</v>
      </c>
      <c r="AK139" t="e">
        <f t="shared" si="59"/>
        <v>#N/A</v>
      </c>
    </row>
    <row r="140" spans="1:37" x14ac:dyDescent="0.35">
      <c r="A140">
        <v>1987</v>
      </c>
      <c r="B140">
        <v>11019.668</v>
      </c>
      <c r="C140">
        <v>16258.655000000001</v>
      </c>
      <c r="D140">
        <v>8644.3970000000008</v>
      </c>
      <c r="E140">
        <v>12891.429</v>
      </c>
      <c r="F140">
        <v>19131.384999999998</v>
      </c>
      <c r="G140">
        <v>11486.931</v>
      </c>
      <c r="H140">
        <v>12531.414000000001</v>
      </c>
      <c r="I140">
        <v>18211.332999999999</v>
      </c>
      <c r="J140">
        <v>11576.092000000001</v>
      </c>
      <c r="N140">
        <f>IF(ISBLANK($B140),NA(),IFERROR(SUM($B140:$B$177),NA()))</f>
        <v>455088.78699999989</v>
      </c>
      <c r="O140">
        <f>IF(ISBLANK($C140),NA(),IFERROR(SUM($C140:$C$177),NA()))</f>
        <v>601408.0689999999</v>
      </c>
      <c r="P140">
        <f>IF(ISBLANK($D140),NA(),IFERROR(SUM($D140:$D$177),NA()))</f>
        <v>689365.86800000013</v>
      </c>
      <c r="Q140">
        <f t="shared" si="48"/>
        <v>1290773.9369999999</v>
      </c>
      <c r="R140">
        <f t="shared" si="49"/>
        <v>35.257048035670088</v>
      </c>
      <c r="S140">
        <f t="shared" si="50"/>
        <v>46.592827121826211</v>
      </c>
      <c r="T140">
        <f>IF(ISBLANK($E140),NA(),IFERROR(SUM($E140:$E$177),NA()))</f>
        <v>506524.09100000007</v>
      </c>
      <c r="U140">
        <f>IF(ISBLANK($F140),NA(),IFERROR(SUM($F140:$F$177),NA()))</f>
        <v>664823.77999999991</v>
      </c>
      <c r="V140">
        <f>IF(ISBLANK($G140),NA(),IFERROR(SUM($G140:$G$177),NA()))</f>
        <v>834310.41400000011</v>
      </c>
      <c r="W140">
        <f t="shared" si="51"/>
        <v>1499134.1940000001</v>
      </c>
      <c r="X140">
        <f t="shared" si="52"/>
        <v>33.787775172313893</v>
      </c>
      <c r="Y140">
        <f t="shared" si="53"/>
        <v>44.347182704579133</v>
      </c>
      <c r="Z140">
        <f>IF(ISBLANK($H140),NA(),IFERROR(SUM($H140:$H$177),NA()))</f>
        <v>499601.45400000009</v>
      </c>
      <c r="AA140">
        <f>IF(ISBLANK($I140),NA(),IFERROR(SUM($I140:$I$177),NA()))</f>
        <v>665663.35599999991</v>
      </c>
      <c r="AB140">
        <f>IF(ISBLANK($J140),NA(),IFERROR(SUM($J140:$J$177),NA()))</f>
        <v>865397.75200000009</v>
      </c>
      <c r="AC140">
        <f t="shared" si="54"/>
        <v>1531061.108</v>
      </c>
      <c r="AD140">
        <f t="shared" si="55"/>
        <v>32.631059034124462</v>
      </c>
      <c r="AE140">
        <f t="shared" si="56"/>
        <v>43.477255905843307</v>
      </c>
      <c r="AF140" t="e">
        <f>IF(ISBLANK($K140),NA(),IFERROR(SUM($K140:$K$177),NA()))</f>
        <v>#N/A</v>
      </c>
      <c r="AG140" t="e">
        <f>IF(ISBLANK($L140),NA(),IFERROR(SUM($L140:$L$177),NA()))</f>
        <v>#N/A</v>
      </c>
      <c r="AH140" t="e">
        <f>IF(ISBLANK($M140),NA(),IFERROR(SUM($M140:$M$177),NA()))</f>
        <v>#N/A</v>
      </c>
      <c r="AI140" t="str">
        <f t="shared" si="57"/>
        <v/>
      </c>
      <c r="AJ140" t="e">
        <f t="shared" si="58"/>
        <v>#N/A</v>
      </c>
      <c r="AK140" t="e">
        <f t="shared" si="59"/>
        <v>#N/A</v>
      </c>
    </row>
    <row r="141" spans="1:37" x14ac:dyDescent="0.35">
      <c r="A141">
        <v>1988</v>
      </c>
      <c r="B141">
        <v>11326.159</v>
      </c>
      <c r="C141">
        <v>16606.833999999999</v>
      </c>
      <c r="D141">
        <v>9197.0879999999997</v>
      </c>
      <c r="E141">
        <v>13222.606</v>
      </c>
      <c r="F141">
        <v>19498.968000000001</v>
      </c>
      <c r="G141">
        <v>11996.911</v>
      </c>
      <c r="H141">
        <v>12876.905000000001</v>
      </c>
      <c r="I141">
        <v>18600.044999999998</v>
      </c>
      <c r="J141">
        <v>12112.04</v>
      </c>
      <c r="N141">
        <f>IF(ISBLANK($B141),NA(),IFERROR(SUM($B141:$B$177),NA()))</f>
        <v>444069.11899999989</v>
      </c>
      <c r="O141">
        <f>IF(ISBLANK($C141),NA(),IFERROR(SUM($C141:$C$177),NA()))</f>
        <v>585149.41399999999</v>
      </c>
      <c r="P141">
        <f>IF(ISBLANK($D141),NA(),IFERROR(SUM($D141:$D$177),NA()))</f>
        <v>680721.47100000002</v>
      </c>
      <c r="Q141">
        <f t="shared" si="48"/>
        <v>1265870.885</v>
      </c>
      <c r="R141">
        <f t="shared" si="49"/>
        <v>35.080127385977434</v>
      </c>
      <c r="S141">
        <f t="shared" si="50"/>
        <v>46.225047193497936</v>
      </c>
      <c r="T141">
        <f>IF(ISBLANK($E141),NA(),IFERROR(SUM($E141:$E$177),NA()))</f>
        <v>493632.66200000007</v>
      </c>
      <c r="U141">
        <f>IF(ISBLANK($F141),NA(),IFERROR(SUM($F141:$F$177),NA()))</f>
        <v>645692.39500000002</v>
      </c>
      <c r="V141">
        <f>IF(ISBLANK($G141),NA(),IFERROR(SUM($G141:$G$177),NA()))</f>
        <v>822823.48300000012</v>
      </c>
      <c r="W141">
        <f t="shared" si="51"/>
        <v>1468515.878</v>
      </c>
      <c r="X141">
        <f t="shared" si="52"/>
        <v>33.614390514611792</v>
      </c>
      <c r="Y141">
        <f t="shared" si="53"/>
        <v>43.969044167188777</v>
      </c>
      <c r="Z141">
        <f>IF(ISBLANK($H141),NA(),IFERROR(SUM($H141:$H$177),NA()))</f>
        <v>487070.04</v>
      </c>
      <c r="AA141">
        <f>IF(ISBLANK($I141),NA(),IFERROR(SUM($I141:$I$177),NA()))</f>
        <v>647452.02300000004</v>
      </c>
      <c r="AB141">
        <f>IF(ISBLANK($J141),NA(),IFERROR(SUM($J141:$J$177),NA()))</f>
        <v>853821.66</v>
      </c>
      <c r="AC141">
        <f t="shared" si="54"/>
        <v>1501273.6830000002</v>
      </c>
      <c r="AD141">
        <f t="shared" si="55"/>
        <v>32.443787266468718</v>
      </c>
      <c r="AE141">
        <f t="shared" si="56"/>
        <v>43.126848244365043</v>
      </c>
      <c r="AF141" t="e">
        <f>IF(ISBLANK($K141),NA(),IFERROR(SUM($K141:$K$177),NA()))</f>
        <v>#N/A</v>
      </c>
      <c r="AG141" t="e">
        <f>IF(ISBLANK($L141),NA(),IFERROR(SUM($L141:$L$177),NA()))</f>
        <v>#N/A</v>
      </c>
      <c r="AH141" t="e">
        <f>IF(ISBLANK($M141),NA(),IFERROR(SUM($M141:$M$177),NA()))</f>
        <v>#N/A</v>
      </c>
      <c r="AI141" t="str">
        <f t="shared" si="57"/>
        <v/>
      </c>
      <c r="AJ141" t="e">
        <f t="shared" si="58"/>
        <v>#N/A</v>
      </c>
      <c r="AK141" t="e">
        <f t="shared" si="59"/>
        <v>#N/A</v>
      </c>
    </row>
    <row r="142" spans="1:37" x14ac:dyDescent="0.35">
      <c r="A142">
        <v>1989</v>
      </c>
      <c r="B142">
        <v>11531.85</v>
      </c>
      <c r="C142">
        <v>16695.624</v>
      </c>
      <c r="D142">
        <v>9459.5920000000006</v>
      </c>
      <c r="E142">
        <v>13437.741</v>
      </c>
      <c r="F142">
        <v>19605.875</v>
      </c>
      <c r="G142">
        <v>12385.933999999999</v>
      </c>
      <c r="H142">
        <v>13034.78</v>
      </c>
      <c r="I142">
        <v>18724.88</v>
      </c>
      <c r="J142">
        <v>12540.932000000001</v>
      </c>
      <c r="N142">
        <f>IF(ISBLANK($B142),NA(),IFERROR(SUM($B142:$B$177),NA()))</f>
        <v>432742.95999999985</v>
      </c>
      <c r="O142">
        <f>IF(ISBLANK($C142),NA(),IFERROR(SUM($C142:$C$177),NA()))</f>
        <v>568542.58000000007</v>
      </c>
      <c r="P142">
        <f>IF(ISBLANK($D142),NA(),IFERROR(SUM($D142:$D$177),NA()))</f>
        <v>671524.38300000003</v>
      </c>
      <c r="Q142">
        <f t="shared" si="48"/>
        <v>1240066.963</v>
      </c>
      <c r="R142">
        <f t="shared" si="49"/>
        <v>34.896741297993913</v>
      </c>
      <c r="S142">
        <f t="shared" si="50"/>
        <v>45.847732176056695</v>
      </c>
      <c r="T142">
        <f>IF(ISBLANK($E142),NA(),IFERROR(SUM($E142:$E$177),NA()))</f>
        <v>480410.05599999992</v>
      </c>
      <c r="U142">
        <f>IF(ISBLANK($F142),NA(),IFERROR(SUM($F142:$F$177),NA()))</f>
        <v>626193.42700000014</v>
      </c>
      <c r="V142">
        <f>IF(ISBLANK($G142),NA(),IFERROR(SUM($G142:$G$177),NA()))</f>
        <v>810826.57200000004</v>
      </c>
      <c r="W142">
        <f t="shared" si="51"/>
        <v>1437019.9990000003</v>
      </c>
      <c r="X142">
        <f t="shared" si="52"/>
        <v>33.430993050501016</v>
      </c>
      <c r="Y142">
        <f t="shared" si="53"/>
        <v>43.575832447409105</v>
      </c>
      <c r="Z142">
        <f>IF(ISBLANK($H142),NA(),IFERROR(SUM($H142:$H$177),NA()))</f>
        <v>474193.13500000007</v>
      </c>
      <c r="AA142">
        <f>IF(ISBLANK($I142),NA(),IFERROR(SUM($I142:$I$177),NA()))</f>
        <v>628851.978</v>
      </c>
      <c r="AB142">
        <f>IF(ISBLANK($J142),NA(),IFERROR(SUM($J142:$J$177),NA()))</f>
        <v>841709.62</v>
      </c>
      <c r="AC142">
        <f t="shared" si="54"/>
        <v>1470561.598</v>
      </c>
      <c r="AD142">
        <f t="shared" si="55"/>
        <v>32.245717258285161</v>
      </c>
      <c r="AE142">
        <f t="shared" si="56"/>
        <v>42.762709080344145</v>
      </c>
      <c r="AF142" t="e">
        <f>IF(ISBLANK($K142),NA(),IFERROR(SUM($K142:$K$177),NA()))</f>
        <v>#N/A</v>
      </c>
      <c r="AG142" t="e">
        <f>IF(ISBLANK($L142),NA(),IFERROR(SUM($L142:$L$177),NA()))</f>
        <v>#N/A</v>
      </c>
      <c r="AH142" t="e">
        <f>IF(ISBLANK($M142),NA(),IFERROR(SUM($M142:$M$177),NA()))</f>
        <v>#N/A</v>
      </c>
      <c r="AI142" t="str">
        <f t="shared" si="57"/>
        <v/>
      </c>
      <c r="AJ142" t="e">
        <f t="shared" si="58"/>
        <v>#N/A</v>
      </c>
      <c r="AK142" t="e">
        <f t="shared" si="59"/>
        <v>#N/A</v>
      </c>
    </row>
    <row r="143" spans="1:37" x14ac:dyDescent="0.35">
      <c r="A143">
        <v>1990</v>
      </c>
      <c r="B143">
        <v>11974.951999999999</v>
      </c>
      <c r="C143">
        <v>17191.795999999998</v>
      </c>
      <c r="D143">
        <v>9463.7080000000005</v>
      </c>
      <c r="E143">
        <v>13368.744000000001</v>
      </c>
      <c r="F143">
        <v>19234.575000000001</v>
      </c>
      <c r="G143">
        <v>12387.395</v>
      </c>
      <c r="H143">
        <v>12982.495000000001</v>
      </c>
      <c r="I143">
        <v>18796.327000000001</v>
      </c>
      <c r="J143">
        <v>12793.96</v>
      </c>
      <c r="K143">
        <v>12383.45</v>
      </c>
      <c r="L143">
        <v>18062.473999999998</v>
      </c>
      <c r="M143">
        <v>12602.034</v>
      </c>
      <c r="N143">
        <f>IF(ISBLANK($B143),NA(),IFERROR(SUM($B143:$B$177),NA()))</f>
        <v>421211.10999999993</v>
      </c>
      <c r="O143">
        <f>IF(ISBLANK($C143),NA(),IFERROR(SUM($C143:$C$177),NA()))</f>
        <v>551846.95600000001</v>
      </c>
      <c r="P143">
        <f>IF(ISBLANK($D143),NA(),IFERROR(SUM($D143:$D$177),NA()))</f>
        <v>662064.79099999997</v>
      </c>
      <c r="Q143">
        <f t="shared" si="48"/>
        <v>1213911.747</v>
      </c>
      <c r="R143">
        <f t="shared" si="49"/>
        <v>34.698660017168443</v>
      </c>
      <c r="S143">
        <f t="shared" si="50"/>
        <v>45.460220429022677</v>
      </c>
      <c r="T143">
        <f>IF(ISBLANK($E143),NA(),IFERROR(SUM($E143:$E$177),NA()))</f>
        <v>466972.315</v>
      </c>
      <c r="U143">
        <f>IF(ISBLANK($F143),NA(),IFERROR(SUM($F143:$F$177),NA()))</f>
        <v>606587.55200000003</v>
      </c>
      <c r="V143">
        <f>IF(ISBLANK($G143),NA(),IFERROR(SUM($G143:$G$177),NA()))</f>
        <v>798440.63800000015</v>
      </c>
      <c r="W143">
        <f t="shared" si="51"/>
        <v>1405028.1900000002</v>
      </c>
      <c r="X143">
        <f t="shared" si="52"/>
        <v>33.235796856147061</v>
      </c>
      <c r="Y143">
        <f t="shared" si="53"/>
        <v>43.172625027544818</v>
      </c>
      <c r="Z143">
        <f>IF(ISBLANK($H143),NA(),IFERROR(SUM($H143:$H$177),NA()))</f>
        <v>461158.35500000004</v>
      </c>
      <c r="AA143">
        <f>IF(ISBLANK($I143),NA(),IFERROR(SUM($I143:$I$177),NA()))</f>
        <v>610127.09800000011</v>
      </c>
      <c r="AB143">
        <f>IF(ISBLANK($J143),NA(),IFERROR(SUM($J143:$J$177),NA()))</f>
        <v>829168.68799999997</v>
      </c>
      <c r="AC143">
        <f t="shared" si="54"/>
        <v>1439295.7860000001</v>
      </c>
      <c r="AD143">
        <f t="shared" si="55"/>
        <v>32.040554796705287</v>
      </c>
      <c r="AE143">
        <f t="shared" si="56"/>
        <v>42.390667987407014</v>
      </c>
      <c r="AF143">
        <f>IF(ISBLANK($K143),NA(),IFERROR(SUM($K143:$K$177),NA()))</f>
        <v>432006.38300000003</v>
      </c>
      <c r="AG143">
        <f>IF(ISBLANK($L143),NA(),IFERROR(SUM($L143:$L$177),NA()))</f>
        <v>572253.55599999998</v>
      </c>
      <c r="AH143">
        <f>IF(ISBLANK($M143),NA(),IFERROR(SUM($M143:$M$177),NA()))</f>
        <v>764182.05799999996</v>
      </c>
      <c r="AI143">
        <f t="shared" si="57"/>
        <v>1336435.6140000001</v>
      </c>
      <c r="AJ143">
        <f t="shared" si="58"/>
        <v>32.325267186422046</v>
      </c>
      <c r="AK143">
        <f t="shared" si="59"/>
        <v>42.81938837945394</v>
      </c>
    </row>
    <row r="144" spans="1:37" x14ac:dyDescent="0.35">
      <c r="A144">
        <v>1991</v>
      </c>
      <c r="B144">
        <v>11958.915000000001</v>
      </c>
      <c r="C144">
        <v>16845.830999999998</v>
      </c>
      <c r="D144">
        <v>10244.694</v>
      </c>
      <c r="E144">
        <v>13340.249</v>
      </c>
      <c r="F144">
        <v>18845.689999999999</v>
      </c>
      <c r="G144">
        <v>12998.885</v>
      </c>
      <c r="H144">
        <v>12988.147000000001</v>
      </c>
      <c r="I144">
        <v>18544.928</v>
      </c>
      <c r="J144">
        <v>13110.152</v>
      </c>
      <c r="K144">
        <v>12391.941999999999</v>
      </c>
      <c r="L144">
        <v>17840.616999999998</v>
      </c>
      <c r="M144">
        <v>12947.096</v>
      </c>
      <c r="N144">
        <f>IF(ISBLANK($B144),NA(),IFERROR(SUM($B144:$B$177),NA()))</f>
        <v>409236.15799999994</v>
      </c>
      <c r="O144">
        <f>IF(ISBLANK($C144),NA(),IFERROR(SUM($C144:$C$177),NA()))</f>
        <v>534655.16</v>
      </c>
      <c r="P144">
        <f>IF(ISBLANK($D144),NA(),IFERROR(SUM($D144:$D$177),NA()))</f>
        <v>652601.08299999998</v>
      </c>
      <c r="Q144">
        <f t="shared" si="48"/>
        <v>1187256.243</v>
      </c>
      <c r="R144">
        <f t="shared" si="49"/>
        <v>34.46906768550047</v>
      </c>
      <c r="S144">
        <f t="shared" si="50"/>
        <v>45.032836268690822</v>
      </c>
      <c r="T144">
        <f>IF(ISBLANK($E144),NA(),IFERROR(SUM($E144:$E$177),NA()))</f>
        <v>453603.57099999994</v>
      </c>
      <c r="U144">
        <f>IF(ISBLANK($F144),NA(),IFERROR(SUM($F144:$F$177),NA()))</f>
        <v>587352.97700000007</v>
      </c>
      <c r="V144">
        <f>IF(ISBLANK($G144),NA(),IFERROR(SUM($G144:$G$177),NA()))</f>
        <v>786053.24300000013</v>
      </c>
      <c r="W144">
        <f t="shared" si="51"/>
        <v>1373406.2200000002</v>
      </c>
      <c r="X144">
        <f t="shared" si="52"/>
        <v>33.027633368370786</v>
      </c>
      <c r="Y144">
        <f t="shared" si="53"/>
        <v>42.766150935300118</v>
      </c>
      <c r="Z144">
        <f>IF(ISBLANK($H144),NA(),IFERROR(SUM($H144:$H$177),NA()))</f>
        <v>448175.86000000004</v>
      </c>
      <c r="AA144">
        <f>IF(ISBLANK($I144),NA(),IFERROR(SUM($I144:$I$177),NA()))</f>
        <v>591330.77100000007</v>
      </c>
      <c r="AB144">
        <f>IF(ISBLANK($J144),NA(),IFERROR(SUM($J144:$J$177),NA()))</f>
        <v>816374.72800000012</v>
      </c>
      <c r="AC144">
        <f t="shared" si="54"/>
        <v>1407705.4990000003</v>
      </c>
      <c r="AD144">
        <f t="shared" si="55"/>
        <v>31.837331055279193</v>
      </c>
      <c r="AE144">
        <f t="shared" si="56"/>
        <v>42.006710311216871</v>
      </c>
      <c r="AF144">
        <f>IF(ISBLANK($K144),NA(),IFERROR(SUM($K144:$K$177),NA()))</f>
        <v>419622.93300000008</v>
      </c>
      <c r="AG144">
        <f>IF(ISBLANK($L144),NA(),IFERROR(SUM($L144:$L$177),NA()))</f>
        <v>554191.08200000017</v>
      </c>
      <c r="AH144">
        <f>IF(ISBLANK($M144),NA(),IFERROR(SUM($M144:$M$177),NA()))</f>
        <v>751580.02399999998</v>
      </c>
      <c r="AI144">
        <f t="shared" si="57"/>
        <v>1305771.1060000001</v>
      </c>
      <c r="AJ144">
        <f t="shared" si="58"/>
        <v>32.136025301206203</v>
      </c>
      <c r="AK144">
        <f t="shared" si="59"/>
        <v>42.441671396579373</v>
      </c>
    </row>
    <row r="145" spans="1:37" x14ac:dyDescent="0.35">
      <c r="A145">
        <v>1992</v>
      </c>
      <c r="B145">
        <v>12019.986000000001</v>
      </c>
      <c r="C145">
        <v>16314.093000000001</v>
      </c>
      <c r="D145">
        <v>10110.022999999999</v>
      </c>
      <c r="E145">
        <v>13391.88</v>
      </c>
      <c r="F145">
        <v>18262.716</v>
      </c>
      <c r="G145">
        <v>12980.674999999999</v>
      </c>
      <c r="H145">
        <v>13014.019</v>
      </c>
      <c r="I145">
        <v>18146.161</v>
      </c>
      <c r="J145">
        <v>13430.861999999999</v>
      </c>
      <c r="K145">
        <v>12426.583000000001</v>
      </c>
      <c r="L145">
        <v>17429.542000000001</v>
      </c>
      <c r="M145">
        <v>13255.210999999999</v>
      </c>
      <c r="N145">
        <f>IF(ISBLANK($B145),NA(),IFERROR(SUM($B145:$B$177),NA()))</f>
        <v>397277.2429999999</v>
      </c>
      <c r="O145">
        <f>IF(ISBLANK($C145),NA(),IFERROR(SUM($C145:$C$177),NA()))</f>
        <v>517809.32900000003</v>
      </c>
      <c r="P145">
        <f>IF(ISBLANK($D145),NA(),IFERROR(SUM($D145:$D$177),NA()))</f>
        <v>642356.38899999997</v>
      </c>
      <c r="Q145">
        <f t="shared" si="48"/>
        <v>1160165.7179999999</v>
      </c>
      <c r="R145">
        <f t="shared" si="49"/>
        <v>34.243146201980771</v>
      </c>
      <c r="S145">
        <f t="shared" si="50"/>
        <v>44.632359064414281</v>
      </c>
      <c r="T145">
        <f>IF(ISBLANK($E145),NA(),IFERROR(SUM($E145:$E$177),NA()))</f>
        <v>440263.32199999999</v>
      </c>
      <c r="U145">
        <f>IF(ISBLANK($F145),NA(),IFERROR(SUM($F145:$F$177),NA()))</f>
        <v>568507.28700000013</v>
      </c>
      <c r="V145">
        <f>IF(ISBLANK($G145),NA(),IFERROR(SUM($G145:$G$177),NA()))</f>
        <v>773054.35800000001</v>
      </c>
      <c r="W145">
        <f t="shared" si="51"/>
        <v>1341561.645</v>
      </c>
      <c r="X145">
        <f t="shared" si="52"/>
        <v>32.817226375013128</v>
      </c>
      <c r="Y145">
        <f t="shared" si="53"/>
        <v>42.376531046398554</v>
      </c>
      <c r="Z145">
        <f>IF(ISBLANK($H145),NA(),IFERROR(SUM($H145:$H$177),NA()))</f>
        <v>435187.71300000005</v>
      </c>
      <c r="AA145">
        <f>IF(ISBLANK($I145),NA(),IFERROR(SUM($I145:$I$177),NA()))</f>
        <v>572785.84299999999</v>
      </c>
      <c r="AB145">
        <f>IF(ISBLANK($J145),NA(),IFERROR(SUM($J145:$J$177),NA()))</f>
        <v>803264.57600000012</v>
      </c>
      <c r="AC145">
        <f t="shared" si="54"/>
        <v>1376050.4190000002</v>
      </c>
      <c r="AD145">
        <f t="shared" si="55"/>
        <v>31.625855200586223</v>
      </c>
      <c r="AE145">
        <f t="shared" si="56"/>
        <v>41.625352900677392</v>
      </c>
      <c r="AF145">
        <f>IF(ISBLANK($K145),NA(),IFERROR(SUM($K145:$K$177),NA()))</f>
        <v>407230.99100000015</v>
      </c>
      <c r="AG145">
        <f>IF(ISBLANK($L145),NA(),IFERROR(SUM($L145:$L$177),NA()))</f>
        <v>536350.46500000008</v>
      </c>
      <c r="AH145">
        <f>IF(ISBLANK($M145),NA(),IFERROR(SUM($M145:$M$177),NA()))</f>
        <v>738632.92799999996</v>
      </c>
      <c r="AI145">
        <f t="shared" si="57"/>
        <v>1274983.3930000002</v>
      </c>
      <c r="AJ145">
        <f t="shared" si="58"/>
        <v>31.940101591582071</v>
      </c>
      <c r="AK145">
        <f t="shared" si="59"/>
        <v>42.067251067324293</v>
      </c>
    </row>
    <row r="146" spans="1:37" x14ac:dyDescent="0.35">
      <c r="A146">
        <v>1993</v>
      </c>
      <c r="B146">
        <v>12052.668</v>
      </c>
      <c r="C146">
        <v>16109.819</v>
      </c>
      <c r="D146">
        <v>10547.611999999999</v>
      </c>
      <c r="E146">
        <v>13437.762000000001</v>
      </c>
      <c r="F146">
        <v>18043.395</v>
      </c>
      <c r="G146">
        <v>13371.601000000001</v>
      </c>
      <c r="H146">
        <v>13070.646000000001</v>
      </c>
      <c r="I146">
        <v>17831.395</v>
      </c>
      <c r="J146">
        <v>13833.175999999999</v>
      </c>
      <c r="K146">
        <v>12470.611999999999</v>
      </c>
      <c r="L146">
        <v>17143.428</v>
      </c>
      <c r="M146">
        <v>13717.210999999999</v>
      </c>
      <c r="N146">
        <f>IF(ISBLANK($B146),NA(),IFERROR(SUM($B146:$B$177),NA()))</f>
        <v>385257.25699999993</v>
      </c>
      <c r="O146">
        <f>IF(ISBLANK($C146),NA(),IFERROR(SUM($C146:$C$177),NA()))</f>
        <v>501495.23600000003</v>
      </c>
      <c r="P146">
        <f>IF(ISBLANK($D146),NA(),IFERROR(SUM($D146:$D$177),NA()))</f>
        <v>632246.36599999992</v>
      </c>
      <c r="Q146">
        <f t="shared" si="48"/>
        <v>1133741.602</v>
      </c>
      <c r="R146">
        <f t="shared" si="49"/>
        <v>33.981046150232032</v>
      </c>
      <c r="S146">
        <f t="shared" si="50"/>
        <v>44.233645048865384</v>
      </c>
      <c r="T146">
        <f>IF(ISBLANK($E146),NA(),IFERROR(SUM($E146:$E$177),NA()))</f>
        <v>426871.44199999998</v>
      </c>
      <c r="U146">
        <f>IF(ISBLANK($F146),NA(),IFERROR(SUM($F146:$F$177),NA()))</f>
        <v>550244.57100000011</v>
      </c>
      <c r="V146">
        <f>IF(ISBLANK($G146),NA(),IFERROR(SUM($G146:$G$177),NA()))</f>
        <v>760073.68299999996</v>
      </c>
      <c r="W146">
        <f t="shared" si="51"/>
        <v>1310318.2540000002</v>
      </c>
      <c r="X146">
        <f t="shared" si="52"/>
        <v>32.577691770445256</v>
      </c>
      <c r="Y146">
        <f t="shared" si="53"/>
        <v>41.993200454948408</v>
      </c>
      <c r="Z146">
        <f>IF(ISBLANK($H146),NA(),IFERROR(SUM($H146:$H$177),NA()))</f>
        <v>422173.69400000008</v>
      </c>
      <c r="AA146">
        <f>IF(ISBLANK($I146),NA(),IFERROR(SUM($I146:$I$177),NA()))</f>
        <v>554639.68200000003</v>
      </c>
      <c r="AB146">
        <f>IF(ISBLANK($J146),NA(),IFERROR(SUM($J146:$J$177),NA()))</f>
        <v>789833.71400000004</v>
      </c>
      <c r="AC146">
        <f t="shared" si="54"/>
        <v>1344473.3960000002</v>
      </c>
      <c r="AD146">
        <f t="shared" si="55"/>
        <v>31.400672951657278</v>
      </c>
      <c r="AE146">
        <f t="shared" si="56"/>
        <v>41.253302865652238</v>
      </c>
      <c r="AF146">
        <f>IF(ISBLANK($K146),NA(),IFERROR(SUM($K146:$K$177),NA()))</f>
        <v>394804.40800000017</v>
      </c>
      <c r="AG146">
        <f>IF(ISBLANK($L146),NA(),IFERROR(SUM($L146:$L$177),NA()))</f>
        <v>518920.92300000001</v>
      </c>
      <c r="AH146">
        <f>IF(ISBLANK($M146),NA(),IFERROR(SUM($M146:$M$177),NA()))</f>
        <v>725377.71700000006</v>
      </c>
      <c r="AI146">
        <f t="shared" si="57"/>
        <v>1244298.6400000001</v>
      </c>
      <c r="AJ146">
        <f t="shared" si="58"/>
        <v>31.729071728311148</v>
      </c>
      <c r="AK146">
        <f t="shared" si="59"/>
        <v>41.703888947431459</v>
      </c>
    </row>
    <row r="147" spans="1:37" x14ac:dyDescent="0.35">
      <c r="A147">
        <v>1994</v>
      </c>
      <c r="B147">
        <v>12213.09</v>
      </c>
      <c r="C147">
        <v>15887.724</v>
      </c>
      <c r="D147">
        <v>11026.964</v>
      </c>
      <c r="E147">
        <v>13610.468000000001</v>
      </c>
      <c r="F147">
        <v>17798.919000000002</v>
      </c>
      <c r="G147">
        <v>13774.495999999999</v>
      </c>
      <c r="H147">
        <v>13282.33</v>
      </c>
      <c r="I147">
        <v>17644.442999999999</v>
      </c>
      <c r="J147">
        <v>14351.305</v>
      </c>
      <c r="K147">
        <v>12670.307000000001</v>
      </c>
      <c r="L147">
        <v>16960.739000000001</v>
      </c>
      <c r="M147">
        <v>14141.028</v>
      </c>
      <c r="N147">
        <f>IF(ISBLANK($B147),NA(),IFERROR(SUM($B147:$B$177),NA()))</f>
        <v>373204.58899999992</v>
      </c>
      <c r="O147">
        <f>IF(ISBLANK($C147),NA(),IFERROR(SUM($C147:$C$177),NA()))</f>
        <v>485385.41700000002</v>
      </c>
      <c r="P147">
        <f>IF(ISBLANK($D147),NA(),IFERROR(SUM($D147:$D$177),NA()))</f>
        <v>621698.75399999996</v>
      </c>
      <c r="Q147">
        <f t="shared" si="48"/>
        <v>1107084.1710000001</v>
      </c>
      <c r="R147">
        <f t="shared" si="49"/>
        <v>33.71058847882307</v>
      </c>
      <c r="S147">
        <f t="shared" si="50"/>
        <v>43.843587480937799</v>
      </c>
      <c r="T147">
        <f>IF(ISBLANK($E147),NA(),IFERROR(SUM($E147:$E$177),NA()))</f>
        <v>413433.68</v>
      </c>
      <c r="U147">
        <f>IF(ISBLANK($F147),NA(),IFERROR(SUM($F147:$F$177),NA()))</f>
        <v>532201.17600000009</v>
      </c>
      <c r="V147">
        <f>IF(ISBLANK($G147),NA(),IFERROR(SUM($G147:$G$177),NA()))</f>
        <v>746702.08199999994</v>
      </c>
      <c r="W147">
        <f t="shared" si="51"/>
        <v>1278903.2579999999</v>
      </c>
      <c r="X147">
        <f t="shared" si="52"/>
        <v>32.32720515909422</v>
      </c>
      <c r="Y147">
        <f t="shared" si="53"/>
        <v>41.613872876692611</v>
      </c>
      <c r="Z147">
        <f>IF(ISBLANK($H147),NA(),IFERROR(SUM($H147:$H$177),NA()))</f>
        <v>409103.04800000007</v>
      </c>
      <c r="AA147">
        <f>IF(ISBLANK($I147),NA(),IFERROR(SUM($I147:$I$177),NA()))</f>
        <v>536808.28700000001</v>
      </c>
      <c r="AB147">
        <f>IF(ISBLANK($J147),NA(),IFERROR(SUM($J147:$J$177),NA()))</f>
        <v>776000.53800000006</v>
      </c>
      <c r="AC147">
        <f t="shared" si="54"/>
        <v>1312808.8250000002</v>
      </c>
      <c r="AD147">
        <f t="shared" si="55"/>
        <v>31.162423668198606</v>
      </c>
      <c r="AE147">
        <f t="shared" si="56"/>
        <v>40.89005777364423</v>
      </c>
      <c r="AF147">
        <f>IF(ISBLANK($K147),NA(),IFERROR(SUM($K147:$K$177),NA()))</f>
        <v>382333.79600000015</v>
      </c>
      <c r="AG147">
        <f>IF(ISBLANK($L147),NA(),IFERROR(SUM($L147:$L$177),NA()))</f>
        <v>501777.49500000005</v>
      </c>
      <c r="AH147">
        <f>IF(ISBLANK($M147),NA(),IFERROR(SUM($M147:$M$177),NA()))</f>
        <v>711660.50600000005</v>
      </c>
      <c r="AI147">
        <f t="shared" si="57"/>
        <v>1213438.0010000002</v>
      </c>
      <c r="AJ147">
        <f t="shared" si="58"/>
        <v>31.508309092423097</v>
      </c>
      <c r="AK147">
        <f t="shared" si="59"/>
        <v>41.351720861427019</v>
      </c>
    </row>
    <row r="148" spans="1:37" x14ac:dyDescent="0.35">
      <c r="A148">
        <v>1995</v>
      </c>
      <c r="B148">
        <v>12340.436</v>
      </c>
      <c r="C148">
        <v>15970.284</v>
      </c>
      <c r="D148">
        <v>11547.357</v>
      </c>
      <c r="E148">
        <v>13777.983</v>
      </c>
      <c r="F148">
        <v>17879.937000000002</v>
      </c>
      <c r="G148">
        <v>14421.959000000001</v>
      </c>
      <c r="H148">
        <v>13442.630999999999</v>
      </c>
      <c r="I148">
        <v>17726.978999999999</v>
      </c>
      <c r="J148">
        <v>15066.696</v>
      </c>
      <c r="K148">
        <v>12826.186</v>
      </c>
      <c r="L148">
        <v>17014.781999999999</v>
      </c>
      <c r="M148">
        <v>14844.401</v>
      </c>
      <c r="N148">
        <f>IF(ISBLANK($B148),NA(),IFERROR(SUM($B148:$B$177),NA()))</f>
        <v>360991.49899999995</v>
      </c>
      <c r="O148">
        <f>IF(ISBLANK($C148),NA(),IFERROR(SUM($C148:$C$177),NA()))</f>
        <v>469497.69299999997</v>
      </c>
      <c r="P148">
        <f>IF(ISBLANK($D148),NA(),IFERROR(SUM($D148:$D$177),NA()))</f>
        <v>610671.78999999992</v>
      </c>
      <c r="Q148">
        <f t="shared" si="48"/>
        <v>1080169.483</v>
      </c>
      <c r="R148">
        <f t="shared" si="49"/>
        <v>33.419894255612839</v>
      </c>
      <c r="S148">
        <f t="shared" si="50"/>
        <v>43.465187675552947</v>
      </c>
      <c r="T148">
        <f>IF(ISBLANK($E148),NA(),IFERROR(SUM($E148:$E$177),NA()))</f>
        <v>399823.212</v>
      </c>
      <c r="U148">
        <f>IF(ISBLANK($F148),NA(),IFERROR(SUM($F148:$F$177),NA()))</f>
        <v>514402.25700000004</v>
      </c>
      <c r="V148">
        <f>IF(ISBLANK($G148),NA(),IFERROR(SUM($G148:$G$177),NA()))</f>
        <v>732927.58600000001</v>
      </c>
      <c r="W148">
        <f t="shared" si="51"/>
        <v>1247329.8430000001</v>
      </c>
      <c r="X148">
        <f t="shared" si="52"/>
        <v>32.054329032837863</v>
      </c>
      <c r="Y148">
        <f t="shared" si="53"/>
        <v>41.240274967108284</v>
      </c>
      <c r="Z148">
        <f>IF(ISBLANK($H148),NA(),IFERROR(SUM($H148:$H$177),NA()))</f>
        <v>395820.71800000005</v>
      </c>
      <c r="AA148">
        <f>IF(ISBLANK($I148),NA(),IFERROR(SUM($I148:$I$177),NA()))</f>
        <v>519163.84399999992</v>
      </c>
      <c r="AB148">
        <f>IF(ISBLANK($J148),NA(),IFERROR(SUM($J148:$J$177),NA()))</f>
        <v>761649.23300000012</v>
      </c>
      <c r="AC148">
        <f t="shared" si="54"/>
        <v>1280813.077</v>
      </c>
      <c r="AD148">
        <f t="shared" si="55"/>
        <v>30.903862952985765</v>
      </c>
      <c r="AE148">
        <f t="shared" si="56"/>
        <v>40.533927496744312</v>
      </c>
      <c r="AF148">
        <f>IF(ISBLANK($K148),NA(),IFERROR(SUM($K148:$K$177),NA()))</f>
        <v>369663.48900000012</v>
      </c>
      <c r="AG148">
        <f>IF(ISBLANK($L148),NA(),IFERROR(SUM($L148:$L$177),NA()))</f>
        <v>484816.75600000011</v>
      </c>
      <c r="AH148">
        <f>IF(ISBLANK($M148),NA(),IFERROR(SUM($M148:$M$177),NA()))</f>
        <v>697519.478</v>
      </c>
      <c r="AI148">
        <f t="shared" si="57"/>
        <v>1182336.2340000002</v>
      </c>
      <c r="AJ148">
        <f t="shared" si="58"/>
        <v>31.265513004653467</v>
      </c>
      <c r="AK148">
        <f t="shared" si="59"/>
        <v>41.004981667507622</v>
      </c>
    </row>
    <row r="149" spans="1:37" x14ac:dyDescent="0.35">
      <c r="A149">
        <v>1996</v>
      </c>
      <c r="B149">
        <v>12633.130999999999</v>
      </c>
      <c r="C149">
        <v>16230.737999999999</v>
      </c>
      <c r="D149">
        <v>12061.251</v>
      </c>
      <c r="E149">
        <v>14105.386</v>
      </c>
      <c r="F149">
        <v>18155.737000000001</v>
      </c>
      <c r="G149">
        <v>15040.64</v>
      </c>
      <c r="H149">
        <v>13761.536</v>
      </c>
      <c r="I149">
        <v>17948.385999999999</v>
      </c>
      <c r="J149">
        <v>15461.135</v>
      </c>
      <c r="K149">
        <v>13130.227000000001</v>
      </c>
      <c r="L149">
        <v>17229.398000000001</v>
      </c>
      <c r="M149">
        <v>15188.922</v>
      </c>
      <c r="N149">
        <f>IF(ISBLANK($B149),NA(),IFERROR(SUM($B149:$B$177),NA()))</f>
        <v>348651.06300000002</v>
      </c>
      <c r="O149">
        <f>IF(ISBLANK($C149),NA(),IFERROR(SUM($C149:$C$177),NA()))</f>
        <v>453527.40899999999</v>
      </c>
      <c r="P149">
        <f>IF(ISBLANK($D149),NA(),IFERROR(SUM($D149:$D$177),NA()))</f>
        <v>599124.43299999996</v>
      </c>
      <c r="Q149">
        <f t="shared" si="48"/>
        <v>1052651.8419999999</v>
      </c>
      <c r="R149">
        <f t="shared" si="49"/>
        <v>33.121213404954084</v>
      </c>
      <c r="S149">
        <f t="shared" si="50"/>
        <v>43.084274487024551</v>
      </c>
      <c r="T149">
        <f>IF(ISBLANK($E149),NA(),IFERROR(SUM($E149:$E$177),NA()))</f>
        <v>386045.22899999999</v>
      </c>
      <c r="U149">
        <f>IF(ISBLANK($F149),NA(),IFERROR(SUM($F149:$F$177),NA()))</f>
        <v>496522.32</v>
      </c>
      <c r="V149">
        <f>IF(ISBLANK($G149),NA(),IFERROR(SUM($G149:$G$177),NA()))</f>
        <v>718505.62699999998</v>
      </c>
      <c r="W149">
        <f t="shared" si="51"/>
        <v>1215027.9469999999</v>
      </c>
      <c r="X149">
        <f t="shared" si="52"/>
        <v>31.772539055844451</v>
      </c>
      <c r="Y149">
        <f t="shared" si="53"/>
        <v>40.865094603457713</v>
      </c>
      <c r="Z149">
        <f>IF(ISBLANK($H149),NA(),IFERROR(SUM($H149:$H$177),NA()))</f>
        <v>382378.08700000006</v>
      </c>
      <c r="AA149">
        <f>IF(ISBLANK($I149),NA(),IFERROR(SUM($I149:$I$177),NA()))</f>
        <v>501436.86499999999</v>
      </c>
      <c r="AB149">
        <f>IF(ISBLANK($J149),NA(),IFERROR(SUM($J149:$J$177),NA()))</f>
        <v>746582.53700000013</v>
      </c>
      <c r="AC149">
        <f t="shared" si="54"/>
        <v>1248019.4020000002</v>
      </c>
      <c r="AD149">
        <f t="shared" si="55"/>
        <v>30.638793466449648</v>
      </c>
      <c r="AE149">
        <f t="shared" si="56"/>
        <v>40.178611341813095</v>
      </c>
      <c r="AF149">
        <f>IF(ISBLANK($K149),NA(),IFERROR(SUM($K149:$K$177),NA()))</f>
        <v>356837.30300000007</v>
      </c>
      <c r="AG149">
        <f>IF(ISBLANK($L149),NA(),IFERROR(SUM($L149:$L$177),NA()))</f>
        <v>467801.9740000001</v>
      </c>
      <c r="AH149">
        <f>IF(ISBLANK($M149),NA(),IFERROR(SUM($M149:$M$177),NA()))</f>
        <v>682675.07700000005</v>
      </c>
      <c r="AI149">
        <f t="shared" si="57"/>
        <v>1150477.0510000002</v>
      </c>
      <c r="AJ149">
        <f t="shared" si="58"/>
        <v>31.016464230193495</v>
      </c>
      <c r="AK149">
        <f t="shared" si="59"/>
        <v>40.661565008479258</v>
      </c>
    </row>
    <row r="150" spans="1:37" x14ac:dyDescent="0.35">
      <c r="A150">
        <v>1997</v>
      </c>
      <c r="B150">
        <v>12636.197</v>
      </c>
      <c r="C150">
        <v>16096.977000000001</v>
      </c>
      <c r="D150">
        <v>12309.654</v>
      </c>
      <c r="E150">
        <v>14108.635</v>
      </c>
      <c r="F150">
        <v>18006.532999999999</v>
      </c>
      <c r="G150">
        <v>15381.162</v>
      </c>
      <c r="H150">
        <v>13983.067999999999</v>
      </c>
      <c r="I150">
        <v>17990.467000000001</v>
      </c>
      <c r="J150">
        <v>15795.757</v>
      </c>
      <c r="K150">
        <v>13335.094999999999</v>
      </c>
      <c r="L150">
        <v>17259.266</v>
      </c>
      <c r="M150">
        <v>15499.593000000001</v>
      </c>
      <c r="N150">
        <f>IF(ISBLANK($B150),NA(),IFERROR(SUM($B150:$B$177),NA()))</f>
        <v>336017.93199999997</v>
      </c>
      <c r="O150">
        <f>IF(ISBLANK($C150),NA(),IFERROR(SUM($C150:$C$177),NA()))</f>
        <v>437296.67099999997</v>
      </c>
      <c r="P150">
        <f>IF(ISBLANK($D150),NA(),IFERROR(SUM($D150:$D$177),NA()))</f>
        <v>587063.18199999991</v>
      </c>
      <c r="Q150">
        <f t="shared" si="48"/>
        <v>1024359.8529999999</v>
      </c>
      <c r="R150">
        <f t="shared" si="49"/>
        <v>32.802723673318347</v>
      </c>
      <c r="S150">
        <f t="shared" si="50"/>
        <v>42.689751040057601</v>
      </c>
      <c r="T150">
        <f>IF(ISBLANK($E150),NA(),IFERROR(SUM($E150:$E$177),NA()))</f>
        <v>371939.84299999994</v>
      </c>
      <c r="U150">
        <f>IF(ISBLANK($F150),NA(),IFERROR(SUM($F150:$F$177),NA()))</f>
        <v>478366.58300000004</v>
      </c>
      <c r="V150">
        <f>IF(ISBLANK($G150),NA(),IFERROR(SUM($G150:$G$177),NA()))</f>
        <v>703464.98699999985</v>
      </c>
      <c r="W150">
        <f t="shared" si="51"/>
        <v>1181831.5699999998</v>
      </c>
      <c r="X150">
        <f t="shared" si="52"/>
        <v>31.471476345821426</v>
      </c>
      <c r="Y150">
        <f t="shared" si="53"/>
        <v>40.476713868796047</v>
      </c>
      <c r="Z150">
        <f>IF(ISBLANK($H150),NA(),IFERROR(SUM($H150:$H$177),NA()))</f>
        <v>368616.55100000004</v>
      </c>
      <c r="AA150">
        <f>IF(ISBLANK($I150),NA(),IFERROR(SUM($I150:$I$177),NA()))</f>
        <v>483488.47899999993</v>
      </c>
      <c r="AB150">
        <f>IF(ISBLANK($J150),NA(),IFERROR(SUM($J150:$J$177),NA()))</f>
        <v>731121.40200000012</v>
      </c>
      <c r="AC150">
        <f t="shared" si="54"/>
        <v>1214609.8810000001</v>
      </c>
      <c r="AD150">
        <f t="shared" si="55"/>
        <v>30.34855526586977</v>
      </c>
      <c r="AE150">
        <f t="shared" si="56"/>
        <v>39.80607160893004</v>
      </c>
      <c r="AF150">
        <f>IF(ISBLANK($K150),NA(),IFERROR(SUM($K150:$K$177),NA()))</f>
        <v>343707.07600000012</v>
      </c>
      <c r="AG150">
        <f>IF(ISBLANK($L150),NA(),IFERROR(SUM($L150:$L$177),NA()))</f>
        <v>450572.57600000006</v>
      </c>
      <c r="AH150">
        <f>IF(ISBLANK($M150),NA(),IFERROR(SUM($M150:$M$177),NA()))</f>
        <v>667486.15500000003</v>
      </c>
      <c r="AI150">
        <f t="shared" si="57"/>
        <v>1118058.7310000001</v>
      </c>
      <c r="AJ150">
        <f t="shared" si="58"/>
        <v>30.741415139487881</v>
      </c>
      <c r="AK150">
        <f t="shared" si="59"/>
        <v>40.299544514714761</v>
      </c>
    </row>
    <row r="151" spans="1:37" x14ac:dyDescent="0.35">
      <c r="A151">
        <v>1998</v>
      </c>
      <c r="B151">
        <v>12673.241</v>
      </c>
      <c r="C151">
        <v>16041.1</v>
      </c>
      <c r="D151">
        <v>12150.263000000001</v>
      </c>
      <c r="E151">
        <v>14173.652</v>
      </c>
      <c r="F151">
        <v>17960.851999999999</v>
      </c>
      <c r="G151">
        <v>15437.89</v>
      </c>
      <c r="H151">
        <v>14020.254000000001</v>
      </c>
      <c r="I151">
        <v>17922.048999999999</v>
      </c>
      <c r="J151">
        <v>15944.418</v>
      </c>
      <c r="K151">
        <v>13383.745999999999</v>
      </c>
      <c r="L151">
        <v>17214.435000000001</v>
      </c>
      <c r="M151">
        <v>15688.246999999999</v>
      </c>
      <c r="N151">
        <f>IF(ISBLANK($B151),NA(),IFERROR(SUM($B151:$B$177),NA()))</f>
        <v>323381.73499999999</v>
      </c>
      <c r="O151">
        <f>IF(ISBLANK($C151),NA(),IFERROR(SUM($C151:$C$177),NA()))</f>
        <v>421199.69400000002</v>
      </c>
      <c r="P151">
        <f>IF(ISBLANK($D151),NA(),IFERROR(SUM($D151:$D$177),NA()))</f>
        <v>574753.52799999993</v>
      </c>
      <c r="Q151">
        <f t="shared" si="48"/>
        <v>995953.22199999995</v>
      </c>
      <c r="R151">
        <f t="shared" si="49"/>
        <v>32.469570644152199</v>
      </c>
      <c r="S151">
        <f t="shared" si="50"/>
        <v>42.291112142212647</v>
      </c>
      <c r="T151">
        <f>IF(ISBLANK($E151),NA(),IFERROR(SUM($E151:$E$177),NA()))</f>
        <v>357831.20799999993</v>
      </c>
      <c r="U151">
        <f>IF(ISBLANK($F151),NA(),IFERROR(SUM($F151:$F$177),NA()))</f>
        <v>460360.05</v>
      </c>
      <c r="V151">
        <f>IF(ISBLANK($G151),NA(),IFERROR(SUM($G151:$G$177),NA()))</f>
        <v>688083.82499999984</v>
      </c>
      <c r="W151">
        <f t="shared" si="51"/>
        <v>1148443.8749999998</v>
      </c>
      <c r="X151">
        <f t="shared" si="52"/>
        <v>31.15791862271023</v>
      </c>
      <c r="Y151">
        <f t="shared" si="53"/>
        <v>40.085550545515346</v>
      </c>
      <c r="Z151">
        <f>IF(ISBLANK($H151),NA(),IFERROR(SUM($H151:$H$177),NA()))</f>
        <v>354633.48300000007</v>
      </c>
      <c r="AA151">
        <f>IF(ISBLANK($I151),NA(),IFERROR(SUM($I151:$I$177),NA()))</f>
        <v>465498.01199999999</v>
      </c>
      <c r="AB151">
        <f>IF(ISBLANK($J151),NA(),IFERROR(SUM($J151:$J$177),NA()))</f>
        <v>715325.64500000014</v>
      </c>
      <c r="AC151">
        <f t="shared" si="54"/>
        <v>1180823.6570000001</v>
      </c>
      <c r="AD151">
        <f t="shared" si="55"/>
        <v>30.032721727559363</v>
      </c>
      <c r="AE151">
        <f t="shared" si="56"/>
        <v>39.421467315673873</v>
      </c>
      <c r="AF151">
        <f>IF(ISBLANK($K151),NA(),IFERROR(SUM($K151:$K$177),NA()))</f>
        <v>330371.98100000003</v>
      </c>
      <c r="AG151">
        <f>IF(ISBLANK($L151),NA(),IFERROR(SUM($L151:$L$177),NA()))</f>
        <v>433313.31000000011</v>
      </c>
      <c r="AH151">
        <f>IF(ISBLANK($M151),NA(),IFERROR(SUM($M151:$M$177),NA()))</f>
        <v>651986.56200000003</v>
      </c>
      <c r="AI151">
        <f t="shared" si="57"/>
        <v>1085299.8720000002</v>
      </c>
      <c r="AJ151">
        <f t="shared" si="58"/>
        <v>30.440617337509458</v>
      </c>
      <c r="AK151">
        <f t="shared" si="59"/>
        <v>39.925675951798148</v>
      </c>
    </row>
    <row r="152" spans="1:37" x14ac:dyDescent="0.35">
      <c r="A152">
        <v>1999</v>
      </c>
      <c r="B152">
        <v>12754.268</v>
      </c>
      <c r="C152">
        <v>16079.748</v>
      </c>
      <c r="D152">
        <v>12603.699000000001</v>
      </c>
      <c r="E152">
        <v>14204.499</v>
      </c>
      <c r="F152">
        <v>17934.117999999999</v>
      </c>
      <c r="G152">
        <v>16048.561</v>
      </c>
      <c r="H152">
        <v>14036.161</v>
      </c>
      <c r="I152">
        <v>17932.913</v>
      </c>
      <c r="J152">
        <v>16121.88</v>
      </c>
      <c r="K152">
        <v>13398.727000000001</v>
      </c>
      <c r="L152">
        <v>17205.188999999998</v>
      </c>
      <c r="M152">
        <v>15831.638999999999</v>
      </c>
      <c r="N152">
        <f>IF(ISBLANK($B152),NA(),IFERROR(SUM($B152:$B$177),NA()))</f>
        <v>310708.49399999995</v>
      </c>
      <c r="O152">
        <f>IF(ISBLANK($C152),NA(),IFERROR(SUM($C152:$C$177),NA()))</f>
        <v>405158.59399999998</v>
      </c>
      <c r="P152">
        <f>IF(ISBLANK($D152),NA(),IFERROR(SUM($D152:$D$177),NA()))</f>
        <v>562603.2649999999</v>
      </c>
      <c r="Q152">
        <f t="shared" si="48"/>
        <v>967761.85899999994</v>
      </c>
      <c r="R152">
        <f t="shared" si="49"/>
        <v>32.105883395844799</v>
      </c>
      <c r="S152">
        <f t="shared" si="50"/>
        <v>41.8655261345653</v>
      </c>
      <c r="T152">
        <f>IF(ISBLANK($E152),NA(),IFERROR(SUM($E152:$E$177),NA()))</f>
        <v>343657.55600000004</v>
      </c>
      <c r="U152">
        <f>IF(ISBLANK($F152),NA(),IFERROR(SUM($F152:$F$177),NA()))</f>
        <v>442399.19800000003</v>
      </c>
      <c r="V152">
        <f>IF(ISBLANK($G152),NA(),IFERROR(SUM($G152:$G$177),NA()))</f>
        <v>672645.93499999982</v>
      </c>
      <c r="W152">
        <f t="shared" si="51"/>
        <v>1115045.1329999999</v>
      </c>
      <c r="X152">
        <f t="shared" si="52"/>
        <v>30.820057935717664</v>
      </c>
      <c r="Y152">
        <f t="shared" si="53"/>
        <v>39.675452132573014</v>
      </c>
      <c r="Z152">
        <f>IF(ISBLANK($H152),NA(),IFERROR(SUM($H152:$H$177),NA()))</f>
        <v>340613.22900000005</v>
      </c>
      <c r="AA152">
        <f>IF(ISBLANK($I152),NA(),IFERROR(SUM($I152:$I$177),NA()))</f>
        <v>447575.96299999999</v>
      </c>
      <c r="AB152">
        <f>IF(ISBLANK($J152),NA(),IFERROR(SUM($J152:$J$177),NA()))</f>
        <v>699381.22700000007</v>
      </c>
      <c r="AC152">
        <f t="shared" si="54"/>
        <v>1146957.19</v>
      </c>
      <c r="AD152">
        <f t="shared" si="55"/>
        <v>29.697117902020391</v>
      </c>
      <c r="AE152">
        <f t="shared" si="56"/>
        <v>39.022900497271394</v>
      </c>
      <c r="AF152">
        <f>IF(ISBLANK($K152),NA(),IFERROR(SUM($K152:$K$177),NA()))</f>
        <v>316988.23499999999</v>
      </c>
      <c r="AG152">
        <f>IF(ISBLANK($L152),NA(),IFERROR(SUM($L152:$L$177),NA()))</f>
        <v>416098.87500000006</v>
      </c>
      <c r="AH152">
        <f>IF(ISBLANK($M152),NA(),IFERROR(SUM($M152:$M$177),NA()))</f>
        <v>636298.31499999994</v>
      </c>
      <c r="AI152">
        <f t="shared" si="57"/>
        <v>1052397.19</v>
      </c>
      <c r="AJ152">
        <f t="shared" si="58"/>
        <v>30.120589261550574</v>
      </c>
      <c r="AK152">
        <f t="shared" si="59"/>
        <v>39.538197075573727</v>
      </c>
    </row>
    <row r="153" spans="1:37" x14ac:dyDescent="0.35">
      <c r="A153">
        <v>2000</v>
      </c>
      <c r="B153">
        <v>13032.554</v>
      </c>
      <c r="C153">
        <v>16354.44</v>
      </c>
      <c r="D153">
        <v>13086.375</v>
      </c>
      <c r="E153">
        <v>14474.385</v>
      </c>
      <c r="F153">
        <v>18171.378000000001</v>
      </c>
      <c r="G153">
        <v>16583.919999999998</v>
      </c>
      <c r="H153">
        <v>14250.975</v>
      </c>
      <c r="I153">
        <v>18184.506000000001</v>
      </c>
      <c r="J153">
        <v>16714.233</v>
      </c>
      <c r="K153">
        <v>13622.161</v>
      </c>
      <c r="L153">
        <v>17486.486000000001</v>
      </c>
      <c r="M153">
        <v>16322.936</v>
      </c>
      <c r="N153">
        <f>IF(ISBLANK($B153),NA(),IFERROR(SUM($B153:$B$177),NA()))</f>
        <v>297954.22600000002</v>
      </c>
      <c r="O153">
        <f>IF(ISBLANK($C153),NA(),IFERROR(SUM($C153:$C$177),NA()))</f>
        <v>389078.84599999996</v>
      </c>
      <c r="P153">
        <f>IF(ISBLANK($D153),NA(),IFERROR(SUM($D153:$D$177),NA()))</f>
        <v>549999.56599999999</v>
      </c>
      <c r="Q153">
        <f t="shared" si="48"/>
        <v>939078.41200000001</v>
      </c>
      <c r="R153">
        <f t="shared" si="49"/>
        <v>31.728364979174927</v>
      </c>
      <c r="S153">
        <f t="shared" si="50"/>
        <v>41.431987044762344</v>
      </c>
      <c r="T153">
        <f>IF(ISBLANK($E153),NA(),IFERROR(SUM($E153:$E$177),NA()))</f>
        <v>329453.05700000009</v>
      </c>
      <c r="U153">
        <f>IF(ISBLANK($F153),NA(),IFERROR(SUM($F153:$F$177),NA()))</f>
        <v>424465.08</v>
      </c>
      <c r="V153">
        <f>IF(ISBLANK($G153),NA(),IFERROR(SUM($G153:$G$177),NA()))</f>
        <v>656597.37399999984</v>
      </c>
      <c r="W153">
        <f t="shared" si="51"/>
        <v>1081062.4539999999</v>
      </c>
      <c r="X153">
        <f t="shared" si="52"/>
        <v>30.474932857116887</v>
      </c>
      <c r="Y153">
        <f t="shared" si="53"/>
        <v>39.263696415452429</v>
      </c>
      <c r="Z153">
        <f>IF(ISBLANK($H153),NA(),IFERROR(SUM($H153:$H$177),NA()))</f>
        <v>326577.06800000009</v>
      </c>
      <c r="AA153">
        <f>IF(ISBLANK($I153),NA(),IFERROR(SUM($I153:$I$177),NA()))</f>
        <v>429643.04999999993</v>
      </c>
      <c r="AB153">
        <f>IF(ISBLANK($J153),NA(),IFERROR(SUM($J153:$J$177),NA()))</f>
        <v>683259.34700000007</v>
      </c>
      <c r="AC153">
        <f t="shared" si="54"/>
        <v>1112902.3969999999</v>
      </c>
      <c r="AD153">
        <f t="shared" si="55"/>
        <v>29.344627963812364</v>
      </c>
      <c r="AE153">
        <f t="shared" si="56"/>
        <v>38.605636141872736</v>
      </c>
      <c r="AF153">
        <f>IF(ISBLANK($K153),NA(),IFERROR(SUM($K153:$K$177),NA()))</f>
        <v>303589.50799999997</v>
      </c>
      <c r="AG153">
        <f>IF(ISBLANK($L153),NA(),IFERROR(SUM($L153:$L$177),NA()))</f>
        <v>398893.68600000016</v>
      </c>
      <c r="AH153">
        <f>IF(ISBLANK($M153),NA(),IFERROR(SUM($M153:$M$177),NA()))</f>
        <v>620466.67599999998</v>
      </c>
      <c r="AI153">
        <f t="shared" si="57"/>
        <v>1019360.3620000002</v>
      </c>
      <c r="AJ153">
        <f t="shared" si="58"/>
        <v>29.782353652083632</v>
      </c>
      <c r="AK153">
        <f t="shared" si="59"/>
        <v>39.131763493075681</v>
      </c>
    </row>
    <row r="154" spans="1:37" x14ac:dyDescent="0.35">
      <c r="A154">
        <v>2001</v>
      </c>
      <c r="B154">
        <v>12920.486999999999</v>
      </c>
      <c r="C154">
        <v>16301.445</v>
      </c>
      <c r="D154">
        <v>13295.259</v>
      </c>
      <c r="E154">
        <v>14360.838</v>
      </c>
      <c r="F154">
        <v>18098.643</v>
      </c>
      <c r="G154">
        <v>16920.435000000001</v>
      </c>
      <c r="H154">
        <v>14202.02</v>
      </c>
      <c r="I154">
        <v>18126.528999999999</v>
      </c>
      <c r="J154">
        <v>17111.129000000001</v>
      </c>
      <c r="K154">
        <v>13613.895</v>
      </c>
      <c r="L154">
        <v>17480.168000000001</v>
      </c>
      <c r="M154">
        <v>16729.536</v>
      </c>
      <c r="N154">
        <f>IF(ISBLANK($B154),NA(),IFERROR(SUM($B154:$B$177),NA()))</f>
        <v>284921.67200000002</v>
      </c>
      <c r="O154">
        <f>IF(ISBLANK($C154),NA(),IFERROR(SUM($C154:$C$177),NA()))</f>
        <v>372724.40599999996</v>
      </c>
      <c r="P154">
        <f>IF(ISBLANK($D154),NA(),IFERROR(SUM($D154:$D$177),NA()))</f>
        <v>536913.19099999999</v>
      </c>
      <c r="Q154">
        <f t="shared" si="48"/>
        <v>909637.59699999995</v>
      </c>
      <c r="R154">
        <f t="shared" si="49"/>
        <v>31.322547895961694</v>
      </c>
      <c r="S154">
        <f t="shared" si="50"/>
        <v>40.975044042732108</v>
      </c>
      <c r="T154">
        <f>IF(ISBLANK($E154),NA(),IFERROR(SUM($E154:$E$177),NA()))</f>
        <v>314978.67199999996</v>
      </c>
      <c r="U154">
        <f>IF(ISBLANK($F154),NA(),IFERROR(SUM($F154:$F$177),NA()))</f>
        <v>406293.70199999999</v>
      </c>
      <c r="V154">
        <f>IF(ISBLANK($G154),NA(),IFERROR(SUM($G154:$G$177),NA()))</f>
        <v>640013.45399999991</v>
      </c>
      <c r="W154">
        <f t="shared" si="51"/>
        <v>1046307.156</v>
      </c>
      <c r="X154">
        <f t="shared" si="52"/>
        <v>30.103843808557489</v>
      </c>
      <c r="Y154">
        <f t="shared" si="53"/>
        <v>38.831207420318933</v>
      </c>
      <c r="Z154">
        <f>IF(ISBLANK($H154),NA(),IFERROR(SUM($H154:$H$177),NA()))</f>
        <v>312326.09300000005</v>
      </c>
      <c r="AA154">
        <f>IF(ISBLANK($I154),NA(),IFERROR(SUM($I154:$I$177),NA()))</f>
        <v>411458.54399999999</v>
      </c>
      <c r="AB154">
        <f>IF(ISBLANK($J154),NA(),IFERROR(SUM($J154:$J$177),NA()))</f>
        <v>666545.11400000006</v>
      </c>
      <c r="AC154">
        <f t="shared" si="54"/>
        <v>1078003.6580000001</v>
      </c>
      <c r="AD154">
        <f t="shared" si="55"/>
        <v>28.972637586355948</v>
      </c>
      <c r="AE154">
        <f t="shared" si="56"/>
        <v>38.168566585698912</v>
      </c>
      <c r="AF154">
        <f>IF(ISBLANK($K154),NA(),IFERROR(SUM($K154:$K$177),NA()))</f>
        <v>289967.34700000001</v>
      </c>
      <c r="AG154">
        <f>IF(ISBLANK($L154),NA(),IFERROR(SUM($L154:$L$177),NA()))</f>
        <v>381407.20000000013</v>
      </c>
      <c r="AH154">
        <f>IF(ISBLANK($M154),NA(),IFERROR(SUM($M154:$M$177),NA()))</f>
        <v>604143.74</v>
      </c>
      <c r="AI154">
        <f t="shared" si="57"/>
        <v>985550.94000000018</v>
      </c>
      <c r="AJ154">
        <f t="shared" si="58"/>
        <v>29.421852816659072</v>
      </c>
      <c r="AK154">
        <f t="shared" si="59"/>
        <v>38.699897135707673</v>
      </c>
    </row>
    <row r="155" spans="1:37" x14ac:dyDescent="0.35">
      <c r="A155">
        <v>2002</v>
      </c>
      <c r="B155">
        <v>12969.549000000001</v>
      </c>
      <c r="C155">
        <v>16327.813</v>
      </c>
      <c r="D155">
        <v>13739.213</v>
      </c>
      <c r="E155">
        <v>14415.983</v>
      </c>
      <c r="F155">
        <v>18104.141</v>
      </c>
      <c r="G155">
        <v>17595.803</v>
      </c>
      <c r="H155">
        <v>14079.259</v>
      </c>
      <c r="I155">
        <v>17992.138999999999</v>
      </c>
      <c r="J155">
        <v>17662.552</v>
      </c>
      <c r="K155">
        <v>13482.724</v>
      </c>
      <c r="L155">
        <v>17337.100999999999</v>
      </c>
      <c r="M155">
        <v>17283.017</v>
      </c>
      <c r="N155">
        <f>IF(ISBLANK($B155),NA(),IFERROR(SUM($B155:$B$177),NA()))</f>
        <v>272001.18500000006</v>
      </c>
      <c r="O155">
        <f>IF(ISBLANK($C155),NA(),IFERROR(SUM($C155:$C$177),NA()))</f>
        <v>356422.96099999995</v>
      </c>
      <c r="P155">
        <f>IF(ISBLANK($D155),NA(),IFERROR(SUM($D155:$D$177),NA()))</f>
        <v>523617.93199999997</v>
      </c>
      <c r="Q155">
        <f t="shared" si="48"/>
        <v>880040.89299999992</v>
      </c>
      <c r="R155">
        <f t="shared" si="49"/>
        <v>30.907789304286347</v>
      </c>
      <c r="S155">
        <f t="shared" si="50"/>
        <v>40.500727163368303</v>
      </c>
      <c r="T155">
        <f>IF(ISBLANK($E155),NA(),IFERROR(SUM($E155:$E$177),NA()))</f>
        <v>300617.83399999997</v>
      </c>
      <c r="U155">
        <f>IF(ISBLANK($F155),NA(),IFERROR(SUM($F155:$F$177),NA()))</f>
        <v>388195.05899999995</v>
      </c>
      <c r="V155">
        <f>IF(ISBLANK($G155),NA(),IFERROR(SUM($G155:$G$177),NA()))</f>
        <v>623093.01899999985</v>
      </c>
      <c r="W155">
        <f t="shared" si="51"/>
        <v>1011288.0779999997</v>
      </c>
      <c r="X155">
        <f t="shared" si="52"/>
        <v>29.726231381519369</v>
      </c>
      <c r="Y155">
        <f t="shared" si="53"/>
        <v>38.386199486077601</v>
      </c>
      <c r="Z155">
        <f>IF(ISBLANK($H155),NA(),IFERROR(SUM($H155:$H$177),NA()))</f>
        <v>298124.07300000003</v>
      </c>
      <c r="AA155">
        <f>IF(ISBLANK($I155),NA(),IFERROR(SUM($I155:$I$177),NA()))</f>
        <v>393332.0149999999</v>
      </c>
      <c r="AB155">
        <f>IF(ISBLANK($J155),NA(),IFERROR(SUM($J155:$J$177),NA()))</f>
        <v>649433.98499999999</v>
      </c>
      <c r="AC155">
        <f t="shared" si="54"/>
        <v>1042765.9999999999</v>
      </c>
      <c r="AD155">
        <f t="shared" si="55"/>
        <v>28.589738541532817</v>
      </c>
      <c r="AE155">
        <f t="shared" si="56"/>
        <v>37.720065191998962</v>
      </c>
      <c r="AF155">
        <f>IF(ISBLANK($K155),NA(),IFERROR(SUM($K155:$K$177),NA()))</f>
        <v>276353.45199999999</v>
      </c>
      <c r="AG155">
        <f>IF(ISBLANK($L155),NA(),IFERROR(SUM($L155:$L$177),NA()))</f>
        <v>363927.03200000006</v>
      </c>
      <c r="AH155">
        <f>IF(ISBLANK($M155),NA(),IFERROR(SUM($M155:$M$177),NA()))</f>
        <v>587414.20400000003</v>
      </c>
      <c r="AI155">
        <f t="shared" si="57"/>
        <v>951341.23600000003</v>
      </c>
      <c r="AJ155">
        <f t="shared" si="58"/>
        <v>29.048825126297796</v>
      </c>
      <c r="AK155">
        <f t="shared" si="59"/>
        <v>38.254100445615506</v>
      </c>
    </row>
    <row r="156" spans="1:37" x14ac:dyDescent="0.35">
      <c r="A156">
        <v>2003</v>
      </c>
      <c r="B156">
        <v>13121.954</v>
      </c>
      <c r="C156">
        <v>16583.224999999999</v>
      </c>
      <c r="D156">
        <v>15046.210999999999</v>
      </c>
      <c r="E156">
        <v>14549.835999999999</v>
      </c>
      <c r="F156">
        <v>18333.011999999999</v>
      </c>
      <c r="G156">
        <v>18987.055</v>
      </c>
      <c r="H156">
        <v>14234.880999999999</v>
      </c>
      <c r="I156">
        <v>18293.253000000001</v>
      </c>
      <c r="J156">
        <v>18863.579000000002</v>
      </c>
      <c r="K156">
        <v>13570.098</v>
      </c>
      <c r="L156">
        <v>17565.22</v>
      </c>
      <c r="M156">
        <v>18354.947</v>
      </c>
      <c r="N156">
        <f>IF(ISBLANK($B156),NA(),IFERROR(SUM($B156:$B$177),NA()))</f>
        <v>259031.63600000006</v>
      </c>
      <c r="O156">
        <f>IF(ISBLANK($C156),NA(),IFERROR(SUM($C156:$C$177),NA()))</f>
        <v>340095.14799999999</v>
      </c>
      <c r="P156">
        <f>IF(ISBLANK($D156),NA(),IFERROR(SUM($D156:$D$177),NA()))</f>
        <v>509878.71899999998</v>
      </c>
      <c r="Q156">
        <f t="shared" si="48"/>
        <v>849973.86699999997</v>
      </c>
      <c r="R156">
        <f t="shared" si="49"/>
        <v>30.475247070154932</v>
      </c>
      <c r="S156">
        <f t="shared" si="50"/>
        <v>40.012424052562082</v>
      </c>
      <c r="T156">
        <f>IF(ISBLANK($E156),NA(),IFERROR(SUM($E156:$E$177),NA()))</f>
        <v>286201.85100000002</v>
      </c>
      <c r="U156">
        <f>IF(ISBLANK($F156),NA(),IFERROR(SUM($F156:$F$177),NA()))</f>
        <v>370090.91800000001</v>
      </c>
      <c r="V156">
        <f>IF(ISBLANK($G156),NA(),IFERROR(SUM($G156:$G$177),NA()))</f>
        <v>605497.2159999999</v>
      </c>
      <c r="W156">
        <f t="shared" si="51"/>
        <v>975588.13399999985</v>
      </c>
      <c r="X156">
        <f t="shared" si="52"/>
        <v>29.33633989853346</v>
      </c>
      <c r="Y156">
        <f t="shared" si="53"/>
        <v>37.935159838670209</v>
      </c>
      <c r="Z156">
        <f>IF(ISBLANK($H156),NA(),IFERROR(SUM($H156:$H$177),NA()))</f>
        <v>284044.81400000001</v>
      </c>
      <c r="AA156">
        <f>IF(ISBLANK($I156),NA(),IFERROR(SUM($I156:$I$177),NA()))</f>
        <v>375339.87599999993</v>
      </c>
      <c r="AB156">
        <f>IF(ISBLANK($J156),NA(),IFERROR(SUM($J156:$J$177),NA()))</f>
        <v>631771.43299999996</v>
      </c>
      <c r="AC156">
        <f t="shared" si="54"/>
        <v>1007111.3089999999</v>
      </c>
      <c r="AD156">
        <f t="shared" si="55"/>
        <v>28.203914647928958</v>
      </c>
      <c r="AE156">
        <f t="shared" si="56"/>
        <v>37.268956533979306</v>
      </c>
      <c r="AF156">
        <f>IF(ISBLANK($K156),NA(),IFERROR(SUM($K156:$K$177),NA()))</f>
        <v>262870.728</v>
      </c>
      <c r="AG156">
        <f>IF(ISBLANK($L156),NA(),IFERROR(SUM($L156:$L$177),NA()))</f>
        <v>346589.93100000004</v>
      </c>
      <c r="AH156">
        <f>IF(ISBLANK($M156),NA(),IFERROR(SUM($M156:$M$177),NA()))</f>
        <v>570131.18700000003</v>
      </c>
      <c r="AI156">
        <f t="shared" si="57"/>
        <v>916721.11800000002</v>
      </c>
      <c r="AJ156">
        <f t="shared" si="58"/>
        <v>28.675103348060976</v>
      </c>
      <c r="AK156">
        <f t="shared" si="59"/>
        <v>37.80756483020172</v>
      </c>
    </row>
    <row r="157" spans="1:37" x14ac:dyDescent="0.35">
      <c r="A157">
        <v>2004</v>
      </c>
      <c r="B157">
        <v>13221.197</v>
      </c>
      <c r="C157">
        <v>16715.097000000002</v>
      </c>
      <c r="D157">
        <v>15896.494000000001</v>
      </c>
      <c r="E157">
        <v>14652.648999999999</v>
      </c>
      <c r="F157">
        <v>18462.667000000001</v>
      </c>
      <c r="G157">
        <v>20117.173999999999</v>
      </c>
      <c r="H157">
        <v>14338.192999999999</v>
      </c>
      <c r="I157">
        <v>18393.027999999998</v>
      </c>
      <c r="J157">
        <v>20236.944</v>
      </c>
      <c r="K157">
        <v>13680.798000000001</v>
      </c>
      <c r="L157">
        <v>17652.164000000001</v>
      </c>
      <c r="M157">
        <v>19638.738000000001</v>
      </c>
      <c r="N157">
        <f>IF(ISBLANK($B157),NA(),IFERROR(SUM($B157:$B$177),NA()))</f>
        <v>245909.68200000003</v>
      </c>
      <c r="O157">
        <f>IF(ISBLANK($C157),NA(),IFERROR(SUM($C157:$C$177),NA()))</f>
        <v>323511.92299999995</v>
      </c>
      <c r="P157">
        <f>IF(ISBLANK($D157),NA(),IFERROR(SUM($D157:$D$177),NA()))</f>
        <v>494832.50800000003</v>
      </c>
      <c r="Q157">
        <f t="shared" si="48"/>
        <v>818344.43099999998</v>
      </c>
      <c r="R157">
        <f t="shared" si="49"/>
        <v>30.049655461026781</v>
      </c>
      <c r="S157">
        <f t="shared" si="50"/>
        <v>39.532489101767951</v>
      </c>
      <c r="T157">
        <f>IF(ISBLANK($E157),NA(),IFERROR(SUM($E157:$E$177),NA()))</f>
        <v>271652.01500000001</v>
      </c>
      <c r="U157">
        <f>IF(ISBLANK($F157),NA(),IFERROR(SUM($F157:$F$177),NA()))</f>
        <v>351757.90600000002</v>
      </c>
      <c r="V157">
        <f>IF(ISBLANK($G157),NA(),IFERROR(SUM($G157:$G$177),NA()))</f>
        <v>586510.16099999996</v>
      </c>
      <c r="W157">
        <f t="shared" si="51"/>
        <v>938268.06700000004</v>
      </c>
      <c r="X157">
        <f t="shared" si="52"/>
        <v>28.952494980307158</v>
      </c>
      <c r="Y157">
        <f t="shared" si="53"/>
        <v>37.490128713929685</v>
      </c>
      <c r="Z157">
        <f>IF(ISBLANK($H157),NA(),IFERROR(SUM($H157:$H$177),NA()))</f>
        <v>269809.93299999996</v>
      </c>
      <c r="AA157">
        <f>IF(ISBLANK($I157),NA(),IFERROR(SUM($I157:$I$177),NA()))</f>
        <v>357046.62299999996</v>
      </c>
      <c r="AB157">
        <f>IF(ISBLANK($J157),NA(),IFERROR(SUM($J157:$J$177),NA()))</f>
        <v>612907.85399999993</v>
      </c>
      <c r="AC157">
        <f t="shared" si="54"/>
        <v>969954.47699999996</v>
      </c>
      <c r="AD157">
        <f t="shared" si="55"/>
        <v>27.816762476781676</v>
      </c>
      <c r="AE157">
        <f t="shared" si="56"/>
        <v>36.810657764508669</v>
      </c>
      <c r="AF157">
        <f>IF(ISBLANK($K157),NA(),IFERROR(SUM($K157:$K$177),NA()))</f>
        <v>249300.62999999998</v>
      </c>
      <c r="AG157">
        <f>IF(ISBLANK($L157),NA(),IFERROR(SUM($L157:$L$177),NA()))</f>
        <v>329024.71100000007</v>
      </c>
      <c r="AH157">
        <f>IF(ISBLANK($M157),NA(),IFERROR(SUM($M157:$M$177),NA()))</f>
        <v>551776.24</v>
      </c>
      <c r="AI157">
        <f t="shared" si="57"/>
        <v>880800.95100000012</v>
      </c>
      <c r="AJ157">
        <f t="shared" si="58"/>
        <v>28.303855680101321</v>
      </c>
      <c r="AK157">
        <f t="shared" si="59"/>
        <v>37.355172088137316</v>
      </c>
    </row>
    <row r="158" spans="1:37" x14ac:dyDescent="0.35">
      <c r="A158">
        <v>2005</v>
      </c>
      <c r="B158">
        <v>13222.099</v>
      </c>
      <c r="C158">
        <v>16770.259999999998</v>
      </c>
      <c r="D158">
        <v>16897.812000000002</v>
      </c>
      <c r="E158">
        <v>14638.534</v>
      </c>
      <c r="F158">
        <v>18485.886999999999</v>
      </c>
      <c r="G158">
        <v>21348.936000000002</v>
      </c>
      <c r="H158">
        <v>14334.144</v>
      </c>
      <c r="I158">
        <v>18389.487000000001</v>
      </c>
      <c r="J158">
        <v>21486.678</v>
      </c>
      <c r="K158">
        <v>13654.102999999999</v>
      </c>
      <c r="L158">
        <v>17658.897000000001</v>
      </c>
      <c r="M158">
        <v>20817.811000000002</v>
      </c>
      <c r="N158">
        <f>IF(ISBLANK($B158),NA(),IFERROR(SUM($B158:$B$177),NA()))</f>
        <v>232688.48499999999</v>
      </c>
      <c r="O158">
        <f>IF(ISBLANK($C158),NA(),IFERROR(SUM($C158:$C$177),NA()))</f>
        <v>306796.82599999994</v>
      </c>
      <c r="P158">
        <f>IF(ISBLANK($D158),NA(),IFERROR(SUM($D158:$D$177),NA()))</f>
        <v>478936.01400000002</v>
      </c>
      <c r="Q158">
        <f t="shared" si="48"/>
        <v>785732.84</v>
      </c>
      <c r="R158">
        <f t="shared" si="49"/>
        <v>29.614198765066252</v>
      </c>
      <c r="S158">
        <f t="shared" si="50"/>
        <v>39.045946711352926</v>
      </c>
      <c r="T158">
        <f>IF(ISBLANK($E158),NA(),IFERROR(SUM($E158:$E$177),NA()))</f>
        <v>256999.36600000007</v>
      </c>
      <c r="U158">
        <f>IF(ISBLANK($F158),NA(),IFERROR(SUM($F158:$F$177),NA()))</f>
        <v>333295.23899999994</v>
      </c>
      <c r="V158">
        <f>IF(ISBLANK($G158),NA(),IFERROR(SUM($G158:$G$177),NA()))</f>
        <v>566392.98700000008</v>
      </c>
      <c r="W158">
        <f t="shared" si="51"/>
        <v>899688.22600000002</v>
      </c>
      <c r="X158">
        <f t="shared" si="52"/>
        <v>28.565380603302465</v>
      </c>
      <c r="Y158">
        <f t="shared" si="53"/>
        <v>37.045637518435186</v>
      </c>
      <c r="Z158">
        <f>IF(ISBLANK($H158),NA(),IFERROR(SUM($H158:$H$177),NA()))</f>
        <v>255471.73999999996</v>
      </c>
      <c r="AA158">
        <f>IF(ISBLANK($I158),NA(),IFERROR(SUM($I158:$I$177),NA()))</f>
        <v>338653.59499999997</v>
      </c>
      <c r="AB158">
        <f>IF(ISBLANK($J158),NA(),IFERROR(SUM($J158:$J$177),NA()))</f>
        <v>592670.91</v>
      </c>
      <c r="AC158">
        <f t="shared" si="54"/>
        <v>931324.505</v>
      </c>
      <c r="AD158">
        <f t="shared" si="55"/>
        <v>27.431012351597033</v>
      </c>
      <c r="AE158">
        <f t="shared" si="56"/>
        <v>36.362577509973285</v>
      </c>
      <c r="AF158">
        <f>IF(ISBLANK($K158),NA(),IFERROR(SUM($K158:$K$177),NA()))</f>
        <v>235619.83199999997</v>
      </c>
      <c r="AG158">
        <f>IF(ISBLANK($L158),NA(),IFERROR(SUM($L158:$L$177),NA()))</f>
        <v>311372.54700000002</v>
      </c>
      <c r="AH158">
        <f>IF(ISBLANK($M158),NA(),IFERROR(SUM($M158:$M$177),NA()))</f>
        <v>532137.50199999998</v>
      </c>
      <c r="AI158">
        <f t="shared" si="57"/>
        <v>843510.049</v>
      </c>
      <c r="AJ158">
        <f t="shared" si="58"/>
        <v>27.933257259866973</v>
      </c>
      <c r="AK158">
        <f t="shared" si="59"/>
        <v>36.913910790883776</v>
      </c>
    </row>
    <row r="159" spans="1:37" x14ac:dyDescent="0.35">
      <c r="A159">
        <v>2006</v>
      </c>
      <c r="B159">
        <v>13118.285</v>
      </c>
      <c r="C159">
        <v>16797.792000000001</v>
      </c>
      <c r="D159">
        <v>17918.057000000001</v>
      </c>
      <c r="E159">
        <v>14529.594999999999</v>
      </c>
      <c r="F159">
        <v>18493.011999999999</v>
      </c>
      <c r="G159">
        <v>22361.418000000001</v>
      </c>
      <c r="H159">
        <v>14158.824000000001</v>
      </c>
      <c r="I159">
        <v>18308.053</v>
      </c>
      <c r="J159">
        <v>22673.116000000002</v>
      </c>
      <c r="K159">
        <v>13556.763999999999</v>
      </c>
      <c r="L159">
        <v>17643.202000000001</v>
      </c>
      <c r="M159">
        <v>21886.2</v>
      </c>
      <c r="N159">
        <f>IF(ISBLANK($B159),NA(),IFERROR(SUM($B159:$B$177),NA()))</f>
        <v>219466.386</v>
      </c>
      <c r="O159">
        <f>IF(ISBLANK($C159),NA(),IFERROR(SUM($C159:$C$177),NA()))</f>
        <v>290026.56599999999</v>
      </c>
      <c r="P159">
        <f>IF(ISBLANK($D159),NA(),IFERROR(SUM($D159:$D$177),NA()))</f>
        <v>462038.20200000005</v>
      </c>
      <c r="Q159">
        <f t="shared" si="48"/>
        <v>752064.76800000004</v>
      </c>
      <c r="R159">
        <f t="shared" si="49"/>
        <v>29.181846476286466</v>
      </c>
      <c r="S159">
        <f t="shared" si="50"/>
        <v>38.564041069398961</v>
      </c>
      <c r="T159">
        <f>IF(ISBLANK($E159),NA(),IFERROR(SUM($E159:$E$177),NA()))</f>
        <v>242360.83200000005</v>
      </c>
      <c r="U159">
        <f>IF(ISBLANK($F159),NA(),IFERROR(SUM($F159:$F$177),NA()))</f>
        <v>314809.35199999996</v>
      </c>
      <c r="V159">
        <f>IF(ISBLANK($G159),NA(),IFERROR(SUM($G159:$G$177),NA()))</f>
        <v>545044.05099999998</v>
      </c>
      <c r="W159">
        <f t="shared" si="51"/>
        <v>859853.40299999993</v>
      </c>
      <c r="X159">
        <f t="shared" si="52"/>
        <v>28.186296775056206</v>
      </c>
      <c r="Y159">
        <f t="shared" si="53"/>
        <v>36.611979542284836</v>
      </c>
      <c r="Z159">
        <f>IF(ISBLANK($H159),NA(),IFERROR(SUM($H159:$H$177),NA()))</f>
        <v>241137.59599999999</v>
      </c>
      <c r="AA159">
        <f>IF(ISBLANK($I159),NA(),IFERROR(SUM($I159:$I$177),NA()))</f>
        <v>320264.10799999995</v>
      </c>
      <c r="AB159">
        <f>IF(ISBLANK($J159),NA(),IFERROR(SUM($J159:$J$177),NA()))</f>
        <v>571184.23199999996</v>
      </c>
      <c r="AC159">
        <f t="shared" si="54"/>
        <v>891448.33999999985</v>
      </c>
      <c r="AD159">
        <f t="shared" si="55"/>
        <v>27.05009198850491</v>
      </c>
      <c r="AE159">
        <f t="shared" si="56"/>
        <v>35.926266686412809</v>
      </c>
      <c r="AF159">
        <f>IF(ISBLANK($K159),NA(),IFERROR(SUM($K159:$K$177),NA()))</f>
        <v>221965.72899999996</v>
      </c>
      <c r="AG159">
        <f>IF(ISBLANK($L159),NA(),IFERROR(SUM($L159:$L$177),NA()))</f>
        <v>293713.64999999997</v>
      </c>
      <c r="AH159">
        <f>IF(ISBLANK($M159),NA(),IFERROR(SUM($M159:$M$177),NA()))</f>
        <v>511319.69099999999</v>
      </c>
      <c r="AI159">
        <f t="shared" si="57"/>
        <v>805033.34100000001</v>
      </c>
      <c r="AJ159">
        <f t="shared" si="58"/>
        <v>27.572240514197532</v>
      </c>
      <c r="AK159">
        <f t="shared" si="59"/>
        <v>36.484656602564236</v>
      </c>
    </row>
    <row r="160" spans="1:37" x14ac:dyDescent="0.35">
      <c r="A160">
        <v>2007</v>
      </c>
      <c r="B160">
        <v>13191.788</v>
      </c>
      <c r="C160">
        <v>16932.345000000001</v>
      </c>
      <c r="D160">
        <v>18668.969000000001</v>
      </c>
      <c r="E160">
        <v>14614.02</v>
      </c>
      <c r="F160">
        <v>18620.751</v>
      </c>
      <c r="G160">
        <v>23128.172999999999</v>
      </c>
      <c r="H160">
        <v>14259.132</v>
      </c>
      <c r="I160">
        <v>18466.989000000001</v>
      </c>
      <c r="J160">
        <v>23733.368999999999</v>
      </c>
      <c r="K160">
        <v>13673.646000000001</v>
      </c>
      <c r="L160">
        <v>17816.764999999999</v>
      </c>
      <c r="M160">
        <v>22969.277999999998</v>
      </c>
      <c r="N160">
        <f>IF(ISBLANK($B160),NA(),IFERROR(SUM($B160:$B$177),NA()))</f>
        <v>206348.10100000002</v>
      </c>
      <c r="O160">
        <f>IF(ISBLANK($C160),NA(),IFERROR(SUM($C160:$C$177),NA()))</f>
        <v>273228.77399999998</v>
      </c>
      <c r="P160">
        <f>IF(ISBLANK($D160),NA(),IFERROR(SUM($D160:$D$177),NA()))</f>
        <v>444120.14499999996</v>
      </c>
      <c r="Q160">
        <f t="shared" si="48"/>
        <v>717348.91899999999</v>
      </c>
      <c r="R160">
        <f t="shared" si="49"/>
        <v>28.765374218121604</v>
      </c>
      <c r="S160">
        <f t="shared" si="50"/>
        <v>38.088685542439634</v>
      </c>
      <c r="T160">
        <f>IF(ISBLANK($E160),NA(),IFERROR(SUM($E160:$E$177),NA()))</f>
        <v>227831.23700000005</v>
      </c>
      <c r="U160">
        <f>IF(ISBLANK($F160),NA(),IFERROR(SUM($F160:$F$177),NA()))</f>
        <v>296316.33999999997</v>
      </c>
      <c r="V160">
        <f>IF(ISBLANK($G160),NA(),IFERROR(SUM($G160:$G$177),NA()))</f>
        <v>522682.63299999997</v>
      </c>
      <c r="W160">
        <f t="shared" si="51"/>
        <v>818998.973</v>
      </c>
      <c r="X160">
        <f t="shared" si="52"/>
        <v>27.818256739132696</v>
      </c>
      <c r="Y160">
        <f t="shared" si="53"/>
        <v>36.180306663217266</v>
      </c>
      <c r="Z160">
        <f>IF(ISBLANK($H160),NA(),IFERROR(SUM($H160:$H$177),NA()))</f>
        <v>226978.772</v>
      </c>
      <c r="AA160">
        <f>IF(ISBLANK($I160),NA(),IFERROR(SUM($I160:$I$177),NA()))</f>
        <v>301956.05499999999</v>
      </c>
      <c r="AB160">
        <f>IF(ISBLANK($J160),NA(),IFERROR(SUM($J160:$J$177),NA()))</f>
        <v>548511.11599999992</v>
      </c>
      <c r="AC160">
        <f t="shared" si="54"/>
        <v>850467.17099999986</v>
      </c>
      <c r="AD160">
        <f t="shared" si="55"/>
        <v>26.688716477217206</v>
      </c>
      <c r="AE160">
        <f t="shared" si="56"/>
        <v>35.504727906775372</v>
      </c>
      <c r="AF160">
        <f>IF(ISBLANK($K160),NA(),IFERROR(SUM($K160:$K$177),NA()))</f>
        <v>208408.96499999997</v>
      </c>
      <c r="AG160">
        <f>IF(ISBLANK($L160),NA(),IFERROR(SUM($L160:$L$177),NA()))</f>
        <v>276070.44799999997</v>
      </c>
      <c r="AH160">
        <f>IF(ISBLANK($M160),NA(),IFERROR(SUM($M160:$M$177),NA()))</f>
        <v>489433.49099999992</v>
      </c>
      <c r="AI160">
        <f t="shared" si="57"/>
        <v>765503.9389999999</v>
      </c>
      <c r="AJ160">
        <f t="shared" si="58"/>
        <v>27.225067616536457</v>
      </c>
      <c r="AK160">
        <f t="shared" si="59"/>
        <v>36.063883402172806</v>
      </c>
    </row>
    <row r="161" spans="1:37" x14ac:dyDescent="0.35">
      <c r="A161">
        <v>2008</v>
      </c>
      <c r="B161">
        <v>12822.44</v>
      </c>
      <c r="C161">
        <v>16559.697</v>
      </c>
      <c r="D161">
        <v>19612.766</v>
      </c>
      <c r="E161">
        <v>14235.392</v>
      </c>
      <c r="F161">
        <v>18233.544000000002</v>
      </c>
      <c r="G161">
        <v>24017.879000000001</v>
      </c>
      <c r="H161">
        <v>13868.516</v>
      </c>
      <c r="I161">
        <v>18032.715</v>
      </c>
      <c r="J161">
        <v>24451.153999999999</v>
      </c>
      <c r="K161">
        <v>13281.959000000001</v>
      </c>
      <c r="L161">
        <v>17375.925999999999</v>
      </c>
      <c r="M161">
        <v>23719.065999999999</v>
      </c>
      <c r="N161">
        <f>IF(ISBLANK($B161),NA(),IFERROR(SUM($B161:$B$177),NA()))</f>
        <v>193156.31300000002</v>
      </c>
      <c r="O161">
        <f>IF(ISBLANK($C161),NA(),IFERROR(SUM($C161:$C$177),NA()))</f>
        <v>256296.429</v>
      </c>
      <c r="P161">
        <f>IF(ISBLANK($D161),NA(),IFERROR(SUM($D161:$D$177),NA()))</f>
        <v>425451.17600000004</v>
      </c>
      <c r="Q161">
        <f t="shared" si="48"/>
        <v>681747.60499999998</v>
      </c>
      <c r="R161">
        <f t="shared" si="49"/>
        <v>28.33252534858557</v>
      </c>
      <c r="S161">
        <f t="shared" si="50"/>
        <v>37.594034378749299</v>
      </c>
      <c r="T161">
        <f>IF(ISBLANK($E161),NA(),IFERROR(SUM($E161:$E$177),NA()))</f>
        <v>213217.21700000003</v>
      </c>
      <c r="U161">
        <f>IF(ISBLANK($F161),NA(),IFERROR(SUM($F161:$F$177),NA()))</f>
        <v>277695.58899999998</v>
      </c>
      <c r="V161">
        <f>IF(ISBLANK($G161),NA(),IFERROR(SUM($G161:$G$177),NA()))</f>
        <v>499554.46</v>
      </c>
      <c r="W161">
        <f t="shared" si="51"/>
        <v>777250.049</v>
      </c>
      <c r="X161">
        <f t="shared" si="52"/>
        <v>27.432255202083628</v>
      </c>
      <c r="Y161">
        <f t="shared" si="53"/>
        <v>35.72796030791887</v>
      </c>
      <c r="Z161">
        <f>IF(ISBLANK($H161),NA(),IFERROR(SUM($H161:$H$177),NA()))</f>
        <v>212719.63999999998</v>
      </c>
      <c r="AA161">
        <f>IF(ISBLANK($I161),NA(),IFERROR(SUM($I161:$I$177),NA()))</f>
        <v>283489.06600000005</v>
      </c>
      <c r="AB161">
        <f>IF(ISBLANK($J161),NA(),IFERROR(SUM($J161:$J$177),NA()))</f>
        <v>524777.74699999997</v>
      </c>
      <c r="AC161">
        <f t="shared" si="54"/>
        <v>808266.81300000008</v>
      </c>
      <c r="AD161">
        <f t="shared" si="55"/>
        <v>26.317997544704337</v>
      </c>
      <c r="AE161">
        <f t="shared" si="56"/>
        <v>35.073698615410059</v>
      </c>
      <c r="AF161">
        <f>IF(ISBLANK($K161),NA(),IFERROR(SUM($K161:$K$177),NA()))</f>
        <v>194735.31899999999</v>
      </c>
      <c r="AG161">
        <f>IF(ISBLANK($L161),NA(),IFERROR(SUM($L161:$L$177),NA()))</f>
        <v>258253.68299999999</v>
      </c>
      <c r="AH161">
        <f>IF(ISBLANK($M161),NA(),IFERROR(SUM($M161:$M$177),NA()))</f>
        <v>466464.21299999999</v>
      </c>
      <c r="AI161">
        <f t="shared" si="57"/>
        <v>724717.89599999995</v>
      </c>
      <c r="AJ161">
        <f t="shared" si="58"/>
        <v>26.870499552283722</v>
      </c>
      <c r="AK161">
        <f t="shared" si="59"/>
        <v>35.635063577897355</v>
      </c>
    </row>
    <row r="162" spans="1:37" x14ac:dyDescent="0.35">
      <c r="A162">
        <v>2009</v>
      </c>
      <c r="B162">
        <v>11945.429</v>
      </c>
      <c r="C162">
        <v>15450.621999999999</v>
      </c>
      <c r="D162">
        <v>20147.199000000001</v>
      </c>
      <c r="E162">
        <v>13360.968999999999</v>
      </c>
      <c r="F162">
        <v>17085.629000000001</v>
      </c>
      <c r="G162">
        <v>24621.038</v>
      </c>
      <c r="H162">
        <v>13035.669</v>
      </c>
      <c r="I162">
        <v>16944.954000000002</v>
      </c>
      <c r="J162">
        <v>25141.159</v>
      </c>
      <c r="K162">
        <v>12522.388000000001</v>
      </c>
      <c r="L162">
        <v>16359.322</v>
      </c>
      <c r="M162">
        <v>24336.667000000001</v>
      </c>
      <c r="N162">
        <f>IF(ISBLANK($B162),NA(),IFERROR(SUM($B162:$B$177),NA()))</f>
        <v>180333.87299999999</v>
      </c>
      <c r="O162">
        <f>IF(ISBLANK($C162),NA(),IFERROR(SUM($C162:$C$177),NA()))</f>
        <v>239736.73200000002</v>
      </c>
      <c r="P162">
        <f>IF(ISBLANK($D162),NA(),IFERROR(SUM($D162:$D$177),NA()))</f>
        <v>405838.41000000003</v>
      </c>
      <c r="Q162">
        <f t="shared" si="48"/>
        <v>645575.14199999999</v>
      </c>
      <c r="R162">
        <f t="shared" si="49"/>
        <v>27.933831597251928</v>
      </c>
      <c r="S162">
        <f t="shared" si="50"/>
        <v>37.135372229062689</v>
      </c>
      <c r="T162">
        <f>IF(ISBLANK($E162),NA(),IFERROR(SUM($E162:$E$177),NA()))</f>
        <v>198981.82500000001</v>
      </c>
      <c r="U162">
        <f>IF(ISBLANK($F162),NA(),IFERROR(SUM($F162:$F$177),NA()))</f>
        <v>259462.04500000004</v>
      </c>
      <c r="V162">
        <f>IF(ISBLANK($G162),NA(),IFERROR(SUM($G162:$G$177),NA()))</f>
        <v>475536.58100000001</v>
      </c>
      <c r="W162">
        <f t="shared" si="51"/>
        <v>734998.62600000005</v>
      </c>
      <c r="X162">
        <f t="shared" si="52"/>
        <v>27.072407751684697</v>
      </c>
      <c r="Y162">
        <f t="shared" si="53"/>
        <v>35.301024494704301</v>
      </c>
      <c r="Z162">
        <f>IF(ISBLANK($H162),NA(),IFERROR(SUM($H162:$H$177),NA()))</f>
        <v>198851.12400000001</v>
      </c>
      <c r="AA162">
        <f>IF(ISBLANK($I162),NA(),IFERROR(SUM($I162:$I$177),NA()))</f>
        <v>265456.35100000002</v>
      </c>
      <c r="AB162">
        <f>IF(ISBLANK($J162),NA(),IFERROR(SUM($J162:$J$177),NA()))</f>
        <v>500326.59299999999</v>
      </c>
      <c r="AC162">
        <f t="shared" si="54"/>
        <v>765782.94400000002</v>
      </c>
      <c r="AD162">
        <f t="shared" si="55"/>
        <v>25.967034857334198</v>
      </c>
      <c r="AE162">
        <f t="shared" si="56"/>
        <v>34.664698800081922</v>
      </c>
      <c r="AF162">
        <f>IF(ISBLANK($K162),NA(),IFERROR(SUM($K162:$K$177),NA()))</f>
        <v>181453.36</v>
      </c>
      <c r="AG162">
        <f>IF(ISBLANK($L162),NA(),IFERROR(SUM($L162:$L$177),NA()))</f>
        <v>240877.75700000001</v>
      </c>
      <c r="AH162">
        <f>IF(ISBLANK($M162),NA(),IFERROR(SUM($M162:$M$177),NA()))</f>
        <v>442745.147</v>
      </c>
      <c r="AI162">
        <f t="shared" si="57"/>
        <v>683622.90399999998</v>
      </c>
      <c r="AJ162">
        <f t="shared" si="58"/>
        <v>26.542902371802334</v>
      </c>
      <c r="AK162">
        <f t="shared" si="59"/>
        <v>35.235472011043093</v>
      </c>
    </row>
    <row r="163" spans="1:37" x14ac:dyDescent="0.35">
      <c r="A163">
        <v>2010</v>
      </c>
      <c r="B163">
        <v>12267.41</v>
      </c>
      <c r="C163">
        <v>15929.107</v>
      </c>
      <c r="D163">
        <v>21555.933000000001</v>
      </c>
      <c r="E163">
        <v>13695.19</v>
      </c>
      <c r="F163">
        <v>17560.032999999999</v>
      </c>
      <c r="G163">
        <v>25880.047999999999</v>
      </c>
      <c r="H163">
        <v>13490.692999999999</v>
      </c>
      <c r="I163">
        <v>17572.326000000001</v>
      </c>
      <c r="J163">
        <v>26684.201000000001</v>
      </c>
      <c r="K163">
        <v>12927.093999999999</v>
      </c>
      <c r="L163">
        <v>16894.492999999999</v>
      </c>
      <c r="M163">
        <v>25825.469000000001</v>
      </c>
      <c r="N163">
        <f>IF(ISBLANK($B163),NA(),IFERROR(SUM($B163:$B$177),NA()))</f>
        <v>168388.44399999999</v>
      </c>
      <c r="O163">
        <f>IF(ISBLANK($C163),NA(),IFERROR(SUM($C163:$C$177),NA()))</f>
        <v>224286.11000000004</v>
      </c>
      <c r="P163">
        <f>IF(ISBLANK($D163),NA(),IFERROR(SUM($D163:$D$177),NA()))</f>
        <v>385691.21100000001</v>
      </c>
      <c r="Q163">
        <f t="shared" ref="Q163:Q177" si="60">IFERROR(O163+P163,"")</f>
        <v>609977.321</v>
      </c>
      <c r="R163">
        <f t="shared" ref="R163:R177" si="61">IFERROR(N163/Q163*100,NA())</f>
        <v>27.605689294143442</v>
      </c>
      <c r="S163">
        <f t="shared" ref="S163:S177" si="62">IFERROR(O163/Q163*100,NA())</f>
        <v>36.769581798927248</v>
      </c>
      <c r="T163">
        <f>IF(ISBLANK($E163),NA(),IFERROR(SUM($E163:$E$177),NA()))</f>
        <v>185620.856</v>
      </c>
      <c r="U163">
        <f>IF(ISBLANK($F163),NA(),IFERROR(SUM($F163:$F$177),NA()))</f>
        <v>242376.41600000003</v>
      </c>
      <c r="V163">
        <f>IF(ISBLANK($G163),NA(),IFERROR(SUM($G163:$G$177),NA()))</f>
        <v>450915.54300000006</v>
      </c>
      <c r="W163">
        <f t="shared" ref="W163:W177" si="63">IFERROR(U163+V163,"")</f>
        <v>693291.95900000003</v>
      </c>
      <c r="X163">
        <f t="shared" ref="X163:X177" si="64">IFERROR(T163/W163*100,NA())</f>
        <v>26.773836561978641</v>
      </c>
      <c r="Y163">
        <f t="shared" ref="Y163:Y177" si="65">IFERROR(U163/W163*100,NA())</f>
        <v>34.960223157586057</v>
      </c>
      <c r="Z163">
        <f>IF(ISBLANK($H163),NA(),IFERROR(SUM($H163:$H$177),NA()))</f>
        <v>185815.45499999999</v>
      </c>
      <c r="AA163">
        <f>IF(ISBLANK($I163),NA(),IFERROR(SUM($I163:$I$177),NA()))</f>
        <v>248511.397</v>
      </c>
      <c r="AB163">
        <f>IF(ISBLANK($J163),NA(),IFERROR(SUM($J163:$J$177),NA()))</f>
        <v>475185.43400000001</v>
      </c>
      <c r="AC163">
        <f t="shared" ref="AC163:AC177" si="66">IFERROR(AA163+AB163,"")</f>
        <v>723696.83100000001</v>
      </c>
      <c r="AD163">
        <f t="shared" ref="AD163:AD177" si="67">IFERROR(Z163/AC163*100,NA())</f>
        <v>25.675869651555789</v>
      </c>
      <c r="AE163">
        <f t="shared" ref="AE163:AE177" si="68">IFERROR(AA163/AC163*100,NA())</f>
        <v>34.339157828922424</v>
      </c>
      <c r="AF163">
        <f>IF(ISBLANK($K163),NA(),IFERROR(SUM($K163:$K$177),NA()))</f>
        <v>168930.97199999998</v>
      </c>
      <c r="AG163">
        <f>IF(ISBLANK($L163),NA(),IFERROR(SUM($L163:$L$177),NA()))</f>
        <v>224518.43500000003</v>
      </c>
      <c r="AH163">
        <f>IF(ISBLANK($M163),NA(),IFERROR(SUM($M163:$M$177),NA()))</f>
        <v>418408.48</v>
      </c>
      <c r="AI163">
        <f t="shared" ref="AI163:AI177" si="69">IFERROR(AG163+AH163,"")</f>
        <v>642926.91500000004</v>
      </c>
      <c r="AJ163">
        <f t="shared" ref="AJ163:AJ177" si="70">IFERROR(AF163/AI163*100,NA())</f>
        <v>26.275299424974296</v>
      </c>
      <c r="AK163">
        <f t="shared" ref="AK163:AK177" si="71">IFERROR(AG163/AI163*100,NA())</f>
        <v>34.921299725023957</v>
      </c>
    </row>
    <row r="164" spans="1:37" x14ac:dyDescent="0.35">
      <c r="A164">
        <v>2011</v>
      </c>
      <c r="B164">
        <v>12041.380999999999</v>
      </c>
      <c r="C164">
        <v>15818.934999999999</v>
      </c>
      <c r="D164">
        <v>22990.006000000001</v>
      </c>
      <c r="E164">
        <v>13434.759</v>
      </c>
      <c r="F164">
        <v>17404.231</v>
      </c>
      <c r="G164">
        <v>27402.531999999999</v>
      </c>
      <c r="H164">
        <v>13202.249</v>
      </c>
      <c r="I164">
        <v>17426.017</v>
      </c>
      <c r="J164">
        <v>28190.880000000001</v>
      </c>
      <c r="K164">
        <v>12751.045</v>
      </c>
      <c r="L164">
        <v>16850.089</v>
      </c>
      <c r="M164">
        <v>27121.841</v>
      </c>
      <c r="N164">
        <f>IF(ISBLANK($B164),NA(),IFERROR(SUM($B164:$B$177),NA()))</f>
        <v>156121.03400000001</v>
      </c>
      <c r="O164">
        <f>IF(ISBLANK($C164),NA(),IFERROR(SUM($C164:$C$177),NA()))</f>
        <v>208357.00300000003</v>
      </c>
      <c r="P164">
        <f>IF(ISBLANK($D164),NA(),IFERROR(SUM($D164:$D$177),NA()))</f>
        <v>364135.27800000005</v>
      </c>
      <c r="Q164">
        <f t="shared" si="60"/>
        <v>572492.28100000008</v>
      </c>
      <c r="R164">
        <f t="shared" si="61"/>
        <v>27.27041729318967</v>
      </c>
      <c r="S164">
        <f t="shared" si="62"/>
        <v>36.394727040869917</v>
      </c>
      <c r="T164">
        <f>IF(ISBLANK($E164),NA(),IFERROR(SUM($E164:$E$177),NA()))</f>
        <v>171925.66600000003</v>
      </c>
      <c r="U164">
        <f>IF(ISBLANK($F164),NA(),IFERROR(SUM($F164:$F$177),NA()))</f>
        <v>224816.38300000003</v>
      </c>
      <c r="V164">
        <f>IF(ISBLANK($G164),NA(),IFERROR(SUM($G164:$G$177),NA()))</f>
        <v>425035.49500000005</v>
      </c>
      <c r="W164">
        <f t="shared" si="63"/>
        <v>649851.87800000003</v>
      </c>
      <c r="X164">
        <f t="shared" si="64"/>
        <v>26.45613128473563</v>
      </c>
      <c r="Y164">
        <f t="shared" si="65"/>
        <v>34.59501935916542</v>
      </c>
      <c r="Z164">
        <f>IF(ISBLANK($H164),NA(),IFERROR(SUM($H164:$H$177),NA()))</f>
        <v>172324.76199999999</v>
      </c>
      <c r="AA164">
        <f>IF(ISBLANK($I164),NA(),IFERROR(SUM($I164:$I$177),NA()))</f>
        <v>230939.071</v>
      </c>
      <c r="AB164">
        <f>IF(ISBLANK($J164),NA(),IFERROR(SUM($J164:$J$177),NA()))</f>
        <v>448501.23299999995</v>
      </c>
      <c r="AC164">
        <f t="shared" si="66"/>
        <v>679440.304</v>
      </c>
      <c r="AD164">
        <f t="shared" si="67"/>
        <v>25.362752398627208</v>
      </c>
      <c r="AE164">
        <f t="shared" si="68"/>
        <v>33.989604331744204</v>
      </c>
      <c r="AF164">
        <f>IF(ISBLANK($K164),NA(),IFERROR(SUM($K164:$K$177),NA()))</f>
        <v>156003.878</v>
      </c>
      <c r="AG164">
        <f>IF(ISBLANK($L164),NA(),IFERROR(SUM($L164:$L$177),NA()))</f>
        <v>207623.94200000004</v>
      </c>
      <c r="AH164">
        <f>IF(ISBLANK($M164),NA(),IFERROR(SUM($M164:$M$177),NA()))</f>
        <v>392583.01099999994</v>
      </c>
      <c r="AI164">
        <f t="shared" si="69"/>
        <v>600206.95299999998</v>
      </c>
      <c r="AJ164">
        <f t="shared" si="70"/>
        <v>25.991681239320798</v>
      </c>
      <c r="AK164">
        <f t="shared" si="71"/>
        <v>34.592058782764553</v>
      </c>
    </row>
    <row r="165" spans="1:37" x14ac:dyDescent="0.35">
      <c r="A165">
        <v>2012</v>
      </c>
      <c r="B165">
        <v>11833.886</v>
      </c>
      <c r="C165">
        <v>15621.683999999999</v>
      </c>
      <c r="D165">
        <v>23735.893</v>
      </c>
      <c r="E165">
        <v>13206.076999999999</v>
      </c>
      <c r="F165">
        <v>17175.864000000001</v>
      </c>
      <c r="G165">
        <v>28204.866000000002</v>
      </c>
      <c r="H165">
        <v>12992.946</v>
      </c>
      <c r="I165">
        <v>17208.377</v>
      </c>
      <c r="J165">
        <v>29075.043000000001</v>
      </c>
      <c r="K165">
        <v>12570.325000000001</v>
      </c>
      <c r="L165">
        <v>16627.705000000002</v>
      </c>
      <c r="M165">
        <v>27887.262999999999</v>
      </c>
      <c r="N165">
        <f>IF(ISBLANK($B165),NA(),IFERROR(SUM($B165:$B$177),NA()))</f>
        <v>144079.65300000002</v>
      </c>
      <c r="O165">
        <f>IF(ISBLANK($C165),NA(),IFERROR(SUM($C165:$C$177),NA()))</f>
        <v>192538.06800000003</v>
      </c>
      <c r="P165">
        <f>IF(ISBLANK($D165),NA(),IFERROR(SUM($D165:$D$177),NA()))</f>
        <v>341145.27200000006</v>
      </c>
      <c r="Q165">
        <f t="shared" si="60"/>
        <v>533683.34000000008</v>
      </c>
      <c r="R165">
        <f t="shared" si="61"/>
        <v>26.997217675934948</v>
      </c>
      <c r="S165">
        <f t="shared" si="62"/>
        <v>36.077211628903392</v>
      </c>
      <c r="T165">
        <f>IF(ISBLANK($E165),NA(),IFERROR(SUM($E165:$E$177),NA()))</f>
        <v>158490.90700000001</v>
      </c>
      <c r="U165">
        <f>IF(ISBLANK($F165),NA(),IFERROR(SUM($F165:$F$177),NA()))</f>
        <v>207412.152</v>
      </c>
      <c r="V165">
        <f>IF(ISBLANK($G165),NA(),IFERROR(SUM($G165:$G$177),NA()))</f>
        <v>397632.96299999999</v>
      </c>
      <c r="W165">
        <f t="shared" si="63"/>
        <v>605045.11499999999</v>
      </c>
      <c r="X165">
        <f t="shared" si="64"/>
        <v>26.194890772731881</v>
      </c>
      <c r="Y165">
        <f t="shared" si="65"/>
        <v>34.280444029367956</v>
      </c>
      <c r="Z165">
        <f>IF(ISBLANK($H165),NA(),IFERROR(SUM($H165:$H$177),NA()))</f>
        <v>159122.51300000001</v>
      </c>
      <c r="AA165">
        <f>IF(ISBLANK($I165),NA(),IFERROR(SUM($I165:$I$177),NA()))</f>
        <v>213513.054</v>
      </c>
      <c r="AB165">
        <f>IF(ISBLANK($J165),NA(),IFERROR(SUM($J165:$J$177),NA()))</f>
        <v>420310.353</v>
      </c>
      <c r="AC165">
        <f t="shared" si="66"/>
        <v>633823.40700000001</v>
      </c>
      <c r="AD165">
        <f t="shared" si="67"/>
        <v>25.10518091358529</v>
      </c>
      <c r="AE165">
        <f t="shared" si="68"/>
        <v>33.686520826139201</v>
      </c>
      <c r="AF165">
        <f>IF(ISBLANK($K165),NA(),IFERROR(SUM($K165:$K$177),NA()))</f>
        <v>143252.83299999998</v>
      </c>
      <c r="AG165">
        <f>IF(ISBLANK($L165),NA(),IFERROR(SUM($L165:$L$177),NA()))</f>
        <v>190773.853</v>
      </c>
      <c r="AH165">
        <f>IF(ISBLANK($M165),NA(),IFERROR(SUM($M165:$M$177),NA()))</f>
        <v>365461.16999999993</v>
      </c>
      <c r="AI165">
        <f t="shared" si="69"/>
        <v>556235.02299999993</v>
      </c>
      <c r="AJ165">
        <f t="shared" si="70"/>
        <v>25.754011717453469</v>
      </c>
      <c r="AK165">
        <f t="shared" si="71"/>
        <v>34.297346465362722</v>
      </c>
    </row>
    <row r="166" spans="1:37" x14ac:dyDescent="0.35">
      <c r="A166">
        <v>2013</v>
      </c>
      <c r="B166">
        <v>11921.143</v>
      </c>
      <c r="C166">
        <v>15603.499</v>
      </c>
      <c r="D166">
        <v>24051.050999999999</v>
      </c>
      <c r="E166">
        <v>13331.63</v>
      </c>
      <c r="F166">
        <v>17188.449000000001</v>
      </c>
      <c r="G166">
        <v>28629.203000000001</v>
      </c>
      <c r="H166">
        <v>13071.982</v>
      </c>
      <c r="I166">
        <v>17196.321</v>
      </c>
      <c r="J166">
        <v>29844.722000000002</v>
      </c>
      <c r="K166">
        <v>12599.65</v>
      </c>
      <c r="L166">
        <v>16571.922999999999</v>
      </c>
      <c r="M166">
        <v>28678.215</v>
      </c>
      <c r="N166">
        <f>IF(ISBLANK($B166),NA(),IFERROR(SUM($B166:$B$177),NA()))</f>
        <v>132245.76699999999</v>
      </c>
      <c r="O166">
        <f>IF(ISBLANK($C166),NA(),IFERROR(SUM($C166:$C$177),NA()))</f>
        <v>176916.38399999996</v>
      </c>
      <c r="P166">
        <f>IF(ISBLANK($D166),NA(),IFERROR(SUM($D166:$D$177),NA()))</f>
        <v>317409.37900000002</v>
      </c>
      <c r="Q166">
        <f t="shared" si="60"/>
        <v>494325.76299999998</v>
      </c>
      <c r="R166">
        <f t="shared" si="61"/>
        <v>26.752756359979564</v>
      </c>
      <c r="S166">
        <f t="shared" si="62"/>
        <v>35.789432241264748</v>
      </c>
      <c r="T166">
        <f>IF(ISBLANK($E166),NA(),IFERROR(SUM($E166:$E$177),NA()))</f>
        <v>145284.83000000002</v>
      </c>
      <c r="U166">
        <f>IF(ISBLANK($F166),NA(),IFERROR(SUM($F166:$F$177),NA()))</f>
        <v>190236.288</v>
      </c>
      <c r="V166">
        <f>IF(ISBLANK($G166),NA(),IFERROR(SUM($G166:$G$177),NA()))</f>
        <v>369428.09700000001</v>
      </c>
      <c r="W166">
        <f t="shared" si="63"/>
        <v>559664.38500000001</v>
      </c>
      <c r="X166">
        <f t="shared" si="64"/>
        <v>25.959277362271322</v>
      </c>
      <c r="Y166">
        <f t="shared" si="65"/>
        <v>33.991137027595563</v>
      </c>
      <c r="Z166">
        <f>IF(ISBLANK($H166),NA(),IFERROR(SUM($H166:$H$177),NA()))</f>
        <v>146129.56700000001</v>
      </c>
      <c r="AA166">
        <f>IF(ISBLANK($I166),NA(),IFERROR(SUM($I166:$I$177),NA()))</f>
        <v>196304.677</v>
      </c>
      <c r="AB166">
        <f>IF(ISBLANK($J166),NA(),IFERROR(SUM($J166:$J$177),NA()))</f>
        <v>391235.31</v>
      </c>
      <c r="AC166">
        <f t="shared" si="66"/>
        <v>587539.98699999996</v>
      </c>
      <c r="AD166">
        <f t="shared" si="67"/>
        <v>24.8714249639659</v>
      </c>
      <c r="AE166">
        <f t="shared" si="68"/>
        <v>33.411287970770914</v>
      </c>
      <c r="AF166">
        <f>IF(ISBLANK($K166),NA(),IFERROR(SUM($K166:$K$177),NA()))</f>
        <v>130682.50799999999</v>
      </c>
      <c r="AG166">
        <f>IF(ISBLANK($L166),NA(),IFERROR(SUM($L166:$L$177),NA()))</f>
        <v>174146.14800000002</v>
      </c>
      <c r="AH166">
        <f>IF(ISBLANK($M166),NA(),IFERROR(SUM($M166:$M$177),NA()))</f>
        <v>337573.90699999989</v>
      </c>
      <c r="AI166">
        <f t="shared" si="69"/>
        <v>511720.05499999993</v>
      </c>
      <c r="AJ166">
        <f t="shared" si="70"/>
        <v>25.537890634362569</v>
      </c>
      <c r="AK166">
        <f t="shared" si="71"/>
        <v>34.031526866774847</v>
      </c>
    </row>
    <row r="167" spans="1:37" x14ac:dyDescent="0.35">
      <c r="A167">
        <v>2014</v>
      </c>
      <c r="B167">
        <v>11766.173000000001</v>
      </c>
      <c r="C167">
        <v>15403.626</v>
      </c>
      <c r="D167">
        <v>24496.273000000001</v>
      </c>
      <c r="E167">
        <v>13161.575000000001</v>
      </c>
      <c r="F167">
        <v>16961.733</v>
      </c>
      <c r="G167">
        <v>29268.339</v>
      </c>
      <c r="H167">
        <v>12894.382</v>
      </c>
      <c r="I167">
        <v>16963.466</v>
      </c>
      <c r="J167">
        <v>30397.116000000002</v>
      </c>
      <c r="K167">
        <v>12466.834999999999</v>
      </c>
      <c r="L167">
        <v>16372.763000000001</v>
      </c>
      <c r="M167">
        <v>29119.773000000001</v>
      </c>
      <c r="N167">
        <f>IF(ISBLANK($B167),NA(),IFERROR(SUM($B167:$B$177),NA()))</f>
        <v>120324.62400000001</v>
      </c>
      <c r="O167">
        <f>IF(ISBLANK($C167),NA(),IFERROR(SUM($C167:$C$177),NA()))</f>
        <v>161312.88500000001</v>
      </c>
      <c r="P167">
        <f>IF(ISBLANK($D167),NA(),IFERROR(SUM($D167:$D$177),NA()))</f>
        <v>293358.32800000004</v>
      </c>
      <c r="Q167">
        <f t="shared" si="60"/>
        <v>454671.21300000005</v>
      </c>
      <c r="R167">
        <f t="shared" si="61"/>
        <v>26.464095495748925</v>
      </c>
      <c r="S167">
        <f t="shared" si="62"/>
        <v>35.479018769547658</v>
      </c>
      <c r="T167">
        <f>IF(ISBLANK($E167),NA(),IFERROR(SUM($E167:$E$177),NA()))</f>
        <v>131953.20000000001</v>
      </c>
      <c r="U167">
        <f>IF(ISBLANK($F167),NA(),IFERROR(SUM($F167:$F$177),NA()))</f>
        <v>173047.83900000001</v>
      </c>
      <c r="V167">
        <f>IF(ISBLANK($G167),NA(),IFERROR(SUM($G167:$G$177),NA()))</f>
        <v>340798.89399999997</v>
      </c>
      <c r="W167">
        <f t="shared" si="63"/>
        <v>513846.73300000001</v>
      </c>
      <c r="X167">
        <f t="shared" si="64"/>
        <v>25.679486026818822</v>
      </c>
      <c r="Y167">
        <f t="shared" si="65"/>
        <v>33.676936698554435</v>
      </c>
      <c r="Z167">
        <f>IF(ISBLANK($H167),NA(),IFERROR(SUM($H167:$H$177),NA()))</f>
        <v>133057.58499999999</v>
      </c>
      <c r="AA167">
        <f>IF(ISBLANK($I167),NA(),IFERROR(SUM($I167:$I$177),NA()))</f>
        <v>179108.356</v>
      </c>
      <c r="AB167">
        <f>IF(ISBLANK($J167),NA(),IFERROR(SUM($J167:$J$177),NA()))</f>
        <v>361390.58799999999</v>
      </c>
      <c r="AC167">
        <f t="shared" si="66"/>
        <v>540498.94400000002</v>
      </c>
      <c r="AD167">
        <f t="shared" si="67"/>
        <v>24.617547633913599</v>
      </c>
      <c r="AE167">
        <f t="shared" si="68"/>
        <v>33.137595917301184</v>
      </c>
      <c r="AF167">
        <f>IF(ISBLANK($K167),NA(),IFERROR(SUM($K167:$K$177),NA()))</f>
        <v>118082.85799999998</v>
      </c>
      <c r="AG167">
        <f>IF(ISBLANK($L167),NA(),IFERROR(SUM($L167:$L$177),NA()))</f>
        <v>157574.22500000001</v>
      </c>
      <c r="AH167">
        <f>IF(ISBLANK($M167),NA(),IFERROR(SUM($M167:$M$177),NA()))</f>
        <v>308895.69200000004</v>
      </c>
      <c r="AI167">
        <f t="shared" si="69"/>
        <v>466469.91700000002</v>
      </c>
      <c r="AJ167">
        <f t="shared" si="70"/>
        <v>25.31414217650395</v>
      </c>
      <c r="AK167">
        <f t="shared" si="71"/>
        <v>33.780147284396051</v>
      </c>
    </row>
    <row r="168" spans="1:37" x14ac:dyDescent="0.35">
      <c r="A168">
        <v>2015</v>
      </c>
      <c r="B168">
        <v>11588.035</v>
      </c>
      <c r="C168">
        <v>15212.561</v>
      </c>
      <c r="D168">
        <v>24587.428</v>
      </c>
      <c r="E168">
        <v>12977.353999999999</v>
      </c>
      <c r="F168">
        <v>16735.429</v>
      </c>
      <c r="G168">
        <v>29718.654999999999</v>
      </c>
      <c r="H168">
        <v>12750.58</v>
      </c>
      <c r="I168">
        <v>16798.682000000001</v>
      </c>
      <c r="J168">
        <v>30409.437999999998</v>
      </c>
      <c r="K168">
        <v>12346.32</v>
      </c>
      <c r="L168">
        <v>16168.547</v>
      </c>
      <c r="M168">
        <v>29102.433000000001</v>
      </c>
      <c r="N168">
        <f>IF(ISBLANK($B168),NA(),IFERROR(SUM($B168:$B$177),NA()))</f>
        <v>108558.451</v>
      </c>
      <c r="O168">
        <f>IF(ISBLANK($C168),NA(),IFERROR(SUM($C168:$C$177),NA()))</f>
        <v>145909.25899999996</v>
      </c>
      <c r="P168">
        <f>IF(ISBLANK($D168),NA(),IFERROR(SUM($D168:$D$177),NA()))</f>
        <v>268862.05499999999</v>
      </c>
      <c r="Q168">
        <f t="shared" si="60"/>
        <v>414771.31399999995</v>
      </c>
      <c r="R168">
        <f t="shared" si="61"/>
        <v>26.173085586145433</v>
      </c>
      <c r="S168">
        <f t="shared" si="62"/>
        <v>35.178242582128036</v>
      </c>
      <c r="T168">
        <f>IF(ISBLANK($E168),NA(),IFERROR(SUM($E168:$E$177),NA()))</f>
        <v>118791.62499999999</v>
      </c>
      <c r="U168">
        <f>IF(ISBLANK($F168),NA(),IFERROR(SUM($F168:$F$177),NA()))</f>
        <v>156086.106</v>
      </c>
      <c r="V168">
        <f>IF(ISBLANK($G168),NA(),IFERROR(SUM($G168:$G$177),NA()))</f>
        <v>311530.55499999999</v>
      </c>
      <c r="W168">
        <f t="shared" si="63"/>
        <v>467616.66099999996</v>
      </c>
      <c r="X168">
        <f t="shared" si="64"/>
        <v>25.403633982151884</v>
      </c>
      <c r="Y168">
        <f t="shared" si="65"/>
        <v>33.379072864129625</v>
      </c>
      <c r="Z168">
        <f>IF(ISBLANK($H168),NA(),IFERROR(SUM($H168:$H$177),NA()))</f>
        <v>120163.20299999999</v>
      </c>
      <c r="AA168">
        <f>IF(ISBLANK($I168),NA(),IFERROR(SUM($I168:$I$177),NA()))</f>
        <v>162144.88999999998</v>
      </c>
      <c r="AB168">
        <f>IF(ISBLANK($J168),NA(),IFERROR(SUM($J168:$J$177),NA()))</f>
        <v>330993.47200000001</v>
      </c>
      <c r="AC168">
        <f t="shared" si="66"/>
        <v>493138.36199999996</v>
      </c>
      <c r="AD168">
        <f t="shared" si="67"/>
        <v>24.367036162560805</v>
      </c>
      <c r="AE168">
        <f t="shared" si="68"/>
        <v>32.880202088192036</v>
      </c>
      <c r="AF168">
        <f>IF(ISBLANK($K168),NA(),IFERROR(SUM($K168:$K$177),NA()))</f>
        <v>105616.02299999999</v>
      </c>
      <c r="AG168">
        <f>IF(ISBLANK($L168),NA(),IFERROR(SUM($L168:$L$177),NA()))</f>
        <v>141201.462</v>
      </c>
      <c r="AH168">
        <f>IF(ISBLANK($M168),NA(),IFERROR(SUM($M168:$M$177),NA()))</f>
        <v>279775.91899999999</v>
      </c>
      <c r="AI168">
        <f t="shared" si="69"/>
        <v>420977.38099999999</v>
      </c>
      <c r="AJ168">
        <f t="shared" si="70"/>
        <v>25.088289244689843</v>
      </c>
      <c r="AK168">
        <f t="shared" si="71"/>
        <v>33.541341737788045</v>
      </c>
    </row>
    <row r="169" spans="1:37" x14ac:dyDescent="0.35">
      <c r="A169">
        <v>2016</v>
      </c>
      <c r="B169">
        <v>11369.508</v>
      </c>
      <c r="C169">
        <v>15044.370999999999</v>
      </c>
      <c r="D169">
        <v>24743.116000000002</v>
      </c>
      <c r="E169">
        <v>12745.261</v>
      </c>
      <c r="F169">
        <v>16550.843000000001</v>
      </c>
      <c r="G169">
        <v>30139.285</v>
      </c>
      <c r="H169">
        <v>12582.47</v>
      </c>
      <c r="I169">
        <v>16663.755000000001</v>
      </c>
      <c r="J169">
        <v>30703.257000000001</v>
      </c>
      <c r="K169">
        <v>12159.462</v>
      </c>
      <c r="L169">
        <v>16023.4</v>
      </c>
      <c r="M169">
        <v>29334.633999999998</v>
      </c>
      <c r="N169">
        <f>IF(ISBLANK($B169),NA(),IFERROR(SUM($B169:$B$177),NA()))</f>
        <v>96970.415999999997</v>
      </c>
      <c r="O169">
        <f>IF(ISBLANK($C169),NA(),IFERROR(SUM($C169:$C$177),NA()))</f>
        <v>130696.698</v>
      </c>
      <c r="P169">
        <f>IF(ISBLANK($D169),NA(),IFERROR(SUM($D169:$D$177),NA()))</f>
        <v>244274.62700000001</v>
      </c>
      <c r="Q169">
        <f t="shared" si="60"/>
        <v>374971.32500000001</v>
      </c>
      <c r="R169">
        <f t="shared" si="61"/>
        <v>25.860755085738891</v>
      </c>
      <c r="S169">
        <f t="shared" si="62"/>
        <v>34.855118054693918</v>
      </c>
      <c r="T169">
        <f>IF(ISBLANK($E169),NA(),IFERROR(SUM($E169:$E$177),NA()))</f>
        <v>105814.27099999999</v>
      </c>
      <c r="U169">
        <f>IF(ISBLANK($F169),NA(),IFERROR(SUM($F169:$F$177),NA()))</f>
        <v>139350.677</v>
      </c>
      <c r="V169">
        <f>IF(ISBLANK($G169),NA(),IFERROR(SUM($G169:$G$177),NA()))</f>
        <v>281811.90000000002</v>
      </c>
      <c r="W169">
        <f t="shared" si="63"/>
        <v>421162.57700000005</v>
      </c>
      <c r="X169">
        <f t="shared" si="64"/>
        <v>25.124328888319052</v>
      </c>
      <c r="Y169">
        <f t="shared" si="65"/>
        <v>33.087146059513259</v>
      </c>
      <c r="Z169">
        <f>IF(ISBLANK($H169),NA(),IFERROR(SUM($H169:$H$177),NA()))</f>
        <v>107412.62299999999</v>
      </c>
      <c r="AA169">
        <f>IF(ISBLANK($I169),NA(),IFERROR(SUM($I169:$I$177),NA()))</f>
        <v>145346.20800000001</v>
      </c>
      <c r="AB169">
        <f>IF(ISBLANK($J169),NA(),IFERROR(SUM($J169:$J$177),NA()))</f>
        <v>300584.03399999999</v>
      </c>
      <c r="AC169">
        <f t="shared" si="66"/>
        <v>445930.24199999997</v>
      </c>
      <c r="AD169">
        <f t="shared" si="67"/>
        <v>24.087315208372885</v>
      </c>
      <c r="AE169">
        <f t="shared" si="68"/>
        <v>32.593933828780337</v>
      </c>
      <c r="AF169">
        <f>IF(ISBLANK($K169),NA(),IFERROR(SUM($K169:$K$177),NA()))</f>
        <v>93269.702999999994</v>
      </c>
      <c r="AG169">
        <f>IF(ISBLANK($L169),NA(),IFERROR(SUM($L169:$L$177),NA()))</f>
        <v>125032.91499999998</v>
      </c>
      <c r="AH169">
        <f>IF(ISBLANK($M169),NA(),IFERROR(SUM($M169:$M$177),NA()))</f>
        <v>250673.486</v>
      </c>
      <c r="AI169">
        <f t="shared" si="69"/>
        <v>375706.40099999995</v>
      </c>
      <c r="AJ169">
        <f t="shared" si="70"/>
        <v>24.825156758508356</v>
      </c>
      <c r="AK169">
        <f t="shared" si="71"/>
        <v>33.279421023226057</v>
      </c>
    </row>
    <row r="170" spans="1:37" x14ac:dyDescent="0.35">
      <c r="A170">
        <v>2017</v>
      </c>
      <c r="B170">
        <v>11325.46</v>
      </c>
      <c r="C170">
        <v>15085.261</v>
      </c>
      <c r="D170">
        <v>25370.645</v>
      </c>
      <c r="E170">
        <v>12706.203</v>
      </c>
      <c r="F170">
        <v>16590.07</v>
      </c>
      <c r="G170">
        <v>31028.532999999999</v>
      </c>
      <c r="H170">
        <v>12531.709000000001</v>
      </c>
      <c r="I170">
        <v>16710.731</v>
      </c>
      <c r="J170">
        <v>31421.156999999999</v>
      </c>
      <c r="K170">
        <v>12145.079</v>
      </c>
      <c r="L170">
        <v>16087.971</v>
      </c>
      <c r="M170">
        <v>29990.136999999999</v>
      </c>
      <c r="N170">
        <f>IF(ISBLANK($B170),NA(),IFERROR(SUM($B170:$B$177),NA()))</f>
        <v>85600.907999999996</v>
      </c>
      <c r="O170">
        <f>IF(ISBLANK($C170),NA(),IFERROR(SUM($C170:$C$177),NA()))</f>
        <v>115652.32699999999</v>
      </c>
      <c r="P170">
        <f>IF(ISBLANK($D170),NA(),IFERROR(SUM($D170:$D$177),NA()))</f>
        <v>219531.511</v>
      </c>
      <c r="Q170">
        <f t="shared" si="60"/>
        <v>335183.83799999999</v>
      </c>
      <c r="R170">
        <f t="shared" si="61"/>
        <v>25.53849508698567</v>
      </c>
      <c r="S170">
        <f t="shared" si="62"/>
        <v>34.504147840207018</v>
      </c>
      <c r="T170">
        <f>IF(ISBLANK($E170),NA(),IFERROR(SUM($E170:$E$177),NA()))</f>
        <v>93069.01</v>
      </c>
      <c r="U170">
        <f>IF(ISBLANK($F170),NA(),IFERROR(SUM($F170:$F$177),NA()))</f>
        <v>122799.83399999999</v>
      </c>
      <c r="V170">
        <f>IF(ISBLANK($G170),NA(),IFERROR(SUM($G170:$G$177),NA()))</f>
        <v>251672.61499999999</v>
      </c>
      <c r="W170">
        <f t="shared" si="63"/>
        <v>374472.44899999996</v>
      </c>
      <c r="X170">
        <f t="shared" si="64"/>
        <v>24.85336644886257</v>
      </c>
      <c r="Y170">
        <f t="shared" si="65"/>
        <v>32.792755335653546</v>
      </c>
      <c r="Z170">
        <f>IF(ISBLANK($H170),NA(),IFERROR(SUM($H170:$H$177),NA()))</f>
        <v>94830.152999999991</v>
      </c>
      <c r="AA170">
        <f>IF(ISBLANK($I170),NA(),IFERROR(SUM($I170:$I$177),NA()))</f>
        <v>128682.45300000001</v>
      </c>
      <c r="AB170">
        <f>IF(ISBLANK($J170),NA(),IFERROR(SUM($J170:$J$177),NA()))</f>
        <v>269880.777</v>
      </c>
      <c r="AC170">
        <f t="shared" si="66"/>
        <v>398563.23</v>
      </c>
      <c r="AD170">
        <f t="shared" si="67"/>
        <v>23.793000924846979</v>
      </c>
      <c r="AE170">
        <f t="shared" si="68"/>
        <v>32.28658423909301</v>
      </c>
      <c r="AF170">
        <f>IF(ISBLANK($K170),NA(),IFERROR(SUM($K170:$K$177),NA()))</f>
        <v>81110.240999999995</v>
      </c>
      <c r="AG170">
        <f>IF(ISBLANK($L170),NA(),IFERROR(SUM($L170:$L$177),NA()))</f>
        <v>109009.51499999998</v>
      </c>
      <c r="AH170">
        <f>IF(ISBLANK($M170),NA(),IFERROR(SUM($M170:$M$177),NA()))</f>
        <v>221338.85200000001</v>
      </c>
      <c r="AI170">
        <f t="shared" si="69"/>
        <v>330348.36699999997</v>
      </c>
      <c r="AJ170">
        <f t="shared" si="70"/>
        <v>24.5529414104838</v>
      </c>
      <c r="AK170">
        <f t="shared" si="71"/>
        <v>32.998351403989226</v>
      </c>
    </row>
    <row r="171" spans="1:37" x14ac:dyDescent="0.35">
      <c r="A171">
        <v>2018</v>
      </c>
      <c r="B171">
        <v>11412.57</v>
      </c>
      <c r="C171">
        <v>15244.098</v>
      </c>
      <c r="D171">
        <v>26095.018</v>
      </c>
      <c r="E171">
        <v>12791.475</v>
      </c>
      <c r="F171">
        <v>16746.100999999999</v>
      </c>
      <c r="G171">
        <v>31637.839</v>
      </c>
      <c r="H171">
        <v>12598.099</v>
      </c>
      <c r="I171">
        <v>16882.124</v>
      </c>
      <c r="J171">
        <v>32308.120999999999</v>
      </c>
      <c r="K171">
        <v>12264.248</v>
      </c>
      <c r="L171">
        <v>16308.731</v>
      </c>
      <c r="M171">
        <v>30656.584999999999</v>
      </c>
      <c r="N171">
        <f>IF(ISBLANK($B171),NA(),IFERROR(SUM($B171:$B$177),NA()))</f>
        <v>74275.448000000004</v>
      </c>
      <c r="O171">
        <f>IF(ISBLANK($C171),NA(),IFERROR(SUM($C171:$C$177),NA()))</f>
        <v>100567.06599999999</v>
      </c>
      <c r="P171">
        <f>IF(ISBLANK($D171),NA(),IFERROR(SUM($D171:$D$177),NA()))</f>
        <v>194160.86600000001</v>
      </c>
      <c r="Q171">
        <f t="shared" si="60"/>
        <v>294727.93200000003</v>
      </c>
      <c r="R171">
        <f t="shared" si="61"/>
        <v>25.201360283693774</v>
      </c>
      <c r="S171">
        <f t="shared" si="62"/>
        <v>34.122000353872124</v>
      </c>
      <c r="T171">
        <f>IF(ISBLANK($E171),NA(),IFERROR(SUM($E171:$E$177),NA()))</f>
        <v>80362.806999999986</v>
      </c>
      <c r="U171">
        <f>IF(ISBLANK($F171),NA(),IFERROR(SUM($F171:$F$177),NA()))</f>
        <v>106209.764</v>
      </c>
      <c r="V171">
        <f>IF(ISBLANK($G171),NA(),IFERROR(SUM($G171:$G$177),NA()))</f>
        <v>220644.08199999999</v>
      </c>
      <c r="W171">
        <f t="shared" si="63"/>
        <v>326853.84600000002</v>
      </c>
      <c r="X171">
        <f t="shared" si="64"/>
        <v>24.586771116041874</v>
      </c>
      <c r="Y171">
        <f t="shared" si="65"/>
        <v>32.494573736788759</v>
      </c>
      <c r="Z171">
        <f>IF(ISBLANK($H171),NA(),IFERROR(SUM($H171:$H$177),NA()))</f>
        <v>82298.443999999989</v>
      </c>
      <c r="AA171">
        <f>IF(ISBLANK($I171),NA(),IFERROR(SUM($I171:$I$177),NA()))</f>
        <v>111971.72200000001</v>
      </c>
      <c r="AB171">
        <f>IF(ISBLANK($J171),NA(),IFERROR(SUM($J171:$J$177),NA()))</f>
        <v>238459.62</v>
      </c>
      <c r="AC171">
        <f t="shared" si="66"/>
        <v>350431.342</v>
      </c>
      <c r="AD171">
        <f t="shared" si="67"/>
        <v>23.484898220091281</v>
      </c>
      <c r="AE171">
        <f t="shared" si="68"/>
        <v>31.952542075988173</v>
      </c>
      <c r="AF171">
        <f>IF(ISBLANK($K171),NA(),IFERROR(SUM($K171:$K$177),NA()))</f>
        <v>68965.161999999997</v>
      </c>
      <c r="AG171">
        <f>IF(ISBLANK($L171),NA(),IFERROR(SUM($L171:$L$177),NA()))</f>
        <v>92921.543999999994</v>
      </c>
      <c r="AH171">
        <f>IF(ISBLANK($M171),NA(),IFERROR(SUM($M171:$M$177),NA()))</f>
        <v>191348.71500000003</v>
      </c>
      <c r="AI171">
        <f t="shared" si="69"/>
        <v>284270.25900000002</v>
      </c>
      <c r="AJ171">
        <f t="shared" si="70"/>
        <v>24.260421136774632</v>
      </c>
      <c r="AK171">
        <f t="shared" si="71"/>
        <v>32.687747331316849</v>
      </c>
    </row>
    <row r="172" spans="1:37" x14ac:dyDescent="0.35">
      <c r="A172">
        <v>2019</v>
      </c>
      <c r="B172">
        <v>11146.928</v>
      </c>
      <c r="C172">
        <v>14929.248</v>
      </c>
      <c r="D172">
        <v>26848.478999999999</v>
      </c>
      <c r="E172">
        <v>12446.253000000001</v>
      </c>
      <c r="F172">
        <v>16332.204</v>
      </c>
      <c r="G172">
        <v>32109.751</v>
      </c>
      <c r="H172">
        <v>12300.347</v>
      </c>
      <c r="I172">
        <v>16555.073</v>
      </c>
      <c r="J172">
        <v>32906.898999999998</v>
      </c>
      <c r="K172">
        <v>11942.916999999999</v>
      </c>
      <c r="L172">
        <v>15929.011</v>
      </c>
      <c r="M172">
        <v>31172.326000000001</v>
      </c>
      <c r="N172">
        <f>IF(ISBLANK($B172),NA(),IFERROR(SUM($B172:$B$177),NA()))</f>
        <v>62862.877999999997</v>
      </c>
      <c r="O172">
        <f>IF(ISBLANK($C172),NA(),IFERROR(SUM($C172:$C$177),NA()))</f>
        <v>85322.967999999993</v>
      </c>
      <c r="P172">
        <f>IF(ISBLANK($D172),NA(),IFERROR(SUM($D172:$D$177),NA()))</f>
        <v>168065.848</v>
      </c>
      <c r="Q172">
        <f t="shared" si="60"/>
        <v>253388.81599999999</v>
      </c>
      <c r="R172">
        <f t="shared" si="61"/>
        <v>24.808860545762997</v>
      </c>
      <c r="S172">
        <f t="shared" si="62"/>
        <v>33.672744261925118</v>
      </c>
      <c r="T172">
        <f>IF(ISBLANK($E172),NA(),IFERROR(SUM($E172:$E$177),NA()))</f>
        <v>67571.332000000009</v>
      </c>
      <c r="U172">
        <f>IF(ISBLANK($F172),NA(),IFERROR(SUM($F172:$F$177),NA()))</f>
        <v>89463.662999999986</v>
      </c>
      <c r="V172">
        <f>IF(ISBLANK($G172),NA(),IFERROR(SUM($G172:$G$177),NA()))</f>
        <v>189006.24300000002</v>
      </c>
      <c r="W172">
        <f t="shared" si="63"/>
        <v>278469.90600000002</v>
      </c>
      <c r="X172">
        <f t="shared" si="64"/>
        <v>24.265218806085283</v>
      </c>
      <c r="Y172">
        <f t="shared" si="65"/>
        <v>32.126869393204728</v>
      </c>
      <c r="Z172">
        <f>IF(ISBLANK($H172),NA(),IFERROR(SUM($H172:$H$177),NA()))</f>
        <v>69700.344999999987</v>
      </c>
      <c r="AA172">
        <f>IF(ISBLANK($I172),NA(),IFERROR(SUM($I172:$I$177),NA()))</f>
        <v>95089.598000000013</v>
      </c>
      <c r="AB172">
        <f>IF(ISBLANK($J172),NA(),IFERROR(SUM($J172:$J$177),NA()))</f>
        <v>206151.49900000001</v>
      </c>
      <c r="AC172">
        <f t="shared" si="66"/>
        <v>301241.09700000001</v>
      </c>
      <c r="AD172">
        <f t="shared" si="67"/>
        <v>23.137727784864619</v>
      </c>
      <c r="AE172">
        <f t="shared" si="68"/>
        <v>31.565944669229513</v>
      </c>
      <c r="AF172">
        <f>IF(ISBLANK($K172),NA(),IFERROR(SUM($K172:$K$177),NA()))</f>
        <v>56700.914000000004</v>
      </c>
      <c r="AG172">
        <f>IF(ISBLANK($L172),NA(),IFERROR(SUM($L172:$L$177),NA()))</f>
        <v>76612.812999999995</v>
      </c>
      <c r="AH172">
        <f>IF(ISBLANK($M172),NA(),IFERROR(SUM($M172:$M$177),NA()))</f>
        <v>160692.13</v>
      </c>
      <c r="AI172">
        <f t="shared" si="69"/>
        <v>237304.943</v>
      </c>
      <c r="AJ172">
        <f t="shared" si="70"/>
        <v>23.89369276644187</v>
      </c>
      <c r="AK172">
        <f t="shared" si="71"/>
        <v>32.284541582431345</v>
      </c>
    </row>
    <row r="173" spans="1:37" x14ac:dyDescent="0.35">
      <c r="A173">
        <v>2020</v>
      </c>
      <c r="B173">
        <v>10110.066999999999</v>
      </c>
      <c r="C173">
        <v>13754.537</v>
      </c>
      <c r="D173">
        <v>26317.035</v>
      </c>
      <c r="E173">
        <v>11410.817999999999</v>
      </c>
      <c r="F173">
        <v>15174.106</v>
      </c>
      <c r="G173">
        <v>31736.9</v>
      </c>
      <c r="H173">
        <v>11299.117</v>
      </c>
      <c r="I173">
        <v>15424.864</v>
      </c>
      <c r="J173">
        <v>32563.831999999999</v>
      </c>
      <c r="K173">
        <v>10949.116</v>
      </c>
      <c r="L173">
        <v>14809.51</v>
      </c>
      <c r="M173">
        <v>30854.438999999998</v>
      </c>
      <c r="N173">
        <f>IF(ISBLANK($B173),NA(),IFERROR(SUM($B173:$B$177),NA()))</f>
        <v>51715.95</v>
      </c>
      <c r="O173">
        <f>IF(ISBLANK($C173),NA(),IFERROR(SUM($C173:$C$177),NA()))</f>
        <v>70393.72</v>
      </c>
      <c r="P173">
        <f>IF(ISBLANK($D173),NA(),IFERROR(SUM($D173:$D$177),NA()))</f>
        <v>141217.36900000001</v>
      </c>
      <c r="Q173">
        <f t="shared" si="60"/>
        <v>211611.08900000001</v>
      </c>
      <c r="R173">
        <f t="shared" si="61"/>
        <v>24.439149311310427</v>
      </c>
      <c r="S173">
        <f t="shared" si="62"/>
        <v>33.265610196826692</v>
      </c>
      <c r="T173">
        <f>IF(ISBLANK($E173),NA(),IFERROR(SUM($E173:$E$177),NA()))</f>
        <v>55125.078999999998</v>
      </c>
      <c r="U173">
        <f>IF(ISBLANK($F173),NA(),IFERROR(SUM($F173:$F$177),NA()))</f>
        <v>73131.458999999988</v>
      </c>
      <c r="V173">
        <f>IF(ISBLANK($G173),NA(),IFERROR(SUM($G173:$G$177),NA()))</f>
        <v>156896.492</v>
      </c>
      <c r="W173">
        <f t="shared" si="63"/>
        <v>230027.951</v>
      </c>
      <c r="X173">
        <f t="shared" si="64"/>
        <v>23.96451333864205</v>
      </c>
      <c r="Y173">
        <f t="shared" si="65"/>
        <v>31.792422912987643</v>
      </c>
      <c r="Z173">
        <f>IF(ISBLANK($H173),NA(),IFERROR(SUM($H173:$H$177),NA()))</f>
        <v>57399.997999999992</v>
      </c>
      <c r="AA173">
        <f>IF(ISBLANK($I173),NA(),IFERROR(SUM($I173:$I$177),NA()))</f>
        <v>78534.524999999994</v>
      </c>
      <c r="AB173">
        <f>IF(ISBLANK($J173),NA(),IFERROR(SUM($J173:$J$177),NA()))</f>
        <v>173244.59999999998</v>
      </c>
      <c r="AC173">
        <f t="shared" si="66"/>
        <v>251779.12499999997</v>
      </c>
      <c r="AD173">
        <f t="shared" si="67"/>
        <v>22.797758948443402</v>
      </c>
      <c r="AE173">
        <f t="shared" si="68"/>
        <v>31.191833318191094</v>
      </c>
      <c r="AF173">
        <f>IF(ISBLANK($K173),NA(),IFERROR(SUM($K173:$K$177),NA()))</f>
        <v>44757.997000000003</v>
      </c>
      <c r="AG173">
        <f>IF(ISBLANK($L173),NA(),IFERROR(SUM($L173:$L$177),NA()))</f>
        <v>60683.802000000003</v>
      </c>
      <c r="AH173">
        <f>IF(ISBLANK($M173),NA(),IFERROR(SUM($M173:$M$177),NA()))</f>
        <v>129519.804</v>
      </c>
      <c r="AI173">
        <f t="shared" si="69"/>
        <v>190203.606</v>
      </c>
      <c r="AJ173">
        <f t="shared" si="70"/>
        <v>23.531623790560523</v>
      </c>
      <c r="AK173">
        <f t="shared" si="71"/>
        <v>31.904653795049505</v>
      </c>
    </row>
    <row r="174" spans="1:37" x14ac:dyDescent="0.35">
      <c r="A174">
        <v>2021</v>
      </c>
      <c r="B174">
        <v>10645.296</v>
      </c>
      <c r="C174">
        <v>14459.23</v>
      </c>
      <c r="D174">
        <v>27464.455999999998</v>
      </c>
      <c r="E174">
        <v>11897.638999999999</v>
      </c>
      <c r="F174">
        <v>15817.947</v>
      </c>
      <c r="G174">
        <v>33014.620000000003</v>
      </c>
      <c r="H174">
        <v>11771.713</v>
      </c>
      <c r="I174">
        <v>16152.722</v>
      </c>
      <c r="J174">
        <v>34008.561999999998</v>
      </c>
      <c r="K174">
        <v>11391.763999999999</v>
      </c>
      <c r="L174">
        <v>15512.689</v>
      </c>
      <c r="M174">
        <v>32213.937000000002</v>
      </c>
      <c r="N174">
        <f>IF(ISBLANK($B174),NA(),IFERROR(SUM($B174:$B$177),NA()))</f>
        <v>41605.883000000002</v>
      </c>
      <c r="O174">
        <f>IF(ISBLANK($C174),NA(),IFERROR(SUM($C174:$C$177),NA()))</f>
        <v>56639.182999999997</v>
      </c>
      <c r="P174">
        <f>IF(ISBLANK($D174),NA(),IFERROR(SUM($D174:$D$177),NA()))</f>
        <v>114900.334</v>
      </c>
      <c r="Q174">
        <f t="shared" si="60"/>
        <v>171539.51699999999</v>
      </c>
      <c r="R174">
        <f t="shared" si="61"/>
        <v>24.254401392537442</v>
      </c>
      <c r="S174">
        <f t="shared" si="62"/>
        <v>33.018154644798258</v>
      </c>
      <c r="T174">
        <f>IF(ISBLANK($E174),NA(),IFERROR(SUM($E174:$E$177),NA()))</f>
        <v>43714.260999999999</v>
      </c>
      <c r="U174">
        <f>IF(ISBLANK($F174),NA(),IFERROR(SUM($F174:$F$177),NA()))</f>
        <v>57957.353000000003</v>
      </c>
      <c r="V174">
        <f>IF(ISBLANK($G174),NA(),IFERROR(SUM($G174:$G$177),NA()))</f>
        <v>125159.592</v>
      </c>
      <c r="W174">
        <f t="shared" si="63"/>
        <v>183116.94500000001</v>
      </c>
      <c r="X174">
        <f t="shared" si="64"/>
        <v>23.872318861588695</v>
      </c>
      <c r="Y174">
        <f t="shared" si="65"/>
        <v>31.650458672735066</v>
      </c>
      <c r="Z174">
        <f>IF(ISBLANK($H174),NA(),IFERROR(SUM($H174:$H$177),NA()))</f>
        <v>46100.880999999994</v>
      </c>
      <c r="AA174">
        <f>IF(ISBLANK($I174),NA(),IFERROR(SUM($I174:$I$177),NA()))</f>
        <v>63109.661</v>
      </c>
      <c r="AB174">
        <f>IF(ISBLANK($J174),NA(),IFERROR(SUM($J174:$J$177),NA()))</f>
        <v>140680.76799999998</v>
      </c>
      <c r="AC174">
        <f t="shared" si="66"/>
        <v>203790.42899999997</v>
      </c>
      <c r="AD174">
        <f t="shared" si="67"/>
        <v>22.621710561294321</v>
      </c>
      <c r="AE174">
        <f t="shared" si="68"/>
        <v>30.96792195280182</v>
      </c>
      <c r="AF174">
        <f>IF(ISBLANK($K174),NA(),IFERROR(SUM($K174:$K$177),NA()))</f>
        <v>33808.881000000001</v>
      </c>
      <c r="AG174">
        <f>IF(ISBLANK($L174),NA(),IFERROR(SUM($L174:$L$177),NA()))</f>
        <v>45874.292000000001</v>
      </c>
      <c r="AH174">
        <f>IF(ISBLANK($M174),NA(),IFERROR(SUM($M174:$M$177),NA()))</f>
        <v>98665.365000000005</v>
      </c>
      <c r="AI174">
        <f t="shared" si="69"/>
        <v>144539.65700000001</v>
      </c>
      <c r="AJ174">
        <f t="shared" si="70"/>
        <v>23.390730061024012</v>
      </c>
      <c r="AK174">
        <f t="shared" si="71"/>
        <v>31.738204553785536</v>
      </c>
    </row>
    <row r="175" spans="1:37" x14ac:dyDescent="0.35">
      <c r="A175">
        <v>2022</v>
      </c>
      <c r="B175">
        <v>10589.18</v>
      </c>
      <c r="C175">
        <v>14289.32</v>
      </c>
      <c r="D175">
        <v>28377.31</v>
      </c>
      <c r="E175">
        <v>11794.931</v>
      </c>
      <c r="F175">
        <v>15567.946</v>
      </c>
      <c r="G175">
        <v>33544.574999999997</v>
      </c>
      <c r="H175">
        <v>11749.84</v>
      </c>
      <c r="I175">
        <v>15954.508</v>
      </c>
      <c r="J175">
        <v>34618.095999999998</v>
      </c>
      <c r="K175">
        <v>11382.431</v>
      </c>
      <c r="L175">
        <v>15363.486999999999</v>
      </c>
      <c r="M175">
        <v>32706.931</v>
      </c>
      <c r="N175">
        <f>IF(ISBLANK($B175),NA(),IFERROR(SUM($B175:$B$177),NA()))</f>
        <v>30960.587</v>
      </c>
      <c r="O175">
        <f>IF(ISBLANK($C175),NA(),IFERROR(SUM($C175:$C$177),NA()))</f>
        <v>42179.953000000001</v>
      </c>
      <c r="P175">
        <f>IF(ISBLANK($D175),NA(),IFERROR(SUM($D175:$D$177),NA()))</f>
        <v>87435.877999999997</v>
      </c>
      <c r="Q175">
        <f t="shared" si="60"/>
        <v>129615.83100000001</v>
      </c>
      <c r="R175">
        <f t="shared" si="61"/>
        <v>23.886424027941462</v>
      </c>
      <c r="S175">
        <f t="shared" si="62"/>
        <v>32.542284900368379</v>
      </c>
      <c r="T175">
        <f>IF(ISBLANK($E175),NA(),IFERROR(SUM($E175:$E$177),NA()))</f>
        <v>31816.622000000003</v>
      </c>
      <c r="U175">
        <f>IF(ISBLANK($F175),NA(),IFERROR(SUM($F175:$F$177),NA()))</f>
        <v>42139.406000000003</v>
      </c>
      <c r="V175">
        <f>IF(ISBLANK($G175),NA(),IFERROR(SUM($G175:$G$177),NA()))</f>
        <v>92144.972000000009</v>
      </c>
      <c r="W175">
        <f t="shared" si="63"/>
        <v>134284.37800000003</v>
      </c>
      <c r="X175">
        <f t="shared" si="64"/>
        <v>23.693464924117976</v>
      </c>
      <c r="Y175">
        <f t="shared" si="65"/>
        <v>31.380720994961898</v>
      </c>
      <c r="Z175">
        <f>IF(ISBLANK($H175),NA(),IFERROR(SUM($H175:$H$177),NA()))</f>
        <v>34329.167999999998</v>
      </c>
      <c r="AA175">
        <f>IF(ISBLANK($I175),NA(),IFERROR(SUM($I175:$I$177),NA()))</f>
        <v>46956.938999999998</v>
      </c>
      <c r="AB175">
        <f>IF(ISBLANK($J175),NA(),IFERROR(SUM($J175:$J$177),NA()))</f>
        <v>106672.20600000001</v>
      </c>
      <c r="AC175">
        <f t="shared" si="66"/>
        <v>153629.14500000002</v>
      </c>
      <c r="AD175">
        <f t="shared" si="67"/>
        <v>22.345478782688009</v>
      </c>
      <c r="AE175">
        <f t="shared" si="68"/>
        <v>30.565124215200179</v>
      </c>
      <c r="AF175">
        <f>IF(ISBLANK($K175),NA(),IFERROR(SUM($K175:$K$177),NA()))</f>
        <v>22417.116999999998</v>
      </c>
      <c r="AG175">
        <f>IF(ISBLANK($L175),NA(),IFERROR(SUM($L175:$L$177),NA()))</f>
        <v>30361.602999999999</v>
      </c>
      <c r="AH175">
        <f>IF(ISBLANK($M175),NA(),IFERROR(SUM($M175:$M$177),NA()))</f>
        <v>66451.428</v>
      </c>
      <c r="AI175">
        <f t="shared" si="69"/>
        <v>96813.031000000003</v>
      </c>
      <c r="AJ175">
        <f t="shared" si="70"/>
        <v>23.155061636279108</v>
      </c>
      <c r="AK175">
        <f t="shared" si="71"/>
        <v>31.36107059802724</v>
      </c>
    </row>
    <row r="176" spans="1:37" x14ac:dyDescent="0.35">
      <c r="A176">
        <v>2023</v>
      </c>
      <c r="B176">
        <v>10231.641</v>
      </c>
      <c r="C176">
        <v>13959.637000000001</v>
      </c>
      <c r="D176">
        <v>29295.151999999998</v>
      </c>
      <c r="E176">
        <v>11380.54</v>
      </c>
      <c r="F176">
        <v>15122.355</v>
      </c>
      <c r="G176">
        <v>34525.696000000004</v>
      </c>
      <c r="H176">
        <v>11313.263999999999</v>
      </c>
      <c r="I176">
        <v>15497.115</v>
      </c>
      <c r="J176">
        <v>35712.680999999997</v>
      </c>
      <c r="K176">
        <v>11034.686</v>
      </c>
      <c r="L176">
        <v>14998.116</v>
      </c>
      <c r="M176">
        <v>33744.497000000003</v>
      </c>
      <c r="N176">
        <f>IF(ISBLANK($B176),NA(),IFERROR(SUM($B176:$B$177),NA()))</f>
        <v>20371.406999999999</v>
      </c>
      <c r="O176">
        <f>IF(ISBLANK($C176),NA(),IFERROR(SUM($C176:$C$177),NA()))</f>
        <v>27890.633000000002</v>
      </c>
      <c r="P176">
        <f>IF(ISBLANK($D176),NA(),IFERROR(SUM($D176:$D$177),NA()))</f>
        <v>59058.567999999999</v>
      </c>
      <c r="Q176">
        <f t="shared" si="60"/>
        <v>86949.201000000001</v>
      </c>
      <c r="R176">
        <f t="shared" si="61"/>
        <v>23.429090509986398</v>
      </c>
      <c r="S176">
        <f t="shared" si="62"/>
        <v>32.07692845849153</v>
      </c>
      <c r="T176">
        <f>IF(ISBLANK($E176),NA(),IFERROR(SUM($E176:$E$177),NA()))</f>
        <v>20021.690999999999</v>
      </c>
      <c r="U176">
        <f>IF(ISBLANK($F176),NA(),IFERROR(SUM($F176:$F$177),NA()))</f>
        <v>26571.46</v>
      </c>
      <c r="V176">
        <f>IF(ISBLANK($G176),NA(),IFERROR(SUM($G176:$G$177),NA()))</f>
        <v>58600.397000000004</v>
      </c>
      <c r="W176">
        <f t="shared" si="63"/>
        <v>85171.857000000004</v>
      </c>
      <c r="X176">
        <f t="shared" si="64"/>
        <v>23.507402216203879</v>
      </c>
      <c r="Y176">
        <f t="shared" si="65"/>
        <v>31.197464674276148</v>
      </c>
      <c r="Z176">
        <f>IF(ISBLANK($H176),NA(),IFERROR(SUM($H176:$H$177),NA()))</f>
        <v>22579.328000000001</v>
      </c>
      <c r="AA176">
        <f>IF(ISBLANK($I176),NA(),IFERROR(SUM($I176:$I$177),NA()))</f>
        <v>31002.431</v>
      </c>
      <c r="AB176">
        <f>IF(ISBLANK($J176),NA(),IFERROR(SUM($J176:$J$177),NA()))</f>
        <v>72054.109999999986</v>
      </c>
      <c r="AC176">
        <f t="shared" si="66"/>
        <v>103056.54099999998</v>
      </c>
      <c r="AD176">
        <f t="shared" si="67"/>
        <v>21.909650548042364</v>
      </c>
      <c r="AE176">
        <f t="shared" si="68"/>
        <v>30.082933794566237</v>
      </c>
      <c r="AF176">
        <f>IF(ISBLANK($K176),NA(),IFERROR(SUM($K176:$K$177),NA()))</f>
        <v>11034.686</v>
      </c>
      <c r="AG176">
        <f>IF(ISBLANK($L176),NA(),IFERROR(SUM($L176:$L$177),NA()))</f>
        <v>14998.116</v>
      </c>
      <c r="AH176">
        <f>IF(ISBLANK($M176),NA(),IFERROR(SUM($M176:$M$177),NA()))</f>
        <v>33744.497000000003</v>
      </c>
      <c r="AI176">
        <f t="shared" si="69"/>
        <v>48742.613000000005</v>
      </c>
      <c r="AJ176">
        <f t="shared" si="70"/>
        <v>22.63868373244577</v>
      </c>
      <c r="AK176">
        <f t="shared" si="71"/>
        <v>30.770028681063938</v>
      </c>
    </row>
    <row r="177" spans="1:37" x14ac:dyDescent="0.35">
      <c r="A177">
        <v>2024</v>
      </c>
      <c r="B177">
        <v>10139.766</v>
      </c>
      <c r="C177">
        <v>13930.995999999999</v>
      </c>
      <c r="D177">
        <v>29763.416000000001</v>
      </c>
      <c r="E177">
        <v>8641.1509999999998</v>
      </c>
      <c r="F177">
        <v>11449.105</v>
      </c>
      <c r="G177">
        <v>24074.701000000001</v>
      </c>
      <c r="H177">
        <v>11266.064</v>
      </c>
      <c r="I177">
        <v>15505.316000000001</v>
      </c>
      <c r="J177">
        <v>36341.428999999996</v>
      </c>
      <c r="N177">
        <f>IF(ISBLANK($B177),NA(),IFERROR(SUM($B177:$B$177),NA()))</f>
        <v>10139.766</v>
      </c>
      <c r="O177">
        <f>IF(ISBLANK($C177),NA(),IFERROR(SUM($C177:$C$177),NA()))</f>
        <v>13930.995999999999</v>
      </c>
      <c r="P177">
        <f>IF(ISBLANK($D177),NA(),IFERROR(SUM($D177:$D$177),NA()))</f>
        <v>29763.416000000001</v>
      </c>
      <c r="Q177">
        <f t="shared" si="60"/>
        <v>43694.411999999997</v>
      </c>
      <c r="R177">
        <f t="shared" si="61"/>
        <v>23.206093264282856</v>
      </c>
      <c r="S177">
        <f t="shared" si="62"/>
        <v>31.882786293130572</v>
      </c>
      <c r="T177">
        <f>IF(ISBLANK($E177),NA(),IFERROR(SUM($E177:$E$177),NA()))</f>
        <v>8641.1509999999998</v>
      </c>
      <c r="U177">
        <f>IF(ISBLANK($F177),NA(),IFERROR(SUM($F177:$F$177),NA()))</f>
        <v>11449.105</v>
      </c>
      <c r="V177">
        <f>IF(ISBLANK($G177),NA(),IFERROR(SUM($G177:$G$177),NA()))</f>
        <v>24074.701000000001</v>
      </c>
      <c r="W177">
        <f t="shared" si="63"/>
        <v>35523.805999999997</v>
      </c>
      <c r="X177">
        <f t="shared" si="64"/>
        <v>24.324958311054846</v>
      </c>
      <c r="Y177">
        <f t="shared" si="65"/>
        <v>32.229387245274339</v>
      </c>
      <c r="Z177">
        <f>IF(ISBLANK($H177),NA(),IFERROR(SUM($H177:$H$177),NA()))</f>
        <v>11266.064</v>
      </c>
      <c r="AA177">
        <f>IF(ISBLANK($I177),NA(),IFERROR(SUM($I177:$I$177),NA()))</f>
        <v>15505.316000000001</v>
      </c>
      <c r="AB177">
        <f>IF(ISBLANK($J177),NA(),IFERROR(SUM($J177:$J$177),NA()))</f>
        <v>36341.428999999996</v>
      </c>
      <c r="AC177">
        <f t="shared" si="66"/>
        <v>51846.744999999995</v>
      </c>
      <c r="AD177">
        <f t="shared" si="67"/>
        <v>21.729549270643705</v>
      </c>
      <c r="AE177">
        <f t="shared" si="68"/>
        <v>29.90605485455259</v>
      </c>
      <c r="AF177" t="e">
        <f>IF(ISBLANK($K177),NA(),IFERROR(SUM($K177:$K$177),NA()))</f>
        <v>#N/A</v>
      </c>
      <c r="AG177" t="e">
        <f>IF(ISBLANK($L177),NA(),IFERROR(SUM($L177:$L$177),NA()))</f>
        <v>#N/A</v>
      </c>
      <c r="AH177" t="e">
        <f>IF(ISBLANK($M177),NA(),IFERROR(SUM($M177:$M$177),NA()))</f>
        <v>#N/A</v>
      </c>
      <c r="AI177" t="str">
        <f t="shared" si="69"/>
        <v/>
      </c>
      <c r="AJ177" t="e">
        <f t="shared" si="70"/>
        <v>#N/A</v>
      </c>
      <c r="AK177" t="e">
        <f t="shared" si="7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087-C4FD-4B13-9809-F18646E32A79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104D-9A4B-43D4-9A86-4B537C78BC9F}">
  <sheetPr>
    <tabColor rgb="FF0B4C5B"/>
  </sheetPr>
  <dimension ref="A1:S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 t="s">
        <v>64</v>
      </c>
      <c r="L2" s="1" t="s">
        <v>70</v>
      </c>
      <c r="M2" s="1" t="s">
        <v>15</v>
      </c>
      <c r="N2" s="1" t="s">
        <v>21</v>
      </c>
      <c r="O2" s="1" t="s">
        <v>65</v>
      </c>
      <c r="P2" s="1" t="s">
        <v>71</v>
      </c>
      <c r="Q2" s="2" t="s">
        <v>35</v>
      </c>
      <c r="R2" t="s">
        <v>73</v>
      </c>
      <c r="S2" t="s">
        <v>74</v>
      </c>
    </row>
    <row r="3" spans="1:19" x14ac:dyDescent="0.35">
      <c r="A3" s="6">
        <f>vals_ghg_excLUC!$A3</f>
        <v>1850</v>
      </c>
      <c r="B3" s="7">
        <f t="shared" ref="B3:B34" si="0">IFERROR(_xlfn.AGGREGATE(5,6,I3:L3),"")</f>
        <v>42.96309628573384</v>
      </c>
      <c r="C3" s="7">
        <f t="shared" ref="C3:C34" si="1">IFERROR(_xlfn.AGGREGATE(4,6,I3:L3),"")</f>
        <v>45.862868523155718</v>
      </c>
      <c r="D3" s="7">
        <f t="shared" ref="D3:D34" si="2">IFERROR(_xlfn.AGGREGATE(5,6,M3:P3),"")</f>
        <v>56.150527593055919</v>
      </c>
      <c r="E3" s="7">
        <f t="shared" ref="E3:E34" si="3">IFERROR(_xlfn.AGGREGATE(4,6,M3:P3),"")</f>
        <v>59.40210000367545</v>
      </c>
      <c r="F3" s="7">
        <f t="shared" ref="F3:F34" si="4">IFERROR(MIN(C3,D3)-B3,"")</f>
        <v>2.8997722374218782</v>
      </c>
      <c r="G3" s="7">
        <f t="shared" ref="G3:G34" si="5">IFERROR(MAX(0,C3-D3),"")</f>
        <v>0</v>
      </c>
      <c r="H3" s="7">
        <f t="shared" ref="H3:H34" si="6">IFERROR(MAX(0,D3-C3),"")</f>
        <v>10.287659069900201</v>
      </c>
      <c r="I3" s="8">
        <f>vals_ghg_excLUC!$R3</f>
        <v>45.862868523155718</v>
      </c>
      <c r="J3" s="8">
        <f>vals_ghg_excLUC!$X3</f>
        <v>42.96309628573384</v>
      </c>
      <c r="K3" s="8" t="e">
        <f>vals_ghg_excLUC!$AD3</f>
        <v>#N/A</v>
      </c>
      <c r="L3" s="8" t="e">
        <f>vals_ghg_excLUC!$AJ3</f>
        <v>#N/A</v>
      </c>
      <c r="M3" s="8">
        <f>vals_ghg_excLUC!$S3</f>
        <v>59.40210000367545</v>
      </c>
      <c r="N3" s="8">
        <f>vals_ghg_excLUC!$Y3</f>
        <v>56.150527593055919</v>
      </c>
      <c r="O3" s="8" t="e">
        <f>vals_ghg_excLUC!$AE3</f>
        <v>#N/A</v>
      </c>
      <c r="P3" s="8" t="e">
        <f>vals_ghg_excLUC!$AK3</f>
        <v>#N/A</v>
      </c>
      <c r="Q3" s="9">
        <f t="shared" ref="Q3:Q34" si="7">IFERROR(MAX(0,$E3-MAX($C3,$D3)),"")</f>
        <v>3.2515724106195307</v>
      </c>
      <c r="R3" s="9">
        <v>42.798000000000002</v>
      </c>
      <c r="S3" s="9">
        <v>55.890999999999998</v>
      </c>
    </row>
    <row r="4" spans="1:19" x14ac:dyDescent="0.35">
      <c r="A4" s="3">
        <f>vals_ghg_excLUC!$A4</f>
        <v>1851</v>
      </c>
      <c r="B4" s="4">
        <f t="shared" si="0"/>
        <v>42.965405864785353</v>
      </c>
      <c r="C4" s="4">
        <f t="shared" si="1"/>
        <v>45.860037552496706</v>
      </c>
      <c r="D4" s="4">
        <f t="shared" si="2"/>
        <v>56.153170012130445</v>
      </c>
      <c r="E4" s="4">
        <f t="shared" si="3"/>
        <v>59.399994415889466</v>
      </c>
      <c r="F4" s="4">
        <f t="shared" si="4"/>
        <v>2.8946316877113532</v>
      </c>
      <c r="G4" s="4">
        <f t="shared" si="5"/>
        <v>0</v>
      </c>
      <c r="H4" s="4">
        <f t="shared" si="6"/>
        <v>10.293132459633739</v>
      </c>
      <c r="I4" s="5">
        <f>vals_ghg_excLUC!$R4</f>
        <v>45.860037552496706</v>
      </c>
      <c r="J4" s="5">
        <f>vals_ghg_excLUC!$X4</f>
        <v>42.965405864785353</v>
      </c>
      <c r="K4" s="5" t="e">
        <f>vals_ghg_excLUC!$AD4</f>
        <v>#N/A</v>
      </c>
      <c r="L4" s="5" t="e">
        <f>vals_ghg_excLUC!$AJ4</f>
        <v>#N/A</v>
      </c>
      <c r="M4" s="5">
        <f>vals_ghg_excLUC!$S4</f>
        <v>59.399994415889466</v>
      </c>
      <c r="N4" s="5">
        <f>vals_ghg_excLUC!$Y4</f>
        <v>56.153170012130445</v>
      </c>
      <c r="O4" s="5" t="e">
        <f>vals_ghg_excLUC!$AE4</f>
        <v>#N/A</v>
      </c>
      <c r="P4" s="5" t="e">
        <f>vals_ghg_excLUC!$AK4</f>
        <v>#N/A</v>
      </c>
      <c r="Q4" s="9">
        <f t="shared" si="7"/>
        <v>3.246824403759021</v>
      </c>
      <c r="R4" s="9">
        <v>42.798000000000002</v>
      </c>
      <c r="S4" s="9">
        <v>55.890999999999998</v>
      </c>
    </row>
    <row r="5" spans="1:19" x14ac:dyDescent="0.35">
      <c r="A5" s="6">
        <f>vals_ghg_excLUC!$A5</f>
        <v>1852</v>
      </c>
      <c r="B5" s="7">
        <f t="shared" si="0"/>
        <v>42.967670046517547</v>
      </c>
      <c r="C5" s="7">
        <f t="shared" si="1"/>
        <v>45.857183869838444</v>
      </c>
      <c r="D5" s="7">
        <f t="shared" si="2"/>
        <v>56.155710160395344</v>
      </c>
      <c r="E5" s="7">
        <f t="shared" si="3"/>
        <v>59.397828533663684</v>
      </c>
      <c r="F5" s="7">
        <f t="shared" si="4"/>
        <v>2.8895138233208968</v>
      </c>
      <c r="G5" s="7">
        <f t="shared" si="5"/>
        <v>0</v>
      </c>
      <c r="H5" s="7">
        <f t="shared" si="6"/>
        <v>10.2985262905569</v>
      </c>
      <c r="I5" s="8">
        <f>vals_ghg_excLUC!$R5</f>
        <v>45.857183869838444</v>
      </c>
      <c r="J5" s="8">
        <f>vals_ghg_excLUC!$X5</f>
        <v>42.967670046517547</v>
      </c>
      <c r="K5" s="8" t="e">
        <f>vals_ghg_excLUC!$AD5</f>
        <v>#N/A</v>
      </c>
      <c r="L5" s="8" t="e">
        <f>vals_ghg_excLUC!$AJ5</f>
        <v>#N/A</v>
      </c>
      <c r="M5" s="8">
        <f>vals_ghg_excLUC!$S5</f>
        <v>59.397828533663684</v>
      </c>
      <c r="N5" s="8">
        <f>vals_ghg_excLUC!$Y5</f>
        <v>56.155710160395344</v>
      </c>
      <c r="O5" s="8" t="e">
        <f>vals_ghg_excLUC!$AE5</f>
        <v>#N/A</v>
      </c>
      <c r="P5" s="8" t="e">
        <f>vals_ghg_excLUC!$AK5</f>
        <v>#N/A</v>
      </c>
      <c r="Q5" s="9">
        <f t="shared" si="7"/>
        <v>3.2421183732683403</v>
      </c>
      <c r="R5" s="9">
        <v>42.790999999999997</v>
      </c>
      <c r="S5" s="9">
        <v>55.884</v>
      </c>
    </row>
    <row r="6" spans="1:19" x14ac:dyDescent="0.35">
      <c r="A6" s="3">
        <f>vals_ghg_excLUC!$A6</f>
        <v>1853</v>
      </c>
      <c r="B6" s="4">
        <f t="shared" si="0"/>
        <v>42.96972563621398</v>
      </c>
      <c r="C6" s="4">
        <f t="shared" si="1"/>
        <v>45.854112142177783</v>
      </c>
      <c r="D6" s="4">
        <f t="shared" si="2"/>
        <v>56.158014844629086</v>
      </c>
      <c r="E6" s="4">
        <f t="shared" si="3"/>
        <v>59.39544571141515</v>
      </c>
      <c r="F6" s="4">
        <f t="shared" si="4"/>
        <v>2.8843865059638034</v>
      </c>
      <c r="G6" s="4">
        <f t="shared" si="5"/>
        <v>0</v>
      </c>
      <c r="H6" s="4">
        <f t="shared" si="6"/>
        <v>10.303902702451303</v>
      </c>
      <c r="I6" s="5">
        <f>vals_ghg_excLUC!$R6</f>
        <v>45.854112142177783</v>
      </c>
      <c r="J6" s="5">
        <f>vals_ghg_excLUC!$X6</f>
        <v>42.96972563621398</v>
      </c>
      <c r="K6" s="5" t="e">
        <f>vals_ghg_excLUC!$AD6</f>
        <v>#N/A</v>
      </c>
      <c r="L6" s="5" t="e">
        <f>vals_ghg_excLUC!$AJ6</f>
        <v>#N/A</v>
      </c>
      <c r="M6" s="5">
        <f>vals_ghg_excLUC!$S6</f>
        <v>59.39544571141515</v>
      </c>
      <c r="N6" s="5">
        <f>vals_ghg_excLUC!$Y6</f>
        <v>56.158014844629086</v>
      </c>
      <c r="O6" s="5" t="e">
        <f>vals_ghg_excLUC!$AE6</f>
        <v>#N/A</v>
      </c>
      <c r="P6" s="5" t="e">
        <f>vals_ghg_excLUC!$AK6</f>
        <v>#N/A</v>
      </c>
      <c r="Q6" s="9">
        <f t="shared" si="7"/>
        <v>3.2374308667860632</v>
      </c>
      <c r="R6" s="9">
        <v>42.783999999999999</v>
      </c>
      <c r="S6" s="9">
        <v>55.877000000000002</v>
      </c>
    </row>
    <row r="7" spans="1:19" x14ac:dyDescent="0.35">
      <c r="A7" s="6">
        <f>vals_ghg_excLUC!$A7</f>
        <v>1854</v>
      </c>
      <c r="B7" s="7">
        <f t="shared" si="0"/>
        <v>42.971514801108285</v>
      </c>
      <c r="C7" s="7">
        <f t="shared" si="1"/>
        <v>45.850748415616835</v>
      </c>
      <c r="D7" s="7">
        <f t="shared" si="2"/>
        <v>56.160056180426665</v>
      </c>
      <c r="E7" s="7">
        <f t="shared" si="3"/>
        <v>59.392809124818648</v>
      </c>
      <c r="F7" s="7">
        <f t="shared" si="4"/>
        <v>2.87923361450855</v>
      </c>
      <c r="G7" s="7">
        <f t="shared" si="5"/>
        <v>0</v>
      </c>
      <c r="H7" s="7">
        <f t="shared" si="6"/>
        <v>10.30930776480983</v>
      </c>
      <c r="I7" s="8">
        <f>vals_ghg_excLUC!$R7</f>
        <v>45.850748415616835</v>
      </c>
      <c r="J7" s="8">
        <f>vals_ghg_excLUC!$X7</f>
        <v>42.971514801108285</v>
      </c>
      <c r="K7" s="8" t="e">
        <f>vals_ghg_excLUC!$AD7</f>
        <v>#N/A</v>
      </c>
      <c r="L7" s="8" t="e">
        <f>vals_ghg_excLUC!$AJ7</f>
        <v>#N/A</v>
      </c>
      <c r="M7" s="8">
        <f>vals_ghg_excLUC!$S7</f>
        <v>59.392809124818648</v>
      </c>
      <c r="N7" s="8">
        <f>vals_ghg_excLUC!$Y7</f>
        <v>56.160056180426665</v>
      </c>
      <c r="O7" s="8" t="e">
        <f>vals_ghg_excLUC!$AE7</f>
        <v>#N/A</v>
      </c>
      <c r="P7" s="8" t="e">
        <f>vals_ghg_excLUC!$AK7</f>
        <v>#N/A</v>
      </c>
      <c r="Q7" s="9">
        <f t="shared" si="7"/>
        <v>3.2327529443919829</v>
      </c>
      <c r="R7" s="9">
        <v>42.776000000000003</v>
      </c>
      <c r="S7" s="9">
        <v>55.869</v>
      </c>
    </row>
    <row r="8" spans="1:19" x14ac:dyDescent="0.35">
      <c r="A8" s="3">
        <f>vals_ghg_excLUC!$A8</f>
        <v>1855</v>
      </c>
      <c r="B8" s="4">
        <f t="shared" si="0"/>
        <v>42.972347116089566</v>
      </c>
      <c r="C8" s="4">
        <f t="shared" si="1"/>
        <v>45.846292872642429</v>
      </c>
      <c r="D8" s="4">
        <f t="shared" si="2"/>
        <v>56.161292555636599</v>
      </c>
      <c r="E8" s="4">
        <f t="shared" si="3"/>
        <v>59.389304950590713</v>
      </c>
      <c r="F8" s="4">
        <f t="shared" si="4"/>
        <v>2.8739457565528639</v>
      </c>
      <c r="G8" s="4">
        <f t="shared" si="5"/>
        <v>0</v>
      </c>
      <c r="H8" s="4">
        <f t="shared" si="6"/>
        <v>10.31499968299417</v>
      </c>
      <c r="I8" s="5">
        <f>vals_ghg_excLUC!$R8</f>
        <v>45.846292872642429</v>
      </c>
      <c r="J8" s="5">
        <f>vals_ghg_excLUC!$X8</f>
        <v>42.972347116089566</v>
      </c>
      <c r="K8" s="5" t="e">
        <f>vals_ghg_excLUC!$AD8</f>
        <v>#N/A</v>
      </c>
      <c r="L8" s="5" t="e">
        <f>vals_ghg_excLUC!$AJ8</f>
        <v>#N/A</v>
      </c>
      <c r="M8" s="5">
        <f>vals_ghg_excLUC!$S8</f>
        <v>59.389304950590713</v>
      </c>
      <c r="N8" s="5">
        <f>vals_ghg_excLUC!$Y8</f>
        <v>56.161292555636599</v>
      </c>
      <c r="O8" s="5" t="e">
        <f>vals_ghg_excLUC!$AE8</f>
        <v>#N/A</v>
      </c>
      <c r="P8" s="5" t="e">
        <f>vals_ghg_excLUC!$AK8</f>
        <v>#N/A</v>
      </c>
      <c r="Q8" s="9">
        <f t="shared" si="7"/>
        <v>3.2280123949541135</v>
      </c>
      <c r="R8" s="9">
        <v>42.765999999999998</v>
      </c>
      <c r="S8" s="9">
        <v>55.86</v>
      </c>
    </row>
    <row r="9" spans="1:19" x14ac:dyDescent="0.35">
      <c r="A9" s="6">
        <f>vals_ghg_excLUC!$A9</f>
        <v>1856</v>
      </c>
      <c r="B9" s="7">
        <f t="shared" si="0"/>
        <v>42.973067189046226</v>
      </c>
      <c r="C9" s="7">
        <f t="shared" si="1"/>
        <v>45.841740065151662</v>
      </c>
      <c r="D9" s="7">
        <f t="shared" si="2"/>
        <v>56.162361640184741</v>
      </c>
      <c r="E9" s="7">
        <f t="shared" si="3"/>
        <v>59.385659160490022</v>
      </c>
      <c r="F9" s="7">
        <f t="shared" si="4"/>
        <v>2.8686728761054354</v>
      </c>
      <c r="G9" s="7">
        <f t="shared" si="5"/>
        <v>0</v>
      </c>
      <c r="H9" s="7">
        <f t="shared" si="6"/>
        <v>10.32062157503308</v>
      </c>
      <c r="I9" s="8">
        <f>vals_ghg_excLUC!$R9</f>
        <v>45.841740065151662</v>
      </c>
      <c r="J9" s="8">
        <f>vals_ghg_excLUC!$X9</f>
        <v>42.973067189046226</v>
      </c>
      <c r="K9" s="8" t="e">
        <f>vals_ghg_excLUC!$AD9</f>
        <v>#N/A</v>
      </c>
      <c r="L9" s="8" t="e">
        <f>vals_ghg_excLUC!$AJ9</f>
        <v>#N/A</v>
      </c>
      <c r="M9" s="8">
        <f>vals_ghg_excLUC!$S9</f>
        <v>59.385659160490022</v>
      </c>
      <c r="N9" s="8">
        <f>vals_ghg_excLUC!$Y9</f>
        <v>56.162361640184741</v>
      </c>
      <c r="O9" s="8" t="e">
        <f>vals_ghg_excLUC!$AE9</f>
        <v>#N/A</v>
      </c>
      <c r="P9" s="8" t="e">
        <f>vals_ghg_excLUC!$AK9</f>
        <v>#N/A</v>
      </c>
      <c r="Q9" s="9">
        <f t="shared" si="7"/>
        <v>3.2232975203052803</v>
      </c>
      <c r="R9" s="9">
        <v>42.756999999999998</v>
      </c>
      <c r="S9" s="9">
        <v>55.850999999999999</v>
      </c>
    </row>
    <row r="10" spans="1:19" x14ac:dyDescent="0.35">
      <c r="A10" s="3">
        <f>vals_ghg_excLUC!$A10</f>
        <v>1857</v>
      </c>
      <c r="B10" s="4">
        <f t="shared" si="0"/>
        <v>42.97335023664585</v>
      </c>
      <c r="C10" s="4">
        <f t="shared" si="1"/>
        <v>45.83670820485932</v>
      </c>
      <c r="D10" s="4">
        <f t="shared" si="2"/>
        <v>56.163022455106905</v>
      </c>
      <c r="E10" s="4">
        <f t="shared" si="3"/>
        <v>59.38162013648175</v>
      </c>
      <c r="F10" s="4">
        <f t="shared" si="4"/>
        <v>2.8633579682134709</v>
      </c>
      <c r="G10" s="4">
        <f t="shared" si="5"/>
        <v>0</v>
      </c>
      <c r="H10" s="4">
        <f t="shared" si="6"/>
        <v>10.326314250247584</v>
      </c>
      <c r="I10" s="5">
        <f>vals_ghg_excLUC!$R10</f>
        <v>45.83670820485932</v>
      </c>
      <c r="J10" s="5">
        <f>vals_ghg_excLUC!$X10</f>
        <v>42.97335023664585</v>
      </c>
      <c r="K10" s="5" t="e">
        <f>vals_ghg_excLUC!$AD10</f>
        <v>#N/A</v>
      </c>
      <c r="L10" s="5" t="e">
        <f>vals_ghg_excLUC!$AJ10</f>
        <v>#N/A</v>
      </c>
      <c r="M10" s="5">
        <f>vals_ghg_excLUC!$S10</f>
        <v>59.38162013648175</v>
      </c>
      <c r="N10" s="5">
        <f>vals_ghg_excLUC!$Y10</f>
        <v>56.163022455106905</v>
      </c>
      <c r="O10" s="5" t="e">
        <f>vals_ghg_excLUC!$AE10</f>
        <v>#N/A</v>
      </c>
      <c r="P10" s="5" t="e">
        <f>vals_ghg_excLUC!$AK10</f>
        <v>#N/A</v>
      </c>
      <c r="Q10" s="9">
        <f t="shared" si="7"/>
        <v>3.2185976813748454</v>
      </c>
      <c r="R10" s="9">
        <v>42.747</v>
      </c>
      <c r="S10" s="9">
        <v>55.841999999999999</v>
      </c>
    </row>
    <row r="11" spans="1:19" x14ac:dyDescent="0.35">
      <c r="A11" s="6">
        <f>vals_ghg_excLUC!$A11</f>
        <v>1858</v>
      </c>
      <c r="B11" s="7">
        <f t="shared" si="0"/>
        <v>42.973563344316283</v>
      </c>
      <c r="C11" s="7">
        <f t="shared" si="1"/>
        <v>45.831619640435669</v>
      </c>
      <c r="D11" s="7">
        <f t="shared" si="2"/>
        <v>56.163563506433889</v>
      </c>
      <c r="E11" s="7">
        <f t="shared" si="3"/>
        <v>59.377497048502171</v>
      </c>
      <c r="F11" s="7">
        <f t="shared" si="4"/>
        <v>2.8580562961193863</v>
      </c>
      <c r="G11" s="7">
        <f t="shared" si="5"/>
        <v>0</v>
      </c>
      <c r="H11" s="7">
        <f t="shared" si="6"/>
        <v>10.33194386599822</v>
      </c>
      <c r="I11" s="8">
        <f>vals_ghg_excLUC!$R11</f>
        <v>45.831619640435669</v>
      </c>
      <c r="J11" s="8">
        <f>vals_ghg_excLUC!$X11</f>
        <v>42.973563344316283</v>
      </c>
      <c r="K11" s="8" t="e">
        <f>vals_ghg_excLUC!$AD11</f>
        <v>#N/A</v>
      </c>
      <c r="L11" s="8" t="e">
        <f>vals_ghg_excLUC!$AJ11</f>
        <v>#N/A</v>
      </c>
      <c r="M11" s="8">
        <f>vals_ghg_excLUC!$S11</f>
        <v>59.377497048502171</v>
      </c>
      <c r="N11" s="8">
        <f>vals_ghg_excLUC!$Y11</f>
        <v>56.163563506433889</v>
      </c>
      <c r="O11" s="8" t="e">
        <f>vals_ghg_excLUC!$AE11</f>
        <v>#N/A</v>
      </c>
      <c r="P11" s="8" t="e">
        <f>vals_ghg_excLUC!$AK11</f>
        <v>#N/A</v>
      </c>
      <c r="Q11" s="9">
        <f t="shared" si="7"/>
        <v>3.2139335420682826</v>
      </c>
      <c r="R11" s="9">
        <v>42.737000000000002</v>
      </c>
      <c r="S11" s="9">
        <v>55.832000000000001</v>
      </c>
    </row>
    <row r="12" spans="1:19" x14ac:dyDescent="0.35">
      <c r="A12" s="3">
        <f>vals_ghg_excLUC!$A12</f>
        <v>1859</v>
      </c>
      <c r="B12" s="4">
        <f t="shared" si="0"/>
        <v>42.973720489537151</v>
      </c>
      <c r="C12" s="4">
        <f t="shared" si="1"/>
        <v>45.826498912930901</v>
      </c>
      <c r="D12" s="4">
        <f t="shared" si="2"/>
        <v>56.16398541123985</v>
      </c>
      <c r="E12" s="4">
        <f t="shared" si="3"/>
        <v>59.373281628757766</v>
      </c>
      <c r="F12" s="4">
        <f t="shared" si="4"/>
        <v>2.852778423393751</v>
      </c>
      <c r="G12" s="4">
        <f t="shared" si="5"/>
        <v>0</v>
      </c>
      <c r="H12" s="4">
        <f t="shared" si="6"/>
        <v>10.337486498308948</v>
      </c>
      <c r="I12" s="5">
        <f>vals_ghg_excLUC!$R12</f>
        <v>45.826498912930901</v>
      </c>
      <c r="J12" s="5">
        <f>vals_ghg_excLUC!$X12</f>
        <v>42.973720489537151</v>
      </c>
      <c r="K12" s="5" t="e">
        <f>vals_ghg_excLUC!$AD12</f>
        <v>#N/A</v>
      </c>
      <c r="L12" s="5" t="e">
        <f>vals_ghg_excLUC!$AJ12</f>
        <v>#N/A</v>
      </c>
      <c r="M12" s="5">
        <f>vals_ghg_excLUC!$S12</f>
        <v>59.373281628757766</v>
      </c>
      <c r="N12" s="5">
        <f>vals_ghg_excLUC!$Y12</f>
        <v>56.16398541123985</v>
      </c>
      <c r="O12" s="5" t="e">
        <f>vals_ghg_excLUC!$AE12</f>
        <v>#N/A</v>
      </c>
      <c r="P12" s="5" t="e">
        <f>vals_ghg_excLUC!$AK12</f>
        <v>#N/A</v>
      </c>
      <c r="Q12" s="9">
        <f t="shared" si="7"/>
        <v>3.2092962175179167</v>
      </c>
      <c r="R12" s="9">
        <v>42.725999999999999</v>
      </c>
      <c r="S12" s="9">
        <v>55.822000000000003</v>
      </c>
    </row>
    <row r="13" spans="1:19" x14ac:dyDescent="0.35">
      <c r="A13" s="6">
        <f>vals_ghg_excLUC!$A13</f>
        <v>1860</v>
      </c>
      <c r="B13" s="7">
        <f t="shared" si="0"/>
        <v>42.973426875363614</v>
      </c>
      <c r="C13" s="7">
        <f t="shared" si="1"/>
        <v>45.820849362448449</v>
      </c>
      <c r="D13" s="7">
        <f t="shared" si="2"/>
        <v>56.164023030074226</v>
      </c>
      <c r="E13" s="7">
        <f t="shared" si="3"/>
        <v>59.368652178656987</v>
      </c>
      <c r="F13" s="7">
        <f t="shared" si="4"/>
        <v>2.8474224870848346</v>
      </c>
      <c r="G13" s="7">
        <f t="shared" si="5"/>
        <v>0</v>
      </c>
      <c r="H13" s="7">
        <f t="shared" si="6"/>
        <v>10.343173667625777</v>
      </c>
      <c r="I13" s="8">
        <f>vals_ghg_excLUC!$R13</f>
        <v>45.820849362448449</v>
      </c>
      <c r="J13" s="8">
        <f>vals_ghg_excLUC!$X13</f>
        <v>42.973426875363614</v>
      </c>
      <c r="K13" s="8" t="e">
        <f>vals_ghg_excLUC!$AD13</f>
        <v>#N/A</v>
      </c>
      <c r="L13" s="8" t="e">
        <f>vals_ghg_excLUC!$AJ13</f>
        <v>#N/A</v>
      </c>
      <c r="M13" s="8">
        <f>vals_ghg_excLUC!$S13</f>
        <v>59.368652178656987</v>
      </c>
      <c r="N13" s="8">
        <f>vals_ghg_excLUC!$Y13</f>
        <v>56.164023030074226</v>
      </c>
      <c r="O13" s="8" t="e">
        <f>vals_ghg_excLUC!$AE13</f>
        <v>#N/A</v>
      </c>
      <c r="P13" s="8" t="e">
        <f>vals_ghg_excLUC!$AK13</f>
        <v>#N/A</v>
      </c>
      <c r="Q13" s="9">
        <f t="shared" si="7"/>
        <v>3.2046291485827609</v>
      </c>
      <c r="R13" s="9">
        <v>42.715000000000003</v>
      </c>
      <c r="S13" s="9">
        <v>55.811999999999998</v>
      </c>
    </row>
    <row r="14" spans="1:19" x14ac:dyDescent="0.35">
      <c r="A14" s="3">
        <f>vals_ghg_excLUC!$A14</f>
        <v>1861</v>
      </c>
      <c r="B14" s="4">
        <f t="shared" si="0"/>
        <v>42.972415852195958</v>
      </c>
      <c r="C14" s="4">
        <f t="shared" si="1"/>
        <v>45.814380519662954</v>
      </c>
      <c r="D14" s="4">
        <f t="shared" si="2"/>
        <v>56.163433162026777</v>
      </c>
      <c r="E14" s="4">
        <f t="shared" si="3"/>
        <v>59.363351604265254</v>
      </c>
      <c r="F14" s="4">
        <f t="shared" si="4"/>
        <v>2.8419646674669963</v>
      </c>
      <c r="G14" s="4">
        <f t="shared" si="5"/>
        <v>0</v>
      </c>
      <c r="H14" s="4">
        <f t="shared" si="6"/>
        <v>10.349052642363823</v>
      </c>
      <c r="I14" s="5">
        <f>vals_ghg_excLUC!$R14</f>
        <v>45.814380519662954</v>
      </c>
      <c r="J14" s="5">
        <f>vals_ghg_excLUC!$X14</f>
        <v>42.972415852195958</v>
      </c>
      <c r="K14" s="5" t="e">
        <f>vals_ghg_excLUC!$AD14</f>
        <v>#N/A</v>
      </c>
      <c r="L14" s="5" t="e">
        <f>vals_ghg_excLUC!$AJ14</f>
        <v>#N/A</v>
      </c>
      <c r="M14" s="5">
        <f>vals_ghg_excLUC!$S14</f>
        <v>59.363351604265254</v>
      </c>
      <c r="N14" s="5">
        <f>vals_ghg_excLUC!$Y14</f>
        <v>56.163433162026777</v>
      </c>
      <c r="O14" s="5" t="e">
        <f>vals_ghg_excLUC!$AE14</f>
        <v>#N/A</v>
      </c>
      <c r="P14" s="5" t="e">
        <f>vals_ghg_excLUC!$AK14</f>
        <v>#N/A</v>
      </c>
      <c r="Q14" s="9">
        <f t="shared" si="7"/>
        <v>3.1999184422384772</v>
      </c>
      <c r="R14" s="9">
        <v>42.703000000000003</v>
      </c>
      <c r="S14" s="9">
        <v>55.801000000000002</v>
      </c>
    </row>
    <row r="15" spans="1:19" x14ac:dyDescent="0.35">
      <c r="A15" s="6">
        <f>vals_ghg_excLUC!$A15</f>
        <v>1862</v>
      </c>
      <c r="B15" s="7">
        <f t="shared" si="0"/>
        <v>42.971010555319147</v>
      </c>
      <c r="C15" s="7">
        <f t="shared" si="1"/>
        <v>45.807489344198594</v>
      </c>
      <c r="D15" s="7">
        <f t="shared" si="2"/>
        <v>56.162472025721641</v>
      </c>
      <c r="E15" s="7">
        <f t="shared" si="3"/>
        <v>59.357672350912459</v>
      </c>
      <c r="F15" s="7">
        <f t="shared" si="4"/>
        <v>2.8364787888794467</v>
      </c>
      <c r="G15" s="7">
        <f t="shared" si="5"/>
        <v>0</v>
      </c>
      <c r="H15" s="7">
        <f t="shared" si="6"/>
        <v>10.354982681523047</v>
      </c>
      <c r="I15" s="8">
        <f>vals_ghg_excLUC!$R15</f>
        <v>45.807489344198594</v>
      </c>
      <c r="J15" s="8">
        <f>vals_ghg_excLUC!$X15</f>
        <v>42.971010555319147</v>
      </c>
      <c r="K15" s="8" t="e">
        <f>vals_ghg_excLUC!$AD15</f>
        <v>#N/A</v>
      </c>
      <c r="L15" s="8" t="e">
        <f>vals_ghg_excLUC!$AJ15</f>
        <v>#N/A</v>
      </c>
      <c r="M15" s="8">
        <f>vals_ghg_excLUC!$S15</f>
        <v>59.357672350912459</v>
      </c>
      <c r="N15" s="8">
        <f>vals_ghg_excLUC!$Y15</f>
        <v>56.162472025721641</v>
      </c>
      <c r="O15" s="8" t="e">
        <f>vals_ghg_excLUC!$AE15</f>
        <v>#N/A</v>
      </c>
      <c r="P15" s="8" t="e">
        <f>vals_ghg_excLUC!$AK15</f>
        <v>#N/A</v>
      </c>
      <c r="Q15" s="9">
        <f t="shared" si="7"/>
        <v>3.1952003251908181</v>
      </c>
      <c r="R15" s="9">
        <v>42.691000000000003</v>
      </c>
      <c r="S15" s="9">
        <v>55.789000000000001</v>
      </c>
    </row>
    <row r="16" spans="1:19" x14ac:dyDescent="0.35">
      <c r="A16" s="3">
        <f>vals_ghg_excLUC!$A16</f>
        <v>1863</v>
      </c>
      <c r="B16" s="4">
        <f t="shared" si="0"/>
        <v>42.969529415121166</v>
      </c>
      <c r="C16" s="4">
        <f t="shared" si="1"/>
        <v>45.800522182328827</v>
      </c>
      <c r="D16" s="4">
        <f t="shared" si="2"/>
        <v>56.161360828010366</v>
      </c>
      <c r="E16" s="4">
        <f t="shared" si="3"/>
        <v>59.351845622020484</v>
      </c>
      <c r="F16" s="4">
        <f t="shared" si="4"/>
        <v>2.8309927672076611</v>
      </c>
      <c r="G16" s="4">
        <f t="shared" si="5"/>
        <v>0</v>
      </c>
      <c r="H16" s="4">
        <f t="shared" si="6"/>
        <v>10.36083864568154</v>
      </c>
      <c r="I16" s="5">
        <f>vals_ghg_excLUC!$R16</f>
        <v>45.800522182328827</v>
      </c>
      <c r="J16" s="5">
        <f>vals_ghg_excLUC!$X16</f>
        <v>42.969529415121166</v>
      </c>
      <c r="K16" s="5" t="e">
        <f>vals_ghg_excLUC!$AD16</f>
        <v>#N/A</v>
      </c>
      <c r="L16" s="5" t="e">
        <f>vals_ghg_excLUC!$AJ16</f>
        <v>#N/A</v>
      </c>
      <c r="M16" s="5">
        <f>vals_ghg_excLUC!$S16</f>
        <v>59.351845622020484</v>
      </c>
      <c r="N16" s="5">
        <f>vals_ghg_excLUC!$Y16</f>
        <v>56.161360828010366</v>
      </c>
      <c r="O16" s="5" t="e">
        <f>vals_ghg_excLUC!$AE16</f>
        <v>#N/A</v>
      </c>
      <c r="P16" s="5" t="e">
        <f>vals_ghg_excLUC!$AK16</f>
        <v>#N/A</v>
      </c>
      <c r="Q16" s="9">
        <f t="shared" si="7"/>
        <v>3.1904847940101178</v>
      </c>
      <c r="R16" s="9">
        <v>42.677999999999997</v>
      </c>
      <c r="S16" s="9">
        <v>55.777000000000001</v>
      </c>
    </row>
    <row r="17" spans="1:19" x14ac:dyDescent="0.35">
      <c r="A17" s="6">
        <f>vals_ghg_excLUC!$A17</f>
        <v>1864</v>
      </c>
      <c r="B17" s="7">
        <f t="shared" si="0"/>
        <v>42.967576952121505</v>
      </c>
      <c r="C17" s="7">
        <f t="shared" si="1"/>
        <v>45.793016040130624</v>
      </c>
      <c r="D17" s="7">
        <f t="shared" si="2"/>
        <v>56.159805581330716</v>
      </c>
      <c r="E17" s="7">
        <f t="shared" si="3"/>
        <v>59.345537077687425</v>
      </c>
      <c r="F17" s="7">
        <f t="shared" si="4"/>
        <v>2.8254390880091194</v>
      </c>
      <c r="G17" s="7">
        <f t="shared" si="5"/>
        <v>0</v>
      </c>
      <c r="H17" s="7">
        <f t="shared" si="6"/>
        <v>10.366789541200092</v>
      </c>
      <c r="I17" s="8">
        <f>vals_ghg_excLUC!$R17</f>
        <v>45.793016040130624</v>
      </c>
      <c r="J17" s="8">
        <f>vals_ghg_excLUC!$X17</f>
        <v>42.967576952121505</v>
      </c>
      <c r="K17" s="8" t="e">
        <f>vals_ghg_excLUC!$AD17</f>
        <v>#N/A</v>
      </c>
      <c r="L17" s="8" t="e">
        <f>vals_ghg_excLUC!$AJ17</f>
        <v>#N/A</v>
      </c>
      <c r="M17" s="8">
        <f>vals_ghg_excLUC!$S17</f>
        <v>59.345537077687425</v>
      </c>
      <c r="N17" s="8">
        <f>vals_ghg_excLUC!$Y17</f>
        <v>56.159805581330716</v>
      </c>
      <c r="O17" s="8" t="e">
        <f>vals_ghg_excLUC!$AE17</f>
        <v>#N/A</v>
      </c>
      <c r="P17" s="8" t="e">
        <f>vals_ghg_excLUC!$AK17</f>
        <v>#N/A</v>
      </c>
      <c r="Q17" s="9">
        <f t="shared" si="7"/>
        <v>3.1857314963567092</v>
      </c>
      <c r="R17" s="9">
        <v>42.664999999999999</v>
      </c>
      <c r="S17" s="9">
        <v>55.765000000000001</v>
      </c>
    </row>
    <row r="18" spans="1:19" x14ac:dyDescent="0.35">
      <c r="A18" s="3">
        <f>vals_ghg_excLUC!$A18</f>
        <v>1865</v>
      </c>
      <c r="B18" s="4">
        <f t="shared" si="0"/>
        <v>42.96496981600913</v>
      </c>
      <c r="C18" s="4">
        <f t="shared" si="1"/>
        <v>45.784770547765582</v>
      </c>
      <c r="D18" s="4">
        <f t="shared" si="2"/>
        <v>56.157653980999342</v>
      </c>
      <c r="E18" s="4">
        <f t="shared" si="3"/>
        <v>59.338586941527829</v>
      </c>
      <c r="F18" s="4">
        <f t="shared" si="4"/>
        <v>2.8198007317564517</v>
      </c>
      <c r="G18" s="4">
        <f t="shared" si="5"/>
        <v>0</v>
      </c>
      <c r="H18" s="4">
        <f t="shared" si="6"/>
        <v>10.37288343323376</v>
      </c>
      <c r="I18" s="5">
        <f>vals_ghg_excLUC!$R18</f>
        <v>45.784770547765582</v>
      </c>
      <c r="J18" s="5">
        <f>vals_ghg_excLUC!$X18</f>
        <v>42.96496981600913</v>
      </c>
      <c r="K18" s="5" t="e">
        <f>vals_ghg_excLUC!$AD18</f>
        <v>#N/A</v>
      </c>
      <c r="L18" s="5" t="e">
        <f>vals_ghg_excLUC!$AJ18</f>
        <v>#N/A</v>
      </c>
      <c r="M18" s="5">
        <f>vals_ghg_excLUC!$S18</f>
        <v>59.338586941527829</v>
      </c>
      <c r="N18" s="5">
        <f>vals_ghg_excLUC!$Y18</f>
        <v>56.157653980999342</v>
      </c>
      <c r="O18" s="5" t="e">
        <f>vals_ghg_excLUC!$AE18</f>
        <v>#N/A</v>
      </c>
      <c r="P18" s="5" t="e">
        <f>vals_ghg_excLUC!$AK18</f>
        <v>#N/A</v>
      </c>
      <c r="Q18" s="9">
        <f t="shared" si="7"/>
        <v>3.1809329605284873</v>
      </c>
      <c r="R18" s="9">
        <v>42.651000000000003</v>
      </c>
      <c r="S18" s="9">
        <v>55.752000000000002</v>
      </c>
    </row>
    <row r="19" spans="1:19" x14ac:dyDescent="0.35">
      <c r="A19" s="6">
        <f>vals_ghg_excLUC!$A19</f>
        <v>1866</v>
      </c>
      <c r="B19" s="7">
        <f t="shared" si="0"/>
        <v>42.961816618470813</v>
      </c>
      <c r="C19" s="7">
        <f t="shared" si="1"/>
        <v>45.775914966913618</v>
      </c>
      <c r="D19" s="7">
        <f t="shared" si="2"/>
        <v>56.154984823936218</v>
      </c>
      <c r="E19" s="7">
        <f t="shared" si="3"/>
        <v>59.331083122998528</v>
      </c>
      <c r="F19" s="7">
        <f t="shared" si="4"/>
        <v>2.8140983484428048</v>
      </c>
      <c r="G19" s="7">
        <f t="shared" si="5"/>
        <v>0</v>
      </c>
      <c r="H19" s="7">
        <f t="shared" si="6"/>
        <v>10.3790698570226</v>
      </c>
      <c r="I19" s="8">
        <f>vals_ghg_excLUC!$R19</f>
        <v>45.775914966913618</v>
      </c>
      <c r="J19" s="8">
        <f>vals_ghg_excLUC!$X19</f>
        <v>42.961816618470813</v>
      </c>
      <c r="K19" s="8" t="e">
        <f>vals_ghg_excLUC!$AD19</f>
        <v>#N/A</v>
      </c>
      <c r="L19" s="8" t="e">
        <f>vals_ghg_excLUC!$AJ19</f>
        <v>#N/A</v>
      </c>
      <c r="M19" s="8">
        <f>vals_ghg_excLUC!$S19</f>
        <v>59.331083122998528</v>
      </c>
      <c r="N19" s="8">
        <f>vals_ghg_excLUC!$Y19</f>
        <v>56.154984823936218</v>
      </c>
      <c r="O19" s="8" t="e">
        <f>vals_ghg_excLUC!$AE19</f>
        <v>#N/A</v>
      </c>
      <c r="P19" s="8" t="e">
        <f>vals_ghg_excLUC!$AK19</f>
        <v>#N/A</v>
      </c>
      <c r="Q19" s="9">
        <f t="shared" si="7"/>
        <v>3.1760982990623106</v>
      </c>
      <c r="R19" s="9">
        <v>42.637</v>
      </c>
      <c r="S19" s="9">
        <v>55.738</v>
      </c>
    </row>
    <row r="20" spans="1:19" x14ac:dyDescent="0.35">
      <c r="A20" s="3">
        <f>vals_ghg_excLUC!$A20</f>
        <v>1867</v>
      </c>
      <c r="B20" s="4">
        <f t="shared" si="0"/>
        <v>42.958397173387894</v>
      </c>
      <c r="C20" s="4">
        <f t="shared" si="1"/>
        <v>45.766761026714256</v>
      </c>
      <c r="D20" s="4">
        <f t="shared" si="2"/>
        <v>56.152003429067577</v>
      </c>
      <c r="E20" s="4">
        <f t="shared" si="3"/>
        <v>59.323253520304284</v>
      </c>
      <c r="F20" s="4">
        <f t="shared" si="4"/>
        <v>2.8083638533263624</v>
      </c>
      <c r="G20" s="4">
        <f t="shared" si="5"/>
        <v>0</v>
      </c>
      <c r="H20" s="4">
        <f t="shared" si="6"/>
        <v>10.38524240235332</v>
      </c>
      <c r="I20" s="5">
        <f>vals_ghg_excLUC!$R20</f>
        <v>45.766761026714256</v>
      </c>
      <c r="J20" s="5">
        <f>vals_ghg_excLUC!$X20</f>
        <v>42.958397173387894</v>
      </c>
      <c r="K20" s="5" t="e">
        <f>vals_ghg_excLUC!$AD20</f>
        <v>#N/A</v>
      </c>
      <c r="L20" s="5" t="e">
        <f>vals_ghg_excLUC!$AJ20</f>
        <v>#N/A</v>
      </c>
      <c r="M20" s="5">
        <f>vals_ghg_excLUC!$S20</f>
        <v>59.323253520304284</v>
      </c>
      <c r="N20" s="5">
        <f>vals_ghg_excLUC!$Y20</f>
        <v>56.152003429067577</v>
      </c>
      <c r="O20" s="5" t="e">
        <f>vals_ghg_excLUC!$AE20</f>
        <v>#N/A</v>
      </c>
      <c r="P20" s="5" t="e">
        <f>vals_ghg_excLUC!$AK20</f>
        <v>#N/A</v>
      </c>
      <c r="Q20" s="9">
        <f t="shared" si="7"/>
        <v>3.1712500912367076</v>
      </c>
      <c r="R20" s="9">
        <v>42.621000000000002</v>
      </c>
      <c r="S20" s="9">
        <v>55.722999999999999</v>
      </c>
    </row>
    <row r="21" spans="1:19" x14ac:dyDescent="0.35">
      <c r="A21" s="6">
        <f>vals_ghg_excLUC!$A21</f>
        <v>1868</v>
      </c>
      <c r="B21" s="7">
        <f t="shared" si="0"/>
        <v>42.954311747037515</v>
      </c>
      <c r="C21" s="7">
        <f t="shared" si="1"/>
        <v>45.756868967539383</v>
      </c>
      <c r="D21" s="7">
        <f t="shared" si="2"/>
        <v>56.1483987889264</v>
      </c>
      <c r="E21" s="7">
        <f t="shared" si="3"/>
        <v>59.31474933118961</v>
      </c>
      <c r="F21" s="7">
        <f t="shared" si="4"/>
        <v>2.8025572205018676</v>
      </c>
      <c r="G21" s="7">
        <f t="shared" si="5"/>
        <v>0</v>
      </c>
      <c r="H21" s="7">
        <f t="shared" si="6"/>
        <v>10.391529821387017</v>
      </c>
      <c r="I21" s="8">
        <f>vals_ghg_excLUC!$R21</f>
        <v>45.756868967539383</v>
      </c>
      <c r="J21" s="8">
        <f>vals_ghg_excLUC!$X21</f>
        <v>42.954311747037515</v>
      </c>
      <c r="K21" s="8" t="e">
        <f>vals_ghg_excLUC!$AD21</f>
        <v>#N/A</v>
      </c>
      <c r="L21" s="8" t="e">
        <f>vals_ghg_excLUC!$AJ21</f>
        <v>#N/A</v>
      </c>
      <c r="M21" s="8">
        <f>vals_ghg_excLUC!$S21</f>
        <v>59.31474933118961</v>
      </c>
      <c r="N21" s="8">
        <f>vals_ghg_excLUC!$Y21</f>
        <v>56.1483987889264</v>
      </c>
      <c r="O21" s="8" t="e">
        <f>vals_ghg_excLUC!$AE21</f>
        <v>#N/A</v>
      </c>
      <c r="P21" s="8" t="e">
        <f>vals_ghg_excLUC!$AK21</f>
        <v>#N/A</v>
      </c>
      <c r="Q21" s="9">
        <f t="shared" si="7"/>
        <v>3.1663505422632099</v>
      </c>
      <c r="R21" s="9">
        <v>42.606000000000002</v>
      </c>
      <c r="S21" s="9">
        <v>55.707999999999998</v>
      </c>
    </row>
    <row r="22" spans="1:19" x14ac:dyDescent="0.35">
      <c r="A22" s="3">
        <f>vals_ghg_excLUC!$A22</f>
        <v>1869</v>
      </c>
      <c r="B22" s="4">
        <f t="shared" si="0"/>
        <v>42.949988773324755</v>
      </c>
      <c r="C22" s="4">
        <f t="shared" si="1"/>
        <v>45.746727045159282</v>
      </c>
      <c r="D22" s="4">
        <f t="shared" si="2"/>
        <v>56.144514784925427</v>
      </c>
      <c r="E22" s="4">
        <f t="shared" si="3"/>
        <v>59.305963048998855</v>
      </c>
      <c r="F22" s="4">
        <f t="shared" si="4"/>
        <v>2.7967382718345277</v>
      </c>
      <c r="G22" s="4">
        <f t="shared" si="5"/>
        <v>0</v>
      </c>
      <c r="H22" s="4">
        <f t="shared" si="6"/>
        <v>10.397787739766144</v>
      </c>
      <c r="I22" s="5">
        <f>vals_ghg_excLUC!$R22</f>
        <v>45.746727045159282</v>
      </c>
      <c r="J22" s="5">
        <f>vals_ghg_excLUC!$X22</f>
        <v>42.949988773324755</v>
      </c>
      <c r="K22" s="5" t="e">
        <f>vals_ghg_excLUC!$AD22</f>
        <v>#N/A</v>
      </c>
      <c r="L22" s="5" t="e">
        <f>vals_ghg_excLUC!$AJ22</f>
        <v>#N/A</v>
      </c>
      <c r="M22" s="5">
        <f>vals_ghg_excLUC!$S22</f>
        <v>59.305963048998855</v>
      </c>
      <c r="N22" s="5">
        <f>vals_ghg_excLUC!$Y22</f>
        <v>56.144514784925427</v>
      </c>
      <c r="O22" s="5" t="e">
        <f>vals_ghg_excLUC!$AE22</f>
        <v>#N/A</v>
      </c>
      <c r="P22" s="5" t="e">
        <f>vals_ghg_excLUC!$AK22</f>
        <v>#N/A</v>
      </c>
      <c r="Q22" s="9">
        <f t="shared" si="7"/>
        <v>3.161448264073428</v>
      </c>
      <c r="R22" s="9">
        <v>42.59</v>
      </c>
      <c r="S22" s="9">
        <v>55.692999999999998</v>
      </c>
    </row>
    <row r="23" spans="1:19" x14ac:dyDescent="0.35">
      <c r="A23" s="6">
        <f>vals_ghg_excLUC!$A23</f>
        <v>1870</v>
      </c>
      <c r="B23" s="7">
        <f t="shared" si="0"/>
        <v>42.94502106908373</v>
      </c>
      <c r="C23" s="7">
        <f t="shared" si="1"/>
        <v>45.735841534268488</v>
      </c>
      <c r="D23" s="7">
        <f t="shared" si="2"/>
        <v>56.140033050359442</v>
      </c>
      <c r="E23" s="7">
        <f t="shared" si="3"/>
        <v>59.296514291589631</v>
      </c>
      <c r="F23" s="7">
        <f t="shared" si="4"/>
        <v>2.7908204651847583</v>
      </c>
      <c r="G23" s="7">
        <f t="shared" si="5"/>
        <v>0</v>
      </c>
      <c r="H23" s="7">
        <f t="shared" si="6"/>
        <v>10.404191516090954</v>
      </c>
      <c r="I23" s="8">
        <f>vals_ghg_excLUC!$R23</f>
        <v>45.735841534268488</v>
      </c>
      <c r="J23" s="8">
        <f>vals_ghg_excLUC!$X23</f>
        <v>42.94502106908373</v>
      </c>
      <c r="K23" s="8" t="e">
        <f>vals_ghg_excLUC!$AD23</f>
        <v>#N/A</v>
      </c>
      <c r="L23" s="8" t="e">
        <f>vals_ghg_excLUC!$AJ23</f>
        <v>#N/A</v>
      </c>
      <c r="M23" s="8">
        <f>vals_ghg_excLUC!$S23</f>
        <v>59.296514291589631</v>
      </c>
      <c r="N23" s="8">
        <f>vals_ghg_excLUC!$Y23</f>
        <v>56.140033050359442</v>
      </c>
      <c r="O23" s="8" t="e">
        <f>vals_ghg_excLUC!$AE23</f>
        <v>#N/A</v>
      </c>
      <c r="P23" s="8" t="e">
        <f>vals_ghg_excLUC!$AK23</f>
        <v>#N/A</v>
      </c>
      <c r="Q23" s="9">
        <f t="shared" si="7"/>
        <v>3.156481241230189</v>
      </c>
      <c r="R23" s="9">
        <v>42.573</v>
      </c>
      <c r="S23" s="9">
        <v>55.676000000000002</v>
      </c>
    </row>
    <row r="24" spans="1:19" x14ac:dyDescent="0.35">
      <c r="A24" s="3">
        <f>vals_ghg_excLUC!$A24</f>
        <v>1871</v>
      </c>
      <c r="B24" s="4">
        <f t="shared" si="0"/>
        <v>42.93989490675574</v>
      </c>
      <c r="C24" s="4">
        <f t="shared" si="1"/>
        <v>45.724807002029408</v>
      </c>
      <c r="D24" s="4">
        <f t="shared" si="2"/>
        <v>56.135343882457093</v>
      </c>
      <c r="E24" s="4">
        <f t="shared" si="3"/>
        <v>59.286872501561781</v>
      </c>
      <c r="F24" s="4">
        <f t="shared" si="4"/>
        <v>2.7849120952736683</v>
      </c>
      <c r="G24" s="4">
        <f t="shared" si="5"/>
        <v>0</v>
      </c>
      <c r="H24" s="4">
        <f t="shared" si="6"/>
        <v>10.410536880427685</v>
      </c>
      <c r="I24" s="5">
        <f>vals_ghg_excLUC!$R24</f>
        <v>45.724807002029408</v>
      </c>
      <c r="J24" s="5">
        <f>vals_ghg_excLUC!$X24</f>
        <v>42.93989490675574</v>
      </c>
      <c r="K24" s="5" t="e">
        <f>vals_ghg_excLUC!$AD24</f>
        <v>#N/A</v>
      </c>
      <c r="L24" s="5" t="e">
        <f>vals_ghg_excLUC!$AJ24</f>
        <v>#N/A</v>
      </c>
      <c r="M24" s="5">
        <f>vals_ghg_excLUC!$S24</f>
        <v>59.286872501561781</v>
      </c>
      <c r="N24" s="5">
        <f>vals_ghg_excLUC!$Y24</f>
        <v>56.135343882457093</v>
      </c>
      <c r="O24" s="5" t="e">
        <f>vals_ghg_excLUC!$AE24</f>
        <v>#N/A</v>
      </c>
      <c r="P24" s="5" t="e">
        <f>vals_ghg_excLUC!$AK24</f>
        <v>#N/A</v>
      </c>
      <c r="Q24" s="9">
        <f t="shared" si="7"/>
        <v>3.1515286191046883</v>
      </c>
      <c r="R24" s="9">
        <v>42.555999999999997</v>
      </c>
      <c r="S24" s="9">
        <v>55.66</v>
      </c>
    </row>
    <row r="25" spans="1:19" x14ac:dyDescent="0.35">
      <c r="A25" s="6">
        <f>vals_ghg_excLUC!$A25</f>
        <v>1872</v>
      </c>
      <c r="B25" s="7">
        <f t="shared" si="0"/>
        <v>42.934182415352865</v>
      </c>
      <c r="C25" s="7">
        <f t="shared" si="1"/>
        <v>45.713126668448297</v>
      </c>
      <c r="D25" s="7">
        <f t="shared" si="2"/>
        <v>56.130020786675097</v>
      </c>
      <c r="E25" s="7">
        <f t="shared" si="3"/>
        <v>59.276560993576624</v>
      </c>
      <c r="F25" s="7">
        <f t="shared" si="4"/>
        <v>2.7789442530954318</v>
      </c>
      <c r="G25" s="7">
        <f t="shared" si="5"/>
        <v>0</v>
      </c>
      <c r="H25" s="7">
        <f t="shared" si="6"/>
        <v>10.4168941182268</v>
      </c>
      <c r="I25" s="8">
        <f>vals_ghg_excLUC!$R25</f>
        <v>45.713126668448297</v>
      </c>
      <c r="J25" s="8">
        <f>vals_ghg_excLUC!$X25</f>
        <v>42.934182415352865</v>
      </c>
      <c r="K25" s="8" t="e">
        <f>vals_ghg_excLUC!$AD25</f>
        <v>#N/A</v>
      </c>
      <c r="L25" s="8" t="e">
        <f>vals_ghg_excLUC!$AJ25</f>
        <v>#N/A</v>
      </c>
      <c r="M25" s="8">
        <f>vals_ghg_excLUC!$S25</f>
        <v>59.276560993576624</v>
      </c>
      <c r="N25" s="8">
        <f>vals_ghg_excLUC!$Y25</f>
        <v>56.130020786675097</v>
      </c>
      <c r="O25" s="8" t="e">
        <f>vals_ghg_excLUC!$AE25</f>
        <v>#N/A</v>
      </c>
      <c r="P25" s="8" t="e">
        <f>vals_ghg_excLUC!$AK25</f>
        <v>#N/A</v>
      </c>
      <c r="Q25" s="9">
        <f t="shared" si="7"/>
        <v>3.1465402069015269</v>
      </c>
      <c r="R25" s="9">
        <v>42.539000000000001</v>
      </c>
      <c r="S25" s="9">
        <v>55.643000000000001</v>
      </c>
    </row>
    <row r="26" spans="1:19" x14ac:dyDescent="0.35">
      <c r="A26" s="3">
        <f>vals_ghg_excLUC!$A26</f>
        <v>1873</v>
      </c>
      <c r="B26" s="4">
        <f t="shared" si="0"/>
        <v>42.927060802343341</v>
      </c>
      <c r="C26" s="4">
        <f t="shared" si="1"/>
        <v>45.699880450641373</v>
      </c>
      <c r="D26" s="4">
        <f t="shared" si="2"/>
        <v>56.123482209701066</v>
      </c>
      <c r="E26" s="4">
        <f t="shared" si="3"/>
        <v>59.264964982971883</v>
      </c>
      <c r="F26" s="4">
        <f t="shared" si="4"/>
        <v>2.7728196482980323</v>
      </c>
      <c r="G26" s="4">
        <f t="shared" si="5"/>
        <v>0</v>
      </c>
      <c r="H26" s="4">
        <f t="shared" si="6"/>
        <v>10.423601759059693</v>
      </c>
      <c r="I26" s="5">
        <f>vals_ghg_excLUC!$R26</f>
        <v>45.699880450641373</v>
      </c>
      <c r="J26" s="5">
        <f>vals_ghg_excLUC!$X26</f>
        <v>42.927060802343341</v>
      </c>
      <c r="K26" s="5" t="e">
        <f>vals_ghg_excLUC!$AD26</f>
        <v>#N/A</v>
      </c>
      <c r="L26" s="5" t="e">
        <f>vals_ghg_excLUC!$AJ26</f>
        <v>#N/A</v>
      </c>
      <c r="M26" s="5">
        <f>vals_ghg_excLUC!$S26</f>
        <v>59.264964982971883</v>
      </c>
      <c r="N26" s="5">
        <f>vals_ghg_excLUC!$Y26</f>
        <v>56.123482209701066</v>
      </c>
      <c r="O26" s="5" t="e">
        <f>vals_ghg_excLUC!$AE26</f>
        <v>#N/A</v>
      </c>
      <c r="P26" s="5" t="e">
        <f>vals_ghg_excLUC!$AK26</f>
        <v>#N/A</v>
      </c>
      <c r="Q26" s="9">
        <f t="shared" si="7"/>
        <v>3.1414827732708162</v>
      </c>
      <c r="R26" s="9">
        <v>42.518999999999998</v>
      </c>
      <c r="S26" s="9">
        <v>55.624000000000002</v>
      </c>
    </row>
    <row r="27" spans="1:19" x14ac:dyDescent="0.35">
      <c r="A27" s="6">
        <f>vals_ghg_excLUC!$A27</f>
        <v>1874</v>
      </c>
      <c r="B27" s="7">
        <f t="shared" si="0"/>
        <v>42.919052830156609</v>
      </c>
      <c r="C27" s="7">
        <f t="shared" si="1"/>
        <v>45.685653400796511</v>
      </c>
      <c r="D27" s="7">
        <f t="shared" si="2"/>
        <v>56.116140038652254</v>
      </c>
      <c r="E27" s="7">
        <f t="shared" si="3"/>
        <v>59.252536820328828</v>
      </c>
      <c r="F27" s="7">
        <f t="shared" si="4"/>
        <v>2.7666005706399019</v>
      </c>
      <c r="G27" s="7">
        <f t="shared" si="5"/>
        <v>0</v>
      </c>
      <c r="H27" s="7">
        <f t="shared" si="6"/>
        <v>10.430486637855743</v>
      </c>
      <c r="I27" s="8">
        <f>vals_ghg_excLUC!$R27</f>
        <v>45.685653400796511</v>
      </c>
      <c r="J27" s="8">
        <f>vals_ghg_excLUC!$X27</f>
        <v>42.919052830156609</v>
      </c>
      <c r="K27" s="8" t="e">
        <f>vals_ghg_excLUC!$AD27</f>
        <v>#N/A</v>
      </c>
      <c r="L27" s="8" t="e">
        <f>vals_ghg_excLUC!$AJ27</f>
        <v>#N/A</v>
      </c>
      <c r="M27" s="8">
        <f>vals_ghg_excLUC!$S27</f>
        <v>59.252536820328828</v>
      </c>
      <c r="N27" s="8">
        <f>vals_ghg_excLUC!$Y27</f>
        <v>56.116140038652254</v>
      </c>
      <c r="O27" s="8" t="e">
        <f>vals_ghg_excLUC!$AE27</f>
        <v>#N/A</v>
      </c>
      <c r="P27" s="8" t="e">
        <f>vals_ghg_excLUC!$AK27</f>
        <v>#N/A</v>
      </c>
      <c r="Q27" s="9">
        <f t="shared" si="7"/>
        <v>3.1363967816765737</v>
      </c>
      <c r="R27" s="9">
        <v>42.499000000000002</v>
      </c>
      <c r="S27" s="9">
        <v>55.604999999999997</v>
      </c>
    </row>
    <row r="28" spans="1:19" x14ac:dyDescent="0.35">
      <c r="A28" s="3">
        <f>vals_ghg_excLUC!$A28</f>
        <v>1875</v>
      </c>
      <c r="B28" s="4">
        <f t="shared" si="0"/>
        <v>42.912248183238525</v>
      </c>
      <c r="C28" s="4">
        <f t="shared" si="1"/>
        <v>45.672807624347193</v>
      </c>
      <c r="D28" s="4">
        <f t="shared" si="2"/>
        <v>56.109554837772059</v>
      </c>
      <c r="E28" s="4">
        <f t="shared" si="3"/>
        <v>59.241004382304276</v>
      </c>
      <c r="F28" s="4">
        <f t="shared" si="4"/>
        <v>2.7605594411086685</v>
      </c>
      <c r="G28" s="4">
        <f t="shared" si="5"/>
        <v>0</v>
      </c>
      <c r="H28" s="4">
        <f t="shared" si="6"/>
        <v>10.436747213424866</v>
      </c>
      <c r="I28" s="5">
        <f>vals_ghg_excLUC!$R28</f>
        <v>45.672807624347193</v>
      </c>
      <c r="J28" s="5">
        <f>vals_ghg_excLUC!$X28</f>
        <v>42.912248183238525</v>
      </c>
      <c r="K28" s="5" t="e">
        <f>vals_ghg_excLUC!$AD28</f>
        <v>#N/A</v>
      </c>
      <c r="L28" s="5" t="e">
        <f>vals_ghg_excLUC!$AJ28</f>
        <v>#N/A</v>
      </c>
      <c r="M28" s="5">
        <f>vals_ghg_excLUC!$S28</f>
        <v>59.241004382304276</v>
      </c>
      <c r="N28" s="5">
        <f>vals_ghg_excLUC!$Y28</f>
        <v>56.109554837772059</v>
      </c>
      <c r="O28" s="5" t="e">
        <f>vals_ghg_excLUC!$AE28</f>
        <v>#N/A</v>
      </c>
      <c r="P28" s="5" t="e">
        <f>vals_ghg_excLUC!$AK28</f>
        <v>#N/A</v>
      </c>
      <c r="Q28" s="9">
        <f t="shared" si="7"/>
        <v>3.1314495445322166</v>
      </c>
      <c r="R28" s="9">
        <v>42.481000000000002</v>
      </c>
      <c r="S28" s="9">
        <v>55.587000000000003</v>
      </c>
    </row>
    <row r="29" spans="1:19" x14ac:dyDescent="0.35">
      <c r="A29" s="6">
        <f>vals_ghg_excLUC!$A29</f>
        <v>1876</v>
      </c>
      <c r="B29" s="7">
        <f t="shared" si="0"/>
        <v>42.904153800838451</v>
      </c>
      <c r="C29" s="7">
        <f t="shared" si="1"/>
        <v>45.658559460499319</v>
      </c>
      <c r="D29" s="7">
        <f t="shared" si="2"/>
        <v>56.101878575518214</v>
      </c>
      <c r="E29" s="7">
        <f t="shared" si="3"/>
        <v>59.228350026895363</v>
      </c>
      <c r="F29" s="7">
        <f t="shared" si="4"/>
        <v>2.7544056596608684</v>
      </c>
      <c r="G29" s="7">
        <f t="shared" si="5"/>
        <v>0</v>
      </c>
      <c r="H29" s="7">
        <f t="shared" si="6"/>
        <v>10.443319115018895</v>
      </c>
      <c r="I29" s="8">
        <f>vals_ghg_excLUC!$R29</f>
        <v>45.658559460499319</v>
      </c>
      <c r="J29" s="8">
        <f>vals_ghg_excLUC!$X29</f>
        <v>42.904153800838451</v>
      </c>
      <c r="K29" s="8" t="e">
        <f>vals_ghg_excLUC!$AD29</f>
        <v>#N/A</v>
      </c>
      <c r="L29" s="8" t="e">
        <f>vals_ghg_excLUC!$AJ29</f>
        <v>#N/A</v>
      </c>
      <c r="M29" s="8">
        <f>vals_ghg_excLUC!$S29</f>
        <v>59.228350026895363</v>
      </c>
      <c r="N29" s="8">
        <f>vals_ghg_excLUC!$Y29</f>
        <v>56.101878575518214</v>
      </c>
      <c r="O29" s="8" t="e">
        <f>vals_ghg_excLUC!$AE29</f>
        <v>#N/A</v>
      </c>
      <c r="P29" s="8" t="e">
        <f>vals_ghg_excLUC!$AK29</f>
        <v>#N/A</v>
      </c>
      <c r="Q29" s="9">
        <f t="shared" si="7"/>
        <v>3.1264714513771494</v>
      </c>
      <c r="R29" s="9">
        <v>42.460999999999999</v>
      </c>
      <c r="S29" s="9">
        <v>55.567999999999998</v>
      </c>
    </row>
    <row r="30" spans="1:19" x14ac:dyDescent="0.35">
      <c r="A30" s="3">
        <f>vals_ghg_excLUC!$A30</f>
        <v>1877</v>
      </c>
      <c r="B30" s="4">
        <f t="shared" si="0"/>
        <v>42.896211439680393</v>
      </c>
      <c r="C30" s="4">
        <f t="shared" si="1"/>
        <v>45.644537212477395</v>
      </c>
      <c r="D30" s="4">
        <f t="shared" si="2"/>
        <v>56.093949212509322</v>
      </c>
      <c r="E30" s="4">
        <f t="shared" si="3"/>
        <v>59.215496624491379</v>
      </c>
      <c r="F30" s="4">
        <f t="shared" si="4"/>
        <v>2.7483257727970027</v>
      </c>
      <c r="G30" s="4">
        <f t="shared" si="5"/>
        <v>0</v>
      </c>
      <c r="H30" s="4">
        <f t="shared" si="6"/>
        <v>10.449412000031927</v>
      </c>
      <c r="I30" s="5">
        <f>vals_ghg_excLUC!$R30</f>
        <v>45.644537212477395</v>
      </c>
      <c r="J30" s="5">
        <f>vals_ghg_excLUC!$X30</f>
        <v>42.896211439680393</v>
      </c>
      <c r="K30" s="5" t="e">
        <f>vals_ghg_excLUC!$AD30</f>
        <v>#N/A</v>
      </c>
      <c r="L30" s="5" t="e">
        <f>vals_ghg_excLUC!$AJ30</f>
        <v>#N/A</v>
      </c>
      <c r="M30" s="5">
        <f>vals_ghg_excLUC!$S30</f>
        <v>59.215496624491379</v>
      </c>
      <c r="N30" s="5">
        <f>vals_ghg_excLUC!$Y30</f>
        <v>56.093949212509322</v>
      </c>
      <c r="O30" s="5" t="e">
        <f>vals_ghg_excLUC!$AE30</f>
        <v>#N/A</v>
      </c>
      <c r="P30" s="5" t="e">
        <f>vals_ghg_excLUC!$AK30</f>
        <v>#N/A</v>
      </c>
      <c r="Q30" s="9">
        <f t="shared" si="7"/>
        <v>3.121547411982057</v>
      </c>
      <c r="R30" s="9">
        <v>42.442999999999998</v>
      </c>
      <c r="S30" s="9">
        <v>55.548999999999999</v>
      </c>
    </row>
    <row r="31" spans="1:19" x14ac:dyDescent="0.35">
      <c r="A31" s="6">
        <f>vals_ghg_excLUC!$A31</f>
        <v>1878</v>
      </c>
      <c r="B31" s="7">
        <f t="shared" si="0"/>
        <v>42.887920415931646</v>
      </c>
      <c r="C31" s="7">
        <f t="shared" si="1"/>
        <v>45.630141283856346</v>
      </c>
      <c r="D31" s="7">
        <f t="shared" si="2"/>
        <v>56.085693208857364</v>
      </c>
      <c r="E31" s="7">
        <f t="shared" si="3"/>
        <v>59.202344568523898</v>
      </c>
      <c r="F31" s="7">
        <f t="shared" si="4"/>
        <v>2.7422208679247007</v>
      </c>
      <c r="G31" s="7">
        <f t="shared" si="5"/>
        <v>0</v>
      </c>
      <c r="H31" s="7">
        <f t="shared" si="6"/>
        <v>10.455551925001018</v>
      </c>
      <c r="I31" s="8">
        <f>vals_ghg_excLUC!$R31</f>
        <v>45.630141283856346</v>
      </c>
      <c r="J31" s="8">
        <f>vals_ghg_excLUC!$X31</f>
        <v>42.887920415931646</v>
      </c>
      <c r="K31" s="8" t="e">
        <f>vals_ghg_excLUC!$AD31</f>
        <v>#N/A</v>
      </c>
      <c r="L31" s="8" t="e">
        <f>vals_ghg_excLUC!$AJ31</f>
        <v>#N/A</v>
      </c>
      <c r="M31" s="8">
        <f>vals_ghg_excLUC!$S31</f>
        <v>59.202344568523898</v>
      </c>
      <c r="N31" s="8">
        <f>vals_ghg_excLUC!$Y31</f>
        <v>56.085693208857364</v>
      </c>
      <c r="O31" s="8" t="e">
        <f>vals_ghg_excLUC!$AE31</f>
        <v>#N/A</v>
      </c>
      <c r="P31" s="8" t="e">
        <f>vals_ghg_excLUC!$AK31</f>
        <v>#N/A</v>
      </c>
      <c r="Q31" s="9">
        <f t="shared" si="7"/>
        <v>3.1166513596665339</v>
      </c>
      <c r="R31" s="9">
        <v>42.423999999999999</v>
      </c>
      <c r="S31" s="9">
        <v>55.53</v>
      </c>
    </row>
    <row r="32" spans="1:19" x14ac:dyDescent="0.35">
      <c r="A32" s="3">
        <f>vals_ghg_excLUC!$A32</f>
        <v>1879</v>
      </c>
      <c r="B32" s="4">
        <f t="shared" si="0"/>
        <v>42.879765936830978</v>
      </c>
      <c r="C32" s="4">
        <f t="shared" si="1"/>
        <v>45.61595376877267</v>
      </c>
      <c r="D32" s="4">
        <f t="shared" si="2"/>
        <v>56.077345388401199</v>
      </c>
      <c r="E32" s="4">
        <f t="shared" si="3"/>
        <v>59.189191053072655</v>
      </c>
      <c r="F32" s="4">
        <f t="shared" si="4"/>
        <v>2.7361878319416917</v>
      </c>
      <c r="G32" s="4">
        <f t="shared" si="5"/>
        <v>0</v>
      </c>
      <c r="H32" s="4">
        <f t="shared" si="6"/>
        <v>10.461391619628529</v>
      </c>
      <c r="I32" s="5">
        <f>vals_ghg_excLUC!$R32</f>
        <v>45.61595376877267</v>
      </c>
      <c r="J32" s="5">
        <f>vals_ghg_excLUC!$X32</f>
        <v>42.879765936830978</v>
      </c>
      <c r="K32" s="5" t="e">
        <f>vals_ghg_excLUC!$AD32</f>
        <v>#N/A</v>
      </c>
      <c r="L32" s="5" t="e">
        <f>vals_ghg_excLUC!$AJ32</f>
        <v>#N/A</v>
      </c>
      <c r="M32" s="5">
        <f>vals_ghg_excLUC!$S32</f>
        <v>59.189191053072655</v>
      </c>
      <c r="N32" s="5">
        <f>vals_ghg_excLUC!$Y32</f>
        <v>56.077345388401199</v>
      </c>
      <c r="O32" s="5" t="e">
        <f>vals_ghg_excLUC!$AE32</f>
        <v>#N/A</v>
      </c>
      <c r="P32" s="5" t="e">
        <f>vals_ghg_excLUC!$AK32</f>
        <v>#N/A</v>
      </c>
      <c r="Q32" s="9">
        <f t="shared" si="7"/>
        <v>3.1118456646714563</v>
      </c>
      <c r="R32" s="9">
        <v>42.405000000000001</v>
      </c>
      <c r="S32" s="9">
        <v>55.511000000000003</v>
      </c>
    </row>
    <row r="33" spans="1:19" x14ac:dyDescent="0.35">
      <c r="A33" s="6">
        <f>vals_ghg_excLUC!$A33</f>
        <v>1880</v>
      </c>
      <c r="B33" s="7">
        <f t="shared" si="0"/>
        <v>42.870509037749308</v>
      </c>
      <c r="C33" s="7">
        <f t="shared" si="1"/>
        <v>45.600571852189603</v>
      </c>
      <c r="D33" s="7">
        <f t="shared" si="2"/>
        <v>56.067975502089759</v>
      </c>
      <c r="E33" s="7">
        <f t="shared" si="3"/>
        <v>59.174984868124369</v>
      </c>
      <c r="F33" s="7">
        <f t="shared" si="4"/>
        <v>2.730062814440295</v>
      </c>
      <c r="G33" s="7">
        <f t="shared" si="5"/>
        <v>0</v>
      </c>
      <c r="H33" s="7">
        <f t="shared" si="6"/>
        <v>10.467403649900156</v>
      </c>
      <c r="I33" s="8">
        <f>vals_ghg_excLUC!$R33</f>
        <v>45.600571852189603</v>
      </c>
      <c r="J33" s="8">
        <f>vals_ghg_excLUC!$X33</f>
        <v>42.870509037749308</v>
      </c>
      <c r="K33" s="8" t="e">
        <f>vals_ghg_excLUC!$AD33</f>
        <v>#N/A</v>
      </c>
      <c r="L33" s="8" t="e">
        <f>vals_ghg_excLUC!$AJ33</f>
        <v>#N/A</v>
      </c>
      <c r="M33" s="8">
        <f>vals_ghg_excLUC!$S33</f>
        <v>59.174984868124369</v>
      </c>
      <c r="N33" s="8">
        <f>vals_ghg_excLUC!$Y33</f>
        <v>56.067975502089759</v>
      </c>
      <c r="O33" s="8" t="e">
        <f>vals_ghg_excLUC!$AE33</f>
        <v>#N/A</v>
      </c>
      <c r="P33" s="8" t="e">
        <f>vals_ghg_excLUC!$AK33</f>
        <v>#N/A</v>
      </c>
      <c r="Q33" s="9">
        <f t="shared" si="7"/>
        <v>3.1070093660346103</v>
      </c>
      <c r="R33" s="9">
        <v>42.384999999999998</v>
      </c>
      <c r="S33" s="9">
        <v>55.491</v>
      </c>
    </row>
    <row r="34" spans="1:19" x14ac:dyDescent="0.35">
      <c r="A34" s="3">
        <f>vals_ghg_excLUC!$A34</f>
        <v>1881</v>
      </c>
      <c r="B34" s="4">
        <f t="shared" si="0"/>
        <v>42.858910671036014</v>
      </c>
      <c r="C34" s="4">
        <f t="shared" si="1"/>
        <v>45.582659186869549</v>
      </c>
      <c r="D34" s="4">
        <f t="shared" si="2"/>
        <v>56.056649359394719</v>
      </c>
      <c r="E34" s="4">
        <f t="shared" si="3"/>
        <v>59.158740625410154</v>
      </c>
      <c r="F34" s="4">
        <f t="shared" si="4"/>
        <v>2.7237485158335346</v>
      </c>
      <c r="G34" s="4">
        <f t="shared" si="5"/>
        <v>0</v>
      </c>
      <c r="H34" s="4">
        <f t="shared" si="6"/>
        <v>10.47399017252517</v>
      </c>
      <c r="I34" s="5">
        <f>vals_ghg_excLUC!$R34</f>
        <v>45.582659186869549</v>
      </c>
      <c r="J34" s="5">
        <f>vals_ghg_excLUC!$X34</f>
        <v>42.858910671036014</v>
      </c>
      <c r="K34" s="5" t="e">
        <f>vals_ghg_excLUC!$AD34</f>
        <v>#N/A</v>
      </c>
      <c r="L34" s="5" t="e">
        <f>vals_ghg_excLUC!$AJ34</f>
        <v>#N/A</v>
      </c>
      <c r="M34" s="5">
        <f>vals_ghg_excLUC!$S34</f>
        <v>59.158740625410154</v>
      </c>
      <c r="N34" s="5">
        <f>vals_ghg_excLUC!$Y34</f>
        <v>56.056649359394719</v>
      </c>
      <c r="O34" s="5" t="e">
        <f>vals_ghg_excLUC!$AE34</f>
        <v>#N/A</v>
      </c>
      <c r="P34" s="5" t="e">
        <f>vals_ghg_excLUC!$AK34</f>
        <v>#N/A</v>
      </c>
      <c r="Q34" s="9">
        <f t="shared" si="7"/>
        <v>3.1020912660154352</v>
      </c>
      <c r="R34" s="9">
        <v>42.363</v>
      </c>
      <c r="S34" s="9">
        <v>55.469000000000001</v>
      </c>
    </row>
    <row r="35" spans="1:19" x14ac:dyDescent="0.35">
      <c r="A35" s="6">
        <f>vals_ghg_excLUC!$A35</f>
        <v>1882</v>
      </c>
      <c r="B35" s="7">
        <f t="shared" ref="B35:B66" si="8">IFERROR(_xlfn.AGGREGATE(5,6,I35:L35),"")</f>
        <v>42.846776643861126</v>
      </c>
      <c r="C35" s="7">
        <f t="shared" ref="C35:C66" si="9">IFERROR(_xlfn.AGGREGATE(4,6,I35:L35),"")</f>
        <v>45.564023224906109</v>
      </c>
      <c r="D35" s="7">
        <f t="shared" ref="D35:D66" si="10">IFERROR(_xlfn.AGGREGATE(5,6,M35:P35),"")</f>
        <v>56.044809590059629</v>
      </c>
      <c r="E35" s="7">
        <f t="shared" ref="E35:E66" si="11">IFERROR(_xlfn.AGGREGATE(4,6,M35:P35),"")</f>
        <v>59.141857883105807</v>
      </c>
      <c r="F35" s="7">
        <f t="shared" ref="F35:F66" si="12">IFERROR(MIN(C35,D35)-B35,"")</f>
        <v>2.7172465810449822</v>
      </c>
      <c r="G35" s="7">
        <f t="shared" ref="G35:G66" si="13">IFERROR(MAX(0,C35-D35),"")</f>
        <v>0</v>
      </c>
      <c r="H35" s="7">
        <f t="shared" ref="H35:H66" si="14">IFERROR(MAX(0,D35-C35),"")</f>
        <v>10.48078636515352</v>
      </c>
      <c r="I35" s="8">
        <f>vals_ghg_excLUC!$R35</f>
        <v>45.564023224906109</v>
      </c>
      <c r="J35" s="8">
        <f>vals_ghg_excLUC!$X35</f>
        <v>42.846776643861126</v>
      </c>
      <c r="K35" s="8" t="e">
        <f>vals_ghg_excLUC!$AD35</f>
        <v>#N/A</v>
      </c>
      <c r="L35" s="8" t="e">
        <f>vals_ghg_excLUC!$AJ35</f>
        <v>#N/A</v>
      </c>
      <c r="M35" s="8">
        <f>vals_ghg_excLUC!$S35</f>
        <v>59.141857883105807</v>
      </c>
      <c r="N35" s="8">
        <f>vals_ghg_excLUC!$Y35</f>
        <v>56.044809590059629</v>
      </c>
      <c r="O35" s="8" t="e">
        <f>vals_ghg_excLUC!$AE35</f>
        <v>#N/A</v>
      </c>
      <c r="P35" s="8" t="e">
        <f>vals_ghg_excLUC!$AK35</f>
        <v>#N/A</v>
      </c>
      <c r="Q35" s="9">
        <f t="shared" ref="Q35:Q66" si="15">IFERROR(MAX(0,$E35-MAX($C35,$D35)),"")</f>
        <v>3.0970482930461785</v>
      </c>
      <c r="R35" s="9">
        <v>42.338999999999999</v>
      </c>
      <c r="S35" s="9">
        <v>55.445999999999998</v>
      </c>
    </row>
    <row r="36" spans="1:19" x14ac:dyDescent="0.35">
      <c r="A36" s="3">
        <f>vals_ghg_excLUC!$A36</f>
        <v>1883</v>
      </c>
      <c r="B36" s="4">
        <f t="shared" si="8"/>
        <v>42.833566403837011</v>
      </c>
      <c r="C36" s="4">
        <f t="shared" si="9"/>
        <v>45.54417471651351</v>
      </c>
      <c r="D36" s="4">
        <f t="shared" si="10"/>
        <v>56.03203915715924</v>
      </c>
      <c r="E36" s="4">
        <f t="shared" si="11"/>
        <v>59.123964878515935</v>
      </c>
      <c r="F36" s="4">
        <f t="shared" si="12"/>
        <v>2.7106083126764986</v>
      </c>
      <c r="G36" s="4">
        <f t="shared" si="13"/>
        <v>0</v>
      </c>
      <c r="H36" s="4">
        <f t="shared" si="14"/>
        <v>10.48786444064573</v>
      </c>
      <c r="I36" s="5">
        <f>vals_ghg_excLUC!$R36</f>
        <v>45.54417471651351</v>
      </c>
      <c r="J36" s="5">
        <f>vals_ghg_excLUC!$X36</f>
        <v>42.833566403837011</v>
      </c>
      <c r="K36" s="5" t="e">
        <f>vals_ghg_excLUC!$AD36</f>
        <v>#N/A</v>
      </c>
      <c r="L36" s="5" t="e">
        <f>vals_ghg_excLUC!$AJ36</f>
        <v>#N/A</v>
      </c>
      <c r="M36" s="5">
        <f>vals_ghg_excLUC!$S36</f>
        <v>59.123964878515935</v>
      </c>
      <c r="N36" s="5">
        <f>vals_ghg_excLUC!$Y36</f>
        <v>56.03203915715924</v>
      </c>
      <c r="O36" s="5" t="e">
        <f>vals_ghg_excLUC!$AE36</f>
        <v>#N/A</v>
      </c>
      <c r="P36" s="5" t="e">
        <f>vals_ghg_excLUC!$AK36</f>
        <v>#N/A</v>
      </c>
      <c r="Q36" s="9">
        <f t="shared" si="15"/>
        <v>3.0919257213566951</v>
      </c>
      <c r="R36" s="9">
        <v>42.314999999999998</v>
      </c>
      <c r="S36" s="9">
        <v>55.421999999999997</v>
      </c>
    </row>
    <row r="37" spans="1:19" x14ac:dyDescent="0.35">
      <c r="A37" s="6">
        <f>vals_ghg_excLUC!$A37</f>
        <v>1884</v>
      </c>
      <c r="B37" s="7">
        <f t="shared" si="8"/>
        <v>42.819239836075617</v>
      </c>
      <c r="C37" s="7">
        <f t="shared" si="9"/>
        <v>45.523060898906351</v>
      </c>
      <c r="D37" s="7">
        <f t="shared" si="10"/>
        <v>56.018163546959507</v>
      </c>
      <c r="E37" s="7">
        <f t="shared" si="11"/>
        <v>59.104855238953448</v>
      </c>
      <c r="F37" s="7">
        <f t="shared" si="12"/>
        <v>2.703821062830734</v>
      </c>
      <c r="G37" s="7">
        <f t="shared" si="13"/>
        <v>0</v>
      </c>
      <c r="H37" s="7">
        <f t="shared" si="14"/>
        <v>10.495102648053155</v>
      </c>
      <c r="I37" s="8">
        <f>vals_ghg_excLUC!$R37</f>
        <v>45.523060898906351</v>
      </c>
      <c r="J37" s="8">
        <f>vals_ghg_excLUC!$X37</f>
        <v>42.819239836075617</v>
      </c>
      <c r="K37" s="8" t="e">
        <f>vals_ghg_excLUC!$AD37</f>
        <v>#N/A</v>
      </c>
      <c r="L37" s="8" t="e">
        <f>vals_ghg_excLUC!$AJ37</f>
        <v>#N/A</v>
      </c>
      <c r="M37" s="8">
        <f>vals_ghg_excLUC!$S37</f>
        <v>59.104855238953448</v>
      </c>
      <c r="N37" s="8">
        <f>vals_ghg_excLUC!$Y37</f>
        <v>56.018163546959507</v>
      </c>
      <c r="O37" s="8" t="e">
        <f>vals_ghg_excLUC!$AE37</f>
        <v>#N/A</v>
      </c>
      <c r="P37" s="8" t="e">
        <f>vals_ghg_excLUC!$AK37</f>
        <v>#N/A</v>
      </c>
      <c r="Q37" s="9">
        <f t="shared" si="15"/>
        <v>3.0866916919939413</v>
      </c>
      <c r="R37" s="9">
        <v>42.287999999999997</v>
      </c>
      <c r="S37" s="9">
        <v>55.396999999999998</v>
      </c>
    </row>
    <row r="38" spans="1:19" x14ac:dyDescent="0.35">
      <c r="A38" s="3">
        <f>vals_ghg_excLUC!$A38</f>
        <v>1885</v>
      </c>
      <c r="B38" s="4">
        <f t="shared" si="8"/>
        <v>42.804850027233663</v>
      </c>
      <c r="C38" s="4">
        <f t="shared" si="9"/>
        <v>45.501878079998448</v>
      </c>
      <c r="D38" s="4">
        <f t="shared" si="10"/>
        <v>56.004116917067712</v>
      </c>
      <c r="E38" s="4">
        <f t="shared" si="11"/>
        <v>59.085573147690042</v>
      </c>
      <c r="F38" s="4">
        <f t="shared" si="12"/>
        <v>2.6970280527647859</v>
      </c>
      <c r="G38" s="4">
        <f t="shared" si="13"/>
        <v>0</v>
      </c>
      <c r="H38" s="4">
        <f t="shared" si="14"/>
        <v>10.502238837069264</v>
      </c>
      <c r="I38" s="5">
        <f>vals_ghg_excLUC!$R38</f>
        <v>45.501878079998448</v>
      </c>
      <c r="J38" s="5">
        <f>vals_ghg_excLUC!$X38</f>
        <v>42.804850027233663</v>
      </c>
      <c r="K38" s="5" t="e">
        <f>vals_ghg_excLUC!$AD38</f>
        <v>#N/A</v>
      </c>
      <c r="L38" s="5" t="e">
        <f>vals_ghg_excLUC!$AJ38</f>
        <v>#N/A</v>
      </c>
      <c r="M38" s="5">
        <f>vals_ghg_excLUC!$S38</f>
        <v>59.085573147690042</v>
      </c>
      <c r="N38" s="5">
        <f>vals_ghg_excLUC!$Y38</f>
        <v>56.004116917067712</v>
      </c>
      <c r="O38" s="5" t="e">
        <f>vals_ghg_excLUC!$AE38</f>
        <v>#N/A</v>
      </c>
      <c r="P38" s="5" t="e">
        <f>vals_ghg_excLUC!$AK38</f>
        <v>#N/A</v>
      </c>
      <c r="Q38" s="9">
        <f t="shared" si="15"/>
        <v>3.0814562306223294</v>
      </c>
      <c r="R38" s="9">
        <v>42.262999999999998</v>
      </c>
      <c r="S38" s="9">
        <v>55.371000000000002</v>
      </c>
    </row>
    <row r="39" spans="1:19" x14ac:dyDescent="0.35">
      <c r="A39" s="6">
        <f>vals_ghg_excLUC!$A39</f>
        <v>1886</v>
      </c>
      <c r="B39" s="7">
        <f t="shared" si="8"/>
        <v>42.790515826348866</v>
      </c>
      <c r="C39" s="7">
        <f t="shared" si="9"/>
        <v>45.480776028528716</v>
      </c>
      <c r="D39" s="7">
        <f t="shared" si="10"/>
        <v>55.989937838498484</v>
      </c>
      <c r="E39" s="7">
        <f t="shared" si="11"/>
        <v>59.066168164771739</v>
      </c>
      <c r="F39" s="7">
        <f t="shared" si="12"/>
        <v>2.6902602021798501</v>
      </c>
      <c r="G39" s="7">
        <f t="shared" si="13"/>
        <v>0</v>
      </c>
      <c r="H39" s="7">
        <f t="shared" si="14"/>
        <v>10.509161809969768</v>
      </c>
      <c r="I39" s="8">
        <f>vals_ghg_excLUC!$R39</f>
        <v>45.480776028528716</v>
      </c>
      <c r="J39" s="8">
        <f>vals_ghg_excLUC!$X39</f>
        <v>42.790515826348866</v>
      </c>
      <c r="K39" s="8" t="e">
        <f>vals_ghg_excLUC!$AD39</f>
        <v>#N/A</v>
      </c>
      <c r="L39" s="8" t="e">
        <f>vals_ghg_excLUC!$AJ39</f>
        <v>#N/A</v>
      </c>
      <c r="M39" s="8">
        <f>vals_ghg_excLUC!$S39</f>
        <v>59.066168164771739</v>
      </c>
      <c r="N39" s="8">
        <f>vals_ghg_excLUC!$Y39</f>
        <v>55.989937838498484</v>
      </c>
      <c r="O39" s="8" t="e">
        <f>vals_ghg_excLUC!$AE39</f>
        <v>#N/A</v>
      </c>
      <c r="P39" s="8" t="e">
        <f>vals_ghg_excLUC!$AK39</f>
        <v>#N/A</v>
      </c>
      <c r="Q39" s="9">
        <f t="shared" si="15"/>
        <v>3.0762303262732544</v>
      </c>
      <c r="R39" s="9">
        <v>42.238</v>
      </c>
      <c r="S39" s="9">
        <v>55.347000000000001</v>
      </c>
    </row>
    <row r="40" spans="1:19" x14ac:dyDescent="0.35">
      <c r="A40" s="3">
        <f>vals_ghg_excLUC!$A40</f>
        <v>1887</v>
      </c>
      <c r="B40" s="4">
        <f t="shared" si="8"/>
        <v>42.775990668324951</v>
      </c>
      <c r="C40" s="4">
        <f t="shared" si="9"/>
        <v>45.459411121186037</v>
      </c>
      <c r="D40" s="4">
        <f t="shared" si="10"/>
        <v>55.975511152710212</v>
      </c>
      <c r="E40" s="4">
        <f t="shared" si="11"/>
        <v>59.046464822076302</v>
      </c>
      <c r="F40" s="4">
        <f t="shared" si="12"/>
        <v>2.6834204528610854</v>
      </c>
      <c r="G40" s="4">
        <f t="shared" si="13"/>
        <v>0</v>
      </c>
      <c r="H40" s="4">
        <f t="shared" si="14"/>
        <v>10.516100031524175</v>
      </c>
      <c r="I40" s="5">
        <f>vals_ghg_excLUC!$R40</f>
        <v>45.459411121186037</v>
      </c>
      <c r="J40" s="5">
        <f>vals_ghg_excLUC!$X40</f>
        <v>42.775990668324951</v>
      </c>
      <c r="K40" s="5" t="e">
        <f>vals_ghg_excLUC!$AD40</f>
        <v>#N/A</v>
      </c>
      <c r="L40" s="5" t="e">
        <f>vals_ghg_excLUC!$AJ40</f>
        <v>#N/A</v>
      </c>
      <c r="M40" s="5">
        <f>vals_ghg_excLUC!$S40</f>
        <v>59.046464822076302</v>
      </c>
      <c r="N40" s="5">
        <f>vals_ghg_excLUC!$Y40</f>
        <v>55.975511152710212</v>
      </c>
      <c r="O40" s="5" t="e">
        <f>vals_ghg_excLUC!$AE40</f>
        <v>#N/A</v>
      </c>
      <c r="P40" s="5" t="e">
        <f>vals_ghg_excLUC!$AK40</f>
        <v>#N/A</v>
      </c>
      <c r="Q40" s="9">
        <f t="shared" si="15"/>
        <v>3.0709536693660908</v>
      </c>
      <c r="R40" s="9">
        <v>42.213000000000001</v>
      </c>
      <c r="S40" s="9">
        <v>55.322000000000003</v>
      </c>
    </row>
    <row r="41" spans="1:19" x14ac:dyDescent="0.35">
      <c r="A41" s="6">
        <f>vals_ghg_excLUC!$A41</f>
        <v>1888</v>
      </c>
      <c r="B41" s="7">
        <f t="shared" si="8"/>
        <v>42.760435868679487</v>
      </c>
      <c r="C41" s="7">
        <f t="shared" si="9"/>
        <v>45.436849875600792</v>
      </c>
      <c r="D41" s="7">
        <f t="shared" si="10"/>
        <v>55.960172142036257</v>
      </c>
      <c r="E41" s="7">
        <f t="shared" si="11"/>
        <v>59.025740527062396</v>
      </c>
      <c r="F41" s="7">
        <f t="shared" si="12"/>
        <v>2.6764140069213056</v>
      </c>
      <c r="G41" s="7">
        <f t="shared" si="13"/>
        <v>0</v>
      </c>
      <c r="H41" s="7">
        <f t="shared" si="14"/>
        <v>10.523322266435464</v>
      </c>
      <c r="I41" s="8">
        <f>vals_ghg_excLUC!$R41</f>
        <v>45.436849875600792</v>
      </c>
      <c r="J41" s="8">
        <f>vals_ghg_excLUC!$X41</f>
        <v>42.760435868679487</v>
      </c>
      <c r="K41" s="8" t="e">
        <f>vals_ghg_excLUC!$AD41</f>
        <v>#N/A</v>
      </c>
      <c r="L41" s="8" t="e">
        <f>vals_ghg_excLUC!$AJ41</f>
        <v>#N/A</v>
      </c>
      <c r="M41" s="8">
        <f>vals_ghg_excLUC!$S41</f>
        <v>59.025740527062396</v>
      </c>
      <c r="N41" s="8">
        <f>vals_ghg_excLUC!$Y41</f>
        <v>55.960172142036257</v>
      </c>
      <c r="O41" s="8" t="e">
        <f>vals_ghg_excLUC!$AE41</f>
        <v>#N/A</v>
      </c>
      <c r="P41" s="8" t="e">
        <f>vals_ghg_excLUC!$AK41</f>
        <v>#N/A</v>
      </c>
      <c r="Q41" s="9">
        <f t="shared" si="15"/>
        <v>3.0655683850261397</v>
      </c>
      <c r="R41" s="9">
        <v>42.188000000000002</v>
      </c>
      <c r="S41" s="9">
        <v>55.295999999999999</v>
      </c>
    </row>
    <row r="42" spans="1:19" x14ac:dyDescent="0.35">
      <c r="A42" s="3">
        <f>vals_ghg_excLUC!$A42</f>
        <v>1889</v>
      </c>
      <c r="B42" s="4">
        <f t="shared" si="8"/>
        <v>42.742363428942028</v>
      </c>
      <c r="C42" s="4">
        <f t="shared" si="9"/>
        <v>45.411479862387253</v>
      </c>
      <c r="D42" s="4">
        <f t="shared" si="10"/>
        <v>55.942633327535596</v>
      </c>
      <c r="E42" s="4">
        <f t="shared" si="11"/>
        <v>59.002636143708372</v>
      </c>
      <c r="F42" s="4">
        <f t="shared" si="12"/>
        <v>2.6691164334452253</v>
      </c>
      <c r="G42" s="4">
        <f t="shared" si="13"/>
        <v>0</v>
      </c>
      <c r="H42" s="4">
        <f t="shared" si="14"/>
        <v>10.531153465148343</v>
      </c>
      <c r="I42" s="5">
        <f>vals_ghg_excLUC!$R42</f>
        <v>45.411479862387253</v>
      </c>
      <c r="J42" s="5">
        <f>vals_ghg_excLUC!$X42</f>
        <v>42.742363428942028</v>
      </c>
      <c r="K42" s="5" t="e">
        <f>vals_ghg_excLUC!$AD42</f>
        <v>#N/A</v>
      </c>
      <c r="L42" s="5" t="e">
        <f>vals_ghg_excLUC!$AJ42</f>
        <v>#N/A</v>
      </c>
      <c r="M42" s="5">
        <f>vals_ghg_excLUC!$S42</f>
        <v>59.002636143708372</v>
      </c>
      <c r="N42" s="5">
        <f>vals_ghg_excLUC!$Y42</f>
        <v>55.942633327535596</v>
      </c>
      <c r="O42" s="5" t="e">
        <f>vals_ghg_excLUC!$AE42</f>
        <v>#N/A</v>
      </c>
      <c r="P42" s="5" t="e">
        <f>vals_ghg_excLUC!$AK42</f>
        <v>#N/A</v>
      </c>
      <c r="Q42" s="9">
        <f t="shared" si="15"/>
        <v>3.0600028161727764</v>
      </c>
      <c r="R42" s="9">
        <v>42.158000000000001</v>
      </c>
      <c r="S42" s="9">
        <v>55.267000000000003</v>
      </c>
    </row>
    <row r="43" spans="1:19" x14ac:dyDescent="0.35">
      <c r="A43" s="6">
        <f>vals_ghg_excLUC!$A43</f>
        <v>1890</v>
      </c>
      <c r="B43" s="7">
        <f t="shared" si="8"/>
        <v>42.724658011192268</v>
      </c>
      <c r="C43" s="7">
        <f t="shared" si="9"/>
        <v>45.386557684693805</v>
      </c>
      <c r="D43" s="7">
        <f t="shared" si="10"/>
        <v>55.925141879512331</v>
      </c>
      <c r="E43" s="7">
        <f t="shared" si="11"/>
        <v>58.9796202084231</v>
      </c>
      <c r="F43" s="7">
        <f t="shared" si="12"/>
        <v>2.6618996735015372</v>
      </c>
      <c r="G43" s="7">
        <f t="shared" si="13"/>
        <v>0</v>
      </c>
      <c r="H43" s="7">
        <f t="shared" si="14"/>
        <v>10.538584194818526</v>
      </c>
      <c r="I43" s="8">
        <f>vals_ghg_excLUC!$R43</f>
        <v>45.386557684693805</v>
      </c>
      <c r="J43" s="8">
        <f>vals_ghg_excLUC!$X43</f>
        <v>42.724658011192268</v>
      </c>
      <c r="K43" s="8" t="e">
        <f>vals_ghg_excLUC!$AD43</f>
        <v>#N/A</v>
      </c>
      <c r="L43" s="8" t="e">
        <f>vals_ghg_excLUC!$AJ43</f>
        <v>#N/A</v>
      </c>
      <c r="M43" s="8">
        <f>vals_ghg_excLUC!$S43</f>
        <v>58.9796202084231</v>
      </c>
      <c r="N43" s="8">
        <f>vals_ghg_excLUC!$Y43</f>
        <v>55.925141879512331</v>
      </c>
      <c r="O43" s="8" t="e">
        <f>vals_ghg_excLUC!$AE43</f>
        <v>#N/A</v>
      </c>
      <c r="P43" s="8" t="e">
        <f>vals_ghg_excLUC!$AK43</f>
        <v>#N/A</v>
      </c>
      <c r="Q43" s="9">
        <f t="shared" si="15"/>
        <v>3.0544783289107684</v>
      </c>
      <c r="R43" s="9">
        <v>42.13</v>
      </c>
      <c r="S43" s="9">
        <v>55.238999999999997</v>
      </c>
    </row>
    <row r="44" spans="1:19" x14ac:dyDescent="0.35">
      <c r="A44" s="3">
        <f>vals_ghg_excLUC!$A44</f>
        <v>1891</v>
      </c>
      <c r="B44" s="4">
        <f t="shared" si="8"/>
        <v>42.704667164981402</v>
      </c>
      <c r="C44" s="4">
        <f t="shared" si="9"/>
        <v>45.359002981609542</v>
      </c>
      <c r="D44" s="4">
        <f t="shared" si="10"/>
        <v>55.905620118762009</v>
      </c>
      <c r="E44" s="4">
        <f t="shared" si="11"/>
        <v>58.954322317322692</v>
      </c>
      <c r="F44" s="4">
        <f t="shared" si="12"/>
        <v>2.6543358166281408</v>
      </c>
      <c r="G44" s="4">
        <f t="shared" si="13"/>
        <v>0</v>
      </c>
      <c r="H44" s="4">
        <f t="shared" si="14"/>
        <v>10.546617137152467</v>
      </c>
      <c r="I44" s="5">
        <f>vals_ghg_excLUC!$R44</f>
        <v>45.359002981609542</v>
      </c>
      <c r="J44" s="5">
        <f>vals_ghg_excLUC!$X44</f>
        <v>42.704667164981402</v>
      </c>
      <c r="K44" s="5" t="e">
        <f>vals_ghg_excLUC!$AD44</f>
        <v>#N/A</v>
      </c>
      <c r="L44" s="5" t="e">
        <f>vals_ghg_excLUC!$AJ44</f>
        <v>#N/A</v>
      </c>
      <c r="M44" s="5">
        <f>vals_ghg_excLUC!$S44</f>
        <v>58.954322317322692</v>
      </c>
      <c r="N44" s="5">
        <f>vals_ghg_excLUC!$Y44</f>
        <v>55.905620118762009</v>
      </c>
      <c r="O44" s="5" t="e">
        <f>vals_ghg_excLUC!$AE44</f>
        <v>#N/A</v>
      </c>
      <c r="P44" s="5" t="e">
        <f>vals_ghg_excLUC!$AK44</f>
        <v>#N/A</v>
      </c>
      <c r="Q44" s="9">
        <f t="shared" si="15"/>
        <v>3.048702198560683</v>
      </c>
      <c r="R44" s="9">
        <v>42.097999999999999</v>
      </c>
      <c r="S44" s="9">
        <v>55.207999999999998</v>
      </c>
    </row>
    <row r="45" spans="1:19" x14ac:dyDescent="0.35">
      <c r="A45" s="6">
        <f>vals_ghg_excLUC!$A45</f>
        <v>1892</v>
      </c>
      <c r="B45" s="7">
        <f t="shared" si="8"/>
        <v>42.683524650779994</v>
      </c>
      <c r="C45" s="7">
        <f t="shared" si="9"/>
        <v>45.330221677856308</v>
      </c>
      <c r="D45" s="7">
        <f t="shared" si="10"/>
        <v>55.884899516140166</v>
      </c>
      <c r="E45" s="7">
        <f t="shared" si="11"/>
        <v>58.927774792778145</v>
      </c>
      <c r="F45" s="7">
        <f t="shared" si="12"/>
        <v>2.6466970270763142</v>
      </c>
      <c r="G45" s="7">
        <f t="shared" si="13"/>
        <v>0</v>
      </c>
      <c r="H45" s="7">
        <f t="shared" si="14"/>
        <v>10.554677838283858</v>
      </c>
      <c r="I45" s="8">
        <f>vals_ghg_excLUC!$R45</f>
        <v>45.330221677856308</v>
      </c>
      <c r="J45" s="8">
        <f>vals_ghg_excLUC!$X45</f>
        <v>42.683524650779994</v>
      </c>
      <c r="K45" s="8" t="e">
        <f>vals_ghg_excLUC!$AD45</f>
        <v>#N/A</v>
      </c>
      <c r="L45" s="8" t="e">
        <f>vals_ghg_excLUC!$AJ45</f>
        <v>#N/A</v>
      </c>
      <c r="M45" s="8">
        <f>vals_ghg_excLUC!$S45</f>
        <v>58.927774792778145</v>
      </c>
      <c r="N45" s="8">
        <f>vals_ghg_excLUC!$Y45</f>
        <v>55.884899516140166</v>
      </c>
      <c r="O45" s="8" t="e">
        <f>vals_ghg_excLUC!$AE45</f>
        <v>#N/A</v>
      </c>
      <c r="P45" s="8" t="e">
        <f>vals_ghg_excLUC!$AK45</f>
        <v>#N/A</v>
      </c>
      <c r="Q45" s="9">
        <f t="shared" si="15"/>
        <v>3.0428752766379787</v>
      </c>
      <c r="R45" s="9">
        <v>42.064</v>
      </c>
      <c r="S45" s="9">
        <v>55.174999999999997</v>
      </c>
    </row>
    <row r="46" spans="1:19" x14ac:dyDescent="0.35">
      <c r="A46" s="3">
        <f>vals_ghg_excLUC!$A46</f>
        <v>1893</v>
      </c>
      <c r="B46" s="4">
        <f t="shared" si="8"/>
        <v>42.662194005353065</v>
      </c>
      <c r="C46" s="4">
        <f t="shared" si="9"/>
        <v>45.301253226574076</v>
      </c>
      <c r="D46" s="4">
        <f t="shared" si="10"/>
        <v>55.864007890132704</v>
      </c>
      <c r="E46" s="4">
        <f t="shared" si="11"/>
        <v>58.901087397723131</v>
      </c>
      <c r="F46" s="4">
        <f t="shared" si="12"/>
        <v>2.6390592212210109</v>
      </c>
      <c r="G46" s="4">
        <f t="shared" si="13"/>
        <v>0</v>
      </c>
      <c r="H46" s="4">
        <f t="shared" si="14"/>
        <v>10.562754663558628</v>
      </c>
      <c r="I46" s="5">
        <f>vals_ghg_excLUC!$R46</f>
        <v>45.301253226574076</v>
      </c>
      <c r="J46" s="5">
        <f>vals_ghg_excLUC!$X46</f>
        <v>42.662194005353065</v>
      </c>
      <c r="K46" s="5" t="e">
        <f>vals_ghg_excLUC!$AD46</f>
        <v>#N/A</v>
      </c>
      <c r="L46" s="5" t="e">
        <f>vals_ghg_excLUC!$AJ46</f>
        <v>#N/A</v>
      </c>
      <c r="M46" s="5">
        <f>vals_ghg_excLUC!$S46</f>
        <v>58.901087397723131</v>
      </c>
      <c r="N46" s="5">
        <f>vals_ghg_excLUC!$Y46</f>
        <v>55.864007890132704</v>
      </c>
      <c r="O46" s="5" t="e">
        <f>vals_ghg_excLUC!$AE46</f>
        <v>#N/A</v>
      </c>
      <c r="P46" s="5" t="e">
        <f>vals_ghg_excLUC!$AK46</f>
        <v>#N/A</v>
      </c>
      <c r="Q46" s="9">
        <f t="shared" si="15"/>
        <v>3.0370795075904269</v>
      </c>
      <c r="R46" s="9">
        <v>42.031999999999996</v>
      </c>
      <c r="S46" s="9">
        <v>55.142000000000003</v>
      </c>
    </row>
    <row r="47" spans="1:19" x14ac:dyDescent="0.35">
      <c r="A47" s="6">
        <f>vals_ghg_excLUC!$A47</f>
        <v>1894</v>
      </c>
      <c r="B47" s="7">
        <f t="shared" si="8"/>
        <v>42.641807311276814</v>
      </c>
      <c r="C47" s="7">
        <f t="shared" si="9"/>
        <v>45.273446077743237</v>
      </c>
      <c r="D47" s="7">
        <f t="shared" si="10"/>
        <v>55.843537662364518</v>
      </c>
      <c r="E47" s="7">
        <f t="shared" si="11"/>
        <v>58.874943074996956</v>
      </c>
      <c r="F47" s="7">
        <f t="shared" si="12"/>
        <v>2.6316387664664234</v>
      </c>
      <c r="G47" s="7">
        <f t="shared" si="13"/>
        <v>0</v>
      </c>
      <c r="H47" s="7">
        <f t="shared" si="14"/>
        <v>10.570091584621281</v>
      </c>
      <c r="I47" s="8">
        <f>vals_ghg_excLUC!$R47</f>
        <v>45.273446077743237</v>
      </c>
      <c r="J47" s="8">
        <f>vals_ghg_excLUC!$X47</f>
        <v>42.641807311276814</v>
      </c>
      <c r="K47" s="8" t="e">
        <f>vals_ghg_excLUC!$AD47</f>
        <v>#N/A</v>
      </c>
      <c r="L47" s="8" t="e">
        <f>vals_ghg_excLUC!$AJ47</f>
        <v>#N/A</v>
      </c>
      <c r="M47" s="8">
        <f>vals_ghg_excLUC!$S47</f>
        <v>58.874943074996956</v>
      </c>
      <c r="N47" s="8">
        <f>vals_ghg_excLUC!$Y47</f>
        <v>55.843537662364518</v>
      </c>
      <c r="O47" s="8" t="e">
        <f>vals_ghg_excLUC!$AE47</f>
        <v>#N/A</v>
      </c>
      <c r="P47" s="8" t="e">
        <f>vals_ghg_excLUC!$AK47</f>
        <v>#N/A</v>
      </c>
      <c r="Q47" s="9">
        <f t="shared" si="15"/>
        <v>3.0314054126324379</v>
      </c>
      <c r="R47" s="9">
        <v>42.002000000000002</v>
      </c>
      <c r="S47" s="9">
        <v>55.110999999999997</v>
      </c>
    </row>
    <row r="48" spans="1:19" x14ac:dyDescent="0.35">
      <c r="A48" s="3">
        <f>vals_ghg_excLUC!$A48</f>
        <v>1895</v>
      </c>
      <c r="B48" s="4">
        <f t="shared" si="8"/>
        <v>42.620287962703785</v>
      </c>
      <c r="C48" s="4">
        <f t="shared" si="9"/>
        <v>45.244423779673582</v>
      </c>
      <c r="D48" s="4">
        <f t="shared" si="10"/>
        <v>55.822098792971509</v>
      </c>
      <c r="E48" s="4">
        <f t="shared" si="11"/>
        <v>58.847814130656062</v>
      </c>
      <c r="F48" s="4">
        <f t="shared" si="12"/>
        <v>2.6241358169697975</v>
      </c>
      <c r="G48" s="4">
        <f t="shared" si="13"/>
        <v>0</v>
      </c>
      <c r="H48" s="4">
        <f t="shared" si="14"/>
        <v>10.577675013297927</v>
      </c>
      <c r="I48" s="5">
        <f>vals_ghg_excLUC!$R48</f>
        <v>45.244423779673582</v>
      </c>
      <c r="J48" s="5">
        <f>vals_ghg_excLUC!$X48</f>
        <v>42.620287962703785</v>
      </c>
      <c r="K48" s="5" t="e">
        <f>vals_ghg_excLUC!$AD48</f>
        <v>#N/A</v>
      </c>
      <c r="L48" s="5" t="e">
        <f>vals_ghg_excLUC!$AJ48</f>
        <v>#N/A</v>
      </c>
      <c r="M48" s="5">
        <f>vals_ghg_excLUC!$S48</f>
        <v>58.847814130656062</v>
      </c>
      <c r="N48" s="5">
        <f>vals_ghg_excLUC!$Y48</f>
        <v>55.822098792971509</v>
      </c>
      <c r="O48" s="5" t="e">
        <f>vals_ghg_excLUC!$AE48</f>
        <v>#N/A</v>
      </c>
      <c r="P48" s="5" t="e">
        <f>vals_ghg_excLUC!$AK48</f>
        <v>#N/A</v>
      </c>
      <c r="Q48" s="9">
        <f t="shared" si="15"/>
        <v>3.0257153376845523</v>
      </c>
      <c r="R48" s="9">
        <v>41.969000000000001</v>
      </c>
      <c r="S48" s="9">
        <v>55.079000000000001</v>
      </c>
    </row>
    <row r="49" spans="1:19" x14ac:dyDescent="0.35">
      <c r="A49" s="6">
        <f>vals_ghg_excLUC!$A49</f>
        <v>1896</v>
      </c>
      <c r="B49" s="7">
        <f t="shared" si="8"/>
        <v>42.597268905648718</v>
      </c>
      <c r="C49" s="7">
        <f t="shared" si="9"/>
        <v>45.213746431115446</v>
      </c>
      <c r="D49" s="7">
        <f t="shared" si="10"/>
        <v>55.799130091117831</v>
      </c>
      <c r="E49" s="7">
        <f t="shared" si="11"/>
        <v>58.819027112225932</v>
      </c>
      <c r="F49" s="7">
        <f t="shared" si="12"/>
        <v>2.6164775254667276</v>
      </c>
      <c r="G49" s="7">
        <f t="shared" si="13"/>
        <v>0</v>
      </c>
      <c r="H49" s="7">
        <f t="shared" si="14"/>
        <v>10.585383660002385</v>
      </c>
      <c r="I49" s="8">
        <f>vals_ghg_excLUC!$R49</f>
        <v>45.213746431115446</v>
      </c>
      <c r="J49" s="8">
        <f>vals_ghg_excLUC!$X49</f>
        <v>42.597268905648718</v>
      </c>
      <c r="K49" s="8" t="e">
        <f>vals_ghg_excLUC!$AD49</f>
        <v>#N/A</v>
      </c>
      <c r="L49" s="8" t="e">
        <f>vals_ghg_excLUC!$AJ49</f>
        <v>#N/A</v>
      </c>
      <c r="M49" s="8">
        <f>vals_ghg_excLUC!$S49</f>
        <v>58.819027112225932</v>
      </c>
      <c r="N49" s="8">
        <f>vals_ghg_excLUC!$Y49</f>
        <v>55.799130091117831</v>
      </c>
      <c r="O49" s="8" t="e">
        <f>vals_ghg_excLUC!$AE49</f>
        <v>#N/A</v>
      </c>
      <c r="P49" s="8" t="e">
        <f>vals_ghg_excLUC!$AK49</f>
        <v>#N/A</v>
      </c>
      <c r="Q49" s="9">
        <f t="shared" si="15"/>
        <v>3.0198970211081004</v>
      </c>
      <c r="R49" s="9">
        <v>41.935000000000002</v>
      </c>
      <c r="S49" s="9">
        <v>55.043999999999997</v>
      </c>
    </row>
    <row r="50" spans="1:19" x14ac:dyDescent="0.35">
      <c r="A50" s="3">
        <f>vals_ghg_excLUC!$A50</f>
        <v>1897</v>
      </c>
      <c r="B50" s="4">
        <f t="shared" si="8"/>
        <v>42.573357054142456</v>
      </c>
      <c r="C50" s="4">
        <f t="shared" si="9"/>
        <v>45.182097843200268</v>
      </c>
      <c r="D50" s="4">
        <f t="shared" si="10"/>
        <v>55.775263141036191</v>
      </c>
      <c r="E50" s="4">
        <f t="shared" si="11"/>
        <v>58.789296634374288</v>
      </c>
      <c r="F50" s="4">
        <f t="shared" si="12"/>
        <v>2.608740789057812</v>
      </c>
      <c r="G50" s="4">
        <f t="shared" si="13"/>
        <v>0</v>
      </c>
      <c r="H50" s="4">
        <f t="shared" si="14"/>
        <v>10.593165297835924</v>
      </c>
      <c r="I50" s="5">
        <f>vals_ghg_excLUC!$R50</f>
        <v>45.182097843200268</v>
      </c>
      <c r="J50" s="5">
        <f>vals_ghg_excLUC!$X50</f>
        <v>42.573357054142456</v>
      </c>
      <c r="K50" s="5" t="e">
        <f>vals_ghg_excLUC!$AD50</f>
        <v>#N/A</v>
      </c>
      <c r="L50" s="5" t="e">
        <f>vals_ghg_excLUC!$AJ50</f>
        <v>#N/A</v>
      </c>
      <c r="M50" s="5">
        <f>vals_ghg_excLUC!$S50</f>
        <v>58.789296634374288</v>
      </c>
      <c r="N50" s="5">
        <f>vals_ghg_excLUC!$Y50</f>
        <v>55.775263141036191</v>
      </c>
      <c r="O50" s="5" t="e">
        <f>vals_ghg_excLUC!$AE50</f>
        <v>#N/A</v>
      </c>
      <c r="P50" s="5" t="e">
        <f>vals_ghg_excLUC!$AK50</f>
        <v>#N/A</v>
      </c>
      <c r="Q50" s="9">
        <f t="shared" si="15"/>
        <v>3.014033493338097</v>
      </c>
      <c r="R50" s="9">
        <v>41.899000000000001</v>
      </c>
      <c r="S50" s="9">
        <v>55.008000000000003</v>
      </c>
    </row>
    <row r="51" spans="1:19" x14ac:dyDescent="0.35">
      <c r="A51" s="6">
        <f>vals_ghg_excLUC!$A51</f>
        <v>1898</v>
      </c>
      <c r="B51" s="7">
        <f t="shared" si="8"/>
        <v>42.548153824953758</v>
      </c>
      <c r="C51" s="7">
        <f t="shared" si="9"/>
        <v>45.149064753640651</v>
      </c>
      <c r="D51" s="7">
        <f t="shared" si="10"/>
        <v>55.749988322554344</v>
      </c>
      <c r="E51" s="7">
        <f t="shared" si="11"/>
        <v>58.758076206825812</v>
      </c>
      <c r="F51" s="7">
        <f t="shared" si="12"/>
        <v>2.6009109286868934</v>
      </c>
      <c r="G51" s="7">
        <f t="shared" si="13"/>
        <v>0</v>
      </c>
      <c r="H51" s="7">
        <f t="shared" si="14"/>
        <v>10.600923568913693</v>
      </c>
      <c r="I51" s="8">
        <f>vals_ghg_excLUC!$R51</f>
        <v>45.149064753640651</v>
      </c>
      <c r="J51" s="8">
        <f>vals_ghg_excLUC!$X51</f>
        <v>42.548153824953758</v>
      </c>
      <c r="K51" s="8" t="e">
        <f>vals_ghg_excLUC!$AD51</f>
        <v>#N/A</v>
      </c>
      <c r="L51" s="8" t="e">
        <f>vals_ghg_excLUC!$AJ51</f>
        <v>#N/A</v>
      </c>
      <c r="M51" s="8">
        <f>vals_ghg_excLUC!$S51</f>
        <v>58.758076206825812</v>
      </c>
      <c r="N51" s="8">
        <f>vals_ghg_excLUC!$Y51</f>
        <v>55.749988322554344</v>
      </c>
      <c r="O51" s="8" t="e">
        <f>vals_ghg_excLUC!$AE51</f>
        <v>#N/A</v>
      </c>
      <c r="P51" s="8" t="e">
        <f>vals_ghg_excLUC!$AK51</f>
        <v>#N/A</v>
      </c>
      <c r="Q51" s="9">
        <f t="shared" si="15"/>
        <v>3.0080878842714682</v>
      </c>
      <c r="R51" s="9">
        <v>41.862000000000002</v>
      </c>
      <c r="S51" s="9">
        <v>54.970999999999997</v>
      </c>
    </row>
    <row r="52" spans="1:19" x14ac:dyDescent="0.35">
      <c r="A52" s="3">
        <f>vals_ghg_excLUC!$A52</f>
        <v>1899</v>
      </c>
      <c r="B52" s="4">
        <f t="shared" si="8"/>
        <v>42.521464609536238</v>
      </c>
      <c r="C52" s="4">
        <f t="shared" si="9"/>
        <v>45.11443029798339</v>
      </c>
      <c r="D52" s="4">
        <f t="shared" si="10"/>
        <v>55.723103337252113</v>
      </c>
      <c r="E52" s="4">
        <f t="shared" si="11"/>
        <v>58.725137481060742</v>
      </c>
      <c r="F52" s="4">
        <f t="shared" si="12"/>
        <v>2.5929656884471513</v>
      </c>
      <c r="G52" s="4">
        <f t="shared" si="13"/>
        <v>0</v>
      </c>
      <c r="H52" s="4">
        <f t="shared" si="14"/>
        <v>10.608673039268723</v>
      </c>
      <c r="I52" s="5">
        <f>vals_ghg_excLUC!$R52</f>
        <v>45.11443029798339</v>
      </c>
      <c r="J52" s="5">
        <f>vals_ghg_excLUC!$X52</f>
        <v>42.521464609536238</v>
      </c>
      <c r="K52" s="5" t="e">
        <f>vals_ghg_excLUC!$AD52</f>
        <v>#N/A</v>
      </c>
      <c r="L52" s="5" t="e">
        <f>vals_ghg_excLUC!$AJ52</f>
        <v>#N/A</v>
      </c>
      <c r="M52" s="5">
        <f>vals_ghg_excLUC!$S52</f>
        <v>58.725137481060742</v>
      </c>
      <c r="N52" s="5">
        <f>vals_ghg_excLUC!$Y52</f>
        <v>55.723103337252113</v>
      </c>
      <c r="O52" s="5" t="e">
        <f>vals_ghg_excLUC!$AE52</f>
        <v>#N/A</v>
      </c>
      <c r="P52" s="5" t="e">
        <f>vals_ghg_excLUC!$AK52</f>
        <v>#N/A</v>
      </c>
      <c r="Q52" s="9">
        <f t="shared" si="15"/>
        <v>3.0020341438086291</v>
      </c>
      <c r="R52" s="9">
        <v>41.823</v>
      </c>
      <c r="S52" s="9">
        <v>54.930999999999997</v>
      </c>
    </row>
    <row r="53" spans="1:19" x14ac:dyDescent="0.35">
      <c r="A53" s="6">
        <f>vals_ghg_excLUC!$A53</f>
        <v>1900</v>
      </c>
      <c r="B53" s="7">
        <f t="shared" si="8"/>
        <v>42.491306842519805</v>
      </c>
      <c r="C53" s="7">
        <f t="shared" si="9"/>
        <v>45.075981946433444</v>
      </c>
      <c r="D53" s="7">
        <f t="shared" si="10"/>
        <v>55.693118176655346</v>
      </c>
      <c r="E53" s="7">
        <f t="shared" si="11"/>
        <v>58.688867936364673</v>
      </c>
      <c r="F53" s="7">
        <f t="shared" si="12"/>
        <v>2.5846751039136393</v>
      </c>
      <c r="G53" s="7">
        <f t="shared" si="13"/>
        <v>0</v>
      </c>
      <c r="H53" s="7">
        <f t="shared" si="14"/>
        <v>10.617136230221902</v>
      </c>
      <c r="I53" s="8">
        <f>vals_ghg_excLUC!$R53</f>
        <v>45.075981946433444</v>
      </c>
      <c r="J53" s="8">
        <f>vals_ghg_excLUC!$X53</f>
        <v>42.491306842519805</v>
      </c>
      <c r="K53" s="8" t="e">
        <f>vals_ghg_excLUC!$AD53</f>
        <v>#N/A</v>
      </c>
      <c r="L53" s="8" t="e">
        <f>vals_ghg_excLUC!$AJ53</f>
        <v>#N/A</v>
      </c>
      <c r="M53" s="8">
        <f>vals_ghg_excLUC!$S53</f>
        <v>58.688867936364673</v>
      </c>
      <c r="N53" s="8">
        <f>vals_ghg_excLUC!$Y53</f>
        <v>55.693118176655346</v>
      </c>
      <c r="O53" s="8" t="e">
        <f>vals_ghg_excLUC!$AE53</f>
        <v>#N/A</v>
      </c>
      <c r="P53" s="8" t="e">
        <f>vals_ghg_excLUC!$AK53</f>
        <v>#N/A</v>
      </c>
      <c r="Q53" s="9">
        <f t="shared" si="15"/>
        <v>2.9957497597093266</v>
      </c>
      <c r="R53" s="9">
        <v>41.779000000000003</v>
      </c>
      <c r="S53" s="9">
        <v>54.886000000000003</v>
      </c>
    </row>
    <row r="54" spans="1:19" x14ac:dyDescent="0.35">
      <c r="A54" s="3">
        <f>vals_ghg_excLUC!$A54</f>
        <v>1901</v>
      </c>
      <c r="B54" s="4">
        <f t="shared" si="8"/>
        <v>42.458949653832931</v>
      </c>
      <c r="C54" s="4">
        <f t="shared" si="9"/>
        <v>45.035188465881369</v>
      </c>
      <c r="D54" s="4">
        <f t="shared" si="10"/>
        <v>55.660998725675867</v>
      </c>
      <c r="E54" s="4">
        <f t="shared" si="11"/>
        <v>58.650337341030259</v>
      </c>
      <c r="F54" s="4">
        <f t="shared" si="12"/>
        <v>2.5762388120484374</v>
      </c>
      <c r="G54" s="4">
        <f t="shared" si="13"/>
        <v>0</v>
      </c>
      <c r="H54" s="4">
        <f t="shared" si="14"/>
        <v>10.625810259794498</v>
      </c>
      <c r="I54" s="5">
        <f>vals_ghg_excLUC!$R54</f>
        <v>45.035188465881369</v>
      </c>
      <c r="J54" s="5">
        <f>vals_ghg_excLUC!$X54</f>
        <v>42.458949653832931</v>
      </c>
      <c r="K54" s="5" t="e">
        <f>vals_ghg_excLUC!$AD54</f>
        <v>#N/A</v>
      </c>
      <c r="L54" s="5" t="e">
        <f>vals_ghg_excLUC!$AJ54</f>
        <v>#N/A</v>
      </c>
      <c r="M54" s="5">
        <f>vals_ghg_excLUC!$S54</f>
        <v>58.650337341030259</v>
      </c>
      <c r="N54" s="5">
        <f>vals_ghg_excLUC!$Y54</f>
        <v>55.660998725675867</v>
      </c>
      <c r="O54" s="5" t="e">
        <f>vals_ghg_excLUC!$AE54</f>
        <v>#N/A</v>
      </c>
      <c r="P54" s="5" t="e">
        <f>vals_ghg_excLUC!$AK54</f>
        <v>#N/A</v>
      </c>
      <c r="Q54" s="9">
        <f t="shared" si="15"/>
        <v>2.9893386153543915</v>
      </c>
      <c r="R54" s="9">
        <v>41.732999999999997</v>
      </c>
      <c r="S54" s="9">
        <v>54.84</v>
      </c>
    </row>
    <row r="55" spans="1:19" x14ac:dyDescent="0.35">
      <c r="A55" s="6">
        <f>vals_ghg_excLUC!$A55</f>
        <v>1902</v>
      </c>
      <c r="B55" s="7">
        <f t="shared" si="8"/>
        <v>42.425731217987838</v>
      </c>
      <c r="C55" s="7">
        <f t="shared" si="9"/>
        <v>44.993334135756427</v>
      </c>
      <c r="D55" s="7">
        <f t="shared" si="10"/>
        <v>55.627910726904503</v>
      </c>
      <c r="E55" s="7">
        <f t="shared" si="11"/>
        <v>58.610704928234803</v>
      </c>
      <c r="F55" s="7">
        <f t="shared" si="12"/>
        <v>2.5676029177685891</v>
      </c>
      <c r="G55" s="7">
        <f t="shared" si="13"/>
        <v>0</v>
      </c>
      <c r="H55" s="7">
        <f t="shared" si="14"/>
        <v>10.634576591148075</v>
      </c>
      <c r="I55" s="8">
        <f>vals_ghg_excLUC!$R55</f>
        <v>44.993334135756427</v>
      </c>
      <c r="J55" s="8">
        <f>vals_ghg_excLUC!$X55</f>
        <v>42.425731217987838</v>
      </c>
      <c r="K55" s="8" t="e">
        <f>vals_ghg_excLUC!$AD55</f>
        <v>#N/A</v>
      </c>
      <c r="L55" s="8" t="e">
        <f>vals_ghg_excLUC!$AJ55</f>
        <v>#N/A</v>
      </c>
      <c r="M55" s="8">
        <f>vals_ghg_excLUC!$S55</f>
        <v>58.610704928234803</v>
      </c>
      <c r="N55" s="8">
        <f>vals_ghg_excLUC!$Y55</f>
        <v>55.627910726904503</v>
      </c>
      <c r="O55" s="8" t="e">
        <f>vals_ghg_excLUC!$AE55</f>
        <v>#N/A</v>
      </c>
      <c r="P55" s="8" t="e">
        <f>vals_ghg_excLUC!$AK55</f>
        <v>#N/A</v>
      </c>
      <c r="Q55" s="9">
        <f t="shared" si="15"/>
        <v>2.9827942013303002</v>
      </c>
      <c r="R55" s="9">
        <v>41.686999999999998</v>
      </c>
      <c r="S55" s="9">
        <v>54.792000000000002</v>
      </c>
    </row>
    <row r="56" spans="1:19" x14ac:dyDescent="0.35">
      <c r="A56" s="3">
        <f>vals_ghg_excLUC!$A56</f>
        <v>1903</v>
      </c>
      <c r="B56" s="4">
        <f t="shared" si="8"/>
        <v>42.391163835461803</v>
      </c>
      <c r="C56" s="4">
        <f t="shared" si="9"/>
        <v>44.949923293502458</v>
      </c>
      <c r="D56" s="4">
        <f t="shared" si="10"/>
        <v>55.593868776032906</v>
      </c>
      <c r="E56" s="4">
        <f t="shared" si="11"/>
        <v>58.570080796295542</v>
      </c>
      <c r="F56" s="4">
        <f t="shared" si="12"/>
        <v>2.5587594580406545</v>
      </c>
      <c r="G56" s="4">
        <f t="shared" si="13"/>
        <v>0</v>
      </c>
      <c r="H56" s="4">
        <f t="shared" si="14"/>
        <v>10.643945482530448</v>
      </c>
      <c r="I56" s="5">
        <f>vals_ghg_excLUC!$R56</f>
        <v>44.949923293502458</v>
      </c>
      <c r="J56" s="5">
        <f>vals_ghg_excLUC!$X56</f>
        <v>42.391163835461803</v>
      </c>
      <c r="K56" s="5" t="e">
        <f>vals_ghg_excLUC!$AD56</f>
        <v>#N/A</v>
      </c>
      <c r="L56" s="5" t="e">
        <f>vals_ghg_excLUC!$AJ56</f>
        <v>#N/A</v>
      </c>
      <c r="M56" s="5">
        <f>vals_ghg_excLUC!$S56</f>
        <v>58.570080796295542</v>
      </c>
      <c r="N56" s="5">
        <f>vals_ghg_excLUC!$Y56</f>
        <v>55.593868776032906</v>
      </c>
      <c r="O56" s="5" t="e">
        <f>vals_ghg_excLUC!$AE56</f>
        <v>#N/A</v>
      </c>
      <c r="P56" s="5" t="e">
        <f>vals_ghg_excLUC!$AK56</f>
        <v>#N/A</v>
      </c>
      <c r="Q56" s="9">
        <f t="shared" si="15"/>
        <v>2.9762120202626363</v>
      </c>
      <c r="R56" s="9">
        <v>41.637999999999998</v>
      </c>
      <c r="S56" s="9">
        <v>54.744</v>
      </c>
    </row>
    <row r="57" spans="1:19" x14ac:dyDescent="0.35">
      <c r="A57" s="6">
        <f>vals_ghg_excLUC!$A57</f>
        <v>1904</v>
      </c>
      <c r="B57" s="7">
        <f t="shared" si="8"/>
        <v>42.352085688960862</v>
      </c>
      <c r="C57" s="7">
        <f t="shared" si="9"/>
        <v>44.901428812730629</v>
      </c>
      <c r="D57" s="7">
        <f t="shared" si="10"/>
        <v>55.55624884886555</v>
      </c>
      <c r="E57" s="7">
        <f t="shared" si="11"/>
        <v>58.525583948333079</v>
      </c>
      <c r="F57" s="7">
        <f t="shared" si="12"/>
        <v>2.5493431237697664</v>
      </c>
      <c r="G57" s="7">
        <f t="shared" si="13"/>
        <v>0</v>
      </c>
      <c r="H57" s="7">
        <f t="shared" si="14"/>
        <v>10.654820036134922</v>
      </c>
      <c r="I57" s="8">
        <f>vals_ghg_excLUC!$R57</f>
        <v>44.901428812730629</v>
      </c>
      <c r="J57" s="8">
        <f>vals_ghg_excLUC!$X57</f>
        <v>42.352085688960862</v>
      </c>
      <c r="K57" s="8" t="e">
        <f>vals_ghg_excLUC!$AD57</f>
        <v>#N/A</v>
      </c>
      <c r="L57" s="8" t="e">
        <f>vals_ghg_excLUC!$AJ57</f>
        <v>#N/A</v>
      </c>
      <c r="M57" s="8">
        <f>vals_ghg_excLUC!$S57</f>
        <v>58.525583948333079</v>
      </c>
      <c r="N57" s="8">
        <f>vals_ghg_excLUC!$Y57</f>
        <v>55.55624884886555</v>
      </c>
      <c r="O57" s="8" t="e">
        <f>vals_ghg_excLUC!$AE57</f>
        <v>#N/A</v>
      </c>
      <c r="P57" s="8" t="e">
        <f>vals_ghg_excLUC!$AK57</f>
        <v>#N/A</v>
      </c>
      <c r="Q57" s="9">
        <f t="shared" si="15"/>
        <v>2.9693350994675285</v>
      </c>
      <c r="R57" s="9">
        <v>41.584000000000003</v>
      </c>
      <c r="S57" s="9">
        <v>54.691000000000003</v>
      </c>
    </row>
    <row r="58" spans="1:19" x14ac:dyDescent="0.35">
      <c r="A58" s="3">
        <f>vals_ghg_excLUC!$A58</f>
        <v>1905</v>
      </c>
      <c r="B58" s="4">
        <f t="shared" si="8"/>
        <v>42.313032381071523</v>
      </c>
      <c r="C58" s="4">
        <f t="shared" si="9"/>
        <v>44.852945553777872</v>
      </c>
      <c r="D58" s="4">
        <f t="shared" si="10"/>
        <v>55.518271079979108</v>
      </c>
      <c r="E58" s="4">
        <f t="shared" si="11"/>
        <v>58.480738639385976</v>
      </c>
      <c r="F58" s="4">
        <f t="shared" si="12"/>
        <v>2.5399131727063491</v>
      </c>
      <c r="G58" s="4">
        <f t="shared" si="13"/>
        <v>0</v>
      </c>
      <c r="H58" s="4">
        <f t="shared" si="14"/>
        <v>10.665325526201237</v>
      </c>
      <c r="I58" s="5">
        <f>vals_ghg_excLUC!$R58</f>
        <v>44.852945553777872</v>
      </c>
      <c r="J58" s="5">
        <f>vals_ghg_excLUC!$X58</f>
        <v>42.313032381071523</v>
      </c>
      <c r="K58" s="5" t="e">
        <f>vals_ghg_excLUC!$AD58</f>
        <v>#N/A</v>
      </c>
      <c r="L58" s="5" t="e">
        <f>vals_ghg_excLUC!$AJ58</f>
        <v>#N/A</v>
      </c>
      <c r="M58" s="5">
        <f>vals_ghg_excLUC!$S58</f>
        <v>58.480738639385976</v>
      </c>
      <c r="N58" s="5">
        <f>vals_ghg_excLUC!$Y58</f>
        <v>55.518271079979108</v>
      </c>
      <c r="O58" s="5" t="e">
        <f>vals_ghg_excLUC!$AE58</f>
        <v>#N/A</v>
      </c>
      <c r="P58" s="5" t="e">
        <f>vals_ghg_excLUC!$AK58</f>
        <v>#N/A</v>
      </c>
      <c r="Q58" s="9">
        <f t="shared" si="15"/>
        <v>2.9624675594068677</v>
      </c>
      <c r="R58" s="9">
        <v>41.529000000000003</v>
      </c>
      <c r="S58" s="9">
        <v>54.637</v>
      </c>
    </row>
    <row r="59" spans="1:19" x14ac:dyDescent="0.35">
      <c r="A59" s="6">
        <f>vals_ghg_excLUC!$A59</f>
        <v>1906</v>
      </c>
      <c r="B59" s="7">
        <f t="shared" si="8"/>
        <v>42.270171129141517</v>
      </c>
      <c r="C59" s="7">
        <f t="shared" si="9"/>
        <v>44.8001834470776</v>
      </c>
      <c r="D59" s="7">
        <f t="shared" si="10"/>
        <v>55.477383530736226</v>
      </c>
      <c r="E59" s="7">
        <f t="shared" si="11"/>
        <v>58.432790955076143</v>
      </c>
      <c r="F59" s="7">
        <f t="shared" si="12"/>
        <v>2.5300123179360838</v>
      </c>
      <c r="G59" s="7">
        <f t="shared" si="13"/>
        <v>0</v>
      </c>
      <c r="H59" s="7">
        <f t="shared" si="14"/>
        <v>10.677200083658626</v>
      </c>
      <c r="I59" s="8">
        <f>vals_ghg_excLUC!$R59</f>
        <v>44.8001834470776</v>
      </c>
      <c r="J59" s="8">
        <f>vals_ghg_excLUC!$X59</f>
        <v>42.270171129141517</v>
      </c>
      <c r="K59" s="8" t="e">
        <f>vals_ghg_excLUC!$AD59</f>
        <v>#N/A</v>
      </c>
      <c r="L59" s="8" t="e">
        <f>vals_ghg_excLUC!$AJ59</f>
        <v>#N/A</v>
      </c>
      <c r="M59" s="8">
        <f>vals_ghg_excLUC!$S59</f>
        <v>58.432790955076143</v>
      </c>
      <c r="N59" s="8">
        <f>vals_ghg_excLUC!$Y59</f>
        <v>55.477383530736226</v>
      </c>
      <c r="O59" s="8" t="e">
        <f>vals_ghg_excLUC!$AE59</f>
        <v>#N/A</v>
      </c>
      <c r="P59" s="8" t="e">
        <f>vals_ghg_excLUC!$AK59</f>
        <v>#N/A</v>
      </c>
      <c r="Q59" s="9">
        <f t="shared" si="15"/>
        <v>2.9554074243399171</v>
      </c>
      <c r="R59" s="9">
        <v>41.469000000000001</v>
      </c>
      <c r="S59" s="9">
        <v>54.579000000000001</v>
      </c>
    </row>
    <row r="60" spans="1:19" x14ac:dyDescent="0.35">
      <c r="A60" s="3">
        <f>vals_ghg_excLUC!$A60</f>
        <v>1907</v>
      </c>
      <c r="B60" s="4">
        <f t="shared" si="8"/>
        <v>42.225843582043652</v>
      </c>
      <c r="C60" s="4">
        <f t="shared" si="9"/>
        <v>44.745558374407075</v>
      </c>
      <c r="D60" s="4">
        <f t="shared" si="10"/>
        <v>55.434909551246648</v>
      </c>
      <c r="E60" s="4">
        <f t="shared" si="11"/>
        <v>58.382839057703009</v>
      </c>
      <c r="F60" s="4">
        <f t="shared" si="12"/>
        <v>2.5197147923634233</v>
      </c>
      <c r="G60" s="4">
        <f t="shared" si="13"/>
        <v>0</v>
      </c>
      <c r="H60" s="4">
        <f t="shared" si="14"/>
        <v>10.689351176839573</v>
      </c>
      <c r="I60" s="5">
        <f>vals_ghg_excLUC!$R60</f>
        <v>44.745558374407075</v>
      </c>
      <c r="J60" s="5">
        <f>vals_ghg_excLUC!$X60</f>
        <v>42.225843582043652</v>
      </c>
      <c r="K60" s="5" t="e">
        <f>vals_ghg_excLUC!$AD60</f>
        <v>#N/A</v>
      </c>
      <c r="L60" s="5" t="e">
        <f>vals_ghg_excLUC!$AJ60</f>
        <v>#N/A</v>
      </c>
      <c r="M60" s="5">
        <f>vals_ghg_excLUC!$S60</f>
        <v>58.382839057703009</v>
      </c>
      <c r="N60" s="5">
        <f>vals_ghg_excLUC!$Y60</f>
        <v>55.434909551246648</v>
      </c>
      <c r="O60" s="5" t="e">
        <f>vals_ghg_excLUC!$AE60</f>
        <v>#N/A</v>
      </c>
      <c r="P60" s="5" t="e">
        <f>vals_ghg_excLUC!$AK60</f>
        <v>#N/A</v>
      </c>
      <c r="Q60" s="9">
        <f t="shared" si="15"/>
        <v>2.9479295064563615</v>
      </c>
      <c r="R60" s="9">
        <v>41.405999999999999</v>
      </c>
      <c r="S60" s="9">
        <v>54.518999999999998</v>
      </c>
    </row>
    <row r="61" spans="1:19" x14ac:dyDescent="0.35">
      <c r="A61" s="6">
        <f>vals_ghg_excLUC!$A61</f>
        <v>1908</v>
      </c>
      <c r="B61" s="7">
        <f t="shared" si="8"/>
        <v>42.173930492393033</v>
      </c>
      <c r="C61" s="7">
        <f t="shared" si="9"/>
        <v>44.683063973809503</v>
      </c>
      <c r="D61" s="7">
        <f t="shared" si="10"/>
        <v>55.385790699766588</v>
      </c>
      <c r="E61" s="7">
        <f t="shared" si="11"/>
        <v>58.326392466805984</v>
      </c>
      <c r="F61" s="7">
        <f t="shared" si="12"/>
        <v>2.5091334814164696</v>
      </c>
      <c r="G61" s="7">
        <f t="shared" si="13"/>
        <v>0</v>
      </c>
      <c r="H61" s="7">
        <f t="shared" si="14"/>
        <v>10.702726725957085</v>
      </c>
      <c r="I61" s="8">
        <f>vals_ghg_excLUC!$R61</f>
        <v>44.683063973809503</v>
      </c>
      <c r="J61" s="8">
        <f>vals_ghg_excLUC!$X61</f>
        <v>42.173930492393033</v>
      </c>
      <c r="K61" s="8" t="e">
        <f>vals_ghg_excLUC!$AD61</f>
        <v>#N/A</v>
      </c>
      <c r="L61" s="8" t="e">
        <f>vals_ghg_excLUC!$AJ61</f>
        <v>#N/A</v>
      </c>
      <c r="M61" s="8">
        <f>vals_ghg_excLUC!$S61</f>
        <v>58.326392466805984</v>
      </c>
      <c r="N61" s="8">
        <f>vals_ghg_excLUC!$Y61</f>
        <v>55.385790699766588</v>
      </c>
      <c r="O61" s="8" t="e">
        <f>vals_ghg_excLUC!$AE61</f>
        <v>#N/A</v>
      </c>
      <c r="P61" s="8" t="e">
        <f>vals_ghg_excLUC!$AK61</f>
        <v>#N/A</v>
      </c>
      <c r="Q61" s="9">
        <f t="shared" si="15"/>
        <v>2.9406017670393965</v>
      </c>
      <c r="R61" s="9">
        <v>41.332000000000001</v>
      </c>
      <c r="S61" s="9">
        <v>54.448999999999998</v>
      </c>
    </row>
    <row r="62" spans="1:19" x14ac:dyDescent="0.35">
      <c r="A62" s="3">
        <f>vals_ghg_excLUC!$A62</f>
        <v>1909</v>
      </c>
      <c r="B62" s="4">
        <f t="shared" si="8"/>
        <v>42.12553228905265</v>
      </c>
      <c r="C62" s="4">
        <f t="shared" si="9"/>
        <v>44.624656930718551</v>
      </c>
      <c r="D62" s="4">
        <f t="shared" si="10"/>
        <v>55.339157176988671</v>
      </c>
      <c r="E62" s="4">
        <f t="shared" si="11"/>
        <v>58.272795126967694</v>
      </c>
      <c r="F62" s="4">
        <f t="shared" si="12"/>
        <v>2.499124641665901</v>
      </c>
      <c r="G62" s="4">
        <f t="shared" si="13"/>
        <v>0</v>
      </c>
      <c r="H62" s="4">
        <f t="shared" si="14"/>
        <v>10.71450024627012</v>
      </c>
      <c r="I62" s="5">
        <f>vals_ghg_excLUC!$R62</f>
        <v>44.624656930718551</v>
      </c>
      <c r="J62" s="5">
        <f>vals_ghg_excLUC!$X62</f>
        <v>42.12553228905265</v>
      </c>
      <c r="K62" s="5" t="e">
        <f>vals_ghg_excLUC!$AD62</f>
        <v>#N/A</v>
      </c>
      <c r="L62" s="5" t="e">
        <f>vals_ghg_excLUC!$AJ62</f>
        <v>#N/A</v>
      </c>
      <c r="M62" s="5">
        <f>vals_ghg_excLUC!$S62</f>
        <v>58.272795126967694</v>
      </c>
      <c r="N62" s="5">
        <f>vals_ghg_excLUC!$Y62</f>
        <v>55.339157176988671</v>
      </c>
      <c r="O62" s="5" t="e">
        <f>vals_ghg_excLUC!$AE62</f>
        <v>#N/A</v>
      </c>
      <c r="P62" s="5" t="e">
        <f>vals_ghg_excLUC!$AK62</f>
        <v>#N/A</v>
      </c>
      <c r="Q62" s="9">
        <f t="shared" si="15"/>
        <v>2.9336379499790226</v>
      </c>
      <c r="R62" s="9">
        <v>41.265999999999998</v>
      </c>
      <c r="S62" s="9">
        <v>54.384999999999998</v>
      </c>
    </row>
    <row r="63" spans="1:19" x14ac:dyDescent="0.35">
      <c r="A63" s="6">
        <f>vals_ghg_excLUC!$A63</f>
        <v>1910</v>
      </c>
      <c r="B63" s="7">
        <f t="shared" si="8"/>
        <v>42.074573506549342</v>
      </c>
      <c r="C63" s="7">
        <f t="shared" si="9"/>
        <v>44.563311931512878</v>
      </c>
      <c r="D63" s="7">
        <f t="shared" si="10"/>
        <v>55.290112761246768</v>
      </c>
      <c r="E63" s="7">
        <f t="shared" si="11"/>
        <v>58.216612975843596</v>
      </c>
      <c r="F63" s="7">
        <f t="shared" si="12"/>
        <v>2.488738424963536</v>
      </c>
      <c r="G63" s="7">
        <f t="shared" si="13"/>
        <v>0</v>
      </c>
      <c r="H63" s="7">
        <f t="shared" si="14"/>
        <v>10.726800829733889</v>
      </c>
      <c r="I63" s="8">
        <f>vals_ghg_excLUC!$R63</f>
        <v>44.563311931512878</v>
      </c>
      <c r="J63" s="8">
        <f>vals_ghg_excLUC!$X63</f>
        <v>42.074573506549342</v>
      </c>
      <c r="K63" s="8" t="e">
        <f>vals_ghg_excLUC!$AD63</f>
        <v>#N/A</v>
      </c>
      <c r="L63" s="8" t="e">
        <f>vals_ghg_excLUC!$AJ63</f>
        <v>#N/A</v>
      </c>
      <c r="M63" s="8">
        <f>vals_ghg_excLUC!$S63</f>
        <v>58.216612975843596</v>
      </c>
      <c r="N63" s="8">
        <f>vals_ghg_excLUC!$Y63</f>
        <v>55.290112761246768</v>
      </c>
      <c r="O63" s="8" t="e">
        <f>vals_ghg_excLUC!$AE63</f>
        <v>#N/A</v>
      </c>
      <c r="P63" s="8" t="e">
        <f>vals_ghg_excLUC!$AK63</f>
        <v>#N/A</v>
      </c>
      <c r="Q63" s="9">
        <f t="shared" si="15"/>
        <v>2.9265002145968282</v>
      </c>
      <c r="R63" s="9">
        <v>41.195</v>
      </c>
      <c r="S63" s="9">
        <v>54.317</v>
      </c>
    </row>
    <row r="64" spans="1:19" x14ac:dyDescent="0.35">
      <c r="A64" s="3">
        <f>vals_ghg_excLUC!$A64</f>
        <v>1911</v>
      </c>
      <c r="B64" s="4">
        <f t="shared" si="8"/>
        <v>42.019802577207102</v>
      </c>
      <c r="C64" s="4">
        <f t="shared" si="9"/>
        <v>44.497738998370096</v>
      </c>
      <c r="D64" s="4">
        <f t="shared" si="10"/>
        <v>55.238171587881965</v>
      </c>
      <c r="E64" s="4">
        <f t="shared" si="11"/>
        <v>58.15738759750402</v>
      </c>
      <c r="F64" s="4">
        <f t="shared" si="12"/>
        <v>2.477936421162994</v>
      </c>
      <c r="G64" s="4">
        <f t="shared" si="13"/>
        <v>0</v>
      </c>
      <c r="H64" s="4">
        <f t="shared" si="14"/>
        <v>10.740432589511869</v>
      </c>
      <c r="I64" s="5">
        <f>vals_ghg_excLUC!$R64</f>
        <v>44.497738998370096</v>
      </c>
      <c r="J64" s="5">
        <f>vals_ghg_excLUC!$X64</f>
        <v>42.019802577207102</v>
      </c>
      <c r="K64" s="5" t="e">
        <f>vals_ghg_excLUC!$AD64</f>
        <v>#N/A</v>
      </c>
      <c r="L64" s="5" t="e">
        <f>vals_ghg_excLUC!$AJ64</f>
        <v>#N/A</v>
      </c>
      <c r="M64" s="5">
        <f>vals_ghg_excLUC!$S64</f>
        <v>58.15738759750402</v>
      </c>
      <c r="N64" s="5">
        <f>vals_ghg_excLUC!$Y64</f>
        <v>55.238171587881965</v>
      </c>
      <c r="O64" s="5" t="e">
        <f>vals_ghg_excLUC!$AE64</f>
        <v>#N/A</v>
      </c>
      <c r="P64" s="5" t="e">
        <f>vals_ghg_excLUC!$AK64</f>
        <v>#N/A</v>
      </c>
      <c r="Q64" s="9">
        <f t="shared" si="15"/>
        <v>2.9192160096220547</v>
      </c>
      <c r="R64" s="9">
        <v>41.12</v>
      </c>
      <c r="S64" s="9">
        <v>54.246000000000002</v>
      </c>
    </row>
    <row r="65" spans="1:19" x14ac:dyDescent="0.35">
      <c r="A65" s="6">
        <f>vals_ghg_excLUC!$A65</f>
        <v>1912</v>
      </c>
      <c r="B65" s="7">
        <f t="shared" si="8"/>
        <v>41.964695502827361</v>
      </c>
      <c r="C65" s="7">
        <f t="shared" si="9"/>
        <v>44.431622395425464</v>
      </c>
      <c r="D65" s="7">
        <f t="shared" si="10"/>
        <v>55.18587305874798</v>
      </c>
      <c r="E65" s="7">
        <f t="shared" si="11"/>
        <v>58.097478399099387</v>
      </c>
      <c r="F65" s="7">
        <f t="shared" si="12"/>
        <v>2.4669268925981029</v>
      </c>
      <c r="G65" s="7">
        <f t="shared" si="13"/>
        <v>0</v>
      </c>
      <c r="H65" s="7">
        <f t="shared" si="14"/>
        <v>10.754250663322516</v>
      </c>
      <c r="I65" s="8">
        <f>vals_ghg_excLUC!$R65</f>
        <v>44.431622395425464</v>
      </c>
      <c r="J65" s="8">
        <f>vals_ghg_excLUC!$X65</f>
        <v>41.964695502827361</v>
      </c>
      <c r="K65" s="8" t="e">
        <f>vals_ghg_excLUC!$AD65</f>
        <v>#N/A</v>
      </c>
      <c r="L65" s="8" t="e">
        <f>vals_ghg_excLUC!$AJ65</f>
        <v>#N/A</v>
      </c>
      <c r="M65" s="8">
        <f>vals_ghg_excLUC!$S65</f>
        <v>58.097478399099387</v>
      </c>
      <c r="N65" s="8">
        <f>vals_ghg_excLUC!$Y65</f>
        <v>55.18587305874798</v>
      </c>
      <c r="O65" s="8" t="e">
        <f>vals_ghg_excLUC!$AE65</f>
        <v>#N/A</v>
      </c>
      <c r="P65" s="8" t="e">
        <f>vals_ghg_excLUC!$AK65</f>
        <v>#N/A</v>
      </c>
      <c r="Q65" s="9">
        <f t="shared" si="15"/>
        <v>2.9116053403514073</v>
      </c>
      <c r="R65" s="9">
        <v>41.043999999999997</v>
      </c>
      <c r="S65" s="9">
        <v>54.173999999999999</v>
      </c>
    </row>
    <row r="66" spans="1:19" x14ac:dyDescent="0.35">
      <c r="A66" s="3">
        <f>vals_ghg_excLUC!$A66</f>
        <v>1913</v>
      </c>
      <c r="B66" s="4">
        <f t="shared" si="8"/>
        <v>41.906244369889812</v>
      </c>
      <c r="C66" s="4">
        <f t="shared" si="9"/>
        <v>44.362147028577077</v>
      </c>
      <c r="D66" s="4">
        <f t="shared" si="10"/>
        <v>55.129978444696825</v>
      </c>
      <c r="E66" s="4">
        <f t="shared" si="11"/>
        <v>58.033901010160136</v>
      </c>
      <c r="F66" s="4">
        <f t="shared" si="12"/>
        <v>2.4559026586872648</v>
      </c>
      <c r="G66" s="4">
        <f t="shared" si="13"/>
        <v>0</v>
      </c>
      <c r="H66" s="4">
        <f t="shared" si="14"/>
        <v>10.767831416119748</v>
      </c>
      <c r="I66" s="5">
        <f>vals_ghg_excLUC!$R66</f>
        <v>44.362147028577077</v>
      </c>
      <c r="J66" s="5">
        <f>vals_ghg_excLUC!$X66</f>
        <v>41.906244369889812</v>
      </c>
      <c r="K66" s="5" t="e">
        <f>vals_ghg_excLUC!$AD66</f>
        <v>#N/A</v>
      </c>
      <c r="L66" s="5" t="e">
        <f>vals_ghg_excLUC!$AJ66</f>
        <v>#N/A</v>
      </c>
      <c r="M66" s="5">
        <f>vals_ghg_excLUC!$S66</f>
        <v>58.033901010160136</v>
      </c>
      <c r="N66" s="5">
        <f>vals_ghg_excLUC!$Y66</f>
        <v>55.129978444696825</v>
      </c>
      <c r="O66" s="5" t="e">
        <f>vals_ghg_excLUC!$AE66</f>
        <v>#N/A</v>
      </c>
      <c r="P66" s="5" t="e">
        <f>vals_ghg_excLUC!$AK66</f>
        <v>#N/A</v>
      </c>
      <c r="Q66" s="9">
        <f t="shared" si="15"/>
        <v>2.9039225654633114</v>
      </c>
      <c r="R66" s="9">
        <v>40.963999999999999</v>
      </c>
      <c r="S66" s="9">
        <v>54.097999999999999</v>
      </c>
    </row>
    <row r="67" spans="1:19" x14ac:dyDescent="0.35">
      <c r="A67" s="6">
        <f>vals_ghg_excLUC!$A67</f>
        <v>1914</v>
      </c>
      <c r="B67" s="7">
        <f t="shared" ref="B67:B98" si="16">IFERROR(_xlfn.AGGREGATE(5,6,I67:L67),"")</f>
        <v>41.842126313823513</v>
      </c>
      <c r="C67" s="7">
        <f t="shared" ref="C67:C98" si="17">IFERROR(_xlfn.AGGREGATE(4,6,I67:L67),"")</f>
        <v>44.286465091672262</v>
      </c>
      <c r="D67" s="7">
        <f t="shared" ref="D67:D98" si="18">IFERROR(_xlfn.AGGREGATE(5,6,M67:P67),"")</f>
        <v>55.069236615736941</v>
      </c>
      <c r="E67" s="7">
        <f t="shared" ref="E67:E98" si="19">IFERROR(_xlfn.AGGREGATE(4,6,M67:P67),"")</f>
        <v>57.965129255716327</v>
      </c>
      <c r="F67" s="7">
        <f t="shared" ref="F67:F98" si="20">IFERROR(MIN(C67,D67)-B67,"")</f>
        <v>2.4443387778487491</v>
      </c>
      <c r="G67" s="7">
        <f t="shared" ref="G67:G98" si="21">IFERROR(MAX(0,C67-D67),"")</f>
        <v>0</v>
      </c>
      <c r="H67" s="7">
        <f t="shared" ref="H67:H98" si="22">IFERROR(MAX(0,D67-C67),"")</f>
        <v>10.782771524064678</v>
      </c>
      <c r="I67" s="8">
        <f>vals_ghg_excLUC!$R67</f>
        <v>44.286465091672262</v>
      </c>
      <c r="J67" s="8">
        <f>vals_ghg_excLUC!$X67</f>
        <v>41.842126313823513</v>
      </c>
      <c r="K67" s="8" t="e">
        <f>vals_ghg_excLUC!$AD67</f>
        <v>#N/A</v>
      </c>
      <c r="L67" s="8" t="e">
        <f>vals_ghg_excLUC!$AJ67</f>
        <v>#N/A</v>
      </c>
      <c r="M67" s="8">
        <f>vals_ghg_excLUC!$S67</f>
        <v>57.965129255716327</v>
      </c>
      <c r="N67" s="8">
        <f>vals_ghg_excLUC!$Y67</f>
        <v>55.069236615736941</v>
      </c>
      <c r="O67" s="8" t="e">
        <f>vals_ghg_excLUC!$AE67</f>
        <v>#N/A</v>
      </c>
      <c r="P67" s="8" t="e">
        <f>vals_ghg_excLUC!$AK67</f>
        <v>#N/A</v>
      </c>
      <c r="Q67" s="9">
        <f t="shared" ref="Q67:Q98" si="23">IFERROR(MAX(0,$E67-MAX($C67,$D67)),"")</f>
        <v>2.8958926399793867</v>
      </c>
      <c r="R67" s="9">
        <v>40.875</v>
      </c>
      <c r="S67" s="9">
        <v>54.014000000000003</v>
      </c>
    </row>
    <row r="68" spans="1:19" x14ac:dyDescent="0.35">
      <c r="A68" s="3">
        <f>vals_ghg_excLUC!$A68</f>
        <v>1915</v>
      </c>
      <c r="B68" s="4">
        <f t="shared" si="16"/>
        <v>41.784754978788726</v>
      </c>
      <c r="C68" s="4">
        <f t="shared" si="17"/>
        <v>44.218073141590196</v>
      </c>
      <c r="D68" s="4">
        <f t="shared" si="18"/>
        <v>55.015063736658512</v>
      </c>
      <c r="E68" s="4">
        <f t="shared" si="19"/>
        <v>57.90336968447842</v>
      </c>
      <c r="F68" s="4">
        <f t="shared" si="20"/>
        <v>2.43331816280147</v>
      </c>
      <c r="G68" s="4">
        <f t="shared" si="21"/>
        <v>0</v>
      </c>
      <c r="H68" s="4">
        <f t="shared" si="22"/>
        <v>10.796990595068316</v>
      </c>
      <c r="I68" s="5">
        <f>vals_ghg_excLUC!$R68</f>
        <v>44.218073141590196</v>
      </c>
      <c r="J68" s="5">
        <f>vals_ghg_excLUC!$X68</f>
        <v>41.784754978788726</v>
      </c>
      <c r="K68" s="5" t="e">
        <f>vals_ghg_excLUC!$AD68</f>
        <v>#N/A</v>
      </c>
      <c r="L68" s="5" t="e">
        <f>vals_ghg_excLUC!$AJ68</f>
        <v>#N/A</v>
      </c>
      <c r="M68" s="5">
        <f>vals_ghg_excLUC!$S68</f>
        <v>57.90336968447842</v>
      </c>
      <c r="N68" s="5">
        <f>vals_ghg_excLUC!$Y68</f>
        <v>55.015063736658512</v>
      </c>
      <c r="O68" s="5" t="e">
        <f>vals_ghg_excLUC!$AE68</f>
        <v>#N/A</v>
      </c>
      <c r="P68" s="5" t="e">
        <f>vals_ghg_excLUC!$AK68</f>
        <v>#N/A</v>
      </c>
      <c r="Q68" s="9">
        <f t="shared" si="23"/>
        <v>2.8883059478199087</v>
      </c>
      <c r="R68" s="9">
        <v>40.796999999999997</v>
      </c>
      <c r="S68" s="9">
        <v>53.942</v>
      </c>
    </row>
    <row r="69" spans="1:19" x14ac:dyDescent="0.35">
      <c r="A69" s="6">
        <f>vals_ghg_excLUC!$A69</f>
        <v>1916</v>
      </c>
      <c r="B69" s="7">
        <f t="shared" si="16"/>
        <v>41.728118251963096</v>
      </c>
      <c r="C69" s="7">
        <f t="shared" si="17"/>
        <v>44.150244251025114</v>
      </c>
      <c r="D69" s="7">
        <f t="shared" si="18"/>
        <v>54.961987903354746</v>
      </c>
      <c r="E69" s="7">
        <f t="shared" si="19"/>
        <v>57.842563536495298</v>
      </c>
      <c r="F69" s="7">
        <f t="shared" si="20"/>
        <v>2.4221259990620183</v>
      </c>
      <c r="G69" s="7">
        <f t="shared" si="21"/>
        <v>0</v>
      </c>
      <c r="H69" s="7">
        <f t="shared" si="22"/>
        <v>10.811743652329632</v>
      </c>
      <c r="I69" s="8">
        <f>vals_ghg_excLUC!$R69</f>
        <v>44.150244251025114</v>
      </c>
      <c r="J69" s="8">
        <f>vals_ghg_excLUC!$X69</f>
        <v>41.728118251963096</v>
      </c>
      <c r="K69" s="8" t="e">
        <f>vals_ghg_excLUC!$AD69</f>
        <v>#N/A</v>
      </c>
      <c r="L69" s="8" t="e">
        <f>vals_ghg_excLUC!$AJ69</f>
        <v>#N/A</v>
      </c>
      <c r="M69" s="8">
        <f>vals_ghg_excLUC!$S69</f>
        <v>57.842563536495298</v>
      </c>
      <c r="N69" s="8">
        <f>vals_ghg_excLUC!$Y69</f>
        <v>54.961987903354746</v>
      </c>
      <c r="O69" s="8" t="e">
        <f>vals_ghg_excLUC!$AE69</f>
        <v>#N/A</v>
      </c>
      <c r="P69" s="8" t="e">
        <f>vals_ghg_excLUC!$AK69</f>
        <v>#N/A</v>
      </c>
      <c r="Q69" s="9">
        <f t="shared" si="23"/>
        <v>2.8805756331405519</v>
      </c>
      <c r="R69" s="9">
        <v>40.720999999999997</v>
      </c>
      <c r="S69" s="9">
        <v>53.872</v>
      </c>
    </row>
    <row r="70" spans="1:19" x14ac:dyDescent="0.35">
      <c r="A70" s="3">
        <f>vals_ghg_excLUC!$A70</f>
        <v>1917</v>
      </c>
      <c r="B70" s="4">
        <f t="shared" si="16"/>
        <v>41.666341664072327</v>
      </c>
      <c r="C70" s="4">
        <f t="shared" si="17"/>
        <v>44.076498118339977</v>
      </c>
      <c r="D70" s="4">
        <f t="shared" si="18"/>
        <v>54.90440588176957</v>
      </c>
      <c r="E70" s="4">
        <f t="shared" si="19"/>
        <v>57.776738545640285</v>
      </c>
      <c r="F70" s="4">
        <f t="shared" si="20"/>
        <v>2.4101564542676499</v>
      </c>
      <c r="G70" s="4">
        <f t="shared" si="21"/>
        <v>0</v>
      </c>
      <c r="H70" s="4">
        <f t="shared" si="22"/>
        <v>10.827907763429593</v>
      </c>
      <c r="I70" s="5">
        <f>vals_ghg_excLUC!$R70</f>
        <v>44.076498118339977</v>
      </c>
      <c r="J70" s="5">
        <f>vals_ghg_excLUC!$X70</f>
        <v>41.666341664072327</v>
      </c>
      <c r="K70" s="5" t="e">
        <f>vals_ghg_excLUC!$AD70</f>
        <v>#N/A</v>
      </c>
      <c r="L70" s="5" t="e">
        <f>vals_ghg_excLUC!$AJ70</f>
        <v>#N/A</v>
      </c>
      <c r="M70" s="5">
        <f>vals_ghg_excLUC!$S70</f>
        <v>57.776738545640285</v>
      </c>
      <c r="N70" s="5">
        <f>vals_ghg_excLUC!$Y70</f>
        <v>54.90440588176957</v>
      </c>
      <c r="O70" s="5" t="e">
        <f>vals_ghg_excLUC!$AE70</f>
        <v>#N/A</v>
      </c>
      <c r="P70" s="5" t="e">
        <f>vals_ghg_excLUC!$AK70</f>
        <v>#N/A</v>
      </c>
      <c r="Q70" s="9">
        <f t="shared" si="23"/>
        <v>2.872332663870715</v>
      </c>
      <c r="R70" s="9">
        <v>40.637</v>
      </c>
      <c r="S70" s="9">
        <v>53.795999999999999</v>
      </c>
    </row>
    <row r="71" spans="1:19" x14ac:dyDescent="0.35">
      <c r="A71" s="6">
        <f>vals_ghg_excLUC!$A71</f>
        <v>1918</v>
      </c>
      <c r="B71" s="7">
        <f t="shared" si="16"/>
        <v>41.601288712055855</v>
      </c>
      <c r="C71" s="7">
        <f t="shared" si="17"/>
        <v>43.998394196021138</v>
      </c>
      <c r="D71" s="7">
        <f t="shared" si="18"/>
        <v>54.844574452670422</v>
      </c>
      <c r="E71" s="7">
        <f t="shared" si="19"/>
        <v>57.707968184182057</v>
      </c>
      <c r="F71" s="7">
        <f t="shared" si="20"/>
        <v>2.3971054839652837</v>
      </c>
      <c r="G71" s="7">
        <f t="shared" si="21"/>
        <v>0</v>
      </c>
      <c r="H71" s="7">
        <f t="shared" si="22"/>
        <v>10.846180256649284</v>
      </c>
      <c r="I71" s="8">
        <f>vals_ghg_excLUC!$R71</f>
        <v>43.998394196021138</v>
      </c>
      <c r="J71" s="8">
        <f>vals_ghg_excLUC!$X71</f>
        <v>41.601288712055855</v>
      </c>
      <c r="K71" s="8" t="e">
        <f>vals_ghg_excLUC!$AD71</f>
        <v>#N/A</v>
      </c>
      <c r="L71" s="8" t="e">
        <f>vals_ghg_excLUC!$AJ71</f>
        <v>#N/A</v>
      </c>
      <c r="M71" s="8">
        <f>vals_ghg_excLUC!$S71</f>
        <v>57.707968184182057</v>
      </c>
      <c r="N71" s="8">
        <f>vals_ghg_excLUC!$Y71</f>
        <v>54.844574452670422</v>
      </c>
      <c r="O71" s="8" t="e">
        <f>vals_ghg_excLUC!$AE71</f>
        <v>#N/A</v>
      </c>
      <c r="P71" s="8" t="e">
        <f>vals_ghg_excLUC!$AK71</f>
        <v>#N/A</v>
      </c>
      <c r="Q71" s="9">
        <f t="shared" si="23"/>
        <v>2.8633937315116356</v>
      </c>
      <c r="R71" s="9">
        <v>40.548000000000002</v>
      </c>
      <c r="S71" s="9">
        <v>53.716000000000001</v>
      </c>
    </row>
    <row r="72" spans="1:19" x14ac:dyDescent="0.35">
      <c r="A72" s="3">
        <f>vals_ghg_excLUC!$A72</f>
        <v>1919</v>
      </c>
      <c r="B72" s="4">
        <f t="shared" si="16"/>
        <v>41.533698860374152</v>
      </c>
      <c r="C72" s="4">
        <f t="shared" si="17"/>
        <v>43.917443290200971</v>
      </c>
      <c r="D72" s="4">
        <f t="shared" si="18"/>
        <v>54.786019368734209</v>
      </c>
      <c r="E72" s="4">
        <f t="shared" si="19"/>
        <v>57.640737790195665</v>
      </c>
      <c r="F72" s="4">
        <f t="shared" si="20"/>
        <v>2.3837444298268196</v>
      </c>
      <c r="G72" s="4">
        <f t="shared" si="21"/>
        <v>0</v>
      </c>
      <c r="H72" s="4">
        <f t="shared" si="22"/>
        <v>10.868576078533238</v>
      </c>
      <c r="I72" s="5">
        <f>vals_ghg_excLUC!$R72</f>
        <v>43.917443290200971</v>
      </c>
      <c r="J72" s="5">
        <f>vals_ghg_excLUC!$X72</f>
        <v>41.533698860374152</v>
      </c>
      <c r="K72" s="5" t="e">
        <f>vals_ghg_excLUC!$AD72</f>
        <v>#N/A</v>
      </c>
      <c r="L72" s="5" t="e">
        <f>vals_ghg_excLUC!$AJ72</f>
        <v>#N/A</v>
      </c>
      <c r="M72" s="5">
        <f>vals_ghg_excLUC!$S72</f>
        <v>57.640737790195665</v>
      </c>
      <c r="N72" s="5">
        <f>vals_ghg_excLUC!$Y72</f>
        <v>54.786019368734209</v>
      </c>
      <c r="O72" s="5" t="e">
        <f>vals_ghg_excLUC!$AE72</f>
        <v>#N/A</v>
      </c>
      <c r="P72" s="5" t="e">
        <f>vals_ghg_excLUC!$AK72</f>
        <v>#N/A</v>
      </c>
      <c r="Q72" s="9">
        <f t="shared" si="23"/>
        <v>2.854718421461456</v>
      </c>
      <c r="R72" s="9">
        <v>40.454999999999998</v>
      </c>
      <c r="S72" s="9">
        <v>53.642000000000003</v>
      </c>
    </row>
    <row r="73" spans="1:19" x14ac:dyDescent="0.35">
      <c r="A73" s="6">
        <f>vals_ghg_excLUC!$A73</f>
        <v>1920</v>
      </c>
      <c r="B73" s="7">
        <f t="shared" si="16"/>
        <v>41.47440840935397</v>
      </c>
      <c r="C73" s="7">
        <f t="shared" si="17"/>
        <v>43.845520747761171</v>
      </c>
      <c r="D73" s="7">
        <f t="shared" si="18"/>
        <v>54.737964925349495</v>
      </c>
      <c r="E73" s="7">
        <f t="shared" si="19"/>
        <v>57.585076403083747</v>
      </c>
      <c r="F73" s="7">
        <f t="shared" si="20"/>
        <v>2.371112338407201</v>
      </c>
      <c r="G73" s="7">
        <f t="shared" si="21"/>
        <v>0</v>
      </c>
      <c r="H73" s="7">
        <f t="shared" si="22"/>
        <v>10.892444177588324</v>
      </c>
      <c r="I73" s="8">
        <f>vals_ghg_excLUC!$R73</f>
        <v>43.845520747761171</v>
      </c>
      <c r="J73" s="8">
        <f>vals_ghg_excLUC!$X73</f>
        <v>41.47440840935397</v>
      </c>
      <c r="K73" s="8" t="e">
        <f>vals_ghg_excLUC!$AD73</f>
        <v>#N/A</v>
      </c>
      <c r="L73" s="8" t="e">
        <f>vals_ghg_excLUC!$AJ73</f>
        <v>#N/A</v>
      </c>
      <c r="M73" s="8">
        <f>vals_ghg_excLUC!$S73</f>
        <v>57.585076403083747</v>
      </c>
      <c r="N73" s="8">
        <f>vals_ghg_excLUC!$Y73</f>
        <v>54.737964925349495</v>
      </c>
      <c r="O73" s="8" t="e">
        <f>vals_ghg_excLUC!$AE73</f>
        <v>#N/A</v>
      </c>
      <c r="P73" s="8" t="e">
        <f>vals_ghg_excLUC!$AK73</f>
        <v>#N/A</v>
      </c>
      <c r="Q73" s="9">
        <f t="shared" si="23"/>
        <v>2.8471114777342521</v>
      </c>
      <c r="R73" s="9">
        <v>40.377000000000002</v>
      </c>
      <c r="S73" s="9">
        <v>53.585000000000001</v>
      </c>
    </row>
    <row r="74" spans="1:19" x14ac:dyDescent="0.35">
      <c r="A74" s="3">
        <f>vals_ghg_excLUC!$A74</f>
        <v>1921</v>
      </c>
      <c r="B74" s="4">
        <f t="shared" si="16"/>
        <v>41.406299370972057</v>
      </c>
      <c r="C74" s="4">
        <f t="shared" si="17"/>
        <v>43.763809737961431</v>
      </c>
      <c r="D74" s="4">
        <f t="shared" si="18"/>
        <v>54.681098758908561</v>
      </c>
      <c r="E74" s="4">
        <f t="shared" si="19"/>
        <v>57.519715993851563</v>
      </c>
      <c r="F74" s="4">
        <f t="shared" si="20"/>
        <v>2.3575103669893736</v>
      </c>
      <c r="G74" s="4">
        <f t="shared" si="21"/>
        <v>0</v>
      </c>
      <c r="H74" s="4">
        <f t="shared" si="22"/>
        <v>10.91728902094713</v>
      </c>
      <c r="I74" s="5">
        <f>vals_ghg_excLUC!$R74</f>
        <v>43.763809737961431</v>
      </c>
      <c r="J74" s="5">
        <f>vals_ghg_excLUC!$X74</f>
        <v>41.406299370972057</v>
      </c>
      <c r="K74" s="5" t="e">
        <f>vals_ghg_excLUC!$AD74</f>
        <v>#N/A</v>
      </c>
      <c r="L74" s="5" t="e">
        <f>vals_ghg_excLUC!$AJ74</f>
        <v>#N/A</v>
      </c>
      <c r="M74" s="5">
        <f>vals_ghg_excLUC!$S74</f>
        <v>57.519715993851563</v>
      </c>
      <c r="N74" s="5">
        <f>vals_ghg_excLUC!$Y74</f>
        <v>54.681098758908561</v>
      </c>
      <c r="O74" s="5" t="e">
        <f>vals_ghg_excLUC!$AE74</f>
        <v>#N/A</v>
      </c>
      <c r="P74" s="5" t="e">
        <f>vals_ghg_excLUC!$AK74</f>
        <v>#N/A</v>
      </c>
      <c r="Q74" s="9">
        <f t="shared" si="23"/>
        <v>2.8386172349430012</v>
      </c>
      <c r="R74" s="9">
        <v>40.284999999999997</v>
      </c>
      <c r="S74" s="9">
        <v>53.515000000000001</v>
      </c>
    </row>
    <row r="75" spans="1:19" x14ac:dyDescent="0.35">
      <c r="A75" s="6">
        <f>vals_ghg_excLUC!$A75</f>
        <v>1922</v>
      </c>
      <c r="B75" s="7">
        <f t="shared" si="16"/>
        <v>41.350966155979734</v>
      </c>
      <c r="C75" s="7">
        <f t="shared" si="17"/>
        <v>43.696403777172364</v>
      </c>
      <c r="D75" s="7">
        <f t="shared" si="18"/>
        <v>54.63425033878331</v>
      </c>
      <c r="E75" s="7">
        <f t="shared" si="19"/>
        <v>57.465322983162935</v>
      </c>
      <c r="F75" s="7">
        <f t="shared" si="20"/>
        <v>2.3454376211926302</v>
      </c>
      <c r="G75" s="7">
        <f t="shared" si="21"/>
        <v>0</v>
      </c>
      <c r="H75" s="7">
        <f t="shared" si="22"/>
        <v>10.937846561610947</v>
      </c>
      <c r="I75" s="8">
        <f>vals_ghg_excLUC!$R75</f>
        <v>43.696403777172364</v>
      </c>
      <c r="J75" s="8">
        <f>vals_ghg_excLUC!$X75</f>
        <v>41.350966155979734</v>
      </c>
      <c r="K75" s="8" t="e">
        <f>vals_ghg_excLUC!$AD75</f>
        <v>#N/A</v>
      </c>
      <c r="L75" s="8" t="e">
        <f>vals_ghg_excLUC!$AJ75</f>
        <v>#N/A</v>
      </c>
      <c r="M75" s="8">
        <f>vals_ghg_excLUC!$S75</f>
        <v>57.465322983162935</v>
      </c>
      <c r="N75" s="8">
        <f>vals_ghg_excLUC!$Y75</f>
        <v>54.63425033878331</v>
      </c>
      <c r="O75" s="8" t="e">
        <f>vals_ghg_excLUC!$AE75</f>
        <v>#N/A</v>
      </c>
      <c r="P75" s="8" t="e">
        <f>vals_ghg_excLUC!$AK75</f>
        <v>#N/A</v>
      </c>
      <c r="Q75" s="9">
        <f t="shared" si="23"/>
        <v>2.8310726443796241</v>
      </c>
      <c r="R75" s="9">
        <v>40.213999999999999</v>
      </c>
      <c r="S75" s="9">
        <v>53.463000000000001</v>
      </c>
    </row>
    <row r="76" spans="1:19" x14ac:dyDescent="0.35">
      <c r="A76" s="3">
        <f>vals_ghg_excLUC!$A76</f>
        <v>1923</v>
      </c>
      <c r="B76" s="4">
        <f t="shared" si="16"/>
        <v>41.291218139694408</v>
      </c>
      <c r="C76" s="4">
        <f t="shared" si="17"/>
        <v>43.624104453957166</v>
      </c>
      <c r="D76" s="4">
        <f t="shared" si="18"/>
        <v>54.583947306430922</v>
      </c>
      <c r="E76" s="4">
        <f t="shared" si="19"/>
        <v>57.407162771027245</v>
      </c>
      <c r="F76" s="4">
        <f t="shared" si="20"/>
        <v>2.3328863142627583</v>
      </c>
      <c r="G76" s="4">
        <f t="shared" si="21"/>
        <v>0</v>
      </c>
      <c r="H76" s="4">
        <f t="shared" si="22"/>
        <v>10.959842852473756</v>
      </c>
      <c r="I76" s="5">
        <f>vals_ghg_excLUC!$R76</f>
        <v>43.624104453957166</v>
      </c>
      <c r="J76" s="5">
        <f>vals_ghg_excLUC!$X76</f>
        <v>41.291218139694408</v>
      </c>
      <c r="K76" s="5" t="e">
        <f>vals_ghg_excLUC!$AD76</f>
        <v>#N/A</v>
      </c>
      <c r="L76" s="5" t="e">
        <f>vals_ghg_excLUC!$AJ76</f>
        <v>#N/A</v>
      </c>
      <c r="M76" s="5">
        <f>vals_ghg_excLUC!$S76</f>
        <v>57.407162771027245</v>
      </c>
      <c r="N76" s="5">
        <f>vals_ghg_excLUC!$Y76</f>
        <v>54.583947306430922</v>
      </c>
      <c r="O76" s="5" t="e">
        <f>vals_ghg_excLUC!$AE76</f>
        <v>#N/A</v>
      </c>
      <c r="P76" s="5" t="e">
        <f>vals_ghg_excLUC!$AK76</f>
        <v>#N/A</v>
      </c>
      <c r="Q76" s="9">
        <f t="shared" si="23"/>
        <v>2.8232154645963234</v>
      </c>
      <c r="R76" s="9">
        <v>40.137</v>
      </c>
      <c r="S76" s="9">
        <v>53.405000000000001</v>
      </c>
    </row>
    <row r="77" spans="1:19" x14ac:dyDescent="0.35">
      <c r="A77" s="6">
        <f>vals_ghg_excLUC!$A77</f>
        <v>1924</v>
      </c>
      <c r="B77" s="7">
        <f t="shared" si="16"/>
        <v>41.219454384446109</v>
      </c>
      <c r="C77" s="7">
        <f t="shared" si="17"/>
        <v>43.537973771699534</v>
      </c>
      <c r="D77" s="7">
        <f t="shared" si="18"/>
        <v>54.524776182547519</v>
      </c>
      <c r="E77" s="7">
        <f t="shared" si="19"/>
        <v>57.339089315928874</v>
      </c>
      <c r="F77" s="7">
        <f t="shared" si="20"/>
        <v>2.3185193872534242</v>
      </c>
      <c r="G77" s="7">
        <f t="shared" si="21"/>
        <v>0</v>
      </c>
      <c r="H77" s="7">
        <f t="shared" si="22"/>
        <v>10.986802410847986</v>
      </c>
      <c r="I77" s="8">
        <f>vals_ghg_excLUC!$R77</f>
        <v>43.537973771699534</v>
      </c>
      <c r="J77" s="8">
        <f>vals_ghg_excLUC!$X77</f>
        <v>41.219454384446109</v>
      </c>
      <c r="K77" s="8" t="e">
        <f>vals_ghg_excLUC!$AD77</f>
        <v>#N/A</v>
      </c>
      <c r="L77" s="8" t="e">
        <f>vals_ghg_excLUC!$AJ77</f>
        <v>#N/A</v>
      </c>
      <c r="M77" s="8">
        <f>vals_ghg_excLUC!$S77</f>
        <v>57.339089315928874</v>
      </c>
      <c r="N77" s="8">
        <f>vals_ghg_excLUC!$Y77</f>
        <v>54.524776182547519</v>
      </c>
      <c r="O77" s="8" t="e">
        <f>vals_ghg_excLUC!$AE77</f>
        <v>#N/A</v>
      </c>
      <c r="P77" s="8" t="e">
        <f>vals_ghg_excLUC!$AK77</f>
        <v>#N/A</v>
      </c>
      <c r="Q77" s="9">
        <f t="shared" si="23"/>
        <v>2.8143131333813542</v>
      </c>
      <c r="R77" s="9">
        <v>40.042999999999999</v>
      </c>
      <c r="S77" s="9">
        <v>53.335000000000001</v>
      </c>
    </row>
    <row r="78" spans="1:19" x14ac:dyDescent="0.35">
      <c r="A78" s="3">
        <f>vals_ghg_excLUC!$A78</f>
        <v>1925</v>
      </c>
      <c r="B78" s="4">
        <f t="shared" si="16"/>
        <v>41.148329370930497</v>
      </c>
      <c r="C78" s="4">
        <f t="shared" si="17"/>
        <v>43.452609948050551</v>
      </c>
      <c r="D78" s="4">
        <f t="shared" si="18"/>
        <v>54.465680525191338</v>
      </c>
      <c r="E78" s="4">
        <f t="shared" si="19"/>
        <v>57.271170955561637</v>
      </c>
      <c r="F78" s="4">
        <f t="shared" si="20"/>
        <v>2.3042805771200534</v>
      </c>
      <c r="G78" s="4">
        <f t="shared" si="21"/>
        <v>0</v>
      </c>
      <c r="H78" s="4">
        <f t="shared" si="22"/>
        <v>11.013070577140788</v>
      </c>
      <c r="I78" s="5">
        <f>vals_ghg_excLUC!$R78</f>
        <v>43.452609948050551</v>
      </c>
      <c r="J78" s="5">
        <f>vals_ghg_excLUC!$X78</f>
        <v>41.148329370930497</v>
      </c>
      <c r="K78" s="5" t="e">
        <f>vals_ghg_excLUC!$AD78</f>
        <v>#N/A</v>
      </c>
      <c r="L78" s="5" t="e">
        <f>vals_ghg_excLUC!$AJ78</f>
        <v>#N/A</v>
      </c>
      <c r="M78" s="5">
        <f>vals_ghg_excLUC!$S78</f>
        <v>57.271170955561637</v>
      </c>
      <c r="N78" s="5">
        <f>vals_ghg_excLUC!$Y78</f>
        <v>54.465680525191338</v>
      </c>
      <c r="O78" s="5" t="e">
        <f>vals_ghg_excLUC!$AE78</f>
        <v>#N/A</v>
      </c>
      <c r="P78" s="5" t="e">
        <f>vals_ghg_excLUC!$AK78</f>
        <v>#N/A</v>
      </c>
      <c r="Q78" s="9">
        <f t="shared" si="23"/>
        <v>2.8054904303702983</v>
      </c>
      <c r="R78" s="9">
        <v>39.948999999999998</v>
      </c>
      <c r="S78" s="9">
        <v>53.265999999999998</v>
      </c>
    </row>
    <row r="79" spans="1:19" x14ac:dyDescent="0.35">
      <c r="A79" s="6">
        <f>vals_ghg_excLUC!$A79</f>
        <v>1926</v>
      </c>
      <c r="B79" s="7">
        <f t="shared" si="16"/>
        <v>41.075542965855021</v>
      </c>
      <c r="C79" s="7">
        <f t="shared" si="17"/>
        <v>43.365811400375236</v>
      </c>
      <c r="D79" s="7">
        <f t="shared" si="18"/>
        <v>54.40533758226865</v>
      </c>
      <c r="E79" s="7">
        <f t="shared" si="19"/>
        <v>57.202202591388208</v>
      </c>
      <c r="F79" s="7">
        <f t="shared" si="20"/>
        <v>2.2902684345202147</v>
      </c>
      <c r="G79" s="7">
        <f t="shared" si="21"/>
        <v>0</v>
      </c>
      <c r="H79" s="7">
        <f t="shared" si="22"/>
        <v>11.039526181893415</v>
      </c>
      <c r="I79" s="8">
        <f>vals_ghg_excLUC!$R79</f>
        <v>43.365811400375236</v>
      </c>
      <c r="J79" s="8">
        <f>vals_ghg_excLUC!$X79</f>
        <v>41.075542965855021</v>
      </c>
      <c r="K79" s="8" t="e">
        <f>vals_ghg_excLUC!$AD79</f>
        <v>#N/A</v>
      </c>
      <c r="L79" s="8" t="e">
        <f>vals_ghg_excLUC!$AJ79</f>
        <v>#N/A</v>
      </c>
      <c r="M79" s="8">
        <f>vals_ghg_excLUC!$S79</f>
        <v>57.202202591388208</v>
      </c>
      <c r="N79" s="8">
        <f>vals_ghg_excLUC!$Y79</f>
        <v>54.40533758226865</v>
      </c>
      <c r="O79" s="8" t="e">
        <f>vals_ghg_excLUC!$AE79</f>
        <v>#N/A</v>
      </c>
      <c r="P79" s="8" t="e">
        <f>vals_ghg_excLUC!$AK79</f>
        <v>#N/A</v>
      </c>
      <c r="Q79" s="9">
        <f t="shared" si="23"/>
        <v>2.796865009119557</v>
      </c>
      <c r="R79" s="9">
        <v>39.856999999999999</v>
      </c>
      <c r="S79" s="9">
        <v>53.197000000000003</v>
      </c>
    </row>
    <row r="80" spans="1:19" x14ac:dyDescent="0.35">
      <c r="A80" s="3">
        <f>vals_ghg_excLUC!$A80</f>
        <v>1927</v>
      </c>
      <c r="B80" s="4">
        <f t="shared" si="16"/>
        <v>41.005839682681447</v>
      </c>
      <c r="C80" s="4">
        <f t="shared" si="17"/>
        <v>43.282196105288925</v>
      </c>
      <c r="D80" s="4">
        <f t="shared" si="18"/>
        <v>54.346365405974552</v>
      </c>
      <c r="E80" s="4">
        <f t="shared" si="19"/>
        <v>57.13438403423239</v>
      </c>
      <c r="F80" s="4">
        <f t="shared" si="20"/>
        <v>2.2763564226074777</v>
      </c>
      <c r="G80" s="4">
        <f t="shared" si="21"/>
        <v>0</v>
      </c>
      <c r="H80" s="4">
        <f t="shared" si="22"/>
        <v>11.064169300685627</v>
      </c>
      <c r="I80" s="5">
        <f>vals_ghg_excLUC!$R80</f>
        <v>43.282196105288925</v>
      </c>
      <c r="J80" s="5">
        <f>vals_ghg_excLUC!$X80</f>
        <v>41.005839682681447</v>
      </c>
      <c r="K80" s="5" t="e">
        <f>vals_ghg_excLUC!$AD80</f>
        <v>#N/A</v>
      </c>
      <c r="L80" s="5" t="e">
        <f>vals_ghg_excLUC!$AJ80</f>
        <v>#N/A</v>
      </c>
      <c r="M80" s="5">
        <f>vals_ghg_excLUC!$S80</f>
        <v>57.13438403423239</v>
      </c>
      <c r="N80" s="5">
        <f>vals_ghg_excLUC!$Y80</f>
        <v>54.346365405974552</v>
      </c>
      <c r="O80" s="5" t="e">
        <f>vals_ghg_excLUC!$AE80</f>
        <v>#N/A</v>
      </c>
      <c r="P80" s="5" t="e">
        <f>vals_ghg_excLUC!$AK80</f>
        <v>#N/A</v>
      </c>
      <c r="Q80" s="9">
        <f t="shared" si="23"/>
        <v>2.7880186282578379</v>
      </c>
      <c r="R80" s="9">
        <v>39.771000000000001</v>
      </c>
      <c r="S80" s="9">
        <v>53.131999999999998</v>
      </c>
    </row>
    <row r="81" spans="1:19" x14ac:dyDescent="0.35">
      <c r="A81" s="6">
        <f>vals_ghg_excLUC!$A81</f>
        <v>1928</v>
      </c>
      <c r="B81" s="7">
        <f t="shared" si="16"/>
        <v>40.928088537073108</v>
      </c>
      <c r="C81" s="7">
        <f t="shared" si="17"/>
        <v>43.189766564195473</v>
      </c>
      <c r="D81" s="7">
        <f t="shared" si="18"/>
        <v>54.279780273727972</v>
      </c>
      <c r="E81" s="7">
        <f t="shared" si="19"/>
        <v>57.058418185235368</v>
      </c>
      <c r="F81" s="7">
        <f t="shared" si="20"/>
        <v>2.2616780271223647</v>
      </c>
      <c r="G81" s="7">
        <f t="shared" si="21"/>
        <v>0</v>
      </c>
      <c r="H81" s="7">
        <f t="shared" si="22"/>
        <v>11.090013709532499</v>
      </c>
      <c r="I81" s="8">
        <f>vals_ghg_excLUC!$R81</f>
        <v>43.189766564195473</v>
      </c>
      <c r="J81" s="8">
        <f>vals_ghg_excLUC!$X81</f>
        <v>40.928088537073108</v>
      </c>
      <c r="K81" s="8" t="e">
        <f>vals_ghg_excLUC!$AD81</f>
        <v>#N/A</v>
      </c>
      <c r="L81" s="8" t="e">
        <f>vals_ghg_excLUC!$AJ81</f>
        <v>#N/A</v>
      </c>
      <c r="M81" s="8">
        <f>vals_ghg_excLUC!$S81</f>
        <v>57.058418185235368</v>
      </c>
      <c r="N81" s="8">
        <f>vals_ghg_excLUC!$Y81</f>
        <v>54.279780273727972</v>
      </c>
      <c r="O81" s="8" t="e">
        <f>vals_ghg_excLUC!$AE81</f>
        <v>#N/A</v>
      </c>
      <c r="P81" s="8" t="e">
        <f>vals_ghg_excLUC!$AK81</f>
        <v>#N/A</v>
      </c>
      <c r="Q81" s="9">
        <f t="shared" si="23"/>
        <v>2.7786379115073956</v>
      </c>
      <c r="R81" s="9">
        <v>39.677</v>
      </c>
      <c r="S81" s="9">
        <v>53.058</v>
      </c>
    </row>
    <row r="82" spans="1:19" x14ac:dyDescent="0.35">
      <c r="A82" s="3">
        <f>vals_ghg_excLUC!$A82</f>
        <v>1929</v>
      </c>
      <c r="B82" s="4">
        <f t="shared" si="16"/>
        <v>40.852322319094995</v>
      </c>
      <c r="C82" s="4">
        <f t="shared" si="17"/>
        <v>43.098965912993208</v>
      </c>
      <c r="D82" s="4">
        <f t="shared" si="18"/>
        <v>54.21436147443216</v>
      </c>
      <c r="E82" s="4">
        <f t="shared" si="19"/>
        <v>56.983055349873538</v>
      </c>
      <c r="F82" s="4">
        <f t="shared" si="20"/>
        <v>2.246643593898213</v>
      </c>
      <c r="G82" s="4">
        <f t="shared" si="21"/>
        <v>0</v>
      </c>
      <c r="H82" s="4">
        <f t="shared" si="22"/>
        <v>11.115395561438952</v>
      </c>
      <c r="I82" s="5">
        <f>vals_ghg_excLUC!$R82</f>
        <v>43.098965912993208</v>
      </c>
      <c r="J82" s="5">
        <f>vals_ghg_excLUC!$X82</f>
        <v>40.852322319094995</v>
      </c>
      <c r="K82" s="5" t="e">
        <f>vals_ghg_excLUC!$AD82</f>
        <v>#N/A</v>
      </c>
      <c r="L82" s="5" t="e">
        <f>vals_ghg_excLUC!$AJ82</f>
        <v>#N/A</v>
      </c>
      <c r="M82" s="5">
        <f>vals_ghg_excLUC!$S82</f>
        <v>56.983055349873538</v>
      </c>
      <c r="N82" s="5">
        <f>vals_ghg_excLUC!$Y82</f>
        <v>54.21436147443216</v>
      </c>
      <c r="O82" s="5" t="e">
        <f>vals_ghg_excLUC!$AE82</f>
        <v>#N/A</v>
      </c>
      <c r="P82" s="5" t="e">
        <f>vals_ghg_excLUC!$AK82</f>
        <v>#N/A</v>
      </c>
      <c r="Q82" s="9">
        <f t="shared" si="23"/>
        <v>2.7686938754413788</v>
      </c>
      <c r="R82" s="9">
        <v>39.582999999999998</v>
      </c>
      <c r="S82" s="9">
        <v>52.984999999999999</v>
      </c>
    </row>
    <row r="83" spans="1:19" x14ac:dyDescent="0.35">
      <c r="A83" s="6">
        <f>vals_ghg_excLUC!$A83</f>
        <v>1930</v>
      </c>
      <c r="B83" s="7">
        <f t="shared" si="16"/>
        <v>40.7700380612212</v>
      </c>
      <c r="C83" s="7">
        <f t="shared" si="17"/>
        <v>43.000813813748223</v>
      </c>
      <c r="D83" s="7">
        <f t="shared" si="18"/>
        <v>54.143036409497903</v>
      </c>
      <c r="E83" s="7">
        <f t="shared" si="19"/>
        <v>56.901042497519875</v>
      </c>
      <c r="F83" s="7">
        <f t="shared" si="20"/>
        <v>2.2307757525270233</v>
      </c>
      <c r="G83" s="7">
        <f t="shared" si="21"/>
        <v>0</v>
      </c>
      <c r="H83" s="7">
        <f t="shared" si="22"/>
        <v>11.142222595749679</v>
      </c>
      <c r="I83" s="8">
        <f>vals_ghg_excLUC!$R83</f>
        <v>43.000813813748223</v>
      </c>
      <c r="J83" s="8">
        <f>vals_ghg_excLUC!$X83</f>
        <v>40.7700380612212</v>
      </c>
      <c r="K83" s="8" t="e">
        <f>vals_ghg_excLUC!$AD83</f>
        <v>#N/A</v>
      </c>
      <c r="L83" s="8" t="e">
        <f>vals_ghg_excLUC!$AJ83</f>
        <v>#N/A</v>
      </c>
      <c r="M83" s="8">
        <f>vals_ghg_excLUC!$S83</f>
        <v>56.901042497519875</v>
      </c>
      <c r="N83" s="8">
        <f>vals_ghg_excLUC!$Y83</f>
        <v>54.143036409497903</v>
      </c>
      <c r="O83" s="8" t="e">
        <f>vals_ghg_excLUC!$AE83</f>
        <v>#N/A</v>
      </c>
      <c r="P83" s="8" t="e">
        <f>vals_ghg_excLUC!$AK83</f>
        <v>#N/A</v>
      </c>
      <c r="Q83" s="9">
        <f t="shared" si="23"/>
        <v>2.7580060880219719</v>
      </c>
      <c r="R83" s="9">
        <v>39.481000000000002</v>
      </c>
      <c r="S83" s="9">
        <v>52.904000000000003</v>
      </c>
    </row>
    <row r="84" spans="1:19" x14ac:dyDescent="0.35">
      <c r="A84" s="3">
        <f>vals_ghg_excLUC!$A84</f>
        <v>1931</v>
      </c>
      <c r="B84" s="4">
        <f t="shared" si="16"/>
        <v>40.697816324883419</v>
      </c>
      <c r="C84" s="4">
        <f t="shared" si="17"/>
        <v>42.913553433125806</v>
      </c>
      <c r="D84" s="4">
        <f t="shared" si="18"/>
        <v>54.078687195280587</v>
      </c>
      <c r="E84" s="4">
        <f t="shared" si="19"/>
        <v>56.82624672803415</v>
      </c>
      <c r="F84" s="4">
        <f t="shared" si="20"/>
        <v>2.2157371082423865</v>
      </c>
      <c r="G84" s="4">
        <f t="shared" si="21"/>
        <v>0</v>
      </c>
      <c r="H84" s="4">
        <f t="shared" si="22"/>
        <v>11.165133762154781</v>
      </c>
      <c r="I84" s="5">
        <f>vals_ghg_excLUC!$R84</f>
        <v>42.913553433125806</v>
      </c>
      <c r="J84" s="5">
        <f>vals_ghg_excLUC!$X84</f>
        <v>40.697816324883419</v>
      </c>
      <c r="K84" s="5" t="e">
        <f>vals_ghg_excLUC!$AD84</f>
        <v>#N/A</v>
      </c>
      <c r="L84" s="5" t="e">
        <f>vals_ghg_excLUC!$AJ84</f>
        <v>#N/A</v>
      </c>
      <c r="M84" s="5">
        <f>vals_ghg_excLUC!$S84</f>
        <v>56.82624672803415</v>
      </c>
      <c r="N84" s="5">
        <f>vals_ghg_excLUC!$Y84</f>
        <v>54.078687195280587</v>
      </c>
      <c r="O84" s="5" t="e">
        <f>vals_ghg_excLUC!$AE84</f>
        <v>#N/A</v>
      </c>
      <c r="P84" s="5" t="e">
        <f>vals_ghg_excLUC!$AK84</f>
        <v>#N/A</v>
      </c>
      <c r="Q84" s="9">
        <f t="shared" si="23"/>
        <v>2.7475595327535629</v>
      </c>
      <c r="R84" s="9">
        <v>39.396000000000001</v>
      </c>
      <c r="S84" s="9">
        <v>52.832999999999998</v>
      </c>
    </row>
    <row r="85" spans="1:19" x14ac:dyDescent="0.35">
      <c r="A85" s="6">
        <f>vals_ghg_excLUC!$A85</f>
        <v>1932</v>
      </c>
      <c r="B85" s="7">
        <f t="shared" si="16"/>
        <v>40.637815118399203</v>
      </c>
      <c r="C85" s="7">
        <f t="shared" si="17"/>
        <v>42.840048811824225</v>
      </c>
      <c r="D85" s="7">
        <f t="shared" si="18"/>
        <v>54.022533678582086</v>
      </c>
      <c r="E85" s="7">
        <f t="shared" si="19"/>
        <v>56.76046820871786</v>
      </c>
      <c r="F85" s="7">
        <f t="shared" si="20"/>
        <v>2.202233693425022</v>
      </c>
      <c r="G85" s="7">
        <f t="shared" si="21"/>
        <v>0</v>
      </c>
      <c r="H85" s="7">
        <f t="shared" si="22"/>
        <v>11.182484866757861</v>
      </c>
      <c r="I85" s="8">
        <f>vals_ghg_excLUC!$R85</f>
        <v>42.840048811824225</v>
      </c>
      <c r="J85" s="8">
        <f>vals_ghg_excLUC!$X85</f>
        <v>40.637815118399203</v>
      </c>
      <c r="K85" s="8" t="e">
        <f>vals_ghg_excLUC!$AD85</f>
        <v>#N/A</v>
      </c>
      <c r="L85" s="8" t="e">
        <f>vals_ghg_excLUC!$AJ85</f>
        <v>#N/A</v>
      </c>
      <c r="M85" s="8">
        <f>vals_ghg_excLUC!$S85</f>
        <v>56.76046820871786</v>
      </c>
      <c r="N85" s="8">
        <f>vals_ghg_excLUC!$Y85</f>
        <v>54.022533678582086</v>
      </c>
      <c r="O85" s="8" t="e">
        <f>vals_ghg_excLUC!$AE85</f>
        <v>#N/A</v>
      </c>
      <c r="P85" s="8" t="e">
        <f>vals_ghg_excLUC!$AK85</f>
        <v>#N/A</v>
      </c>
      <c r="Q85" s="9">
        <f t="shared" si="23"/>
        <v>2.7379345301357745</v>
      </c>
      <c r="R85" s="9">
        <v>39.331000000000003</v>
      </c>
      <c r="S85" s="9">
        <v>52.776000000000003</v>
      </c>
    </row>
    <row r="86" spans="1:19" x14ac:dyDescent="0.35">
      <c r="A86" s="3">
        <f>vals_ghg_excLUC!$A86</f>
        <v>1933</v>
      </c>
      <c r="B86" s="4">
        <f t="shared" si="16"/>
        <v>40.587860703645021</v>
      </c>
      <c r="C86" s="4">
        <f t="shared" si="17"/>
        <v>42.777780028168607</v>
      </c>
      <c r="D86" s="4">
        <f t="shared" si="18"/>
        <v>53.974149868338685</v>
      </c>
      <c r="E86" s="4">
        <f t="shared" si="19"/>
        <v>56.703205047680825</v>
      </c>
      <c r="F86" s="4">
        <f t="shared" si="20"/>
        <v>2.1899193245235864</v>
      </c>
      <c r="G86" s="4">
        <f t="shared" si="21"/>
        <v>0</v>
      </c>
      <c r="H86" s="4">
        <f t="shared" si="22"/>
        <v>11.196369840170078</v>
      </c>
      <c r="I86" s="5">
        <f>vals_ghg_excLUC!$R86</f>
        <v>42.777780028168607</v>
      </c>
      <c r="J86" s="5">
        <f>vals_ghg_excLUC!$X86</f>
        <v>40.587860703645021</v>
      </c>
      <c r="K86" s="5" t="e">
        <f>vals_ghg_excLUC!$AD86</f>
        <v>#N/A</v>
      </c>
      <c r="L86" s="5" t="e">
        <f>vals_ghg_excLUC!$AJ86</f>
        <v>#N/A</v>
      </c>
      <c r="M86" s="5">
        <f>vals_ghg_excLUC!$S86</f>
        <v>56.703205047680825</v>
      </c>
      <c r="N86" s="5">
        <f>vals_ghg_excLUC!$Y86</f>
        <v>53.974149868338685</v>
      </c>
      <c r="O86" s="5" t="e">
        <f>vals_ghg_excLUC!$AE86</f>
        <v>#N/A</v>
      </c>
      <c r="P86" s="5" t="e">
        <f>vals_ghg_excLUC!$AK86</f>
        <v>#N/A</v>
      </c>
      <c r="Q86" s="9">
        <f t="shared" si="23"/>
        <v>2.72905517934214</v>
      </c>
      <c r="R86" s="9">
        <v>39.283000000000001</v>
      </c>
      <c r="S86" s="9">
        <v>52.732999999999997</v>
      </c>
    </row>
    <row r="87" spans="1:19" x14ac:dyDescent="0.35">
      <c r="A87" s="6">
        <f>vals_ghg_excLUC!$A87</f>
        <v>1934</v>
      </c>
      <c r="B87" s="7">
        <f t="shared" si="16"/>
        <v>40.534974484850991</v>
      </c>
      <c r="C87" s="7">
        <f t="shared" si="17"/>
        <v>42.712154548341843</v>
      </c>
      <c r="D87" s="7">
        <f t="shared" si="18"/>
        <v>53.923008410661353</v>
      </c>
      <c r="E87" s="7">
        <f t="shared" si="19"/>
        <v>56.642805743031765</v>
      </c>
      <c r="F87" s="7">
        <f t="shared" si="20"/>
        <v>2.1771800634908516</v>
      </c>
      <c r="G87" s="7">
        <f t="shared" si="21"/>
        <v>0</v>
      </c>
      <c r="H87" s="7">
        <f t="shared" si="22"/>
        <v>11.21085386231951</v>
      </c>
      <c r="I87" s="8">
        <f>vals_ghg_excLUC!$R87</f>
        <v>42.712154548341843</v>
      </c>
      <c r="J87" s="8">
        <f>vals_ghg_excLUC!$X87</f>
        <v>40.534974484850991</v>
      </c>
      <c r="K87" s="8" t="e">
        <f>vals_ghg_excLUC!$AD87</f>
        <v>#N/A</v>
      </c>
      <c r="L87" s="8" t="e">
        <f>vals_ghg_excLUC!$AJ87</f>
        <v>#N/A</v>
      </c>
      <c r="M87" s="8">
        <f>vals_ghg_excLUC!$S87</f>
        <v>56.642805743031765</v>
      </c>
      <c r="N87" s="8">
        <f>vals_ghg_excLUC!$Y87</f>
        <v>53.923008410661353</v>
      </c>
      <c r="O87" s="8" t="e">
        <f>vals_ghg_excLUC!$AE87</f>
        <v>#N/A</v>
      </c>
      <c r="P87" s="8" t="e">
        <f>vals_ghg_excLUC!$AK87</f>
        <v>#N/A</v>
      </c>
      <c r="Q87" s="9">
        <f t="shared" si="23"/>
        <v>2.7197973323704119</v>
      </c>
      <c r="R87" s="9">
        <v>39.234000000000002</v>
      </c>
      <c r="S87" s="9">
        <v>52.688000000000002</v>
      </c>
    </row>
    <row r="88" spans="1:19" x14ac:dyDescent="0.35">
      <c r="A88" s="3">
        <f>vals_ghg_excLUC!$A88</f>
        <v>1935</v>
      </c>
      <c r="B88" s="4">
        <f t="shared" si="16"/>
        <v>40.478188720133211</v>
      </c>
      <c r="C88" s="4">
        <f t="shared" si="17"/>
        <v>42.642217141915509</v>
      </c>
      <c r="D88" s="4">
        <f t="shared" si="18"/>
        <v>53.867277260326716</v>
      </c>
      <c r="E88" s="4">
        <f t="shared" si="19"/>
        <v>56.577285309599034</v>
      </c>
      <c r="F88" s="4">
        <f t="shared" si="20"/>
        <v>2.164028421782298</v>
      </c>
      <c r="G88" s="4">
        <f t="shared" si="21"/>
        <v>0</v>
      </c>
      <c r="H88" s="4">
        <f t="shared" si="22"/>
        <v>11.225060118411207</v>
      </c>
      <c r="I88" s="5">
        <f>vals_ghg_excLUC!$R88</f>
        <v>42.642217141915509</v>
      </c>
      <c r="J88" s="5">
        <f>vals_ghg_excLUC!$X88</f>
        <v>40.478188720133211</v>
      </c>
      <c r="K88" s="5" t="e">
        <f>vals_ghg_excLUC!$AD88</f>
        <v>#N/A</v>
      </c>
      <c r="L88" s="5" t="e">
        <f>vals_ghg_excLUC!$AJ88</f>
        <v>#N/A</v>
      </c>
      <c r="M88" s="5">
        <f>vals_ghg_excLUC!$S88</f>
        <v>56.577285309599034</v>
      </c>
      <c r="N88" s="5">
        <f>vals_ghg_excLUC!$Y88</f>
        <v>53.867277260326716</v>
      </c>
      <c r="O88" s="5" t="e">
        <f>vals_ghg_excLUC!$AE88</f>
        <v>#N/A</v>
      </c>
      <c r="P88" s="5" t="e">
        <f>vals_ghg_excLUC!$AK88</f>
        <v>#N/A</v>
      </c>
      <c r="Q88" s="9">
        <f t="shared" si="23"/>
        <v>2.710008049272318</v>
      </c>
      <c r="R88" s="9">
        <v>39.176000000000002</v>
      </c>
      <c r="S88" s="9">
        <v>52.631999999999998</v>
      </c>
    </row>
    <row r="89" spans="1:19" x14ac:dyDescent="0.35">
      <c r="A89" s="6">
        <f>vals_ghg_excLUC!$A89</f>
        <v>1936</v>
      </c>
      <c r="B89" s="7">
        <f t="shared" si="16"/>
        <v>40.419767667549081</v>
      </c>
      <c r="C89" s="7">
        <f t="shared" si="17"/>
        <v>42.570440821282297</v>
      </c>
      <c r="D89" s="7">
        <f t="shared" si="18"/>
        <v>53.809374315001705</v>
      </c>
      <c r="E89" s="7">
        <f t="shared" si="19"/>
        <v>56.509249996384078</v>
      </c>
      <c r="F89" s="7">
        <f t="shared" si="20"/>
        <v>2.1506731537332158</v>
      </c>
      <c r="G89" s="7">
        <f t="shared" si="21"/>
        <v>0</v>
      </c>
      <c r="H89" s="7">
        <f t="shared" si="22"/>
        <v>11.238933493719408</v>
      </c>
      <c r="I89" s="8">
        <f>vals_ghg_excLUC!$R89</f>
        <v>42.570440821282297</v>
      </c>
      <c r="J89" s="8">
        <f>vals_ghg_excLUC!$X89</f>
        <v>40.419767667549081</v>
      </c>
      <c r="K89" s="8" t="e">
        <f>vals_ghg_excLUC!$AD89</f>
        <v>#N/A</v>
      </c>
      <c r="L89" s="8" t="e">
        <f>vals_ghg_excLUC!$AJ89</f>
        <v>#N/A</v>
      </c>
      <c r="M89" s="8">
        <f>vals_ghg_excLUC!$S89</f>
        <v>56.509249996384078</v>
      </c>
      <c r="N89" s="8">
        <f>vals_ghg_excLUC!$Y89</f>
        <v>53.809374315001705</v>
      </c>
      <c r="O89" s="8" t="e">
        <f>vals_ghg_excLUC!$AE89</f>
        <v>#N/A</v>
      </c>
      <c r="P89" s="8" t="e">
        <f>vals_ghg_excLUC!$AK89</f>
        <v>#N/A</v>
      </c>
      <c r="Q89" s="9">
        <f t="shared" si="23"/>
        <v>2.6998756813823732</v>
      </c>
      <c r="R89" s="9">
        <v>39.115000000000002</v>
      </c>
      <c r="S89" s="9">
        <v>52.573</v>
      </c>
    </row>
    <row r="90" spans="1:19" x14ac:dyDescent="0.35">
      <c r="A90" s="3">
        <f>vals_ghg_excLUC!$A90</f>
        <v>1937</v>
      </c>
      <c r="B90" s="4">
        <f t="shared" si="16"/>
        <v>40.354299445354684</v>
      </c>
      <c r="C90" s="4">
        <f t="shared" si="17"/>
        <v>42.490653294946881</v>
      </c>
      <c r="D90" s="4">
        <f t="shared" si="18"/>
        <v>53.744377323129001</v>
      </c>
      <c r="E90" s="4">
        <f t="shared" si="19"/>
        <v>56.433066890173599</v>
      </c>
      <c r="F90" s="4">
        <f t="shared" si="20"/>
        <v>2.1363538495921972</v>
      </c>
      <c r="G90" s="4">
        <f t="shared" si="21"/>
        <v>0</v>
      </c>
      <c r="H90" s="4">
        <f t="shared" si="22"/>
        <v>11.25372402818212</v>
      </c>
      <c r="I90" s="5">
        <f>vals_ghg_excLUC!$R90</f>
        <v>42.490653294946881</v>
      </c>
      <c r="J90" s="5">
        <f>vals_ghg_excLUC!$X90</f>
        <v>40.354299445354684</v>
      </c>
      <c r="K90" s="5" t="e">
        <f>vals_ghg_excLUC!$AD90</f>
        <v>#N/A</v>
      </c>
      <c r="L90" s="5" t="e">
        <f>vals_ghg_excLUC!$AJ90</f>
        <v>#N/A</v>
      </c>
      <c r="M90" s="5">
        <f>vals_ghg_excLUC!$S90</f>
        <v>56.433066890173599</v>
      </c>
      <c r="N90" s="5">
        <f>vals_ghg_excLUC!$Y90</f>
        <v>53.744377323129001</v>
      </c>
      <c r="O90" s="5" t="e">
        <f>vals_ghg_excLUC!$AE90</f>
        <v>#N/A</v>
      </c>
      <c r="P90" s="5" t="e">
        <f>vals_ghg_excLUC!$AK90</f>
        <v>#N/A</v>
      </c>
      <c r="Q90" s="9">
        <f t="shared" si="23"/>
        <v>2.688689567044598</v>
      </c>
      <c r="R90" s="9">
        <v>39.046999999999997</v>
      </c>
      <c r="S90" s="9">
        <v>52.503999999999998</v>
      </c>
    </row>
    <row r="91" spans="1:19" x14ac:dyDescent="0.35">
      <c r="A91" s="6">
        <f>vals_ghg_excLUC!$A91</f>
        <v>1938</v>
      </c>
      <c r="B91" s="7">
        <f t="shared" si="16"/>
        <v>40.282819577165547</v>
      </c>
      <c r="C91" s="7">
        <f t="shared" si="17"/>
        <v>42.404189369986916</v>
      </c>
      <c r="D91" s="7">
        <f t="shared" si="18"/>
        <v>53.674525673966379</v>
      </c>
      <c r="E91" s="7">
        <f t="shared" si="19"/>
        <v>56.351399991562701</v>
      </c>
      <c r="F91" s="7">
        <f t="shared" si="20"/>
        <v>2.1213697928213691</v>
      </c>
      <c r="G91" s="7">
        <f t="shared" si="21"/>
        <v>0</v>
      </c>
      <c r="H91" s="7">
        <f t="shared" si="22"/>
        <v>11.270336303979462</v>
      </c>
      <c r="I91" s="8">
        <f>vals_ghg_excLUC!$R91</f>
        <v>42.404189369986916</v>
      </c>
      <c r="J91" s="8">
        <f>vals_ghg_excLUC!$X91</f>
        <v>40.282819577165547</v>
      </c>
      <c r="K91" s="8" t="e">
        <f>vals_ghg_excLUC!$AD91</f>
        <v>#N/A</v>
      </c>
      <c r="L91" s="8" t="e">
        <f>vals_ghg_excLUC!$AJ91</f>
        <v>#N/A</v>
      </c>
      <c r="M91" s="8">
        <f>vals_ghg_excLUC!$S91</f>
        <v>56.351399991562701</v>
      </c>
      <c r="N91" s="8">
        <f>vals_ghg_excLUC!$Y91</f>
        <v>53.674525673966379</v>
      </c>
      <c r="O91" s="8" t="e">
        <f>vals_ghg_excLUC!$AE91</f>
        <v>#N/A</v>
      </c>
      <c r="P91" s="8" t="e">
        <f>vals_ghg_excLUC!$AK91</f>
        <v>#N/A</v>
      </c>
      <c r="Q91" s="9">
        <f t="shared" si="23"/>
        <v>2.6768743175963223</v>
      </c>
      <c r="R91" s="9">
        <v>38.973999999999997</v>
      </c>
      <c r="S91" s="9">
        <v>52.429000000000002</v>
      </c>
    </row>
    <row r="92" spans="1:19" x14ac:dyDescent="0.35">
      <c r="A92" s="3">
        <f>vals_ghg_excLUC!$A92</f>
        <v>1939</v>
      </c>
      <c r="B92" s="4">
        <f t="shared" si="16"/>
        <v>40.22089221194959</v>
      </c>
      <c r="C92" s="4">
        <f t="shared" si="17"/>
        <v>42.328060004414944</v>
      </c>
      <c r="D92" s="4">
        <f t="shared" si="18"/>
        <v>53.611122296475024</v>
      </c>
      <c r="E92" s="4">
        <f t="shared" si="19"/>
        <v>56.276221544849093</v>
      </c>
      <c r="F92" s="4">
        <f t="shared" si="20"/>
        <v>2.1071677924653542</v>
      </c>
      <c r="G92" s="4">
        <f t="shared" si="21"/>
        <v>0</v>
      </c>
      <c r="H92" s="4">
        <f t="shared" si="22"/>
        <v>11.28306229206008</v>
      </c>
      <c r="I92" s="5">
        <f>vals_ghg_excLUC!$R92</f>
        <v>42.328060004414944</v>
      </c>
      <c r="J92" s="5">
        <f>vals_ghg_excLUC!$X92</f>
        <v>40.22089221194959</v>
      </c>
      <c r="K92" s="5" t="e">
        <f>vals_ghg_excLUC!$AD92</f>
        <v>#N/A</v>
      </c>
      <c r="L92" s="5" t="e">
        <f>vals_ghg_excLUC!$AJ92</f>
        <v>#N/A</v>
      </c>
      <c r="M92" s="5">
        <f>vals_ghg_excLUC!$S92</f>
        <v>56.276221544849093</v>
      </c>
      <c r="N92" s="5">
        <f>vals_ghg_excLUC!$Y92</f>
        <v>53.611122296475024</v>
      </c>
      <c r="O92" s="5" t="e">
        <f>vals_ghg_excLUC!$AE92</f>
        <v>#N/A</v>
      </c>
      <c r="P92" s="5" t="e">
        <f>vals_ghg_excLUC!$AK92</f>
        <v>#N/A</v>
      </c>
      <c r="Q92" s="9">
        <f t="shared" si="23"/>
        <v>2.6650992483740694</v>
      </c>
      <c r="R92" s="9">
        <v>38.915999999999997</v>
      </c>
      <c r="S92" s="9">
        <v>52.360999999999997</v>
      </c>
    </row>
    <row r="93" spans="1:19" x14ac:dyDescent="0.35">
      <c r="A93" s="6">
        <f>vals_ghg_excLUC!$A93</f>
        <v>1940</v>
      </c>
      <c r="B93" s="7">
        <f t="shared" si="16"/>
        <v>40.153127304355991</v>
      </c>
      <c r="C93" s="7">
        <f t="shared" si="17"/>
        <v>42.245558754975512</v>
      </c>
      <c r="D93" s="7">
        <f t="shared" si="18"/>
        <v>53.543608737966395</v>
      </c>
      <c r="E93" s="7">
        <f t="shared" si="19"/>
        <v>56.196476769009188</v>
      </c>
      <c r="F93" s="7">
        <f t="shared" si="20"/>
        <v>2.0924314506195216</v>
      </c>
      <c r="G93" s="7">
        <f t="shared" si="21"/>
        <v>0</v>
      </c>
      <c r="H93" s="7">
        <f t="shared" si="22"/>
        <v>11.298049982990882</v>
      </c>
      <c r="I93" s="8">
        <f>vals_ghg_excLUC!$R93</f>
        <v>42.245558754975512</v>
      </c>
      <c r="J93" s="8">
        <f>vals_ghg_excLUC!$X93</f>
        <v>40.153127304355991</v>
      </c>
      <c r="K93" s="8" t="e">
        <f>vals_ghg_excLUC!$AD93</f>
        <v>#N/A</v>
      </c>
      <c r="L93" s="8" t="e">
        <f>vals_ghg_excLUC!$AJ93</f>
        <v>#N/A</v>
      </c>
      <c r="M93" s="8">
        <f>vals_ghg_excLUC!$S93</f>
        <v>56.196476769009188</v>
      </c>
      <c r="N93" s="8">
        <f>vals_ghg_excLUC!$Y93</f>
        <v>53.543608737966395</v>
      </c>
      <c r="O93" s="8" t="e">
        <f>vals_ghg_excLUC!$AE93</f>
        <v>#N/A</v>
      </c>
      <c r="P93" s="8" t="e">
        <f>vals_ghg_excLUC!$AK93</f>
        <v>#N/A</v>
      </c>
      <c r="Q93" s="9">
        <f t="shared" si="23"/>
        <v>2.652868031042793</v>
      </c>
      <c r="R93" s="9">
        <v>38.844999999999999</v>
      </c>
      <c r="S93" s="9">
        <v>52.281999999999996</v>
      </c>
    </row>
    <row r="94" spans="1:19" x14ac:dyDescent="0.35">
      <c r="A94" s="3">
        <f>vals_ghg_excLUC!$A94</f>
        <v>1941</v>
      </c>
      <c r="B94" s="4">
        <f t="shared" si="16"/>
        <v>40.085158352464326</v>
      </c>
      <c r="C94" s="4">
        <f t="shared" si="17"/>
        <v>42.162564421115924</v>
      </c>
      <c r="D94" s="4">
        <f t="shared" si="18"/>
        <v>53.468829936439512</v>
      </c>
      <c r="E94" s="4">
        <f t="shared" si="19"/>
        <v>56.108291559989517</v>
      </c>
      <c r="F94" s="4">
        <f t="shared" si="20"/>
        <v>2.077406068651598</v>
      </c>
      <c r="G94" s="4">
        <f t="shared" si="21"/>
        <v>0</v>
      </c>
      <c r="H94" s="4">
        <f t="shared" si="22"/>
        <v>11.306265515323588</v>
      </c>
      <c r="I94" s="5">
        <f>vals_ghg_excLUC!$R94</f>
        <v>42.162564421115924</v>
      </c>
      <c r="J94" s="5">
        <f>vals_ghg_excLUC!$X94</f>
        <v>40.085158352464326</v>
      </c>
      <c r="K94" s="5" t="e">
        <f>vals_ghg_excLUC!$AD94</f>
        <v>#N/A</v>
      </c>
      <c r="L94" s="5" t="e">
        <f>vals_ghg_excLUC!$AJ94</f>
        <v>#N/A</v>
      </c>
      <c r="M94" s="5">
        <f>vals_ghg_excLUC!$S94</f>
        <v>56.108291559989517</v>
      </c>
      <c r="N94" s="5">
        <f>vals_ghg_excLUC!$Y94</f>
        <v>53.468829936439512</v>
      </c>
      <c r="O94" s="5" t="e">
        <f>vals_ghg_excLUC!$AE94</f>
        <v>#N/A</v>
      </c>
      <c r="P94" s="5" t="e">
        <f>vals_ghg_excLUC!$AK94</f>
        <v>#N/A</v>
      </c>
      <c r="Q94" s="9">
        <f t="shared" si="23"/>
        <v>2.6394616235500052</v>
      </c>
      <c r="R94" s="9">
        <v>38.779000000000003</v>
      </c>
      <c r="S94" s="9">
        <v>52.195999999999998</v>
      </c>
    </row>
    <row r="95" spans="1:19" x14ac:dyDescent="0.35">
      <c r="A95" s="6">
        <f>vals_ghg_excLUC!$A95</f>
        <v>1942</v>
      </c>
      <c r="B95" s="7">
        <f t="shared" si="16"/>
        <v>40.011302896042992</v>
      </c>
      <c r="C95" s="7">
        <f t="shared" si="17"/>
        <v>42.072165482620541</v>
      </c>
      <c r="D95" s="7">
        <f t="shared" si="18"/>
        <v>53.391971377873183</v>
      </c>
      <c r="E95" s="7">
        <f t="shared" si="19"/>
        <v>56.017051442465927</v>
      </c>
      <c r="F95" s="7">
        <f t="shared" si="20"/>
        <v>2.0608625865775494</v>
      </c>
      <c r="G95" s="7">
        <f t="shared" si="21"/>
        <v>0</v>
      </c>
      <c r="H95" s="7">
        <f t="shared" si="22"/>
        <v>11.319805895252642</v>
      </c>
      <c r="I95" s="8">
        <f>vals_ghg_excLUC!$R95</f>
        <v>42.072165482620541</v>
      </c>
      <c r="J95" s="8">
        <f>vals_ghg_excLUC!$X95</f>
        <v>40.011302896042992</v>
      </c>
      <c r="K95" s="8" t="e">
        <f>vals_ghg_excLUC!$AD95</f>
        <v>#N/A</v>
      </c>
      <c r="L95" s="8" t="e">
        <f>vals_ghg_excLUC!$AJ95</f>
        <v>#N/A</v>
      </c>
      <c r="M95" s="8">
        <f>vals_ghg_excLUC!$S95</f>
        <v>56.017051442465927</v>
      </c>
      <c r="N95" s="8">
        <f>vals_ghg_excLUC!$Y95</f>
        <v>53.391971377873183</v>
      </c>
      <c r="O95" s="8" t="e">
        <f>vals_ghg_excLUC!$AE95</f>
        <v>#N/A</v>
      </c>
      <c r="P95" s="8" t="e">
        <f>vals_ghg_excLUC!$AK95</f>
        <v>#N/A</v>
      </c>
      <c r="Q95" s="9">
        <f t="shared" si="23"/>
        <v>2.6250800645927441</v>
      </c>
      <c r="R95" s="9">
        <v>38.695999999999998</v>
      </c>
      <c r="S95" s="9">
        <v>52.1</v>
      </c>
    </row>
    <row r="96" spans="1:19" x14ac:dyDescent="0.35">
      <c r="A96" s="3">
        <f>vals_ghg_excLUC!$A96</f>
        <v>1943</v>
      </c>
      <c r="B96" s="4">
        <f t="shared" si="16"/>
        <v>39.929454735575284</v>
      </c>
      <c r="C96" s="4">
        <f t="shared" si="17"/>
        <v>41.971736762650522</v>
      </c>
      <c r="D96" s="4">
        <f t="shared" si="18"/>
        <v>53.312297202383583</v>
      </c>
      <c r="E96" s="4">
        <f t="shared" si="19"/>
        <v>55.924080496515849</v>
      </c>
      <c r="F96" s="4">
        <f t="shared" si="20"/>
        <v>2.0422820270752382</v>
      </c>
      <c r="G96" s="4">
        <f t="shared" si="21"/>
        <v>0</v>
      </c>
      <c r="H96" s="4">
        <f t="shared" si="22"/>
        <v>11.340560439733061</v>
      </c>
      <c r="I96" s="5">
        <f>vals_ghg_excLUC!$R96</f>
        <v>41.971736762650522</v>
      </c>
      <c r="J96" s="5">
        <f>vals_ghg_excLUC!$X96</f>
        <v>39.929454735575284</v>
      </c>
      <c r="K96" s="5" t="e">
        <f>vals_ghg_excLUC!$AD96</f>
        <v>#N/A</v>
      </c>
      <c r="L96" s="5" t="e">
        <f>vals_ghg_excLUC!$AJ96</f>
        <v>#N/A</v>
      </c>
      <c r="M96" s="5">
        <f>vals_ghg_excLUC!$S96</f>
        <v>55.924080496515849</v>
      </c>
      <c r="N96" s="5">
        <f>vals_ghg_excLUC!$Y96</f>
        <v>53.312297202383583</v>
      </c>
      <c r="O96" s="5" t="e">
        <f>vals_ghg_excLUC!$AE96</f>
        <v>#N/A</v>
      </c>
      <c r="P96" s="5" t="e">
        <f>vals_ghg_excLUC!$AK96</f>
        <v>#N/A</v>
      </c>
      <c r="Q96" s="9">
        <f t="shared" si="23"/>
        <v>2.6117832941322661</v>
      </c>
      <c r="R96" s="9">
        <v>38.601999999999997</v>
      </c>
      <c r="S96" s="9">
        <v>52.003999999999998</v>
      </c>
    </row>
    <row r="97" spans="1:19" x14ac:dyDescent="0.35">
      <c r="A97" s="6">
        <f>vals_ghg_excLUC!$A97</f>
        <v>1944</v>
      </c>
      <c r="B97" s="7">
        <f t="shared" si="16"/>
        <v>39.84778773066293</v>
      </c>
      <c r="C97" s="7">
        <f t="shared" si="17"/>
        <v>41.86915526522462</v>
      </c>
      <c r="D97" s="7">
        <f t="shared" si="18"/>
        <v>53.229655196469892</v>
      </c>
      <c r="E97" s="7">
        <f t="shared" si="19"/>
        <v>55.827700618680964</v>
      </c>
      <c r="F97" s="7">
        <f t="shared" si="20"/>
        <v>2.0213675345616906</v>
      </c>
      <c r="G97" s="7">
        <f t="shared" si="21"/>
        <v>0</v>
      </c>
      <c r="H97" s="7">
        <f t="shared" si="22"/>
        <v>11.360499931245272</v>
      </c>
      <c r="I97" s="8">
        <f>vals_ghg_excLUC!$R97</f>
        <v>41.86915526522462</v>
      </c>
      <c r="J97" s="8">
        <f>vals_ghg_excLUC!$X97</f>
        <v>39.84778773066293</v>
      </c>
      <c r="K97" s="8" t="e">
        <f>vals_ghg_excLUC!$AD97</f>
        <v>#N/A</v>
      </c>
      <c r="L97" s="8" t="e">
        <f>vals_ghg_excLUC!$AJ97</f>
        <v>#N/A</v>
      </c>
      <c r="M97" s="8">
        <f>vals_ghg_excLUC!$S97</f>
        <v>55.827700618680964</v>
      </c>
      <c r="N97" s="8">
        <f>vals_ghg_excLUC!$Y97</f>
        <v>53.229655196469892</v>
      </c>
      <c r="O97" s="8" t="e">
        <f>vals_ghg_excLUC!$AE97</f>
        <v>#N/A</v>
      </c>
      <c r="P97" s="8" t="e">
        <f>vals_ghg_excLUC!$AK97</f>
        <v>#N/A</v>
      </c>
      <c r="Q97" s="9">
        <f t="shared" si="23"/>
        <v>2.5980454222110723</v>
      </c>
      <c r="R97" s="9">
        <v>38.511000000000003</v>
      </c>
      <c r="S97" s="9">
        <v>51.908000000000001</v>
      </c>
    </row>
    <row r="98" spans="1:19" x14ac:dyDescent="0.35">
      <c r="A98" s="3">
        <f>vals_ghg_excLUC!$A98</f>
        <v>1945</v>
      </c>
      <c r="B98" s="4">
        <f t="shared" si="16"/>
        <v>39.766592023659733</v>
      </c>
      <c r="C98" s="4">
        <f t="shared" si="17"/>
        <v>41.768525952555876</v>
      </c>
      <c r="D98" s="4">
        <f t="shared" si="18"/>
        <v>53.149382602704975</v>
      </c>
      <c r="E98" s="4">
        <f t="shared" si="19"/>
        <v>55.730272482177099</v>
      </c>
      <c r="F98" s="4">
        <f t="shared" si="20"/>
        <v>2.0019339288961433</v>
      </c>
      <c r="G98" s="4">
        <f t="shared" si="21"/>
        <v>0</v>
      </c>
      <c r="H98" s="4">
        <f t="shared" si="22"/>
        <v>11.380856650149099</v>
      </c>
      <c r="I98" s="5">
        <f>vals_ghg_excLUC!$R98</f>
        <v>41.768525952555876</v>
      </c>
      <c r="J98" s="5">
        <f>vals_ghg_excLUC!$X98</f>
        <v>39.766592023659733</v>
      </c>
      <c r="K98" s="5" t="e">
        <f>vals_ghg_excLUC!$AD98</f>
        <v>#N/A</v>
      </c>
      <c r="L98" s="5" t="e">
        <f>vals_ghg_excLUC!$AJ98</f>
        <v>#N/A</v>
      </c>
      <c r="M98" s="5">
        <f>vals_ghg_excLUC!$S98</f>
        <v>55.730272482177099</v>
      </c>
      <c r="N98" s="5">
        <f>vals_ghg_excLUC!$Y98</f>
        <v>53.149382602704975</v>
      </c>
      <c r="O98" s="5" t="e">
        <f>vals_ghg_excLUC!$AE98</f>
        <v>#N/A</v>
      </c>
      <c r="P98" s="5" t="e">
        <f>vals_ghg_excLUC!$AK98</f>
        <v>#N/A</v>
      </c>
      <c r="Q98" s="9">
        <f t="shared" si="23"/>
        <v>2.5808898794721244</v>
      </c>
      <c r="R98" s="9">
        <v>38.423000000000002</v>
      </c>
      <c r="S98" s="9">
        <v>51.811999999999998</v>
      </c>
    </row>
    <row r="99" spans="1:19" x14ac:dyDescent="0.35">
      <c r="A99" s="6">
        <f>vals_ghg_excLUC!$A99</f>
        <v>1946</v>
      </c>
      <c r="B99" s="7">
        <f t="shared" ref="B99:B130" si="24">IFERROR(_xlfn.AGGREGATE(5,6,I99:L99),"")</f>
        <v>39.701055015256891</v>
      </c>
      <c r="C99" s="7">
        <f t="shared" ref="C99:C130" si="25">IFERROR(_xlfn.AGGREGATE(4,6,I99:L99),"")</f>
        <v>41.684321325472126</v>
      </c>
      <c r="D99" s="7">
        <f t="shared" ref="D99:D130" si="26">IFERROR(_xlfn.AGGREGATE(5,6,M99:P99),"")</f>
        <v>53.087878632944452</v>
      </c>
      <c r="E99" s="7">
        <f t="shared" ref="E99:E130" si="27">IFERROR(_xlfn.AGGREGATE(4,6,M99:P99),"")</f>
        <v>55.652210623538799</v>
      </c>
      <c r="F99" s="7">
        <f t="shared" ref="F99:F130" si="28">IFERROR(MIN(C99,D99)-B99,"")</f>
        <v>1.9832663102152353</v>
      </c>
      <c r="G99" s="7">
        <f t="shared" ref="G99:G130" si="29">IFERROR(MAX(0,C99-D99),"")</f>
        <v>0</v>
      </c>
      <c r="H99" s="7">
        <f t="shared" ref="H99:H130" si="30">IFERROR(MAX(0,D99-C99),"")</f>
        <v>11.403557307472326</v>
      </c>
      <c r="I99" s="8">
        <f>vals_ghg_excLUC!$R99</f>
        <v>41.684321325472126</v>
      </c>
      <c r="J99" s="8">
        <f>vals_ghg_excLUC!$X99</f>
        <v>39.701055015256891</v>
      </c>
      <c r="K99" s="8" t="e">
        <f>vals_ghg_excLUC!$AD99</f>
        <v>#N/A</v>
      </c>
      <c r="L99" s="8" t="e">
        <f>vals_ghg_excLUC!$AJ99</f>
        <v>#N/A</v>
      </c>
      <c r="M99" s="8">
        <f>vals_ghg_excLUC!$S99</f>
        <v>55.652210623538799</v>
      </c>
      <c r="N99" s="8">
        <f>vals_ghg_excLUC!$Y99</f>
        <v>53.087878632944452</v>
      </c>
      <c r="O99" s="8" t="e">
        <f>vals_ghg_excLUC!$AE99</f>
        <v>#N/A</v>
      </c>
      <c r="P99" s="8" t="e">
        <f>vals_ghg_excLUC!$AK99</f>
        <v>#N/A</v>
      </c>
      <c r="Q99" s="9">
        <f t="shared" ref="Q99:Q130" si="31">IFERROR(MAX(0,$E99-MAX($C99,$D99)),"")</f>
        <v>2.5643319905943471</v>
      </c>
      <c r="R99" s="9">
        <v>38.353999999999999</v>
      </c>
      <c r="S99" s="9">
        <v>51.741999999999997</v>
      </c>
    </row>
    <row r="100" spans="1:19" x14ac:dyDescent="0.35">
      <c r="A100" s="3">
        <f>vals_ghg_excLUC!$A100</f>
        <v>1947</v>
      </c>
      <c r="B100" s="4">
        <f t="shared" si="24"/>
        <v>39.63226688146257</v>
      </c>
      <c r="C100" s="4">
        <f t="shared" si="25"/>
        <v>41.597083535657774</v>
      </c>
      <c r="D100" s="4">
        <f t="shared" si="26"/>
        <v>53.021321410984157</v>
      </c>
      <c r="E100" s="4">
        <f t="shared" si="27"/>
        <v>55.568187700128661</v>
      </c>
      <c r="F100" s="4">
        <f t="shared" si="28"/>
        <v>1.9648166541952037</v>
      </c>
      <c r="G100" s="4">
        <f t="shared" si="29"/>
        <v>0</v>
      </c>
      <c r="H100" s="4">
        <f t="shared" si="30"/>
        <v>11.424237875326384</v>
      </c>
      <c r="I100" s="5">
        <f>vals_ghg_excLUC!$R100</f>
        <v>41.597083535657774</v>
      </c>
      <c r="J100" s="5">
        <f>vals_ghg_excLUC!$X100</f>
        <v>39.63226688146257</v>
      </c>
      <c r="K100" s="5" t="e">
        <f>vals_ghg_excLUC!$AD100</f>
        <v>#N/A</v>
      </c>
      <c r="L100" s="5" t="e">
        <f>vals_ghg_excLUC!$AJ100</f>
        <v>#N/A</v>
      </c>
      <c r="M100" s="5">
        <f>vals_ghg_excLUC!$S100</f>
        <v>55.568187700128661</v>
      </c>
      <c r="N100" s="5">
        <f>vals_ghg_excLUC!$Y100</f>
        <v>53.021321410984157</v>
      </c>
      <c r="O100" s="5" t="e">
        <f>vals_ghg_excLUC!$AE100</f>
        <v>#N/A</v>
      </c>
      <c r="P100" s="5" t="e">
        <f>vals_ghg_excLUC!$AK100</f>
        <v>#N/A</v>
      </c>
      <c r="Q100" s="9">
        <f t="shared" si="31"/>
        <v>2.5468662891445035</v>
      </c>
      <c r="R100" s="9">
        <v>38.280999999999999</v>
      </c>
      <c r="S100" s="9">
        <v>51.665999999999997</v>
      </c>
    </row>
    <row r="101" spans="1:19" x14ac:dyDescent="0.35">
      <c r="A101" s="6">
        <f>vals_ghg_excLUC!$A101</f>
        <v>1948</v>
      </c>
      <c r="B101" s="7">
        <f t="shared" si="24"/>
        <v>39.550558397439318</v>
      </c>
      <c r="C101" s="7">
        <f t="shared" si="25"/>
        <v>41.497180448990584</v>
      </c>
      <c r="D101" s="7">
        <f t="shared" si="26"/>
        <v>52.941818888251206</v>
      </c>
      <c r="E101" s="7">
        <f t="shared" si="27"/>
        <v>55.471662935128016</v>
      </c>
      <c r="F101" s="7">
        <f t="shared" si="28"/>
        <v>1.946622051551266</v>
      </c>
      <c r="G101" s="7">
        <f t="shared" si="29"/>
        <v>0</v>
      </c>
      <c r="H101" s="7">
        <f t="shared" si="30"/>
        <v>11.444638439260622</v>
      </c>
      <c r="I101" s="8">
        <f>vals_ghg_excLUC!$R101</f>
        <v>41.497180448990584</v>
      </c>
      <c r="J101" s="8">
        <f>vals_ghg_excLUC!$X101</f>
        <v>39.550558397439318</v>
      </c>
      <c r="K101" s="8" t="e">
        <f>vals_ghg_excLUC!$AD101</f>
        <v>#N/A</v>
      </c>
      <c r="L101" s="8" t="e">
        <f>vals_ghg_excLUC!$AJ101</f>
        <v>#N/A</v>
      </c>
      <c r="M101" s="8">
        <f>vals_ghg_excLUC!$S101</f>
        <v>55.471662935128016</v>
      </c>
      <c r="N101" s="8">
        <f>vals_ghg_excLUC!$Y101</f>
        <v>52.941818888251206</v>
      </c>
      <c r="O101" s="8" t="e">
        <f>vals_ghg_excLUC!$AE101</f>
        <v>#N/A</v>
      </c>
      <c r="P101" s="8" t="e">
        <f>vals_ghg_excLUC!$AK101</f>
        <v>#N/A</v>
      </c>
      <c r="Q101" s="9">
        <f t="shared" si="31"/>
        <v>2.5298440468768106</v>
      </c>
      <c r="R101" s="9">
        <v>38.192</v>
      </c>
      <c r="S101" s="9">
        <v>51.573999999999998</v>
      </c>
    </row>
    <row r="102" spans="1:19" x14ac:dyDescent="0.35">
      <c r="A102" s="3">
        <f>vals_ghg_excLUC!$A102</f>
        <v>1949</v>
      </c>
      <c r="B102" s="4">
        <f t="shared" si="24"/>
        <v>39.46089541387326</v>
      </c>
      <c r="C102" s="4">
        <f t="shared" si="25"/>
        <v>41.388798699655368</v>
      </c>
      <c r="D102" s="4">
        <f t="shared" si="26"/>
        <v>52.854182321736751</v>
      </c>
      <c r="E102" s="4">
        <f t="shared" si="27"/>
        <v>55.366429764737745</v>
      </c>
      <c r="F102" s="4">
        <f t="shared" si="28"/>
        <v>1.9279032857821079</v>
      </c>
      <c r="G102" s="4">
        <f t="shared" si="29"/>
        <v>0</v>
      </c>
      <c r="H102" s="4">
        <f t="shared" si="30"/>
        <v>11.465383622081383</v>
      </c>
      <c r="I102" s="5">
        <f>vals_ghg_excLUC!$R102</f>
        <v>41.388798699655368</v>
      </c>
      <c r="J102" s="5">
        <f>vals_ghg_excLUC!$X102</f>
        <v>39.46089541387326</v>
      </c>
      <c r="K102" s="5" t="e">
        <f>vals_ghg_excLUC!$AD102</f>
        <v>#N/A</v>
      </c>
      <c r="L102" s="5" t="e">
        <f>vals_ghg_excLUC!$AJ102</f>
        <v>#N/A</v>
      </c>
      <c r="M102" s="5">
        <f>vals_ghg_excLUC!$S102</f>
        <v>55.366429764737745</v>
      </c>
      <c r="N102" s="5">
        <f>vals_ghg_excLUC!$Y102</f>
        <v>52.854182321736751</v>
      </c>
      <c r="O102" s="5" t="e">
        <f>vals_ghg_excLUC!$AE102</f>
        <v>#N/A</v>
      </c>
      <c r="P102" s="5" t="e">
        <f>vals_ghg_excLUC!$AK102</f>
        <v>#N/A</v>
      </c>
      <c r="Q102" s="9">
        <f t="shared" si="31"/>
        <v>2.5122474430009945</v>
      </c>
      <c r="R102" s="9">
        <v>38.088000000000001</v>
      </c>
      <c r="S102" s="9">
        <v>51.466000000000001</v>
      </c>
    </row>
    <row r="103" spans="1:19" x14ac:dyDescent="0.35">
      <c r="A103" s="6">
        <f>vals_ghg_excLUC!$A103</f>
        <v>1950</v>
      </c>
      <c r="B103" s="7">
        <f t="shared" si="24"/>
        <v>39.382712517890681</v>
      </c>
      <c r="C103" s="7">
        <f t="shared" si="25"/>
        <v>41.292876311000569</v>
      </c>
      <c r="D103" s="7">
        <f t="shared" si="26"/>
        <v>52.772242813659339</v>
      </c>
      <c r="E103" s="7">
        <f t="shared" si="27"/>
        <v>55.26647384504323</v>
      </c>
      <c r="F103" s="7">
        <f t="shared" si="28"/>
        <v>1.9101637931098878</v>
      </c>
      <c r="G103" s="7">
        <f t="shared" si="29"/>
        <v>0</v>
      </c>
      <c r="H103" s="7">
        <f t="shared" si="30"/>
        <v>11.47936650265877</v>
      </c>
      <c r="I103" s="8">
        <f>vals_ghg_excLUC!$R103</f>
        <v>41.292876311000569</v>
      </c>
      <c r="J103" s="8">
        <f>vals_ghg_excLUC!$X103</f>
        <v>39.382712517890681</v>
      </c>
      <c r="K103" s="8" t="e">
        <f>vals_ghg_excLUC!$AD103</f>
        <v>#N/A</v>
      </c>
      <c r="L103" s="8" t="e">
        <f>vals_ghg_excLUC!$AJ103</f>
        <v>#N/A</v>
      </c>
      <c r="M103" s="8">
        <f>vals_ghg_excLUC!$S103</f>
        <v>55.26647384504323</v>
      </c>
      <c r="N103" s="8">
        <f>vals_ghg_excLUC!$Y103</f>
        <v>52.772242813659339</v>
      </c>
      <c r="O103" s="8" t="e">
        <f>vals_ghg_excLUC!$AE103</f>
        <v>#N/A</v>
      </c>
      <c r="P103" s="8" t="e">
        <f>vals_ghg_excLUC!$AK103</f>
        <v>#N/A</v>
      </c>
      <c r="Q103" s="9">
        <f t="shared" si="31"/>
        <v>2.4942310313838902</v>
      </c>
      <c r="R103" s="9">
        <v>38.003</v>
      </c>
      <c r="S103" s="9">
        <v>51.368000000000002</v>
      </c>
    </row>
    <row r="104" spans="1:19" x14ac:dyDescent="0.35">
      <c r="A104" s="3">
        <f>vals_ghg_excLUC!$A104</f>
        <v>1951</v>
      </c>
      <c r="B104" s="4">
        <f t="shared" si="24"/>
        <v>39.289629197299305</v>
      </c>
      <c r="C104" s="4">
        <f t="shared" si="25"/>
        <v>41.18384758414841</v>
      </c>
      <c r="D104" s="4">
        <f t="shared" si="26"/>
        <v>52.674681896318333</v>
      </c>
      <c r="E104" s="4">
        <f t="shared" si="27"/>
        <v>55.154283840541297</v>
      </c>
      <c r="F104" s="4">
        <f t="shared" si="28"/>
        <v>1.8942183868491043</v>
      </c>
      <c r="G104" s="4">
        <f t="shared" si="29"/>
        <v>0</v>
      </c>
      <c r="H104" s="4">
        <f t="shared" si="30"/>
        <v>11.490834312169923</v>
      </c>
      <c r="I104" s="5">
        <f>vals_ghg_excLUC!$R104</f>
        <v>41.18384758414841</v>
      </c>
      <c r="J104" s="5">
        <f>vals_ghg_excLUC!$X104</f>
        <v>39.289629197299305</v>
      </c>
      <c r="K104" s="5" t="e">
        <f>vals_ghg_excLUC!$AD104</f>
        <v>#N/A</v>
      </c>
      <c r="L104" s="5" t="e">
        <f>vals_ghg_excLUC!$AJ104</f>
        <v>#N/A</v>
      </c>
      <c r="M104" s="5">
        <f>vals_ghg_excLUC!$S104</f>
        <v>55.154283840541297</v>
      </c>
      <c r="N104" s="5">
        <f>vals_ghg_excLUC!$Y104</f>
        <v>52.674681896318333</v>
      </c>
      <c r="O104" s="5" t="e">
        <f>vals_ghg_excLUC!$AE104</f>
        <v>#N/A</v>
      </c>
      <c r="P104" s="5" t="e">
        <f>vals_ghg_excLUC!$AK104</f>
        <v>#N/A</v>
      </c>
      <c r="Q104" s="9">
        <f t="shared" si="31"/>
        <v>2.4796019442229635</v>
      </c>
      <c r="R104" s="9">
        <v>37.895000000000003</v>
      </c>
      <c r="S104" s="9">
        <v>51.25</v>
      </c>
    </row>
    <row r="105" spans="1:19" x14ac:dyDescent="0.35">
      <c r="A105" s="6">
        <f>vals_ghg_excLUC!$A105</f>
        <v>1952</v>
      </c>
      <c r="B105" s="7">
        <f t="shared" si="24"/>
        <v>39.189646614729035</v>
      </c>
      <c r="C105" s="7">
        <f t="shared" si="25"/>
        <v>41.06723931463889</v>
      </c>
      <c r="D105" s="7">
        <f t="shared" si="26"/>
        <v>52.569355970489681</v>
      </c>
      <c r="E105" s="7">
        <f t="shared" si="27"/>
        <v>55.033692367958729</v>
      </c>
      <c r="F105" s="7">
        <f t="shared" si="28"/>
        <v>1.8775926999098544</v>
      </c>
      <c r="G105" s="7">
        <f t="shared" si="29"/>
        <v>0</v>
      </c>
      <c r="H105" s="7">
        <f t="shared" si="30"/>
        <v>11.502116655850791</v>
      </c>
      <c r="I105" s="8">
        <f>vals_ghg_excLUC!$R105</f>
        <v>41.06723931463889</v>
      </c>
      <c r="J105" s="8">
        <f>vals_ghg_excLUC!$X105</f>
        <v>39.189646614729035</v>
      </c>
      <c r="K105" s="8" t="e">
        <f>vals_ghg_excLUC!$AD105</f>
        <v>#N/A</v>
      </c>
      <c r="L105" s="8" t="e">
        <f>vals_ghg_excLUC!$AJ105</f>
        <v>#N/A</v>
      </c>
      <c r="M105" s="8">
        <f>vals_ghg_excLUC!$S105</f>
        <v>55.033692367958729</v>
      </c>
      <c r="N105" s="8">
        <f>vals_ghg_excLUC!$Y105</f>
        <v>52.569355970489681</v>
      </c>
      <c r="O105" s="8" t="e">
        <f>vals_ghg_excLUC!$AE105</f>
        <v>#N/A</v>
      </c>
      <c r="P105" s="8" t="e">
        <f>vals_ghg_excLUC!$AK105</f>
        <v>#N/A</v>
      </c>
      <c r="Q105" s="9">
        <f t="shared" si="31"/>
        <v>2.4643363974690473</v>
      </c>
      <c r="R105" s="9">
        <v>37.768000000000001</v>
      </c>
      <c r="S105" s="9">
        <v>51.116999999999997</v>
      </c>
    </row>
    <row r="106" spans="1:19" x14ac:dyDescent="0.35">
      <c r="A106" s="3">
        <f>vals_ghg_excLUC!$A106</f>
        <v>1953</v>
      </c>
      <c r="B106" s="4">
        <f t="shared" si="24"/>
        <v>39.092792954295909</v>
      </c>
      <c r="C106" s="4">
        <f t="shared" si="25"/>
        <v>40.954319284772879</v>
      </c>
      <c r="D106" s="4">
        <f t="shared" si="26"/>
        <v>52.46395914905969</v>
      </c>
      <c r="E106" s="4">
        <f t="shared" si="27"/>
        <v>54.913388832038613</v>
      </c>
      <c r="F106" s="4">
        <f t="shared" si="28"/>
        <v>1.8615263304769698</v>
      </c>
      <c r="G106" s="4">
        <f t="shared" si="29"/>
        <v>0</v>
      </c>
      <c r="H106" s="4">
        <f t="shared" si="30"/>
        <v>11.509639864286811</v>
      </c>
      <c r="I106" s="5">
        <f>vals_ghg_excLUC!$R106</f>
        <v>40.954319284772879</v>
      </c>
      <c r="J106" s="5">
        <f>vals_ghg_excLUC!$X106</f>
        <v>39.092792954295909</v>
      </c>
      <c r="K106" s="5" t="e">
        <f>vals_ghg_excLUC!$AD106</f>
        <v>#N/A</v>
      </c>
      <c r="L106" s="5" t="e">
        <f>vals_ghg_excLUC!$AJ106</f>
        <v>#N/A</v>
      </c>
      <c r="M106" s="5">
        <f>vals_ghg_excLUC!$S106</f>
        <v>54.913388832038613</v>
      </c>
      <c r="N106" s="5">
        <f>vals_ghg_excLUC!$Y106</f>
        <v>52.46395914905969</v>
      </c>
      <c r="O106" s="5" t="e">
        <f>vals_ghg_excLUC!$AE106</f>
        <v>#N/A</v>
      </c>
      <c r="P106" s="5" t="e">
        <f>vals_ghg_excLUC!$AK106</f>
        <v>#N/A</v>
      </c>
      <c r="Q106" s="9">
        <f t="shared" si="31"/>
        <v>2.4494296829789235</v>
      </c>
      <c r="R106" s="9">
        <v>37.637999999999998</v>
      </c>
      <c r="S106" s="9">
        <v>50.975999999999999</v>
      </c>
    </row>
    <row r="107" spans="1:19" x14ac:dyDescent="0.35">
      <c r="A107" s="6">
        <f>vals_ghg_excLUC!$A107</f>
        <v>1954</v>
      </c>
      <c r="B107" s="7">
        <f t="shared" si="24"/>
        <v>38.994034188069769</v>
      </c>
      <c r="C107" s="7">
        <f t="shared" si="25"/>
        <v>40.839182232220431</v>
      </c>
      <c r="D107" s="7">
        <f t="shared" si="26"/>
        <v>52.354223490846607</v>
      </c>
      <c r="E107" s="7">
        <f t="shared" si="27"/>
        <v>54.788278871282273</v>
      </c>
      <c r="F107" s="7">
        <f t="shared" si="28"/>
        <v>1.8451480441506618</v>
      </c>
      <c r="G107" s="7">
        <f t="shared" si="29"/>
        <v>0</v>
      </c>
      <c r="H107" s="7">
        <f t="shared" si="30"/>
        <v>11.515041258626177</v>
      </c>
      <c r="I107" s="8">
        <f>vals_ghg_excLUC!$R107</f>
        <v>40.839182232220431</v>
      </c>
      <c r="J107" s="8">
        <f>vals_ghg_excLUC!$X107</f>
        <v>38.994034188069769</v>
      </c>
      <c r="K107" s="8" t="e">
        <f>vals_ghg_excLUC!$AD107</f>
        <v>#N/A</v>
      </c>
      <c r="L107" s="8" t="e">
        <f>vals_ghg_excLUC!$AJ107</f>
        <v>#N/A</v>
      </c>
      <c r="M107" s="8">
        <f>vals_ghg_excLUC!$S107</f>
        <v>54.788278871282273</v>
      </c>
      <c r="N107" s="8">
        <f>vals_ghg_excLUC!$Y107</f>
        <v>52.354223490846607</v>
      </c>
      <c r="O107" s="8" t="e">
        <f>vals_ghg_excLUC!$AE107</f>
        <v>#N/A</v>
      </c>
      <c r="P107" s="8" t="e">
        <f>vals_ghg_excLUC!$AK107</f>
        <v>#N/A</v>
      </c>
      <c r="Q107" s="9">
        <f t="shared" si="31"/>
        <v>2.4340553804356659</v>
      </c>
      <c r="R107" s="9">
        <v>37.506</v>
      </c>
      <c r="S107" s="9">
        <v>50.83</v>
      </c>
    </row>
    <row r="108" spans="1:19" x14ac:dyDescent="0.35">
      <c r="A108" s="3">
        <f>vals_ghg_excLUC!$A108</f>
        <v>1955</v>
      </c>
      <c r="B108" s="4">
        <f t="shared" si="24"/>
        <v>38.89847024792202</v>
      </c>
      <c r="C108" s="4">
        <f t="shared" si="25"/>
        <v>40.728039061644068</v>
      </c>
      <c r="D108" s="4">
        <f t="shared" si="26"/>
        <v>52.243745487131442</v>
      </c>
      <c r="E108" s="4">
        <f t="shared" si="27"/>
        <v>54.662890706861745</v>
      </c>
      <c r="F108" s="4">
        <f t="shared" si="28"/>
        <v>1.829568813722048</v>
      </c>
      <c r="G108" s="4">
        <f t="shared" si="29"/>
        <v>0</v>
      </c>
      <c r="H108" s="4">
        <f t="shared" si="30"/>
        <v>11.515706425487373</v>
      </c>
      <c r="I108" s="5">
        <f>vals_ghg_excLUC!$R108</f>
        <v>40.728039061644068</v>
      </c>
      <c r="J108" s="5">
        <f>vals_ghg_excLUC!$X108</f>
        <v>38.89847024792202</v>
      </c>
      <c r="K108" s="5" t="e">
        <f>vals_ghg_excLUC!$AD108</f>
        <v>#N/A</v>
      </c>
      <c r="L108" s="5" t="e">
        <f>vals_ghg_excLUC!$AJ108</f>
        <v>#N/A</v>
      </c>
      <c r="M108" s="5">
        <f>vals_ghg_excLUC!$S108</f>
        <v>54.662890706861745</v>
      </c>
      <c r="N108" s="5">
        <f>vals_ghg_excLUC!$Y108</f>
        <v>52.243745487131442</v>
      </c>
      <c r="O108" s="5" t="e">
        <f>vals_ghg_excLUC!$AE108</f>
        <v>#N/A</v>
      </c>
      <c r="P108" s="5" t="e">
        <f>vals_ghg_excLUC!$AK108</f>
        <v>#N/A</v>
      </c>
      <c r="Q108" s="9">
        <f t="shared" si="31"/>
        <v>2.4191452197303036</v>
      </c>
      <c r="R108" s="9">
        <v>37.378</v>
      </c>
      <c r="S108" s="9">
        <v>50.685000000000002</v>
      </c>
    </row>
    <row r="109" spans="1:19" x14ac:dyDescent="0.35">
      <c r="A109" s="6">
        <f>vals_ghg_excLUC!$A109</f>
        <v>1956</v>
      </c>
      <c r="B109" s="7">
        <f t="shared" si="24"/>
        <v>38.794970511640663</v>
      </c>
      <c r="C109" s="7">
        <f t="shared" si="25"/>
        <v>40.608988647870866</v>
      </c>
      <c r="D109" s="7">
        <f t="shared" si="26"/>
        <v>52.122747163258964</v>
      </c>
      <c r="E109" s="7">
        <f t="shared" si="27"/>
        <v>54.527553173749055</v>
      </c>
      <c r="F109" s="7">
        <f t="shared" si="28"/>
        <v>1.814018136230203</v>
      </c>
      <c r="G109" s="7">
        <f t="shared" si="29"/>
        <v>0</v>
      </c>
      <c r="H109" s="7">
        <f t="shared" si="30"/>
        <v>11.513758515388098</v>
      </c>
      <c r="I109" s="8">
        <f>vals_ghg_excLUC!$R109</f>
        <v>40.608988647870866</v>
      </c>
      <c r="J109" s="8">
        <f>vals_ghg_excLUC!$X109</f>
        <v>38.794970511640663</v>
      </c>
      <c r="K109" s="8" t="e">
        <f>vals_ghg_excLUC!$AD109</f>
        <v>#N/A</v>
      </c>
      <c r="L109" s="8" t="e">
        <f>vals_ghg_excLUC!$AJ109</f>
        <v>#N/A</v>
      </c>
      <c r="M109" s="8">
        <f>vals_ghg_excLUC!$S109</f>
        <v>54.527553173749055</v>
      </c>
      <c r="N109" s="8">
        <f>vals_ghg_excLUC!$Y109</f>
        <v>52.122747163258964</v>
      </c>
      <c r="O109" s="8" t="e">
        <f>vals_ghg_excLUC!$AE109</f>
        <v>#N/A</v>
      </c>
      <c r="P109" s="8" t="e">
        <f>vals_ghg_excLUC!$AK109</f>
        <v>#N/A</v>
      </c>
      <c r="Q109" s="9">
        <f t="shared" si="31"/>
        <v>2.4048060104900912</v>
      </c>
      <c r="R109" s="9">
        <v>37.241</v>
      </c>
      <c r="S109" s="9">
        <v>50.529000000000003</v>
      </c>
    </row>
    <row r="110" spans="1:19" x14ac:dyDescent="0.35">
      <c r="A110" s="3">
        <f>vals_ghg_excLUC!$A110</f>
        <v>1957</v>
      </c>
      <c r="B110" s="4">
        <f t="shared" si="24"/>
        <v>38.685335815659435</v>
      </c>
      <c r="C110" s="4">
        <f t="shared" si="25"/>
        <v>40.483384219374777</v>
      </c>
      <c r="D110" s="4">
        <f t="shared" si="26"/>
        <v>51.992433223779521</v>
      </c>
      <c r="E110" s="4">
        <f t="shared" si="27"/>
        <v>54.382553621082877</v>
      </c>
      <c r="F110" s="4">
        <f t="shared" si="28"/>
        <v>1.7980484037153417</v>
      </c>
      <c r="G110" s="4">
        <f t="shared" si="29"/>
        <v>0</v>
      </c>
      <c r="H110" s="4">
        <f t="shared" si="30"/>
        <v>11.509049004404744</v>
      </c>
      <c r="I110" s="5">
        <f>vals_ghg_excLUC!$R110</f>
        <v>40.483384219374777</v>
      </c>
      <c r="J110" s="5">
        <f>vals_ghg_excLUC!$X110</f>
        <v>38.685335815659435</v>
      </c>
      <c r="K110" s="5" t="e">
        <f>vals_ghg_excLUC!$AD110</f>
        <v>#N/A</v>
      </c>
      <c r="L110" s="5" t="e">
        <f>vals_ghg_excLUC!$AJ110</f>
        <v>#N/A</v>
      </c>
      <c r="M110" s="5">
        <f>vals_ghg_excLUC!$S110</f>
        <v>54.382553621082877</v>
      </c>
      <c r="N110" s="5">
        <f>vals_ghg_excLUC!$Y110</f>
        <v>51.992433223779521</v>
      </c>
      <c r="O110" s="5" t="e">
        <f>vals_ghg_excLUC!$AE110</f>
        <v>#N/A</v>
      </c>
      <c r="P110" s="5" t="e">
        <f>vals_ghg_excLUC!$AK110</f>
        <v>#N/A</v>
      </c>
      <c r="Q110" s="9">
        <f t="shared" si="31"/>
        <v>2.390120397303356</v>
      </c>
      <c r="R110" s="9">
        <v>37.097000000000001</v>
      </c>
      <c r="S110" s="9">
        <v>50.362000000000002</v>
      </c>
    </row>
    <row r="111" spans="1:19" x14ac:dyDescent="0.35">
      <c r="A111" s="6">
        <f>vals_ghg_excLUC!$A111</f>
        <v>1958</v>
      </c>
      <c r="B111" s="7">
        <f t="shared" si="24"/>
        <v>38.578594352574811</v>
      </c>
      <c r="C111" s="7">
        <f t="shared" si="25"/>
        <v>40.361276882759775</v>
      </c>
      <c r="D111" s="7">
        <f t="shared" si="26"/>
        <v>51.859568220485521</v>
      </c>
      <c r="E111" s="7">
        <f t="shared" si="27"/>
        <v>54.235387469392457</v>
      </c>
      <c r="F111" s="7">
        <f t="shared" si="28"/>
        <v>1.7826825301849638</v>
      </c>
      <c r="G111" s="7">
        <f t="shared" si="29"/>
        <v>0</v>
      </c>
      <c r="H111" s="7">
        <f t="shared" si="30"/>
        <v>11.498291337725746</v>
      </c>
      <c r="I111" s="8">
        <f>vals_ghg_excLUC!$R111</f>
        <v>40.361276882759775</v>
      </c>
      <c r="J111" s="8">
        <f>vals_ghg_excLUC!$X111</f>
        <v>38.578594352574811</v>
      </c>
      <c r="K111" s="8" t="e">
        <f>vals_ghg_excLUC!$AD111</f>
        <v>#N/A</v>
      </c>
      <c r="L111" s="8" t="e">
        <f>vals_ghg_excLUC!$AJ111</f>
        <v>#N/A</v>
      </c>
      <c r="M111" s="8">
        <f>vals_ghg_excLUC!$S111</f>
        <v>54.235387469392457</v>
      </c>
      <c r="N111" s="8">
        <f>vals_ghg_excLUC!$Y111</f>
        <v>51.859568220485521</v>
      </c>
      <c r="O111" s="8" t="e">
        <f>vals_ghg_excLUC!$AE111</f>
        <v>#N/A</v>
      </c>
      <c r="P111" s="8" t="e">
        <f>vals_ghg_excLUC!$AK111</f>
        <v>#N/A</v>
      </c>
      <c r="Q111" s="9">
        <f t="shared" si="31"/>
        <v>2.3758192489069359</v>
      </c>
      <c r="R111" s="9">
        <v>36.959000000000003</v>
      </c>
      <c r="S111" s="9">
        <v>50.194000000000003</v>
      </c>
    </row>
    <row r="112" spans="1:19" x14ac:dyDescent="0.35">
      <c r="A112" s="3">
        <f>vals_ghg_excLUC!$A112</f>
        <v>1959</v>
      </c>
      <c r="B112" s="4">
        <f t="shared" si="24"/>
        <v>38.482788697322498</v>
      </c>
      <c r="C112" s="4">
        <f t="shared" si="25"/>
        <v>40.251816091832886</v>
      </c>
      <c r="D112" s="4">
        <f t="shared" si="26"/>
        <v>51.733992320313938</v>
      </c>
      <c r="E112" s="4">
        <f t="shared" si="27"/>
        <v>54.097272247764536</v>
      </c>
      <c r="F112" s="4">
        <f t="shared" si="28"/>
        <v>1.7690273945103883</v>
      </c>
      <c r="G112" s="4">
        <f t="shared" si="29"/>
        <v>0</v>
      </c>
      <c r="H112" s="4">
        <f t="shared" si="30"/>
        <v>11.482176228481052</v>
      </c>
      <c r="I112" s="5">
        <f>vals_ghg_excLUC!$R112</f>
        <v>40.251816091832886</v>
      </c>
      <c r="J112" s="5">
        <f>vals_ghg_excLUC!$X112</f>
        <v>38.482788697322498</v>
      </c>
      <c r="K112" s="5" t="e">
        <f>vals_ghg_excLUC!$AD112</f>
        <v>#N/A</v>
      </c>
      <c r="L112" s="5" t="e">
        <f>vals_ghg_excLUC!$AJ112</f>
        <v>#N/A</v>
      </c>
      <c r="M112" s="5">
        <f>vals_ghg_excLUC!$S112</f>
        <v>54.097272247764536</v>
      </c>
      <c r="N112" s="5">
        <f>vals_ghg_excLUC!$Y112</f>
        <v>51.733992320313938</v>
      </c>
      <c r="O112" s="5" t="e">
        <f>vals_ghg_excLUC!$AE112</f>
        <v>#N/A</v>
      </c>
      <c r="P112" s="5" t="e">
        <f>vals_ghg_excLUC!$AK112</f>
        <v>#N/A</v>
      </c>
      <c r="Q112" s="9">
        <f t="shared" si="31"/>
        <v>2.3632799274505984</v>
      </c>
      <c r="R112" s="9">
        <v>36.829000000000001</v>
      </c>
      <c r="S112" s="9">
        <v>50.029000000000003</v>
      </c>
    </row>
    <row r="113" spans="1:19" x14ac:dyDescent="0.35">
      <c r="A113" s="6">
        <f>vals_ghg_excLUC!$A113</f>
        <v>1960</v>
      </c>
      <c r="B113" s="7">
        <f t="shared" si="24"/>
        <v>38.39023854256741</v>
      </c>
      <c r="C113" s="7">
        <f t="shared" si="25"/>
        <v>40.147023179558005</v>
      </c>
      <c r="D113" s="7">
        <f t="shared" si="26"/>
        <v>51.610275402896079</v>
      </c>
      <c r="E113" s="7">
        <f t="shared" si="27"/>
        <v>53.962768479239628</v>
      </c>
      <c r="F113" s="7">
        <f t="shared" si="28"/>
        <v>1.7567846369905951</v>
      </c>
      <c r="G113" s="7">
        <f t="shared" si="29"/>
        <v>0</v>
      </c>
      <c r="H113" s="7">
        <f t="shared" si="30"/>
        <v>11.463252223338074</v>
      </c>
      <c r="I113" s="8">
        <f>vals_ghg_excLUC!$R113</f>
        <v>40.147023179558005</v>
      </c>
      <c r="J113" s="8">
        <f>vals_ghg_excLUC!$X113</f>
        <v>38.39023854256741</v>
      </c>
      <c r="K113" s="8" t="e">
        <f>vals_ghg_excLUC!$AD113</f>
        <v>#N/A</v>
      </c>
      <c r="L113" s="8" t="e">
        <f>vals_ghg_excLUC!$AJ113</f>
        <v>#N/A</v>
      </c>
      <c r="M113" s="8">
        <f>vals_ghg_excLUC!$S113</f>
        <v>53.962768479239628</v>
      </c>
      <c r="N113" s="8">
        <f>vals_ghg_excLUC!$Y113</f>
        <v>51.610275402896079</v>
      </c>
      <c r="O113" s="8" t="e">
        <f>vals_ghg_excLUC!$AE113</f>
        <v>#N/A</v>
      </c>
      <c r="P113" s="8" t="e">
        <f>vals_ghg_excLUC!$AK113</f>
        <v>#N/A</v>
      </c>
      <c r="Q113" s="9">
        <f t="shared" si="31"/>
        <v>2.3524930763435492</v>
      </c>
      <c r="R113" s="9">
        <v>36.709000000000003</v>
      </c>
      <c r="S113" s="9">
        <v>49.877000000000002</v>
      </c>
    </row>
    <row r="114" spans="1:19" x14ac:dyDescent="0.35">
      <c r="A114" s="3">
        <f>vals_ghg_excLUC!$A114</f>
        <v>1961</v>
      </c>
      <c r="B114" s="4">
        <f t="shared" si="24"/>
        <v>38.291969903277945</v>
      </c>
      <c r="C114" s="4">
        <f t="shared" si="25"/>
        <v>40.035466082802202</v>
      </c>
      <c r="D114" s="4">
        <f t="shared" si="26"/>
        <v>51.479731796788144</v>
      </c>
      <c r="E114" s="4">
        <f t="shared" si="27"/>
        <v>53.820888634248064</v>
      </c>
      <c r="F114" s="4">
        <f t="shared" si="28"/>
        <v>1.7434961795242572</v>
      </c>
      <c r="G114" s="4">
        <f t="shared" si="29"/>
        <v>0</v>
      </c>
      <c r="H114" s="4">
        <f t="shared" si="30"/>
        <v>11.444265713985942</v>
      </c>
      <c r="I114" s="5">
        <f>vals_ghg_excLUC!$R114</f>
        <v>40.035466082802202</v>
      </c>
      <c r="J114" s="5">
        <f>vals_ghg_excLUC!$X114</f>
        <v>38.291969903277945</v>
      </c>
      <c r="K114" s="5" t="e">
        <f>vals_ghg_excLUC!$AD114</f>
        <v>#N/A</v>
      </c>
      <c r="L114" s="5" t="e">
        <f>vals_ghg_excLUC!$AJ114</f>
        <v>#N/A</v>
      </c>
      <c r="M114" s="5">
        <f>vals_ghg_excLUC!$S114</f>
        <v>53.820888634248064</v>
      </c>
      <c r="N114" s="5">
        <f>vals_ghg_excLUC!$Y114</f>
        <v>51.479731796788144</v>
      </c>
      <c r="O114" s="5" t="e">
        <f>vals_ghg_excLUC!$AE114</f>
        <v>#N/A</v>
      </c>
      <c r="P114" s="5" t="e">
        <f>vals_ghg_excLUC!$AK114</f>
        <v>#N/A</v>
      </c>
      <c r="Q114" s="9">
        <f t="shared" si="31"/>
        <v>2.3411568374599199</v>
      </c>
      <c r="R114" s="9">
        <v>36.579000000000001</v>
      </c>
      <c r="S114" s="9">
        <v>49.716999999999999</v>
      </c>
    </row>
    <row r="115" spans="1:19" x14ac:dyDescent="0.35">
      <c r="A115" s="6">
        <f>vals_ghg_excLUC!$A115</f>
        <v>1962</v>
      </c>
      <c r="B115" s="7">
        <f t="shared" si="24"/>
        <v>38.185606644181803</v>
      </c>
      <c r="C115" s="7">
        <f t="shared" si="25"/>
        <v>39.914983495381748</v>
      </c>
      <c r="D115" s="7">
        <f t="shared" si="26"/>
        <v>51.33691450927698</v>
      </c>
      <c r="E115" s="7">
        <f t="shared" si="27"/>
        <v>53.665650087242113</v>
      </c>
      <c r="F115" s="7">
        <f t="shared" si="28"/>
        <v>1.7293768511999446</v>
      </c>
      <c r="G115" s="7">
        <f t="shared" si="29"/>
        <v>0</v>
      </c>
      <c r="H115" s="7">
        <f t="shared" si="30"/>
        <v>11.421931013895232</v>
      </c>
      <c r="I115" s="8">
        <f>vals_ghg_excLUC!$R115</f>
        <v>39.914983495381748</v>
      </c>
      <c r="J115" s="8">
        <f>vals_ghg_excLUC!$X115</f>
        <v>38.185606644181803</v>
      </c>
      <c r="K115" s="8" t="e">
        <f>vals_ghg_excLUC!$AD115</f>
        <v>#N/A</v>
      </c>
      <c r="L115" s="8" t="e">
        <f>vals_ghg_excLUC!$AJ115</f>
        <v>#N/A</v>
      </c>
      <c r="M115" s="8">
        <f>vals_ghg_excLUC!$S115</f>
        <v>53.665650087242113</v>
      </c>
      <c r="N115" s="8">
        <f>vals_ghg_excLUC!$Y115</f>
        <v>51.33691450927698</v>
      </c>
      <c r="O115" s="8" t="e">
        <f>vals_ghg_excLUC!$AE115</f>
        <v>#N/A</v>
      </c>
      <c r="P115" s="8" t="e">
        <f>vals_ghg_excLUC!$AK115</f>
        <v>#N/A</v>
      </c>
      <c r="Q115" s="9">
        <f t="shared" si="31"/>
        <v>2.3287355779651335</v>
      </c>
      <c r="R115" s="9">
        <v>36.441000000000003</v>
      </c>
      <c r="S115" s="9">
        <v>49.54</v>
      </c>
    </row>
    <row r="116" spans="1:19" x14ac:dyDescent="0.35">
      <c r="A116" s="3">
        <f>vals_ghg_excLUC!$A116</f>
        <v>1963</v>
      </c>
      <c r="B116" s="4">
        <f t="shared" si="24"/>
        <v>38.069043460153345</v>
      </c>
      <c r="C116" s="4">
        <f t="shared" si="25"/>
        <v>39.783590312958673</v>
      </c>
      <c r="D116" s="4">
        <f t="shared" si="26"/>
        <v>51.17966466739805</v>
      </c>
      <c r="E116" s="4">
        <f t="shared" si="27"/>
        <v>53.49539085466423</v>
      </c>
      <c r="F116" s="4">
        <f t="shared" si="28"/>
        <v>1.7145468528053271</v>
      </c>
      <c r="G116" s="4">
        <f t="shared" si="29"/>
        <v>0</v>
      </c>
      <c r="H116" s="4">
        <f t="shared" si="30"/>
        <v>11.396074354439378</v>
      </c>
      <c r="I116" s="5">
        <f>vals_ghg_excLUC!$R116</f>
        <v>39.783590312958673</v>
      </c>
      <c r="J116" s="5">
        <f>vals_ghg_excLUC!$X116</f>
        <v>38.069043460153345</v>
      </c>
      <c r="K116" s="5" t="e">
        <f>vals_ghg_excLUC!$AD116</f>
        <v>#N/A</v>
      </c>
      <c r="L116" s="5" t="e">
        <f>vals_ghg_excLUC!$AJ116</f>
        <v>#N/A</v>
      </c>
      <c r="M116" s="5">
        <f>vals_ghg_excLUC!$S116</f>
        <v>53.49539085466423</v>
      </c>
      <c r="N116" s="5">
        <f>vals_ghg_excLUC!$Y116</f>
        <v>51.17966466739805</v>
      </c>
      <c r="O116" s="5" t="e">
        <f>vals_ghg_excLUC!$AE116</f>
        <v>#N/A</v>
      </c>
      <c r="P116" s="5" t="e">
        <f>vals_ghg_excLUC!$AK116</f>
        <v>#N/A</v>
      </c>
      <c r="Q116" s="9">
        <f t="shared" si="31"/>
        <v>2.3157261872661792</v>
      </c>
      <c r="R116" s="9">
        <v>36.29</v>
      </c>
      <c r="S116" s="9">
        <v>49.341999999999999</v>
      </c>
    </row>
    <row r="117" spans="1:19" x14ac:dyDescent="0.35">
      <c r="A117" s="6">
        <f>vals_ghg_excLUC!$A117</f>
        <v>1964</v>
      </c>
      <c r="B117" s="7">
        <f t="shared" si="24"/>
        <v>37.943062006216529</v>
      </c>
      <c r="C117" s="7">
        <f t="shared" si="25"/>
        <v>39.643829856939789</v>
      </c>
      <c r="D117" s="7">
        <f t="shared" si="26"/>
        <v>51.008512339350901</v>
      </c>
      <c r="E117" s="7">
        <f t="shared" si="27"/>
        <v>53.312364136494885</v>
      </c>
      <c r="F117" s="7">
        <f t="shared" si="28"/>
        <v>1.7007678507232598</v>
      </c>
      <c r="G117" s="7">
        <f t="shared" si="29"/>
        <v>0</v>
      </c>
      <c r="H117" s="7">
        <f t="shared" si="30"/>
        <v>11.364682482411112</v>
      </c>
      <c r="I117" s="8">
        <f>vals_ghg_excLUC!$R117</f>
        <v>39.643829856939789</v>
      </c>
      <c r="J117" s="8">
        <f>vals_ghg_excLUC!$X117</f>
        <v>37.943062006216529</v>
      </c>
      <c r="K117" s="8" t="e">
        <f>vals_ghg_excLUC!$AD117</f>
        <v>#N/A</v>
      </c>
      <c r="L117" s="8" t="e">
        <f>vals_ghg_excLUC!$AJ117</f>
        <v>#N/A</v>
      </c>
      <c r="M117" s="8">
        <f>vals_ghg_excLUC!$S117</f>
        <v>53.312364136494885</v>
      </c>
      <c r="N117" s="8">
        <f>vals_ghg_excLUC!$Y117</f>
        <v>51.008512339350901</v>
      </c>
      <c r="O117" s="8" t="e">
        <f>vals_ghg_excLUC!$AE117</f>
        <v>#N/A</v>
      </c>
      <c r="P117" s="8" t="e">
        <f>vals_ghg_excLUC!$AK117</f>
        <v>#N/A</v>
      </c>
      <c r="Q117" s="9">
        <f t="shared" si="31"/>
        <v>2.3038517971439845</v>
      </c>
      <c r="R117" s="9">
        <v>36.128999999999998</v>
      </c>
      <c r="S117" s="9">
        <v>49.13</v>
      </c>
    </row>
    <row r="118" spans="1:19" x14ac:dyDescent="0.35">
      <c r="A118" s="3">
        <f>vals_ghg_excLUC!$A118</f>
        <v>1965</v>
      </c>
      <c r="B118" s="4">
        <f t="shared" si="24"/>
        <v>37.809186692654642</v>
      </c>
      <c r="C118" s="4">
        <f t="shared" si="25"/>
        <v>39.495565302195835</v>
      </c>
      <c r="D118" s="4">
        <f t="shared" si="26"/>
        <v>50.825215663819904</v>
      </c>
      <c r="E118" s="4">
        <f t="shared" si="27"/>
        <v>53.11660731178646</v>
      </c>
      <c r="F118" s="4">
        <f t="shared" si="28"/>
        <v>1.6863786095411939</v>
      </c>
      <c r="G118" s="4">
        <f t="shared" si="29"/>
        <v>0</v>
      </c>
      <c r="H118" s="4">
        <f t="shared" si="30"/>
        <v>11.329650361624068</v>
      </c>
      <c r="I118" s="5">
        <f>vals_ghg_excLUC!$R118</f>
        <v>39.495565302195835</v>
      </c>
      <c r="J118" s="5">
        <f>vals_ghg_excLUC!$X118</f>
        <v>37.809186692654642</v>
      </c>
      <c r="K118" s="5" t="e">
        <f>vals_ghg_excLUC!$AD118</f>
        <v>#N/A</v>
      </c>
      <c r="L118" s="5" t="e">
        <f>vals_ghg_excLUC!$AJ118</f>
        <v>#N/A</v>
      </c>
      <c r="M118" s="5">
        <f>vals_ghg_excLUC!$S118</f>
        <v>53.11660731178646</v>
      </c>
      <c r="N118" s="5">
        <f>vals_ghg_excLUC!$Y118</f>
        <v>50.825215663819904</v>
      </c>
      <c r="O118" s="5" t="e">
        <f>vals_ghg_excLUC!$AE118</f>
        <v>#N/A</v>
      </c>
      <c r="P118" s="5" t="e">
        <f>vals_ghg_excLUC!$AK118</f>
        <v>#N/A</v>
      </c>
      <c r="Q118" s="9">
        <f t="shared" si="31"/>
        <v>2.2913916479665559</v>
      </c>
      <c r="R118" s="9">
        <v>35.954000000000001</v>
      </c>
      <c r="S118" s="9">
        <v>48.899000000000001</v>
      </c>
    </row>
    <row r="119" spans="1:19" x14ac:dyDescent="0.35">
      <c r="A119" s="6">
        <f>vals_ghg_excLUC!$A119</f>
        <v>1966</v>
      </c>
      <c r="B119" s="7">
        <f t="shared" si="24"/>
        <v>37.669755039832282</v>
      </c>
      <c r="C119" s="7">
        <f t="shared" si="25"/>
        <v>39.342888810957227</v>
      </c>
      <c r="D119" s="7">
        <f t="shared" si="26"/>
        <v>50.633158607726713</v>
      </c>
      <c r="E119" s="7">
        <f t="shared" si="27"/>
        <v>52.914066450012221</v>
      </c>
      <c r="F119" s="7">
        <f t="shared" si="28"/>
        <v>1.6731337711249452</v>
      </c>
      <c r="G119" s="7">
        <f t="shared" si="29"/>
        <v>0</v>
      </c>
      <c r="H119" s="7">
        <f t="shared" si="30"/>
        <v>11.290269796769486</v>
      </c>
      <c r="I119" s="8">
        <f>vals_ghg_excLUC!$R119</f>
        <v>39.342888810957227</v>
      </c>
      <c r="J119" s="8">
        <f>vals_ghg_excLUC!$X119</f>
        <v>37.669755039832282</v>
      </c>
      <c r="K119" s="8" t="e">
        <f>vals_ghg_excLUC!$AD119</f>
        <v>#N/A</v>
      </c>
      <c r="L119" s="8" t="e">
        <f>vals_ghg_excLUC!$AJ119</f>
        <v>#N/A</v>
      </c>
      <c r="M119" s="8">
        <f>vals_ghg_excLUC!$S119</f>
        <v>52.914066450012221</v>
      </c>
      <c r="N119" s="8">
        <f>vals_ghg_excLUC!$Y119</f>
        <v>50.633158607726713</v>
      </c>
      <c r="O119" s="8" t="e">
        <f>vals_ghg_excLUC!$AE119</f>
        <v>#N/A</v>
      </c>
      <c r="P119" s="8" t="e">
        <f>vals_ghg_excLUC!$AK119</f>
        <v>#N/A</v>
      </c>
      <c r="Q119" s="9">
        <f t="shared" si="31"/>
        <v>2.280907842285508</v>
      </c>
      <c r="R119" s="9">
        <v>35.768000000000001</v>
      </c>
      <c r="S119" s="9">
        <v>48.652000000000001</v>
      </c>
    </row>
    <row r="120" spans="1:19" x14ac:dyDescent="0.35">
      <c r="A120" s="3">
        <f>vals_ghg_excLUC!$A120</f>
        <v>1967</v>
      </c>
      <c r="B120" s="4">
        <f t="shared" si="24"/>
        <v>37.52631351479058</v>
      </c>
      <c r="C120" s="4">
        <f t="shared" si="25"/>
        <v>39.184623572797385</v>
      </c>
      <c r="D120" s="4">
        <f t="shared" si="26"/>
        <v>50.433583192908593</v>
      </c>
      <c r="E120" s="4">
        <f t="shared" si="27"/>
        <v>52.704102864513082</v>
      </c>
      <c r="F120" s="4">
        <f t="shared" si="28"/>
        <v>1.6583100580068049</v>
      </c>
      <c r="G120" s="4">
        <f t="shared" si="29"/>
        <v>0</v>
      </c>
      <c r="H120" s="4">
        <f t="shared" si="30"/>
        <v>11.248959620111208</v>
      </c>
      <c r="I120" s="5">
        <f>vals_ghg_excLUC!$R120</f>
        <v>39.184623572797385</v>
      </c>
      <c r="J120" s="5">
        <f>vals_ghg_excLUC!$X120</f>
        <v>37.52631351479058</v>
      </c>
      <c r="K120" s="5" t="e">
        <f>vals_ghg_excLUC!$AD120</f>
        <v>#N/A</v>
      </c>
      <c r="L120" s="5" t="e">
        <f>vals_ghg_excLUC!$AJ120</f>
        <v>#N/A</v>
      </c>
      <c r="M120" s="5">
        <f>vals_ghg_excLUC!$S120</f>
        <v>52.704102864513082</v>
      </c>
      <c r="N120" s="5">
        <f>vals_ghg_excLUC!$Y120</f>
        <v>50.433583192908593</v>
      </c>
      <c r="O120" s="5" t="e">
        <f>vals_ghg_excLUC!$AE120</f>
        <v>#N/A</v>
      </c>
      <c r="P120" s="5" t="e">
        <f>vals_ghg_excLUC!$AK120</f>
        <v>#N/A</v>
      </c>
      <c r="Q120" s="9">
        <f t="shared" si="31"/>
        <v>2.2705196716044895</v>
      </c>
      <c r="R120" s="9">
        <v>35.573999999999998</v>
      </c>
      <c r="S120" s="9">
        <v>48.4</v>
      </c>
    </row>
    <row r="121" spans="1:19" x14ac:dyDescent="0.35">
      <c r="A121" s="6">
        <f>vals_ghg_excLUC!$A121</f>
        <v>1968</v>
      </c>
      <c r="B121" s="7">
        <f t="shared" si="24"/>
        <v>37.371265331452328</v>
      </c>
      <c r="C121" s="7">
        <f t="shared" si="25"/>
        <v>39.015008061714035</v>
      </c>
      <c r="D121" s="7">
        <f t="shared" si="26"/>
        <v>50.217559719253366</v>
      </c>
      <c r="E121" s="7">
        <f t="shared" si="27"/>
        <v>52.479072651333937</v>
      </c>
      <c r="F121" s="7">
        <f t="shared" si="28"/>
        <v>1.6437427302617067</v>
      </c>
      <c r="G121" s="7">
        <f t="shared" si="29"/>
        <v>0</v>
      </c>
      <c r="H121" s="7">
        <f t="shared" si="30"/>
        <v>11.202551657539331</v>
      </c>
      <c r="I121" s="8">
        <f>vals_ghg_excLUC!$R121</f>
        <v>39.015008061714035</v>
      </c>
      <c r="J121" s="8">
        <f>vals_ghg_excLUC!$X121</f>
        <v>37.371265331452328</v>
      </c>
      <c r="K121" s="8" t="e">
        <f>vals_ghg_excLUC!$AD121</f>
        <v>#N/A</v>
      </c>
      <c r="L121" s="8" t="e">
        <f>vals_ghg_excLUC!$AJ121</f>
        <v>#N/A</v>
      </c>
      <c r="M121" s="8">
        <f>vals_ghg_excLUC!$S121</f>
        <v>52.479072651333937</v>
      </c>
      <c r="N121" s="8">
        <f>vals_ghg_excLUC!$Y121</f>
        <v>50.217559719253366</v>
      </c>
      <c r="O121" s="8" t="e">
        <f>vals_ghg_excLUC!$AE121</f>
        <v>#N/A</v>
      </c>
      <c r="P121" s="8" t="e">
        <f>vals_ghg_excLUC!$AK121</f>
        <v>#N/A</v>
      </c>
      <c r="Q121" s="9">
        <f t="shared" si="31"/>
        <v>2.2615129320805707</v>
      </c>
      <c r="R121" s="9">
        <v>35.372</v>
      </c>
      <c r="S121" s="9">
        <v>48.137</v>
      </c>
    </row>
    <row r="122" spans="1:19" x14ac:dyDescent="0.35">
      <c r="A122" s="3">
        <f>vals_ghg_excLUC!$A122</f>
        <v>1969</v>
      </c>
      <c r="B122" s="4">
        <f t="shared" si="24"/>
        <v>37.20519560384237</v>
      </c>
      <c r="C122" s="4">
        <f t="shared" si="25"/>
        <v>38.83252106249666</v>
      </c>
      <c r="D122" s="4">
        <f t="shared" si="26"/>
        <v>49.98934850310723</v>
      </c>
      <c r="E122" s="4">
        <f t="shared" si="27"/>
        <v>52.240419355435527</v>
      </c>
      <c r="F122" s="4">
        <f t="shared" si="28"/>
        <v>1.6273254586542905</v>
      </c>
      <c r="G122" s="4">
        <f t="shared" si="29"/>
        <v>0</v>
      </c>
      <c r="H122" s="4">
        <f t="shared" si="30"/>
        <v>11.15682744061057</v>
      </c>
      <c r="I122" s="5">
        <f>vals_ghg_excLUC!$R122</f>
        <v>38.83252106249666</v>
      </c>
      <c r="J122" s="5">
        <f>vals_ghg_excLUC!$X122</f>
        <v>37.20519560384237</v>
      </c>
      <c r="K122" s="5" t="e">
        <f>vals_ghg_excLUC!$AD122</f>
        <v>#N/A</v>
      </c>
      <c r="L122" s="5" t="e">
        <f>vals_ghg_excLUC!$AJ122</f>
        <v>#N/A</v>
      </c>
      <c r="M122" s="5">
        <f>vals_ghg_excLUC!$S122</f>
        <v>52.240419355435527</v>
      </c>
      <c r="N122" s="5">
        <f>vals_ghg_excLUC!$Y122</f>
        <v>49.98934850310723</v>
      </c>
      <c r="O122" s="5" t="e">
        <f>vals_ghg_excLUC!$AE122</f>
        <v>#N/A</v>
      </c>
      <c r="P122" s="5" t="e">
        <f>vals_ghg_excLUC!$AK122</f>
        <v>#N/A</v>
      </c>
      <c r="Q122" s="9">
        <f t="shared" si="31"/>
        <v>2.2510708523282972</v>
      </c>
      <c r="R122" s="9">
        <v>35.155999999999999</v>
      </c>
      <c r="S122" s="9">
        <v>47.862000000000002</v>
      </c>
    </row>
    <row r="123" spans="1:19" x14ac:dyDescent="0.35">
      <c r="A123" s="6">
        <f>vals_ghg_excLUC!$A123</f>
        <v>1970</v>
      </c>
      <c r="B123" s="7">
        <f t="shared" si="24"/>
        <v>35.943900918086683</v>
      </c>
      <c r="C123" s="7">
        <f t="shared" si="25"/>
        <v>38.63817213587815</v>
      </c>
      <c r="D123" s="7">
        <f t="shared" si="26"/>
        <v>48.45055088279495</v>
      </c>
      <c r="E123" s="7">
        <f t="shared" si="27"/>
        <v>51.989391601955049</v>
      </c>
      <c r="F123" s="7">
        <f t="shared" si="28"/>
        <v>2.6942712177914672</v>
      </c>
      <c r="G123" s="7">
        <f t="shared" si="29"/>
        <v>0</v>
      </c>
      <c r="H123" s="7">
        <f t="shared" si="30"/>
        <v>9.8123787469167993</v>
      </c>
      <c r="I123" s="8">
        <f>vals_ghg_excLUC!$R123</f>
        <v>38.63817213587815</v>
      </c>
      <c r="J123" s="8">
        <f>vals_ghg_excLUC!$X123</f>
        <v>37.02675178215059</v>
      </c>
      <c r="K123" s="8">
        <f>vals_ghg_excLUC!$AD123</f>
        <v>35.943900918086683</v>
      </c>
      <c r="L123" s="8" t="e">
        <f>vals_ghg_excLUC!$AJ123</f>
        <v>#N/A</v>
      </c>
      <c r="M123" s="8">
        <f>vals_ghg_excLUC!$S123</f>
        <v>51.989391601955049</v>
      </c>
      <c r="N123" s="8">
        <f>vals_ghg_excLUC!$Y123</f>
        <v>49.747252164505881</v>
      </c>
      <c r="O123" s="8">
        <f>vals_ghg_excLUC!$AE123</f>
        <v>48.45055088279495</v>
      </c>
      <c r="P123" s="8" t="e">
        <f>vals_ghg_excLUC!$AK123</f>
        <v>#N/A</v>
      </c>
      <c r="Q123" s="9">
        <f t="shared" si="31"/>
        <v>3.538840719160099</v>
      </c>
      <c r="R123" s="9">
        <v>34.918999999999997</v>
      </c>
      <c r="S123" s="9">
        <v>47.575000000000003</v>
      </c>
    </row>
    <row r="124" spans="1:19" x14ac:dyDescent="0.35">
      <c r="A124" s="3">
        <f>vals_ghg_excLUC!$A124</f>
        <v>1971</v>
      </c>
      <c r="B124" s="4">
        <f t="shared" si="24"/>
        <v>35.750456558462893</v>
      </c>
      <c r="C124" s="4">
        <f t="shared" si="25"/>
        <v>38.434116877802275</v>
      </c>
      <c r="D124" s="4">
        <f t="shared" si="26"/>
        <v>48.210617497089217</v>
      </c>
      <c r="E124" s="4">
        <f t="shared" si="27"/>
        <v>51.727540467089575</v>
      </c>
      <c r="F124" s="4">
        <f t="shared" si="28"/>
        <v>2.6836603193393813</v>
      </c>
      <c r="G124" s="4">
        <f t="shared" si="29"/>
        <v>0</v>
      </c>
      <c r="H124" s="4">
        <f t="shared" si="30"/>
        <v>9.7765006192869421</v>
      </c>
      <c r="I124" s="5">
        <f>vals_ghg_excLUC!$R124</f>
        <v>38.434116877802275</v>
      </c>
      <c r="J124" s="5">
        <f>vals_ghg_excLUC!$X124</f>
        <v>36.840828902407928</v>
      </c>
      <c r="K124" s="5">
        <f>vals_ghg_excLUC!$AD124</f>
        <v>35.750456558462893</v>
      </c>
      <c r="L124" s="5" t="e">
        <f>vals_ghg_excLUC!$AJ124</f>
        <v>#N/A</v>
      </c>
      <c r="M124" s="5">
        <f>vals_ghg_excLUC!$S124</f>
        <v>51.727540467089575</v>
      </c>
      <c r="N124" s="5">
        <f>vals_ghg_excLUC!$Y124</f>
        <v>49.495522345312736</v>
      </c>
      <c r="O124" s="5">
        <f>vals_ghg_excLUC!$AE124</f>
        <v>48.210617497089217</v>
      </c>
      <c r="P124" s="5" t="e">
        <f>vals_ghg_excLUC!$AK124</f>
        <v>#N/A</v>
      </c>
      <c r="Q124" s="9">
        <f t="shared" si="31"/>
        <v>3.5169229700003584</v>
      </c>
      <c r="R124" s="9">
        <v>34.685000000000002</v>
      </c>
      <c r="S124" s="9">
        <v>47.289000000000001</v>
      </c>
    </row>
    <row r="125" spans="1:19" x14ac:dyDescent="0.35">
      <c r="A125" s="6">
        <f>vals_ghg_excLUC!$A125</f>
        <v>1972</v>
      </c>
      <c r="B125" s="7">
        <f t="shared" si="24"/>
        <v>35.559338192067472</v>
      </c>
      <c r="C125" s="7">
        <f t="shared" si="25"/>
        <v>38.231216990953484</v>
      </c>
      <c r="D125" s="7">
        <f t="shared" si="26"/>
        <v>47.969874810765049</v>
      </c>
      <c r="E125" s="7">
        <f t="shared" si="27"/>
        <v>51.460281382396623</v>
      </c>
      <c r="F125" s="7">
        <f t="shared" si="28"/>
        <v>2.6718787988860129</v>
      </c>
      <c r="G125" s="7">
        <f t="shared" si="29"/>
        <v>0</v>
      </c>
      <c r="H125" s="7">
        <f t="shared" si="30"/>
        <v>9.7386578198115643</v>
      </c>
      <c r="I125" s="8">
        <f>vals_ghg_excLUC!$R125</f>
        <v>38.231216990953484</v>
      </c>
      <c r="J125" s="8">
        <f>vals_ghg_excLUC!$X125</f>
        <v>36.65327440266136</v>
      </c>
      <c r="K125" s="8">
        <f>vals_ghg_excLUC!$AD125</f>
        <v>35.559338192067472</v>
      </c>
      <c r="L125" s="8" t="e">
        <f>vals_ghg_excLUC!$AJ125</f>
        <v>#N/A</v>
      </c>
      <c r="M125" s="8">
        <f>vals_ghg_excLUC!$S125</f>
        <v>51.460281382396623</v>
      </c>
      <c r="N125" s="8">
        <f>vals_ghg_excLUC!$Y125</f>
        <v>49.236425388817828</v>
      </c>
      <c r="O125" s="8">
        <f>vals_ghg_excLUC!$AE125</f>
        <v>47.969874810765049</v>
      </c>
      <c r="P125" s="8" t="e">
        <f>vals_ghg_excLUC!$AK125</f>
        <v>#N/A</v>
      </c>
      <c r="Q125" s="9">
        <f t="shared" si="31"/>
        <v>3.4904065716315742</v>
      </c>
      <c r="R125" s="9">
        <v>34.454999999999998</v>
      </c>
      <c r="S125" s="9">
        <v>46.999000000000002</v>
      </c>
    </row>
    <row r="126" spans="1:19" x14ac:dyDescent="0.35">
      <c r="A126" s="3">
        <f>vals_ghg_excLUC!$A126</f>
        <v>1973</v>
      </c>
      <c r="B126" s="4">
        <f t="shared" si="24"/>
        <v>35.356763788491307</v>
      </c>
      <c r="C126" s="4">
        <f t="shared" si="25"/>
        <v>38.017225774665206</v>
      </c>
      <c r="D126" s="4">
        <f t="shared" si="26"/>
        <v>47.713913756232401</v>
      </c>
      <c r="E126" s="4">
        <f t="shared" si="27"/>
        <v>51.176862264277844</v>
      </c>
      <c r="F126" s="4">
        <f t="shared" si="28"/>
        <v>2.6604619861738996</v>
      </c>
      <c r="G126" s="4">
        <f t="shared" si="29"/>
        <v>0</v>
      </c>
      <c r="H126" s="4">
        <f t="shared" si="30"/>
        <v>9.6966879815671945</v>
      </c>
      <c r="I126" s="5">
        <f>vals_ghg_excLUC!$R126</f>
        <v>38.017225774665206</v>
      </c>
      <c r="J126" s="5">
        <f>vals_ghg_excLUC!$X126</f>
        <v>36.453847058980777</v>
      </c>
      <c r="K126" s="5">
        <f>vals_ghg_excLUC!$AD126</f>
        <v>35.356763788491307</v>
      </c>
      <c r="L126" s="5" t="e">
        <f>vals_ghg_excLUC!$AJ126</f>
        <v>#N/A</v>
      </c>
      <c r="M126" s="5">
        <f>vals_ghg_excLUC!$S126</f>
        <v>51.176862264277844</v>
      </c>
      <c r="N126" s="5">
        <f>vals_ghg_excLUC!$Y126</f>
        <v>48.958764753583701</v>
      </c>
      <c r="O126" s="5">
        <f>vals_ghg_excLUC!$AE126</f>
        <v>47.713913756232401</v>
      </c>
      <c r="P126" s="5" t="e">
        <f>vals_ghg_excLUC!$AK126</f>
        <v>#N/A</v>
      </c>
      <c r="Q126" s="9">
        <f t="shared" si="31"/>
        <v>3.462948508045443</v>
      </c>
      <c r="R126" s="9">
        <v>34.215000000000003</v>
      </c>
      <c r="S126" s="9">
        <v>46.695999999999998</v>
      </c>
    </row>
    <row r="127" spans="1:19" x14ac:dyDescent="0.35">
      <c r="A127" s="6">
        <f>vals_ghg_excLUC!$A127</f>
        <v>1974</v>
      </c>
      <c r="B127" s="7">
        <f t="shared" si="24"/>
        <v>35.141678121481753</v>
      </c>
      <c r="C127" s="7">
        <f t="shared" si="25"/>
        <v>37.792329569039921</v>
      </c>
      <c r="D127" s="7">
        <f t="shared" si="26"/>
        <v>47.441019843104705</v>
      </c>
      <c r="E127" s="7">
        <f t="shared" si="27"/>
        <v>50.879157299021173</v>
      </c>
      <c r="F127" s="7">
        <f t="shared" si="28"/>
        <v>2.6506514475581682</v>
      </c>
      <c r="G127" s="7">
        <f t="shared" si="29"/>
        <v>0</v>
      </c>
      <c r="H127" s="7">
        <f t="shared" si="30"/>
        <v>9.6486902740647835</v>
      </c>
      <c r="I127" s="8">
        <f>vals_ghg_excLUC!$R127</f>
        <v>37.792329569039921</v>
      </c>
      <c r="J127" s="8">
        <f>vals_ghg_excLUC!$X127</f>
        <v>36.241909668544835</v>
      </c>
      <c r="K127" s="8">
        <f>vals_ghg_excLUC!$AD127</f>
        <v>35.141678121481753</v>
      </c>
      <c r="L127" s="8" t="e">
        <f>vals_ghg_excLUC!$AJ127</f>
        <v>#N/A</v>
      </c>
      <c r="M127" s="8">
        <f>vals_ghg_excLUC!$S127</f>
        <v>50.879157299021173</v>
      </c>
      <c r="N127" s="8">
        <f>vals_ghg_excLUC!$Y127</f>
        <v>48.66394102951859</v>
      </c>
      <c r="O127" s="8">
        <f>vals_ghg_excLUC!$AE127</f>
        <v>47.441019843104705</v>
      </c>
      <c r="P127" s="8" t="e">
        <f>vals_ghg_excLUC!$AK127</f>
        <v>#N/A</v>
      </c>
      <c r="Q127" s="9">
        <f t="shared" si="31"/>
        <v>3.4381374559164684</v>
      </c>
      <c r="R127" s="9">
        <v>33.968000000000004</v>
      </c>
      <c r="S127" s="9">
        <v>46.384</v>
      </c>
    </row>
    <row r="128" spans="1:19" x14ac:dyDescent="0.35">
      <c r="A128" s="3">
        <f>vals_ghg_excLUC!$A128</f>
        <v>1975</v>
      </c>
      <c r="B128" s="4">
        <f t="shared" si="24"/>
        <v>34.936290498138661</v>
      </c>
      <c r="C128" s="4">
        <f t="shared" si="25"/>
        <v>37.578659332524701</v>
      </c>
      <c r="D128" s="4">
        <f t="shared" si="26"/>
        <v>47.168434152213564</v>
      </c>
      <c r="E128" s="4">
        <f t="shared" si="27"/>
        <v>50.58200001610966</v>
      </c>
      <c r="F128" s="4">
        <f t="shared" si="28"/>
        <v>2.6423688343860405</v>
      </c>
      <c r="G128" s="4">
        <f t="shared" si="29"/>
        <v>0</v>
      </c>
      <c r="H128" s="4">
        <f t="shared" si="30"/>
        <v>9.5897748196888628</v>
      </c>
      <c r="I128" s="5">
        <f>vals_ghg_excLUC!$R128</f>
        <v>37.578659332524701</v>
      </c>
      <c r="J128" s="5">
        <f>vals_ghg_excLUC!$X128</f>
        <v>36.037849515885547</v>
      </c>
      <c r="K128" s="5">
        <f>vals_ghg_excLUC!$AD128</f>
        <v>34.936290498138661</v>
      </c>
      <c r="L128" s="5" t="e">
        <f>vals_ghg_excLUC!$AJ128</f>
        <v>#N/A</v>
      </c>
      <c r="M128" s="5">
        <f>vals_ghg_excLUC!$S128</f>
        <v>50.58200001610966</v>
      </c>
      <c r="N128" s="5">
        <f>vals_ghg_excLUC!$Y128</f>
        <v>48.367865280873303</v>
      </c>
      <c r="O128" s="5">
        <f>vals_ghg_excLUC!$AE128</f>
        <v>47.168434152213564</v>
      </c>
      <c r="P128" s="5" t="e">
        <f>vals_ghg_excLUC!$AK128</f>
        <v>#N/A</v>
      </c>
      <c r="Q128" s="9">
        <f t="shared" si="31"/>
        <v>3.4135658638960962</v>
      </c>
      <c r="R128" s="9">
        <v>33.732999999999997</v>
      </c>
      <c r="S128" s="9">
        <v>46.072000000000003</v>
      </c>
    </row>
    <row r="129" spans="1:19" x14ac:dyDescent="0.35">
      <c r="A129" s="6">
        <f>vals_ghg_excLUC!$A129</f>
        <v>1976</v>
      </c>
      <c r="B129" s="7">
        <f t="shared" si="24"/>
        <v>34.750518095915247</v>
      </c>
      <c r="C129" s="7">
        <f t="shared" si="25"/>
        <v>37.386035651698904</v>
      </c>
      <c r="D129" s="7">
        <f t="shared" si="26"/>
        <v>46.903017062363951</v>
      </c>
      <c r="E129" s="7">
        <f t="shared" si="27"/>
        <v>50.290996430722487</v>
      </c>
      <c r="F129" s="7">
        <f t="shared" si="28"/>
        <v>2.6355175557836574</v>
      </c>
      <c r="G129" s="7">
        <f t="shared" si="29"/>
        <v>0</v>
      </c>
      <c r="H129" s="7">
        <f t="shared" si="30"/>
        <v>9.5169814106650463</v>
      </c>
      <c r="I129" s="8">
        <f>vals_ghg_excLUC!$R129</f>
        <v>37.386035651698904</v>
      </c>
      <c r="J129" s="8">
        <f>vals_ghg_excLUC!$X129</f>
        <v>35.854560810940065</v>
      </c>
      <c r="K129" s="8">
        <f>vals_ghg_excLUC!$AD129</f>
        <v>34.750518095915247</v>
      </c>
      <c r="L129" s="8" t="e">
        <f>vals_ghg_excLUC!$AJ129</f>
        <v>#N/A</v>
      </c>
      <c r="M129" s="8">
        <f>vals_ghg_excLUC!$S129</f>
        <v>50.290996430722487</v>
      </c>
      <c r="N129" s="8">
        <f>vals_ghg_excLUC!$Y129</f>
        <v>48.07950261272191</v>
      </c>
      <c r="O129" s="8">
        <f>vals_ghg_excLUC!$AE129</f>
        <v>46.903017062363951</v>
      </c>
      <c r="P129" s="8" t="e">
        <f>vals_ghg_excLUC!$AK129</f>
        <v>#N/A</v>
      </c>
      <c r="Q129" s="9">
        <f t="shared" si="31"/>
        <v>3.3879793683585362</v>
      </c>
      <c r="R129" s="9">
        <v>33.521000000000001</v>
      </c>
      <c r="S129" s="9">
        <v>45.765999999999998</v>
      </c>
    </row>
    <row r="130" spans="1:19" x14ac:dyDescent="0.35">
      <c r="A130" s="3">
        <f>vals_ghg_excLUC!$A130</f>
        <v>1977</v>
      </c>
      <c r="B130" s="4">
        <f t="shared" si="24"/>
        <v>34.548833573045037</v>
      </c>
      <c r="C130" s="4">
        <f t="shared" si="25"/>
        <v>37.179782495977882</v>
      </c>
      <c r="D130" s="4">
        <f t="shared" si="26"/>
        <v>46.617706652347096</v>
      </c>
      <c r="E130" s="4">
        <f t="shared" si="27"/>
        <v>49.980223266803193</v>
      </c>
      <c r="F130" s="4">
        <f t="shared" si="28"/>
        <v>2.6309489229328449</v>
      </c>
      <c r="G130" s="4">
        <f t="shared" si="29"/>
        <v>0</v>
      </c>
      <c r="H130" s="4">
        <f t="shared" si="30"/>
        <v>9.4379241563692133</v>
      </c>
      <c r="I130" s="5">
        <f>vals_ghg_excLUC!$R130</f>
        <v>37.179782495977882</v>
      </c>
      <c r="J130" s="5">
        <f>vals_ghg_excLUC!$X130</f>
        <v>35.655344640391228</v>
      </c>
      <c r="K130" s="5">
        <f>vals_ghg_excLUC!$AD130</f>
        <v>34.548833573045037</v>
      </c>
      <c r="L130" s="5" t="e">
        <f>vals_ghg_excLUC!$AJ130</f>
        <v>#N/A</v>
      </c>
      <c r="M130" s="5">
        <f>vals_ghg_excLUC!$S130</f>
        <v>49.980223266803193</v>
      </c>
      <c r="N130" s="5">
        <f>vals_ghg_excLUC!$Y130</f>
        <v>47.76836423022192</v>
      </c>
      <c r="O130" s="5">
        <f>vals_ghg_excLUC!$AE130</f>
        <v>46.617706652347096</v>
      </c>
      <c r="P130" s="5" t="e">
        <f>vals_ghg_excLUC!$AK130</f>
        <v>#N/A</v>
      </c>
      <c r="Q130" s="9">
        <f t="shared" si="31"/>
        <v>3.3625166144560978</v>
      </c>
      <c r="R130" s="9">
        <v>33.301000000000002</v>
      </c>
      <c r="S130" s="9">
        <v>45.444000000000003</v>
      </c>
    </row>
    <row r="131" spans="1:19" x14ac:dyDescent="0.35">
      <c r="A131" s="6">
        <f>vals_ghg_excLUC!$A131</f>
        <v>1978</v>
      </c>
      <c r="B131" s="7">
        <f t="shared" ref="B131:B162" si="32">IFERROR(_xlfn.AGGREGATE(5,6,I131:L131),"")</f>
        <v>34.345229830661268</v>
      </c>
      <c r="C131" s="7">
        <f t="shared" ref="C131:C162" si="33">IFERROR(_xlfn.AGGREGATE(4,6,I131:L131),"")</f>
        <v>36.974484726925063</v>
      </c>
      <c r="D131" s="7">
        <f t="shared" ref="D131:D162" si="34">IFERROR(_xlfn.AGGREGATE(5,6,M131:P131),"")</f>
        <v>46.325454250258474</v>
      </c>
      <c r="E131" s="7">
        <f t="shared" ref="E131:E162" si="35">IFERROR(_xlfn.AGGREGATE(4,6,M131:P131),"")</f>
        <v>49.662291468179774</v>
      </c>
      <c r="F131" s="7">
        <f t="shared" ref="F131:F162" si="36">IFERROR(MIN(C131,D131)-B131,"")</f>
        <v>2.6292548962637952</v>
      </c>
      <c r="G131" s="7">
        <f t="shared" ref="G131:G162" si="37">IFERROR(MAX(0,C131-D131),"")</f>
        <v>0</v>
      </c>
      <c r="H131" s="7">
        <f t="shared" ref="H131:H162" si="38">IFERROR(MAX(0,D131-C131),"")</f>
        <v>9.3509695233334114</v>
      </c>
      <c r="I131" s="8">
        <f>vals_ghg_excLUC!$R131</f>
        <v>36.974484726925063</v>
      </c>
      <c r="J131" s="8">
        <f>vals_ghg_excLUC!$X131</f>
        <v>35.457590520362288</v>
      </c>
      <c r="K131" s="8">
        <f>vals_ghg_excLUC!$AD131</f>
        <v>34.345229830661268</v>
      </c>
      <c r="L131" s="8" t="e">
        <f>vals_ghg_excLUC!$AJ131</f>
        <v>#N/A</v>
      </c>
      <c r="M131" s="8">
        <f>vals_ghg_excLUC!$S131</f>
        <v>49.662291468179774</v>
      </c>
      <c r="N131" s="8">
        <f>vals_ghg_excLUC!$Y131</f>
        <v>47.450914560809828</v>
      </c>
      <c r="O131" s="8">
        <f>vals_ghg_excLUC!$AE131</f>
        <v>46.325454250258474</v>
      </c>
      <c r="P131" s="8" t="e">
        <f>vals_ghg_excLUC!$AK131</f>
        <v>#N/A</v>
      </c>
      <c r="Q131" s="9">
        <f t="shared" ref="Q131:Q162" si="39">IFERROR(MAX(0,$E131-MAX($C131,$D131)),"")</f>
        <v>3.3368372179212997</v>
      </c>
      <c r="R131" s="9">
        <v>33.081000000000003</v>
      </c>
      <c r="S131" s="9">
        <v>45.116</v>
      </c>
    </row>
    <row r="132" spans="1:19" x14ac:dyDescent="0.35">
      <c r="A132" s="3">
        <f>vals_ghg_excLUC!$A132</f>
        <v>1979</v>
      </c>
      <c r="B132" s="4">
        <f t="shared" si="32"/>
        <v>34.144934069814653</v>
      </c>
      <c r="C132" s="4">
        <f t="shared" si="33"/>
        <v>36.766133520537309</v>
      </c>
      <c r="D132" s="4">
        <f t="shared" si="34"/>
        <v>46.02392143728251</v>
      </c>
      <c r="E132" s="4">
        <f t="shared" si="35"/>
        <v>49.333689018111727</v>
      </c>
      <c r="F132" s="4">
        <f t="shared" si="36"/>
        <v>2.6211994507226564</v>
      </c>
      <c r="G132" s="4">
        <f t="shared" si="37"/>
        <v>0</v>
      </c>
      <c r="H132" s="4">
        <f t="shared" si="38"/>
        <v>9.2577879167452011</v>
      </c>
      <c r="I132" s="5">
        <f>vals_ghg_excLUC!$R132</f>
        <v>36.766133520537309</v>
      </c>
      <c r="J132" s="5">
        <f>vals_ghg_excLUC!$X132</f>
        <v>35.255336111427383</v>
      </c>
      <c r="K132" s="5">
        <f>vals_ghg_excLUC!$AD132</f>
        <v>34.144934069814653</v>
      </c>
      <c r="L132" s="5" t="e">
        <f>vals_ghg_excLUC!$AJ132</f>
        <v>#N/A</v>
      </c>
      <c r="M132" s="5">
        <f>vals_ghg_excLUC!$S132</f>
        <v>49.333689018111727</v>
      </c>
      <c r="N132" s="5">
        <f>vals_ghg_excLUC!$Y132</f>
        <v>47.120782456289675</v>
      </c>
      <c r="O132" s="5">
        <f>vals_ghg_excLUC!$AE132</f>
        <v>46.02392143728251</v>
      </c>
      <c r="P132" s="5" t="e">
        <f>vals_ghg_excLUC!$AK132</f>
        <v>#N/A</v>
      </c>
      <c r="Q132" s="9">
        <f t="shared" si="39"/>
        <v>3.3097675808292166</v>
      </c>
      <c r="R132" s="9">
        <v>32.854999999999997</v>
      </c>
      <c r="S132" s="9">
        <v>44.773000000000003</v>
      </c>
    </row>
    <row r="133" spans="1:19" x14ac:dyDescent="0.35">
      <c r="A133" s="6">
        <f>vals_ghg_excLUC!$A133</f>
        <v>1980</v>
      </c>
      <c r="B133" s="7">
        <f t="shared" si="32"/>
        <v>33.93560598503808</v>
      </c>
      <c r="C133" s="7">
        <f t="shared" si="33"/>
        <v>36.547943651772734</v>
      </c>
      <c r="D133" s="7">
        <f t="shared" si="34"/>
        <v>45.710574401482269</v>
      </c>
      <c r="E133" s="7">
        <f t="shared" si="35"/>
        <v>48.994148759253051</v>
      </c>
      <c r="F133" s="7">
        <f t="shared" si="36"/>
        <v>2.6123376667346534</v>
      </c>
      <c r="G133" s="7">
        <f t="shared" si="37"/>
        <v>0</v>
      </c>
      <c r="H133" s="7">
        <f t="shared" si="38"/>
        <v>9.1626307497095354</v>
      </c>
      <c r="I133" s="8">
        <f>vals_ghg_excLUC!$R133</f>
        <v>36.547943651772734</v>
      </c>
      <c r="J133" s="8">
        <f>vals_ghg_excLUC!$X133</f>
        <v>35.043282742759033</v>
      </c>
      <c r="K133" s="8">
        <f>vals_ghg_excLUC!$AD133</f>
        <v>33.93560598503808</v>
      </c>
      <c r="L133" s="8" t="e">
        <f>vals_ghg_excLUC!$AJ133</f>
        <v>#N/A</v>
      </c>
      <c r="M133" s="8">
        <f>vals_ghg_excLUC!$S133</f>
        <v>48.994148759253051</v>
      </c>
      <c r="N133" s="8">
        <f>vals_ghg_excLUC!$Y133</f>
        <v>46.778593130892958</v>
      </c>
      <c r="O133" s="8">
        <f>vals_ghg_excLUC!$AE133</f>
        <v>45.710574401482269</v>
      </c>
      <c r="P133" s="8" t="e">
        <f>vals_ghg_excLUC!$AK133</f>
        <v>#N/A</v>
      </c>
      <c r="Q133" s="9">
        <f t="shared" si="39"/>
        <v>3.2835743577707817</v>
      </c>
      <c r="R133" s="9">
        <v>32.606999999999999</v>
      </c>
      <c r="S133" s="9">
        <v>44.405999999999999</v>
      </c>
    </row>
    <row r="134" spans="1:19" x14ac:dyDescent="0.35">
      <c r="A134" s="3">
        <f>vals_ghg_excLUC!$A134</f>
        <v>1981</v>
      </c>
      <c r="B134" s="4">
        <f t="shared" si="32"/>
        <v>33.737728908858131</v>
      </c>
      <c r="C134" s="4">
        <f t="shared" si="33"/>
        <v>36.340234239927796</v>
      </c>
      <c r="D134" s="4">
        <f t="shared" si="34"/>
        <v>45.39761017865559</v>
      </c>
      <c r="E134" s="4">
        <f t="shared" si="35"/>
        <v>48.650000288732201</v>
      </c>
      <c r="F134" s="4">
        <f t="shared" si="36"/>
        <v>2.6025053310696649</v>
      </c>
      <c r="G134" s="4">
        <f t="shared" si="37"/>
        <v>0</v>
      </c>
      <c r="H134" s="4">
        <f t="shared" si="38"/>
        <v>9.0573759387277946</v>
      </c>
      <c r="I134" s="5">
        <f>vals_ghg_excLUC!$R134</f>
        <v>36.340234239927796</v>
      </c>
      <c r="J134" s="5">
        <f>vals_ghg_excLUC!$X134</f>
        <v>34.842741717688845</v>
      </c>
      <c r="K134" s="5">
        <f>vals_ghg_excLUC!$AD134</f>
        <v>33.737728908858131</v>
      </c>
      <c r="L134" s="5" t="e">
        <f>vals_ghg_excLUC!$AJ134</f>
        <v>#N/A</v>
      </c>
      <c r="M134" s="5">
        <f>vals_ghg_excLUC!$S134</f>
        <v>48.650000288732201</v>
      </c>
      <c r="N134" s="5">
        <f>vals_ghg_excLUC!$Y134</f>
        <v>46.433836473609006</v>
      </c>
      <c r="O134" s="5">
        <f>vals_ghg_excLUC!$AE134</f>
        <v>45.39761017865559</v>
      </c>
      <c r="P134" s="5" t="e">
        <f>vals_ghg_excLUC!$AK134</f>
        <v>#N/A</v>
      </c>
      <c r="Q134" s="9">
        <f t="shared" si="39"/>
        <v>3.2523901100766111</v>
      </c>
      <c r="R134" s="9">
        <v>32.363999999999997</v>
      </c>
      <c r="S134" s="9">
        <v>44.024999999999999</v>
      </c>
    </row>
    <row r="135" spans="1:19" x14ac:dyDescent="0.35">
      <c r="A135" s="6">
        <f>vals_ghg_excLUC!$A135</f>
        <v>1982</v>
      </c>
      <c r="B135" s="7">
        <f t="shared" si="32"/>
        <v>33.54101193648949</v>
      </c>
      <c r="C135" s="7">
        <f t="shared" si="33"/>
        <v>36.138071527174354</v>
      </c>
      <c r="D135" s="7">
        <f t="shared" si="34"/>
        <v>45.082980154168148</v>
      </c>
      <c r="E135" s="7">
        <f t="shared" si="35"/>
        <v>48.309687392149968</v>
      </c>
      <c r="F135" s="7">
        <f t="shared" si="36"/>
        <v>2.5970595906848644</v>
      </c>
      <c r="G135" s="7">
        <f t="shared" si="37"/>
        <v>0</v>
      </c>
      <c r="H135" s="7">
        <f t="shared" si="38"/>
        <v>8.9449086269937936</v>
      </c>
      <c r="I135" s="8">
        <f>vals_ghg_excLUC!$R135</f>
        <v>36.138071527174354</v>
      </c>
      <c r="J135" s="8">
        <f>vals_ghg_excLUC!$X135</f>
        <v>34.64767157124264</v>
      </c>
      <c r="K135" s="8">
        <f>vals_ghg_excLUC!$AD135</f>
        <v>33.54101193648949</v>
      </c>
      <c r="L135" s="8" t="e">
        <f>vals_ghg_excLUC!$AJ135</f>
        <v>#N/A</v>
      </c>
      <c r="M135" s="8">
        <f>vals_ghg_excLUC!$S135</f>
        <v>48.309687392149968</v>
      </c>
      <c r="N135" s="8">
        <f>vals_ghg_excLUC!$Y135</f>
        <v>46.09249093235497</v>
      </c>
      <c r="O135" s="8">
        <f>vals_ghg_excLUC!$AE135</f>
        <v>45.082980154168148</v>
      </c>
      <c r="P135" s="8" t="e">
        <f>vals_ghg_excLUC!$AK135</f>
        <v>#N/A</v>
      </c>
      <c r="Q135" s="9">
        <f t="shared" si="39"/>
        <v>3.2267072379818202</v>
      </c>
      <c r="R135" s="9">
        <v>32.119999999999997</v>
      </c>
      <c r="S135" s="9">
        <v>43.640999999999998</v>
      </c>
    </row>
    <row r="136" spans="1:19" x14ac:dyDescent="0.35">
      <c r="A136" s="3">
        <f>vals_ghg_excLUC!$A136</f>
        <v>1983</v>
      </c>
      <c r="B136" s="4">
        <f t="shared" si="32"/>
        <v>33.362343006668652</v>
      </c>
      <c r="C136" s="4">
        <f t="shared" si="33"/>
        <v>35.957179075719274</v>
      </c>
      <c r="D136" s="4">
        <f t="shared" si="34"/>
        <v>44.777244446482428</v>
      </c>
      <c r="E136" s="4">
        <f t="shared" si="35"/>
        <v>47.978611612438037</v>
      </c>
      <c r="F136" s="4">
        <f t="shared" si="36"/>
        <v>2.594836069050622</v>
      </c>
      <c r="G136" s="4">
        <f t="shared" si="37"/>
        <v>0</v>
      </c>
      <c r="H136" s="4">
        <f t="shared" si="38"/>
        <v>8.8200653707631531</v>
      </c>
      <c r="I136" s="5">
        <f>vals_ghg_excLUC!$R136</f>
        <v>35.957179075719274</v>
      </c>
      <c r="J136" s="5">
        <f>vals_ghg_excLUC!$X136</f>
        <v>34.47434871147442</v>
      </c>
      <c r="K136" s="5">
        <f>vals_ghg_excLUC!$AD136</f>
        <v>33.362343006668652</v>
      </c>
      <c r="L136" s="5" t="e">
        <f>vals_ghg_excLUC!$AJ136</f>
        <v>#N/A</v>
      </c>
      <c r="M136" s="5">
        <f>vals_ghg_excLUC!$S136</f>
        <v>47.978611612438037</v>
      </c>
      <c r="N136" s="5">
        <f>vals_ghg_excLUC!$Y136</f>
        <v>45.760832752065419</v>
      </c>
      <c r="O136" s="5">
        <f>vals_ghg_excLUC!$AE136</f>
        <v>44.777244446482428</v>
      </c>
      <c r="P136" s="5" t="e">
        <f>vals_ghg_excLUC!$AK136</f>
        <v>#N/A</v>
      </c>
      <c r="Q136" s="9">
        <f t="shared" si="39"/>
        <v>3.2013671659556096</v>
      </c>
      <c r="R136" s="9">
        <v>31.908000000000001</v>
      </c>
      <c r="S136" s="9">
        <v>43.274000000000001</v>
      </c>
    </row>
    <row r="137" spans="1:19" x14ac:dyDescent="0.35">
      <c r="A137" s="6">
        <f>vals_ghg_excLUC!$A137</f>
        <v>1984</v>
      </c>
      <c r="B137" s="7">
        <f t="shared" si="32"/>
        <v>33.187300795357693</v>
      </c>
      <c r="C137" s="7">
        <f t="shared" si="33"/>
        <v>35.780436747537095</v>
      </c>
      <c r="D137" s="7">
        <f t="shared" si="34"/>
        <v>44.468823110523815</v>
      </c>
      <c r="E137" s="7">
        <f t="shared" si="35"/>
        <v>47.644249516288035</v>
      </c>
      <c r="F137" s="7">
        <f t="shared" si="36"/>
        <v>2.5931359521794022</v>
      </c>
      <c r="G137" s="7">
        <f t="shared" si="37"/>
        <v>0</v>
      </c>
      <c r="H137" s="7">
        <f t="shared" si="38"/>
        <v>8.6883863629867193</v>
      </c>
      <c r="I137" s="8">
        <f>vals_ghg_excLUC!$R137</f>
        <v>35.780436747537095</v>
      </c>
      <c r="J137" s="8">
        <f>vals_ghg_excLUC!$X137</f>
        <v>34.30433374627475</v>
      </c>
      <c r="K137" s="8">
        <f>vals_ghg_excLUC!$AD137</f>
        <v>33.187300795357693</v>
      </c>
      <c r="L137" s="8" t="e">
        <f>vals_ghg_excLUC!$AJ137</f>
        <v>#N/A</v>
      </c>
      <c r="M137" s="8">
        <f>vals_ghg_excLUC!$S137</f>
        <v>47.644249516288035</v>
      </c>
      <c r="N137" s="8">
        <f>vals_ghg_excLUC!$Y137</f>
        <v>45.424470409207757</v>
      </c>
      <c r="O137" s="8">
        <f>vals_ghg_excLUC!$AE137</f>
        <v>44.468823110523815</v>
      </c>
      <c r="P137" s="8" t="e">
        <f>vals_ghg_excLUC!$AK137</f>
        <v>#N/A</v>
      </c>
      <c r="Q137" s="9">
        <f t="shared" si="39"/>
        <v>3.1754264057642203</v>
      </c>
      <c r="R137" s="9">
        <v>31.707999999999998</v>
      </c>
      <c r="S137" s="9">
        <v>42.91</v>
      </c>
    </row>
    <row r="138" spans="1:19" x14ac:dyDescent="0.35">
      <c r="A138" s="3">
        <f>vals_ghg_excLUC!$A138</f>
        <v>1985</v>
      </c>
      <c r="B138" s="4">
        <f t="shared" si="32"/>
        <v>33.00230328074192</v>
      </c>
      <c r="C138" s="4">
        <f t="shared" si="33"/>
        <v>35.598655427885994</v>
      </c>
      <c r="D138" s="4">
        <f t="shared" si="34"/>
        <v>44.146288054871732</v>
      </c>
      <c r="E138" s="4">
        <f t="shared" si="35"/>
        <v>47.301506665953845</v>
      </c>
      <c r="F138" s="4">
        <f t="shared" si="36"/>
        <v>2.5963521471440743</v>
      </c>
      <c r="G138" s="4">
        <f t="shared" si="37"/>
        <v>0</v>
      </c>
      <c r="H138" s="4">
        <f t="shared" si="38"/>
        <v>8.5476326269857381</v>
      </c>
      <c r="I138" s="5">
        <f>vals_ghg_excLUC!$R138</f>
        <v>35.598655427885994</v>
      </c>
      <c r="J138" s="5">
        <f>vals_ghg_excLUC!$X138</f>
        <v>34.126219421939197</v>
      </c>
      <c r="K138" s="5">
        <f>vals_ghg_excLUC!$AD138</f>
        <v>33.00230328074192</v>
      </c>
      <c r="L138" s="5" t="e">
        <f>vals_ghg_excLUC!$AJ138</f>
        <v>#N/A</v>
      </c>
      <c r="M138" s="5">
        <f>vals_ghg_excLUC!$S138</f>
        <v>47.301506665953845</v>
      </c>
      <c r="N138" s="5">
        <f>vals_ghg_excLUC!$Y138</f>
        <v>45.074632276160436</v>
      </c>
      <c r="O138" s="5">
        <f>vals_ghg_excLUC!$AE138</f>
        <v>44.146288054871732</v>
      </c>
      <c r="P138" s="5" t="e">
        <f>vals_ghg_excLUC!$AK138</f>
        <v>#N/A</v>
      </c>
      <c r="Q138" s="9">
        <f t="shared" si="39"/>
        <v>3.1552186110821125</v>
      </c>
      <c r="R138" s="9">
        <v>31.515999999999998</v>
      </c>
      <c r="S138" s="9">
        <v>42.548999999999999</v>
      </c>
    </row>
    <row r="139" spans="1:19" x14ac:dyDescent="0.35">
      <c r="A139" s="6">
        <f>vals_ghg_excLUC!$A139</f>
        <v>1986</v>
      </c>
      <c r="B139" s="7">
        <f t="shared" si="32"/>
        <v>32.814063916979215</v>
      </c>
      <c r="C139" s="7">
        <f t="shared" si="33"/>
        <v>35.425009817909839</v>
      </c>
      <c r="D139" s="7">
        <f t="shared" si="34"/>
        <v>43.813953232991786</v>
      </c>
      <c r="E139" s="7">
        <f t="shared" si="35"/>
        <v>46.947686822876463</v>
      </c>
      <c r="F139" s="7">
        <f t="shared" si="36"/>
        <v>2.6109459009306235</v>
      </c>
      <c r="G139" s="7">
        <f t="shared" si="37"/>
        <v>0</v>
      </c>
      <c r="H139" s="7">
        <f t="shared" si="38"/>
        <v>8.3889434150819469</v>
      </c>
      <c r="I139" s="8">
        <f>vals_ghg_excLUC!$R139</f>
        <v>35.425009817909839</v>
      </c>
      <c r="J139" s="8">
        <f>vals_ghg_excLUC!$X139</f>
        <v>33.954282869232649</v>
      </c>
      <c r="K139" s="8">
        <f>vals_ghg_excLUC!$AD139</f>
        <v>32.814063916979215</v>
      </c>
      <c r="L139" s="8" t="e">
        <f>vals_ghg_excLUC!$AJ139</f>
        <v>#N/A</v>
      </c>
      <c r="M139" s="8">
        <f>vals_ghg_excLUC!$S139</f>
        <v>46.947686822876463</v>
      </c>
      <c r="N139" s="8">
        <f>vals_ghg_excLUC!$Y139</f>
        <v>44.712916539506047</v>
      </c>
      <c r="O139" s="8">
        <f>vals_ghg_excLUC!$AE139</f>
        <v>43.813953232991786</v>
      </c>
      <c r="P139" s="8" t="e">
        <f>vals_ghg_excLUC!$AK139</f>
        <v>#N/A</v>
      </c>
      <c r="Q139" s="9">
        <f t="shared" si="39"/>
        <v>3.1337335898846774</v>
      </c>
      <c r="R139" s="9">
        <v>31.33</v>
      </c>
      <c r="S139" s="9">
        <v>42.173000000000002</v>
      </c>
    </row>
    <row r="140" spans="1:19" x14ac:dyDescent="0.35">
      <c r="A140" s="3">
        <f>vals_ghg_excLUC!$A140</f>
        <v>1987</v>
      </c>
      <c r="B140" s="4">
        <f t="shared" si="32"/>
        <v>32.631059034124462</v>
      </c>
      <c r="C140" s="4">
        <f t="shared" si="33"/>
        <v>35.257048035670088</v>
      </c>
      <c r="D140" s="4">
        <f t="shared" si="34"/>
        <v>43.477255905843307</v>
      </c>
      <c r="E140" s="4">
        <f t="shared" si="35"/>
        <v>46.592827121826211</v>
      </c>
      <c r="F140" s="4">
        <f t="shared" si="36"/>
        <v>2.6259890015456264</v>
      </c>
      <c r="G140" s="4">
        <f t="shared" si="37"/>
        <v>0</v>
      </c>
      <c r="H140" s="4">
        <f t="shared" si="38"/>
        <v>8.2202078701732191</v>
      </c>
      <c r="I140" s="5">
        <f>vals_ghg_excLUC!$R140</f>
        <v>35.257048035670088</v>
      </c>
      <c r="J140" s="5">
        <f>vals_ghg_excLUC!$X140</f>
        <v>33.787775172313893</v>
      </c>
      <c r="K140" s="5">
        <f>vals_ghg_excLUC!$AD140</f>
        <v>32.631059034124462</v>
      </c>
      <c r="L140" s="5" t="e">
        <f>vals_ghg_excLUC!$AJ140</f>
        <v>#N/A</v>
      </c>
      <c r="M140" s="5">
        <f>vals_ghg_excLUC!$S140</f>
        <v>46.592827121826211</v>
      </c>
      <c r="N140" s="5">
        <f>vals_ghg_excLUC!$Y140</f>
        <v>44.347182704579133</v>
      </c>
      <c r="O140" s="5">
        <f>vals_ghg_excLUC!$AE140</f>
        <v>43.477255905843307</v>
      </c>
      <c r="P140" s="5" t="e">
        <f>vals_ghg_excLUC!$AK140</f>
        <v>#N/A</v>
      </c>
      <c r="Q140" s="9">
        <f t="shared" si="39"/>
        <v>3.1155712159829037</v>
      </c>
      <c r="R140" s="9">
        <v>31.146999999999998</v>
      </c>
      <c r="S140" s="9">
        <v>41.786000000000001</v>
      </c>
    </row>
    <row r="141" spans="1:19" x14ac:dyDescent="0.35">
      <c r="A141" s="6">
        <f>vals_ghg_excLUC!$A141</f>
        <v>1988</v>
      </c>
      <c r="B141" s="7">
        <f t="shared" si="32"/>
        <v>32.443787266468718</v>
      </c>
      <c r="C141" s="7">
        <f t="shared" si="33"/>
        <v>35.080127385977434</v>
      </c>
      <c r="D141" s="7">
        <f t="shared" si="34"/>
        <v>43.126848244365043</v>
      </c>
      <c r="E141" s="7">
        <f t="shared" si="35"/>
        <v>46.225047193497936</v>
      </c>
      <c r="F141" s="7">
        <f t="shared" si="36"/>
        <v>2.6363401195087164</v>
      </c>
      <c r="G141" s="7">
        <f t="shared" si="37"/>
        <v>0</v>
      </c>
      <c r="H141" s="7">
        <f t="shared" si="38"/>
        <v>8.0467208583876086</v>
      </c>
      <c r="I141" s="8">
        <f>vals_ghg_excLUC!$R141</f>
        <v>35.080127385977434</v>
      </c>
      <c r="J141" s="8">
        <f>vals_ghg_excLUC!$X141</f>
        <v>33.614390514611792</v>
      </c>
      <c r="K141" s="8">
        <f>vals_ghg_excLUC!$AD141</f>
        <v>32.443787266468718</v>
      </c>
      <c r="L141" s="8" t="e">
        <f>vals_ghg_excLUC!$AJ141</f>
        <v>#N/A</v>
      </c>
      <c r="M141" s="8">
        <f>vals_ghg_excLUC!$S141</f>
        <v>46.225047193497936</v>
      </c>
      <c r="N141" s="8">
        <f>vals_ghg_excLUC!$Y141</f>
        <v>43.969044167188777</v>
      </c>
      <c r="O141" s="8">
        <f>vals_ghg_excLUC!$AE141</f>
        <v>43.126848244365043</v>
      </c>
      <c r="P141" s="8" t="e">
        <f>vals_ghg_excLUC!$AK141</f>
        <v>#N/A</v>
      </c>
      <c r="Q141" s="9">
        <f t="shared" si="39"/>
        <v>3.0981989491328932</v>
      </c>
      <c r="R141" s="9">
        <v>30.968</v>
      </c>
      <c r="S141" s="9">
        <v>41.393999999999998</v>
      </c>
    </row>
    <row r="142" spans="1:19" x14ac:dyDescent="0.35">
      <c r="A142" s="3">
        <f>vals_ghg_excLUC!$A142</f>
        <v>1989</v>
      </c>
      <c r="B142" s="4">
        <f t="shared" si="32"/>
        <v>32.245717258285161</v>
      </c>
      <c r="C142" s="4">
        <f t="shared" si="33"/>
        <v>34.896741297993913</v>
      </c>
      <c r="D142" s="4">
        <f t="shared" si="34"/>
        <v>42.762709080344145</v>
      </c>
      <c r="E142" s="4">
        <f t="shared" si="35"/>
        <v>45.847732176056695</v>
      </c>
      <c r="F142" s="4">
        <f t="shared" si="36"/>
        <v>2.6510240397087514</v>
      </c>
      <c r="G142" s="4">
        <f t="shared" si="37"/>
        <v>0</v>
      </c>
      <c r="H142" s="4">
        <f t="shared" si="38"/>
        <v>7.8659677823502321</v>
      </c>
      <c r="I142" s="5">
        <f>vals_ghg_excLUC!$R142</f>
        <v>34.896741297993913</v>
      </c>
      <c r="J142" s="5">
        <f>vals_ghg_excLUC!$X142</f>
        <v>33.430993050501016</v>
      </c>
      <c r="K142" s="5">
        <f>vals_ghg_excLUC!$AD142</f>
        <v>32.245717258285161</v>
      </c>
      <c r="L142" s="5" t="e">
        <f>vals_ghg_excLUC!$AJ142</f>
        <v>#N/A</v>
      </c>
      <c r="M142" s="5">
        <f>vals_ghg_excLUC!$S142</f>
        <v>45.847732176056695</v>
      </c>
      <c r="N142" s="5">
        <f>vals_ghg_excLUC!$Y142</f>
        <v>43.575832447409105</v>
      </c>
      <c r="O142" s="5">
        <f>vals_ghg_excLUC!$AE142</f>
        <v>42.762709080344145</v>
      </c>
      <c r="P142" s="5" t="e">
        <f>vals_ghg_excLUC!$AK142</f>
        <v>#N/A</v>
      </c>
      <c r="Q142" s="9">
        <f t="shared" si="39"/>
        <v>3.0850230957125504</v>
      </c>
      <c r="R142" s="9">
        <v>30.797999999999998</v>
      </c>
      <c r="S142" s="9">
        <v>41.005000000000003</v>
      </c>
    </row>
    <row r="143" spans="1:19" x14ac:dyDescent="0.35">
      <c r="A143" s="6">
        <f>vals_ghg_excLUC!$A143</f>
        <v>1990</v>
      </c>
      <c r="B143" s="7">
        <f t="shared" si="32"/>
        <v>32.040554796705287</v>
      </c>
      <c r="C143" s="7">
        <f t="shared" si="33"/>
        <v>34.698660017168443</v>
      </c>
      <c r="D143" s="7">
        <f t="shared" si="34"/>
        <v>42.390667987407014</v>
      </c>
      <c r="E143" s="7">
        <f t="shared" si="35"/>
        <v>45.460220429022677</v>
      </c>
      <c r="F143" s="7">
        <f t="shared" si="36"/>
        <v>2.6581052204631561</v>
      </c>
      <c r="G143" s="7">
        <f t="shared" si="37"/>
        <v>0</v>
      </c>
      <c r="H143" s="7">
        <f t="shared" si="38"/>
        <v>7.6920079702385706</v>
      </c>
      <c r="I143" s="8">
        <f>vals_ghg_excLUC!$R143</f>
        <v>34.698660017168443</v>
      </c>
      <c r="J143" s="8">
        <f>vals_ghg_excLUC!$X143</f>
        <v>33.235796856147061</v>
      </c>
      <c r="K143" s="8">
        <f>vals_ghg_excLUC!$AD143</f>
        <v>32.040554796705287</v>
      </c>
      <c r="L143" s="8">
        <f>vals_ghg_excLUC!$AJ143</f>
        <v>32.325267186422046</v>
      </c>
      <c r="M143" s="8">
        <f>vals_ghg_excLUC!$S143</f>
        <v>45.460220429022677</v>
      </c>
      <c r="N143" s="8">
        <f>vals_ghg_excLUC!$Y143</f>
        <v>43.172625027544818</v>
      </c>
      <c r="O143" s="8">
        <f>vals_ghg_excLUC!$AE143</f>
        <v>42.390667987407014</v>
      </c>
      <c r="P143" s="8">
        <f>vals_ghg_excLUC!$AK143</f>
        <v>42.81938837945394</v>
      </c>
      <c r="Q143" s="9">
        <f t="shared" si="39"/>
        <v>3.069552441615663</v>
      </c>
      <c r="R143" s="9">
        <v>30.62</v>
      </c>
      <c r="S143" s="9">
        <v>40.609000000000002</v>
      </c>
    </row>
    <row r="144" spans="1:19" x14ac:dyDescent="0.35">
      <c r="A144" s="3">
        <f>vals_ghg_excLUC!$A144</f>
        <v>1991</v>
      </c>
      <c r="B144" s="4">
        <f t="shared" si="32"/>
        <v>31.837331055279193</v>
      </c>
      <c r="C144" s="4">
        <f t="shared" si="33"/>
        <v>34.46906768550047</v>
      </c>
      <c r="D144" s="4">
        <f t="shared" si="34"/>
        <v>42.006710311216871</v>
      </c>
      <c r="E144" s="4">
        <f t="shared" si="35"/>
        <v>45.032836268690822</v>
      </c>
      <c r="F144" s="4">
        <f t="shared" si="36"/>
        <v>2.6317366302212761</v>
      </c>
      <c r="G144" s="4">
        <f t="shared" si="37"/>
        <v>0</v>
      </c>
      <c r="H144" s="4">
        <f t="shared" si="38"/>
        <v>7.5376426257164013</v>
      </c>
      <c r="I144" s="5">
        <f>vals_ghg_excLUC!$R144</f>
        <v>34.46906768550047</v>
      </c>
      <c r="J144" s="5">
        <f>vals_ghg_excLUC!$X144</f>
        <v>33.027633368370786</v>
      </c>
      <c r="K144" s="5">
        <f>vals_ghg_excLUC!$AD144</f>
        <v>31.837331055279193</v>
      </c>
      <c r="L144" s="5">
        <f>vals_ghg_excLUC!$AJ144</f>
        <v>32.136025301206203</v>
      </c>
      <c r="M144" s="5">
        <f>vals_ghg_excLUC!$S144</f>
        <v>45.032836268690822</v>
      </c>
      <c r="N144" s="5">
        <f>vals_ghg_excLUC!$Y144</f>
        <v>42.766150935300118</v>
      </c>
      <c r="O144" s="5">
        <f>vals_ghg_excLUC!$AE144</f>
        <v>42.006710311216871</v>
      </c>
      <c r="P144" s="5">
        <f>vals_ghg_excLUC!$AK144</f>
        <v>42.441671396579373</v>
      </c>
      <c r="Q144" s="9">
        <f t="shared" si="39"/>
        <v>3.0261259574739512</v>
      </c>
      <c r="R144" s="9">
        <v>30.398</v>
      </c>
      <c r="S144" s="9">
        <v>40.158999999999999</v>
      </c>
    </row>
    <row r="145" spans="1:19" x14ac:dyDescent="0.35">
      <c r="A145" s="6">
        <f>vals_ghg_excLUC!$A145</f>
        <v>1992</v>
      </c>
      <c r="B145" s="7">
        <f t="shared" si="32"/>
        <v>31.625855200586223</v>
      </c>
      <c r="C145" s="7">
        <f t="shared" si="33"/>
        <v>34.243146201980771</v>
      </c>
      <c r="D145" s="7">
        <f t="shared" si="34"/>
        <v>41.625352900677392</v>
      </c>
      <c r="E145" s="7">
        <f t="shared" si="35"/>
        <v>44.632359064414281</v>
      </c>
      <c r="F145" s="7">
        <f t="shared" si="36"/>
        <v>2.6172910013945483</v>
      </c>
      <c r="G145" s="7">
        <f t="shared" si="37"/>
        <v>0</v>
      </c>
      <c r="H145" s="7">
        <f t="shared" si="38"/>
        <v>7.3822066986966206</v>
      </c>
      <c r="I145" s="8">
        <f>vals_ghg_excLUC!$R145</f>
        <v>34.243146201980771</v>
      </c>
      <c r="J145" s="8">
        <f>vals_ghg_excLUC!$X145</f>
        <v>32.817226375013128</v>
      </c>
      <c r="K145" s="8">
        <f>vals_ghg_excLUC!$AD145</f>
        <v>31.625855200586223</v>
      </c>
      <c r="L145" s="8">
        <f>vals_ghg_excLUC!$AJ145</f>
        <v>31.940101591582071</v>
      </c>
      <c r="M145" s="8">
        <f>vals_ghg_excLUC!$S145</f>
        <v>44.632359064414281</v>
      </c>
      <c r="N145" s="8">
        <f>vals_ghg_excLUC!$Y145</f>
        <v>42.376531046398554</v>
      </c>
      <c r="O145" s="8">
        <f>vals_ghg_excLUC!$AE145</f>
        <v>41.625352900677392</v>
      </c>
      <c r="P145" s="8">
        <f>vals_ghg_excLUC!$AK145</f>
        <v>42.067251067324293</v>
      </c>
      <c r="Q145" s="9">
        <f t="shared" si="39"/>
        <v>3.0070061637368894</v>
      </c>
      <c r="R145" s="9">
        <v>30.17</v>
      </c>
      <c r="S145" s="9">
        <v>39.735999999999997</v>
      </c>
    </row>
    <row r="146" spans="1:19" x14ac:dyDescent="0.35">
      <c r="A146" s="3">
        <f>vals_ghg_excLUC!$A146</f>
        <v>1993</v>
      </c>
      <c r="B146" s="4">
        <f t="shared" si="32"/>
        <v>31.400672951657278</v>
      </c>
      <c r="C146" s="4">
        <f t="shared" si="33"/>
        <v>33.981046150232032</v>
      </c>
      <c r="D146" s="4">
        <f t="shared" si="34"/>
        <v>41.253302865652238</v>
      </c>
      <c r="E146" s="4">
        <f t="shared" si="35"/>
        <v>44.233645048865384</v>
      </c>
      <c r="F146" s="4">
        <f t="shared" si="36"/>
        <v>2.5803731985747547</v>
      </c>
      <c r="G146" s="4">
        <f t="shared" si="37"/>
        <v>0</v>
      </c>
      <c r="H146" s="4">
        <f t="shared" si="38"/>
        <v>7.2722567154202054</v>
      </c>
      <c r="I146" s="5">
        <f>vals_ghg_excLUC!$R146</f>
        <v>33.981046150232032</v>
      </c>
      <c r="J146" s="5">
        <f>vals_ghg_excLUC!$X146</f>
        <v>32.577691770445256</v>
      </c>
      <c r="K146" s="5">
        <f>vals_ghg_excLUC!$AD146</f>
        <v>31.400672951657278</v>
      </c>
      <c r="L146" s="5">
        <f>vals_ghg_excLUC!$AJ146</f>
        <v>31.729071728311148</v>
      </c>
      <c r="M146" s="5">
        <f>vals_ghg_excLUC!$S146</f>
        <v>44.233645048865384</v>
      </c>
      <c r="N146" s="5">
        <f>vals_ghg_excLUC!$Y146</f>
        <v>41.993200454948408</v>
      </c>
      <c r="O146" s="5">
        <f>vals_ghg_excLUC!$AE146</f>
        <v>41.253302865652238</v>
      </c>
      <c r="P146" s="5">
        <f>vals_ghg_excLUC!$AK146</f>
        <v>41.703888947431459</v>
      </c>
      <c r="Q146" s="9">
        <f t="shared" si="39"/>
        <v>2.9803421832131463</v>
      </c>
      <c r="R146" s="9">
        <v>29.904</v>
      </c>
      <c r="S146" s="9">
        <v>39.320999999999998</v>
      </c>
    </row>
    <row r="147" spans="1:19" x14ac:dyDescent="0.35">
      <c r="A147" s="6">
        <f>vals_ghg_excLUC!$A147</f>
        <v>1994</v>
      </c>
      <c r="B147" s="7">
        <f t="shared" si="32"/>
        <v>31.162423668198606</v>
      </c>
      <c r="C147" s="7">
        <f t="shared" si="33"/>
        <v>33.71058847882307</v>
      </c>
      <c r="D147" s="7">
        <f t="shared" si="34"/>
        <v>40.89005777364423</v>
      </c>
      <c r="E147" s="7">
        <f t="shared" si="35"/>
        <v>43.843587480937799</v>
      </c>
      <c r="F147" s="7">
        <f t="shared" si="36"/>
        <v>2.5481648106244634</v>
      </c>
      <c r="G147" s="7">
        <f t="shared" si="37"/>
        <v>0</v>
      </c>
      <c r="H147" s="7">
        <f t="shared" si="38"/>
        <v>7.1794692948211605</v>
      </c>
      <c r="I147" s="8">
        <f>vals_ghg_excLUC!$R147</f>
        <v>33.71058847882307</v>
      </c>
      <c r="J147" s="8">
        <f>vals_ghg_excLUC!$X147</f>
        <v>32.32720515909422</v>
      </c>
      <c r="K147" s="8">
        <f>vals_ghg_excLUC!$AD147</f>
        <v>31.162423668198606</v>
      </c>
      <c r="L147" s="8">
        <f>vals_ghg_excLUC!$AJ147</f>
        <v>31.508309092423097</v>
      </c>
      <c r="M147" s="8">
        <f>vals_ghg_excLUC!$S147</f>
        <v>43.843587480937799</v>
      </c>
      <c r="N147" s="8">
        <f>vals_ghg_excLUC!$Y147</f>
        <v>41.613872876692611</v>
      </c>
      <c r="O147" s="8">
        <f>vals_ghg_excLUC!$AE147</f>
        <v>40.89005777364423</v>
      </c>
      <c r="P147" s="8">
        <f>vals_ghg_excLUC!$AK147</f>
        <v>41.351720861427019</v>
      </c>
      <c r="Q147" s="9">
        <f t="shared" si="39"/>
        <v>2.9535297072935691</v>
      </c>
      <c r="R147" s="9">
        <v>29.62</v>
      </c>
      <c r="S147" s="9">
        <v>38.912999999999997</v>
      </c>
    </row>
    <row r="148" spans="1:19" x14ac:dyDescent="0.35">
      <c r="A148" s="3">
        <f>vals_ghg_excLUC!$A148</f>
        <v>1995</v>
      </c>
      <c r="B148" s="4">
        <f t="shared" si="32"/>
        <v>30.903862952985765</v>
      </c>
      <c r="C148" s="4">
        <f t="shared" si="33"/>
        <v>33.419894255612839</v>
      </c>
      <c r="D148" s="4">
        <f t="shared" si="34"/>
        <v>40.533927496744312</v>
      </c>
      <c r="E148" s="4">
        <f t="shared" si="35"/>
        <v>43.465187675552947</v>
      </c>
      <c r="F148" s="4">
        <f t="shared" si="36"/>
        <v>2.5160313026270735</v>
      </c>
      <c r="G148" s="4">
        <f t="shared" si="37"/>
        <v>0</v>
      </c>
      <c r="H148" s="4">
        <f t="shared" si="38"/>
        <v>7.1140332411314731</v>
      </c>
      <c r="I148" s="5">
        <f>vals_ghg_excLUC!$R148</f>
        <v>33.419894255612839</v>
      </c>
      <c r="J148" s="5">
        <f>vals_ghg_excLUC!$X148</f>
        <v>32.054329032837863</v>
      </c>
      <c r="K148" s="5">
        <f>vals_ghg_excLUC!$AD148</f>
        <v>30.903862952985765</v>
      </c>
      <c r="L148" s="5">
        <f>vals_ghg_excLUC!$AJ148</f>
        <v>31.265513004653467</v>
      </c>
      <c r="M148" s="5">
        <f>vals_ghg_excLUC!$S148</f>
        <v>43.465187675552947</v>
      </c>
      <c r="N148" s="5">
        <f>vals_ghg_excLUC!$Y148</f>
        <v>41.240274967108284</v>
      </c>
      <c r="O148" s="5">
        <f>vals_ghg_excLUC!$AE148</f>
        <v>40.533927496744312</v>
      </c>
      <c r="P148" s="5">
        <f>vals_ghg_excLUC!$AK148</f>
        <v>41.004981667507622</v>
      </c>
      <c r="Q148" s="9">
        <f t="shared" si="39"/>
        <v>2.9312601788086354</v>
      </c>
      <c r="R148" s="9">
        <v>29.312000000000001</v>
      </c>
      <c r="S148" s="9">
        <v>38.527999999999999</v>
      </c>
    </row>
    <row r="149" spans="1:19" x14ac:dyDescent="0.35">
      <c r="A149" s="6">
        <f>vals_ghg_excLUC!$A149</f>
        <v>1996</v>
      </c>
      <c r="B149" s="7">
        <f t="shared" si="32"/>
        <v>30.638793466449648</v>
      </c>
      <c r="C149" s="7">
        <f t="shared" si="33"/>
        <v>33.121213404954084</v>
      </c>
      <c r="D149" s="7">
        <f t="shared" si="34"/>
        <v>40.178611341813095</v>
      </c>
      <c r="E149" s="7">
        <f t="shared" si="35"/>
        <v>43.084274487024551</v>
      </c>
      <c r="F149" s="7">
        <f t="shared" si="36"/>
        <v>2.4824199385044352</v>
      </c>
      <c r="G149" s="7">
        <f t="shared" si="37"/>
        <v>0</v>
      </c>
      <c r="H149" s="7">
        <f t="shared" si="38"/>
        <v>7.0573979368590116</v>
      </c>
      <c r="I149" s="8">
        <f>vals_ghg_excLUC!$R149</f>
        <v>33.121213404954084</v>
      </c>
      <c r="J149" s="8">
        <f>vals_ghg_excLUC!$X149</f>
        <v>31.772539055844451</v>
      </c>
      <c r="K149" s="8">
        <f>vals_ghg_excLUC!$AD149</f>
        <v>30.638793466449648</v>
      </c>
      <c r="L149" s="8">
        <f>vals_ghg_excLUC!$AJ149</f>
        <v>31.016464230193495</v>
      </c>
      <c r="M149" s="8">
        <f>vals_ghg_excLUC!$S149</f>
        <v>43.084274487024551</v>
      </c>
      <c r="N149" s="8">
        <f>vals_ghg_excLUC!$Y149</f>
        <v>40.865094603457713</v>
      </c>
      <c r="O149" s="8">
        <f>vals_ghg_excLUC!$AE149</f>
        <v>40.178611341813095</v>
      </c>
      <c r="P149" s="8">
        <f>vals_ghg_excLUC!$AK149</f>
        <v>40.661565008479258</v>
      </c>
      <c r="Q149" s="9">
        <f t="shared" si="39"/>
        <v>2.9056631452114559</v>
      </c>
      <c r="R149" s="9">
        <v>28.998999999999999</v>
      </c>
      <c r="S149" s="9">
        <v>38.152000000000001</v>
      </c>
    </row>
    <row r="150" spans="1:19" x14ac:dyDescent="0.35">
      <c r="A150" s="3">
        <f>vals_ghg_excLUC!$A150</f>
        <v>1997</v>
      </c>
      <c r="B150" s="4">
        <f t="shared" si="32"/>
        <v>30.34855526586977</v>
      </c>
      <c r="C150" s="4">
        <f t="shared" si="33"/>
        <v>32.802723673318347</v>
      </c>
      <c r="D150" s="4">
        <f t="shared" si="34"/>
        <v>39.80607160893004</v>
      </c>
      <c r="E150" s="4">
        <f t="shared" si="35"/>
        <v>42.689751040057601</v>
      </c>
      <c r="F150" s="4">
        <f t="shared" si="36"/>
        <v>2.4541684074485772</v>
      </c>
      <c r="G150" s="4">
        <f t="shared" si="37"/>
        <v>0</v>
      </c>
      <c r="H150" s="4">
        <f t="shared" si="38"/>
        <v>7.0033479356116928</v>
      </c>
      <c r="I150" s="5">
        <f>vals_ghg_excLUC!$R150</f>
        <v>32.802723673318347</v>
      </c>
      <c r="J150" s="5">
        <f>vals_ghg_excLUC!$X150</f>
        <v>31.471476345821426</v>
      </c>
      <c r="K150" s="5">
        <f>vals_ghg_excLUC!$AD150</f>
        <v>30.34855526586977</v>
      </c>
      <c r="L150" s="5">
        <f>vals_ghg_excLUC!$AJ150</f>
        <v>30.741415139487881</v>
      </c>
      <c r="M150" s="5">
        <f>vals_ghg_excLUC!$S150</f>
        <v>42.689751040057601</v>
      </c>
      <c r="N150" s="5">
        <f>vals_ghg_excLUC!$Y150</f>
        <v>40.476713868796047</v>
      </c>
      <c r="O150" s="5">
        <f>vals_ghg_excLUC!$AE150</f>
        <v>39.80607160893004</v>
      </c>
      <c r="P150" s="5">
        <f>vals_ghg_excLUC!$AK150</f>
        <v>40.299544514714761</v>
      </c>
      <c r="Q150" s="9">
        <f t="shared" si="39"/>
        <v>2.8836794311275611</v>
      </c>
      <c r="R150" s="9">
        <v>28.667000000000002</v>
      </c>
      <c r="S150" s="9">
        <v>37.774000000000001</v>
      </c>
    </row>
    <row r="151" spans="1:19" x14ac:dyDescent="0.35">
      <c r="A151" s="6">
        <f>vals_ghg_excLUC!$A151</f>
        <v>1998</v>
      </c>
      <c r="B151" s="7">
        <f t="shared" si="32"/>
        <v>30.032721727559363</v>
      </c>
      <c r="C151" s="7">
        <f t="shared" si="33"/>
        <v>32.469570644152199</v>
      </c>
      <c r="D151" s="7">
        <f t="shared" si="34"/>
        <v>39.421467315673873</v>
      </c>
      <c r="E151" s="7">
        <f t="shared" si="35"/>
        <v>42.291112142212647</v>
      </c>
      <c r="F151" s="7">
        <f t="shared" si="36"/>
        <v>2.4368489165928366</v>
      </c>
      <c r="G151" s="7">
        <f t="shared" si="37"/>
        <v>0</v>
      </c>
      <c r="H151" s="7">
        <f t="shared" si="38"/>
        <v>6.9518966715216735</v>
      </c>
      <c r="I151" s="8">
        <f>vals_ghg_excLUC!$R151</f>
        <v>32.469570644152199</v>
      </c>
      <c r="J151" s="8">
        <f>vals_ghg_excLUC!$X151</f>
        <v>31.15791862271023</v>
      </c>
      <c r="K151" s="8">
        <f>vals_ghg_excLUC!$AD151</f>
        <v>30.032721727559363</v>
      </c>
      <c r="L151" s="8">
        <f>vals_ghg_excLUC!$AJ151</f>
        <v>30.440617337509458</v>
      </c>
      <c r="M151" s="8">
        <f>vals_ghg_excLUC!$S151</f>
        <v>42.291112142212647</v>
      </c>
      <c r="N151" s="8">
        <f>vals_ghg_excLUC!$Y151</f>
        <v>40.085550545515346</v>
      </c>
      <c r="O151" s="8">
        <f>vals_ghg_excLUC!$AE151</f>
        <v>39.421467315673873</v>
      </c>
      <c r="P151" s="8">
        <f>vals_ghg_excLUC!$AK151</f>
        <v>39.925675951798148</v>
      </c>
      <c r="Q151" s="9">
        <f t="shared" si="39"/>
        <v>2.8696448265387744</v>
      </c>
      <c r="R151" s="9">
        <v>28.315000000000001</v>
      </c>
      <c r="S151" s="9">
        <v>37.393000000000001</v>
      </c>
    </row>
    <row r="152" spans="1:19" x14ac:dyDescent="0.35">
      <c r="A152" s="3">
        <f>vals_ghg_excLUC!$A152</f>
        <v>1999</v>
      </c>
      <c r="B152" s="4">
        <f t="shared" si="32"/>
        <v>29.697117902020391</v>
      </c>
      <c r="C152" s="4">
        <f t="shared" si="33"/>
        <v>32.105883395844799</v>
      </c>
      <c r="D152" s="4">
        <f t="shared" si="34"/>
        <v>39.022900497271394</v>
      </c>
      <c r="E152" s="4">
        <f t="shared" si="35"/>
        <v>41.8655261345653</v>
      </c>
      <c r="F152" s="4">
        <f t="shared" si="36"/>
        <v>2.4087654938244079</v>
      </c>
      <c r="G152" s="4">
        <f t="shared" si="37"/>
        <v>0</v>
      </c>
      <c r="H152" s="4">
        <f t="shared" si="38"/>
        <v>6.9170171014265946</v>
      </c>
      <c r="I152" s="5">
        <f>vals_ghg_excLUC!$R152</f>
        <v>32.105883395844799</v>
      </c>
      <c r="J152" s="5">
        <f>vals_ghg_excLUC!$X152</f>
        <v>30.820057935717664</v>
      </c>
      <c r="K152" s="5">
        <f>vals_ghg_excLUC!$AD152</f>
        <v>29.697117902020391</v>
      </c>
      <c r="L152" s="5">
        <f>vals_ghg_excLUC!$AJ152</f>
        <v>30.120589261550574</v>
      </c>
      <c r="M152" s="5">
        <f>vals_ghg_excLUC!$S152</f>
        <v>41.8655261345653</v>
      </c>
      <c r="N152" s="5">
        <f>vals_ghg_excLUC!$Y152</f>
        <v>39.675452132573014</v>
      </c>
      <c r="O152" s="5">
        <f>vals_ghg_excLUC!$AE152</f>
        <v>39.022900497271394</v>
      </c>
      <c r="P152" s="5">
        <f>vals_ghg_excLUC!$AK152</f>
        <v>39.538197075573727</v>
      </c>
      <c r="Q152" s="9">
        <f t="shared" si="39"/>
        <v>2.8426256372939065</v>
      </c>
      <c r="R152" s="9">
        <v>27.928000000000001</v>
      </c>
      <c r="S152" s="9">
        <v>36.988</v>
      </c>
    </row>
    <row r="153" spans="1:19" x14ac:dyDescent="0.35">
      <c r="A153" s="6">
        <f>vals_ghg_excLUC!$A153</f>
        <v>2000</v>
      </c>
      <c r="B153" s="7">
        <f t="shared" si="32"/>
        <v>29.344627963812364</v>
      </c>
      <c r="C153" s="7">
        <f t="shared" si="33"/>
        <v>31.728364979174927</v>
      </c>
      <c r="D153" s="7">
        <f t="shared" si="34"/>
        <v>38.605636141872736</v>
      </c>
      <c r="E153" s="7">
        <f t="shared" si="35"/>
        <v>41.431987044762344</v>
      </c>
      <c r="F153" s="7">
        <f t="shared" si="36"/>
        <v>2.3837370153625628</v>
      </c>
      <c r="G153" s="7">
        <f t="shared" si="37"/>
        <v>0</v>
      </c>
      <c r="H153" s="7">
        <f t="shared" si="38"/>
        <v>6.8772711626978094</v>
      </c>
      <c r="I153" s="8">
        <f>vals_ghg_excLUC!$R153</f>
        <v>31.728364979174927</v>
      </c>
      <c r="J153" s="8">
        <f>vals_ghg_excLUC!$X153</f>
        <v>30.474932857116887</v>
      </c>
      <c r="K153" s="8">
        <f>vals_ghg_excLUC!$AD153</f>
        <v>29.344627963812364</v>
      </c>
      <c r="L153" s="8">
        <f>vals_ghg_excLUC!$AJ153</f>
        <v>29.782353652083632</v>
      </c>
      <c r="M153" s="8">
        <f>vals_ghg_excLUC!$S153</f>
        <v>41.431987044762344</v>
      </c>
      <c r="N153" s="8">
        <f>vals_ghg_excLUC!$Y153</f>
        <v>39.263696415452429</v>
      </c>
      <c r="O153" s="8">
        <f>vals_ghg_excLUC!$AE153</f>
        <v>38.605636141872736</v>
      </c>
      <c r="P153" s="8">
        <f>vals_ghg_excLUC!$AK153</f>
        <v>39.131763493075681</v>
      </c>
      <c r="Q153" s="9">
        <f t="shared" si="39"/>
        <v>2.8263509028896081</v>
      </c>
      <c r="R153" s="9">
        <v>27.535</v>
      </c>
      <c r="S153" s="9">
        <v>36.582000000000001</v>
      </c>
    </row>
    <row r="154" spans="1:19" x14ac:dyDescent="0.35">
      <c r="A154" s="3">
        <f>vals_ghg_excLUC!$A154</f>
        <v>2001</v>
      </c>
      <c r="B154" s="4">
        <f t="shared" si="32"/>
        <v>28.972637586355948</v>
      </c>
      <c r="C154" s="4">
        <f t="shared" si="33"/>
        <v>31.322547895961694</v>
      </c>
      <c r="D154" s="4">
        <f t="shared" si="34"/>
        <v>38.168566585698912</v>
      </c>
      <c r="E154" s="4">
        <f t="shared" si="35"/>
        <v>40.975044042732108</v>
      </c>
      <c r="F154" s="4">
        <f t="shared" si="36"/>
        <v>2.3499103096057468</v>
      </c>
      <c r="G154" s="4">
        <f t="shared" si="37"/>
        <v>0</v>
      </c>
      <c r="H154" s="4">
        <f t="shared" si="38"/>
        <v>6.8460186897372175</v>
      </c>
      <c r="I154" s="5">
        <f>vals_ghg_excLUC!$R154</f>
        <v>31.322547895961694</v>
      </c>
      <c r="J154" s="5">
        <f>vals_ghg_excLUC!$X154</f>
        <v>30.103843808557489</v>
      </c>
      <c r="K154" s="5">
        <f>vals_ghg_excLUC!$AD154</f>
        <v>28.972637586355948</v>
      </c>
      <c r="L154" s="5">
        <f>vals_ghg_excLUC!$AJ154</f>
        <v>29.421852816659072</v>
      </c>
      <c r="M154" s="5">
        <f>vals_ghg_excLUC!$S154</f>
        <v>40.975044042732108</v>
      </c>
      <c r="N154" s="5">
        <f>vals_ghg_excLUC!$Y154</f>
        <v>38.831207420318933</v>
      </c>
      <c r="O154" s="5">
        <f>vals_ghg_excLUC!$AE154</f>
        <v>38.168566585698912</v>
      </c>
      <c r="P154" s="5">
        <f>vals_ghg_excLUC!$AK154</f>
        <v>38.699897135707673</v>
      </c>
      <c r="Q154" s="9">
        <f t="shared" si="39"/>
        <v>2.8064774570331963</v>
      </c>
      <c r="R154" s="9">
        <v>27.138999999999999</v>
      </c>
      <c r="S154" s="9">
        <v>36.183999999999997</v>
      </c>
    </row>
    <row r="155" spans="1:19" x14ac:dyDescent="0.35">
      <c r="A155" s="6">
        <f>vals_ghg_excLUC!$A155</f>
        <v>2002</v>
      </c>
      <c r="B155" s="7">
        <f t="shared" si="32"/>
        <v>28.589738541532817</v>
      </c>
      <c r="C155" s="7">
        <f t="shared" si="33"/>
        <v>30.907789304286347</v>
      </c>
      <c r="D155" s="7">
        <f t="shared" si="34"/>
        <v>37.720065191998962</v>
      </c>
      <c r="E155" s="7">
        <f t="shared" si="35"/>
        <v>40.500727163368303</v>
      </c>
      <c r="F155" s="7">
        <f t="shared" si="36"/>
        <v>2.3180507627535292</v>
      </c>
      <c r="G155" s="7">
        <f t="shared" si="37"/>
        <v>0</v>
      </c>
      <c r="H155" s="7">
        <f t="shared" si="38"/>
        <v>6.8122758877126159</v>
      </c>
      <c r="I155" s="8">
        <f>vals_ghg_excLUC!$R155</f>
        <v>30.907789304286347</v>
      </c>
      <c r="J155" s="8">
        <f>vals_ghg_excLUC!$X155</f>
        <v>29.726231381519369</v>
      </c>
      <c r="K155" s="8">
        <f>vals_ghg_excLUC!$AD155</f>
        <v>28.589738541532817</v>
      </c>
      <c r="L155" s="8">
        <f>vals_ghg_excLUC!$AJ155</f>
        <v>29.048825126297796</v>
      </c>
      <c r="M155" s="8">
        <f>vals_ghg_excLUC!$S155</f>
        <v>40.500727163368303</v>
      </c>
      <c r="N155" s="8">
        <f>vals_ghg_excLUC!$Y155</f>
        <v>38.386199486077601</v>
      </c>
      <c r="O155" s="8">
        <f>vals_ghg_excLUC!$AE155</f>
        <v>37.720065191998962</v>
      </c>
      <c r="P155" s="8">
        <f>vals_ghg_excLUC!$AK155</f>
        <v>38.254100445615506</v>
      </c>
      <c r="Q155" s="9">
        <f t="shared" si="39"/>
        <v>2.7806619713693408</v>
      </c>
      <c r="R155" s="9">
        <v>26.759</v>
      </c>
      <c r="S155" s="9">
        <v>35.792999999999999</v>
      </c>
    </row>
    <row r="156" spans="1:19" x14ac:dyDescent="0.35">
      <c r="A156" s="3">
        <f>vals_ghg_excLUC!$A156</f>
        <v>2003</v>
      </c>
      <c r="B156" s="4">
        <f t="shared" si="32"/>
        <v>28.203914647928958</v>
      </c>
      <c r="C156" s="4">
        <f t="shared" si="33"/>
        <v>30.475247070154932</v>
      </c>
      <c r="D156" s="4">
        <f t="shared" si="34"/>
        <v>37.268956533979306</v>
      </c>
      <c r="E156" s="4">
        <f t="shared" si="35"/>
        <v>40.012424052562082</v>
      </c>
      <c r="F156" s="4">
        <f t="shared" si="36"/>
        <v>2.2713324222259743</v>
      </c>
      <c r="G156" s="4">
        <f t="shared" si="37"/>
        <v>0</v>
      </c>
      <c r="H156" s="4">
        <f t="shared" si="38"/>
        <v>6.7937094638243742</v>
      </c>
      <c r="I156" s="5">
        <f>vals_ghg_excLUC!$R156</f>
        <v>30.475247070154932</v>
      </c>
      <c r="J156" s="5">
        <f>vals_ghg_excLUC!$X156</f>
        <v>29.33633989853346</v>
      </c>
      <c r="K156" s="5">
        <f>vals_ghg_excLUC!$AD156</f>
        <v>28.203914647928958</v>
      </c>
      <c r="L156" s="5">
        <f>vals_ghg_excLUC!$AJ156</f>
        <v>28.675103348060976</v>
      </c>
      <c r="M156" s="5">
        <f>vals_ghg_excLUC!$S156</f>
        <v>40.012424052562082</v>
      </c>
      <c r="N156" s="5">
        <f>vals_ghg_excLUC!$Y156</f>
        <v>37.935159838670209</v>
      </c>
      <c r="O156" s="5">
        <f>vals_ghg_excLUC!$AE156</f>
        <v>37.268956533979306</v>
      </c>
      <c r="P156" s="5">
        <f>vals_ghg_excLUC!$AK156</f>
        <v>37.80756483020172</v>
      </c>
      <c r="Q156" s="9">
        <f t="shared" si="39"/>
        <v>2.7434675185827757</v>
      </c>
      <c r="R156" s="9">
        <v>26.356999999999999</v>
      </c>
      <c r="S156" s="9">
        <v>35.392000000000003</v>
      </c>
    </row>
    <row r="157" spans="1:19" x14ac:dyDescent="0.35">
      <c r="A157" s="6">
        <f>vals_ghg_excLUC!$A157</f>
        <v>2004</v>
      </c>
      <c r="B157" s="7">
        <f t="shared" si="32"/>
        <v>27.816762476781676</v>
      </c>
      <c r="C157" s="7">
        <f t="shared" si="33"/>
        <v>30.049655461026781</v>
      </c>
      <c r="D157" s="7">
        <f t="shared" si="34"/>
        <v>36.810657764508669</v>
      </c>
      <c r="E157" s="7">
        <f t="shared" si="35"/>
        <v>39.532489101767951</v>
      </c>
      <c r="F157" s="7">
        <f t="shared" si="36"/>
        <v>2.2328929842451046</v>
      </c>
      <c r="G157" s="7">
        <f t="shared" si="37"/>
        <v>0</v>
      </c>
      <c r="H157" s="7">
        <f t="shared" si="38"/>
        <v>6.761002303481888</v>
      </c>
      <c r="I157" s="8">
        <f>vals_ghg_excLUC!$R157</f>
        <v>30.049655461026781</v>
      </c>
      <c r="J157" s="8">
        <f>vals_ghg_excLUC!$X157</f>
        <v>28.952494980307158</v>
      </c>
      <c r="K157" s="8">
        <f>vals_ghg_excLUC!$AD157</f>
        <v>27.816762476781676</v>
      </c>
      <c r="L157" s="8">
        <f>vals_ghg_excLUC!$AJ157</f>
        <v>28.303855680101321</v>
      </c>
      <c r="M157" s="8">
        <f>vals_ghg_excLUC!$S157</f>
        <v>39.532489101767951</v>
      </c>
      <c r="N157" s="8">
        <f>vals_ghg_excLUC!$Y157</f>
        <v>37.490128713929685</v>
      </c>
      <c r="O157" s="8">
        <f>vals_ghg_excLUC!$AE157</f>
        <v>36.810657764508669</v>
      </c>
      <c r="P157" s="8">
        <f>vals_ghg_excLUC!$AK157</f>
        <v>37.355172088137316</v>
      </c>
      <c r="Q157" s="9">
        <f t="shared" si="39"/>
        <v>2.7218313372592817</v>
      </c>
      <c r="R157" s="9">
        <v>25.962</v>
      </c>
      <c r="S157" s="9">
        <v>35.01</v>
      </c>
    </row>
    <row r="158" spans="1:19" x14ac:dyDescent="0.35">
      <c r="A158" s="3">
        <f>vals_ghg_excLUC!$A158</f>
        <v>2005</v>
      </c>
      <c r="B158" s="4">
        <f t="shared" si="32"/>
        <v>27.431012351597033</v>
      </c>
      <c r="C158" s="4">
        <f t="shared" si="33"/>
        <v>29.614198765066252</v>
      </c>
      <c r="D158" s="4">
        <f t="shared" si="34"/>
        <v>36.362577509973285</v>
      </c>
      <c r="E158" s="4">
        <f t="shared" si="35"/>
        <v>39.045946711352926</v>
      </c>
      <c r="F158" s="4">
        <f t="shared" si="36"/>
        <v>2.1831864134692189</v>
      </c>
      <c r="G158" s="4">
        <f t="shared" si="37"/>
        <v>0</v>
      </c>
      <c r="H158" s="4">
        <f t="shared" si="38"/>
        <v>6.7483787449070327</v>
      </c>
      <c r="I158" s="5">
        <f>vals_ghg_excLUC!$R158</f>
        <v>29.614198765066252</v>
      </c>
      <c r="J158" s="5">
        <f>vals_ghg_excLUC!$X158</f>
        <v>28.565380603302465</v>
      </c>
      <c r="K158" s="5">
        <f>vals_ghg_excLUC!$AD158</f>
        <v>27.431012351597033</v>
      </c>
      <c r="L158" s="5">
        <f>vals_ghg_excLUC!$AJ158</f>
        <v>27.933257259866973</v>
      </c>
      <c r="M158" s="5">
        <f>vals_ghg_excLUC!$S158</f>
        <v>39.045946711352926</v>
      </c>
      <c r="N158" s="5">
        <f>vals_ghg_excLUC!$Y158</f>
        <v>37.045637518435186</v>
      </c>
      <c r="O158" s="5">
        <f>vals_ghg_excLUC!$AE158</f>
        <v>36.362577509973285</v>
      </c>
      <c r="P158" s="5">
        <f>vals_ghg_excLUC!$AK158</f>
        <v>36.913910790883776</v>
      </c>
      <c r="Q158" s="9">
        <f t="shared" si="39"/>
        <v>2.6833692013796409</v>
      </c>
      <c r="R158" s="9">
        <v>25.553000000000001</v>
      </c>
      <c r="S158" s="9">
        <v>34.619999999999997</v>
      </c>
    </row>
    <row r="159" spans="1:19" x14ac:dyDescent="0.35">
      <c r="A159" s="6">
        <f>vals_ghg_excLUC!$A159</f>
        <v>2006</v>
      </c>
      <c r="B159" s="7">
        <f t="shared" si="32"/>
        <v>27.05009198850491</v>
      </c>
      <c r="C159" s="7">
        <f t="shared" si="33"/>
        <v>29.181846476286466</v>
      </c>
      <c r="D159" s="7">
        <f t="shared" si="34"/>
        <v>35.926266686412809</v>
      </c>
      <c r="E159" s="7">
        <f t="shared" si="35"/>
        <v>38.564041069398961</v>
      </c>
      <c r="F159" s="7">
        <f t="shared" si="36"/>
        <v>2.1317544877815564</v>
      </c>
      <c r="G159" s="7">
        <f t="shared" si="37"/>
        <v>0</v>
      </c>
      <c r="H159" s="7">
        <f t="shared" si="38"/>
        <v>6.7444202101263429</v>
      </c>
      <c r="I159" s="8">
        <f>vals_ghg_excLUC!$R159</f>
        <v>29.181846476286466</v>
      </c>
      <c r="J159" s="8">
        <f>vals_ghg_excLUC!$X159</f>
        <v>28.186296775056206</v>
      </c>
      <c r="K159" s="8">
        <f>vals_ghg_excLUC!$AD159</f>
        <v>27.05009198850491</v>
      </c>
      <c r="L159" s="8">
        <f>vals_ghg_excLUC!$AJ159</f>
        <v>27.572240514197532</v>
      </c>
      <c r="M159" s="8">
        <f>vals_ghg_excLUC!$S159</f>
        <v>38.564041069398961</v>
      </c>
      <c r="N159" s="8">
        <f>vals_ghg_excLUC!$Y159</f>
        <v>36.611979542284836</v>
      </c>
      <c r="O159" s="8">
        <f>vals_ghg_excLUC!$AE159</f>
        <v>35.926266686412809</v>
      </c>
      <c r="P159" s="8">
        <f>vals_ghg_excLUC!$AK159</f>
        <v>36.484656602564236</v>
      </c>
      <c r="Q159" s="9">
        <f t="shared" si="39"/>
        <v>2.6377743829861515</v>
      </c>
      <c r="R159" s="9">
        <v>25.157</v>
      </c>
      <c r="S159" s="9">
        <v>34.246000000000002</v>
      </c>
    </row>
    <row r="160" spans="1:19" x14ac:dyDescent="0.35">
      <c r="A160" s="3">
        <f>vals_ghg_excLUC!$A160</f>
        <v>2007</v>
      </c>
      <c r="B160" s="4">
        <f t="shared" si="32"/>
        <v>26.688716477217206</v>
      </c>
      <c r="C160" s="4">
        <f t="shared" si="33"/>
        <v>28.765374218121604</v>
      </c>
      <c r="D160" s="4">
        <f t="shared" si="34"/>
        <v>35.504727906775372</v>
      </c>
      <c r="E160" s="4">
        <f t="shared" si="35"/>
        <v>38.088685542439634</v>
      </c>
      <c r="F160" s="4">
        <f t="shared" si="36"/>
        <v>2.0766577409043983</v>
      </c>
      <c r="G160" s="4">
        <f t="shared" si="37"/>
        <v>0</v>
      </c>
      <c r="H160" s="4">
        <f t="shared" si="38"/>
        <v>6.7393536886537682</v>
      </c>
      <c r="I160" s="5">
        <f>vals_ghg_excLUC!$R160</f>
        <v>28.765374218121604</v>
      </c>
      <c r="J160" s="5">
        <f>vals_ghg_excLUC!$X160</f>
        <v>27.818256739132696</v>
      </c>
      <c r="K160" s="5">
        <f>vals_ghg_excLUC!$AD160</f>
        <v>26.688716477217206</v>
      </c>
      <c r="L160" s="5">
        <f>vals_ghg_excLUC!$AJ160</f>
        <v>27.225067616536457</v>
      </c>
      <c r="M160" s="5">
        <f>vals_ghg_excLUC!$S160</f>
        <v>38.088685542439634</v>
      </c>
      <c r="N160" s="5">
        <f>vals_ghg_excLUC!$Y160</f>
        <v>36.180306663217266</v>
      </c>
      <c r="O160" s="5">
        <f>vals_ghg_excLUC!$AE160</f>
        <v>35.504727906775372</v>
      </c>
      <c r="P160" s="5">
        <f>vals_ghg_excLUC!$AK160</f>
        <v>36.063883402172806</v>
      </c>
      <c r="Q160" s="9">
        <f t="shared" si="39"/>
        <v>2.5839576356642624</v>
      </c>
      <c r="R160" s="9">
        <v>24.771999999999998</v>
      </c>
      <c r="S160" s="9">
        <v>33.880000000000003</v>
      </c>
    </row>
    <row r="161" spans="1:19" x14ac:dyDescent="0.35">
      <c r="A161" s="6">
        <f>vals_ghg_excLUC!$A161</f>
        <v>2008</v>
      </c>
      <c r="B161" s="7">
        <f t="shared" si="32"/>
        <v>26.317997544704337</v>
      </c>
      <c r="C161" s="7">
        <f t="shared" si="33"/>
        <v>28.33252534858557</v>
      </c>
      <c r="D161" s="7">
        <f t="shared" si="34"/>
        <v>35.073698615410059</v>
      </c>
      <c r="E161" s="7">
        <f t="shared" si="35"/>
        <v>37.594034378749299</v>
      </c>
      <c r="F161" s="7">
        <f t="shared" si="36"/>
        <v>2.0145278038812329</v>
      </c>
      <c r="G161" s="7">
        <f t="shared" si="37"/>
        <v>0</v>
      </c>
      <c r="H161" s="7">
        <f t="shared" si="38"/>
        <v>6.7411732668244895</v>
      </c>
      <c r="I161" s="8">
        <f>vals_ghg_excLUC!$R161</f>
        <v>28.33252534858557</v>
      </c>
      <c r="J161" s="8">
        <f>vals_ghg_excLUC!$X161</f>
        <v>27.432255202083628</v>
      </c>
      <c r="K161" s="8">
        <f>vals_ghg_excLUC!$AD161</f>
        <v>26.317997544704337</v>
      </c>
      <c r="L161" s="8">
        <f>vals_ghg_excLUC!$AJ161</f>
        <v>26.870499552283722</v>
      </c>
      <c r="M161" s="8">
        <f>vals_ghg_excLUC!$S161</f>
        <v>37.594034378749299</v>
      </c>
      <c r="N161" s="8">
        <f>vals_ghg_excLUC!$Y161</f>
        <v>35.72796030791887</v>
      </c>
      <c r="O161" s="8">
        <f>vals_ghg_excLUC!$AE161</f>
        <v>35.073698615410059</v>
      </c>
      <c r="P161" s="8">
        <f>vals_ghg_excLUC!$AK161</f>
        <v>35.635063577897355</v>
      </c>
      <c r="Q161" s="9">
        <f t="shared" si="39"/>
        <v>2.52033576333924</v>
      </c>
      <c r="R161" s="9">
        <v>24.36</v>
      </c>
      <c r="S161" s="9">
        <v>33.488</v>
      </c>
    </row>
    <row r="162" spans="1:19" x14ac:dyDescent="0.35">
      <c r="A162" s="3">
        <f>vals_ghg_excLUC!$A162</f>
        <v>2009</v>
      </c>
      <c r="B162" s="4">
        <f t="shared" si="32"/>
        <v>25.967034857334198</v>
      </c>
      <c r="C162" s="4">
        <f t="shared" si="33"/>
        <v>27.933831597251928</v>
      </c>
      <c r="D162" s="4">
        <f t="shared" si="34"/>
        <v>34.664698800081922</v>
      </c>
      <c r="E162" s="4">
        <f t="shared" si="35"/>
        <v>37.135372229062689</v>
      </c>
      <c r="F162" s="4">
        <f t="shared" si="36"/>
        <v>1.9667967399177293</v>
      </c>
      <c r="G162" s="4">
        <f t="shared" si="37"/>
        <v>0</v>
      </c>
      <c r="H162" s="4">
        <f t="shared" si="38"/>
        <v>6.7308672028299945</v>
      </c>
      <c r="I162" s="5">
        <f>vals_ghg_excLUC!$R162</f>
        <v>27.933831597251928</v>
      </c>
      <c r="J162" s="5">
        <f>vals_ghg_excLUC!$X162</f>
        <v>27.072407751684697</v>
      </c>
      <c r="K162" s="5">
        <f>vals_ghg_excLUC!$AD162</f>
        <v>25.967034857334198</v>
      </c>
      <c r="L162" s="5">
        <f>vals_ghg_excLUC!$AJ162</f>
        <v>26.542902371802334</v>
      </c>
      <c r="M162" s="5">
        <f>vals_ghg_excLUC!$S162</f>
        <v>37.135372229062689</v>
      </c>
      <c r="N162" s="5">
        <f>vals_ghg_excLUC!$Y162</f>
        <v>35.301024494704301</v>
      </c>
      <c r="O162" s="5">
        <f>vals_ghg_excLUC!$AE162</f>
        <v>34.664698800081922</v>
      </c>
      <c r="P162" s="5">
        <f>vals_ghg_excLUC!$AK162</f>
        <v>35.235472011043093</v>
      </c>
      <c r="Q162" s="9">
        <f t="shared" si="39"/>
        <v>2.470673428980767</v>
      </c>
      <c r="R162" s="9">
        <v>23.969000000000001</v>
      </c>
      <c r="S162" s="9">
        <v>33.125999999999998</v>
      </c>
    </row>
    <row r="163" spans="1:19" x14ac:dyDescent="0.35">
      <c r="A163" s="6">
        <f>vals_ghg_excLUC!$A163</f>
        <v>2010</v>
      </c>
      <c r="B163" s="7">
        <f t="shared" ref="B163:B177" si="40">IFERROR(_xlfn.AGGREGATE(5,6,I163:L163),"")</f>
        <v>25.675869651555789</v>
      </c>
      <c r="C163" s="7">
        <f t="shared" ref="C163:C177" si="41">IFERROR(_xlfn.AGGREGATE(4,6,I163:L163),"")</f>
        <v>27.605689294143442</v>
      </c>
      <c r="D163" s="7">
        <f t="shared" ref="D163:D177" si="42">IFERROR(_xlfn.AGGREGATE(5,6,M163:P163),"")</f>
        <v>34.339157828922424</v>
      </c>
      <c r="E163" s="7">
        <f t="shared" ref="E163:E177" si="43">IFERROR(_xlfn.AGGREGATE(4,6,M163:P163),"")</f>
        <v>36.769581798927248</v>
      </c>
      <c r="F163" s="7">
        <f t="shared" ref="F163:F177" si="44">IFERROR(MIN(C163,D163)-B163,"")</f>
        <v>1.9298196425876526</v>
      </c>
      <c r="G163" s="7">
        <f t="shared" ref="G163:G177" si="45">IFERROR(MAX(0,C163-D163),"")</f>
        <v>0</v>
      </c>
      <c r="H163" s="7">
        <f t="shared" ref="H163:H177" si="46">IFERROR(MAX(0,D163-C163),"")</f>
        <v>6.7334685347789822</v>
      </c>
      <c r="I163" s="8">
        <f>vals_ghg_excLUC!$R163</f>
        <v>27.605689294143442</v>
      </c>
      <c r="J163" s="8">
        <f>vals_ghg_excLUC!$X163</f>
        <v>26.773836561978641</v>
      </c>
      <c r="K163" s="8">
        <f>vals_ghg_excLUC!$AD163</f>
        <v>25.675869651555789</v>
      </c>
      <c r="L163" s="8">
        <f>vals_ghg_excLUC!$AJ163</f>
        <v>26.275299424974296</v>
      </c>
      <c r="M163" s="8">
        <f>vals_ghg_excLUC!$S163</f>
        <v>36.769581798927248</v>
      </c>
      <c r="N163" s="8">
        <f>vals_ghg_excLUC!$Y163</f>
        <v>34.960223157586057</v>
      </c>
      <c r="O163" s="8">
        <f>vals_ghg_excLUC!$AE163</f>
        <v>34.339157828922424</v>
      </c>
      <c r="P163" s="8">
        <f>vals_ghg_excLUC!$AK163</f>
        <v>34.921299725023957</v>
      </c>
      <c r="Q163" s="9">
        <f t="shared" ref="Q163:Q177" si="47">IFERROR(MAX(0,$E163-MAX($C163,$D163)),"")</f>
        <v>2.4304239700048242</v>
      </c>
      <c r="R163" s="9">
        <v>23.66</v>
      </c>
      <c r="S163" s="9">
        <v>32.866999999999997</v>
      </c>
    </row>
    <row r="164" spans="1:19" x14ac:dyDescent="0.35">
      <c r="A164" s="3">
        <f>vals_ghg_excLUC!$A164</f>
        <v>2011</v>
      </c>
      <c r="B164" s="4">
        <f t="shared" si="40"/>
        <v>25.362752398627208</v>
      </c>
      <c r="C164" s="4">
        <f t="shared" si="41"/>
        <v>27.27041729318967</v>
      </c>
      <c r="D164" s="4">
        <f t="shared" si="42"/>
        <v>33.989604331744204</v>
      </c>
      <c r="E164" s="4">
        <f t="shared" si="43"/>
        <v>36.394727040869917</v>
      </c>
      <c r="F164" s="4">
        <f t="shared" si="44"/>
        <v>1.9076648945624619</v>
      </c>
      <c r="G164" s="4">
        <f t="shared" si="45"/>
        <v>0</v>
      </c>
      <c r="H164" s="4">
        <f t="shared" si="46"/>
        <v>6.7191870385545336</v>
      </c>
      <c r="I164" s="5">
        <f>vals_ghg_excLUC!$R164</f>
        <v>27.27041729318967</v>
      </c>
      <c r="J164" s="5">
        <f>vals_ghg_excLUC!$X164</f>
        <v>26.45613128473563</v>
      </c>
      <c r="K164" s="5">
        <f>vals_ghg_excLUC!$AD164</f>
        <v>25.362752398627208</v>
      </c>
      <c r="L164" s="5">
        <f>vals_ghg_excLUC!$AJ164</f>
        <v>25.991681239320798</v>
      </c>
      <c r="M164" s="5">
        <f>vals_ghg_excLUC!$S164</f>
        <v>36.394727040869917</v>
      </c>
      <c r="N164" s="5">
        <f>vals_ghg_excLUC!$Y164</f>
        <v>34.59501935916542</v>
      </c>
      <c r="O164" s="5">
        <f>vals_ghg_excLUC!$AE164</f>
        <v>33.989604331744204</v>
      </c>
      <c r="P164" s="5">
        <f>vals_ghg_excLUC!$AK164</f>
        <v>34.592058782764553</v>
      </c>
      <c r="Q164" s="9">
        <f t="shared" si="47"/>
        <v>2.4051227091257132</v>
      </c>
      <c r="R164" s="9">
        <v>23.353000000000002</v>
      </c>
      <c r="S164" s="9">
        <v>32.613</v>
      </c>
    </row>
    <row r="165" spans="1:19" x14ac:dyDescent="0.35">
      <c r="A165" s="6">
        <f>vals_ghg_excLUC!$A165</f>
        <v>2012</v>
      </c>
      <c r="B165" s="7">
        <f t="shared" si="40"/>
        <v>25.10518091358529</v>
      </c>
      <c r="C165" s="7">
        <f t="shared" si="41"/>
        <v>26.997217675934948</v>
      </c>
      <c r="D165" s="7">
        <f t="shared" si="42"/>
        <v>33.686520826139201</v>
      </c>
      <c r="E165" s="7">
        <f t="shared" si="43"/>
        <v>36.077211628903392</v>
      </c>
      <c r="F165" s="7">
        <f t="shared" si="44"/>
        <v>1.8920367623496581</v>
      </c>
      <c r="G165" s="7">
        <f t="shared" si="45"/>
        <v>0</v>
      </c>
      <c r="H165" s="7">
        <f t="shared" si="46"/>
        <v>6.6893031502042533</v>
      </c>
      <c r="I165" s="8">
        <f>vals_ghg_excLUC!$R165</f>
        <v>26.997217675934948</v>
      </c>
      <c r="J165" s="8">
        <f>vals_ghg_excLUC!$X165</f>
        <v>26.194890772731881</v>
      </c>
      <c r="K165" s="8">
        <f>vals_ghg_excLUC!$AD165</f>
        <v>25.10518091358529</v>
      </c>
      <c r="L165" s="8">
        <f>vals_ghg_excLUC!$AJ165</f>
        <v>25.754011717453469</v>
      </c>
      <c r="M165" s="8">
        <f>vals_ghg_excLUC!$S165</f>
        <v>36.077211628903392</v>
      </c>
      <c r="N165" s="8">
        <f>vals_ghg_excLUC!$Y165</f>
        <v>34.280444029367956</v>
      </c>
      <c r="O165" s="8">
        <f>vals_ghg_excLUC!$AE165</f>
        <v>33.686520826139201</v>
      </c>
      <c r="P165" s="8">
        <f>vals_ghg_excLUC!$AK165</f>
        <v>34.297346465362722</v>
      </c>
      <c r="Q165" s="9">
        <f t="shared" si="47"/>
        <v>2.3906908027641904</v>
      </c>
      <c r="R165" s="9">
        <v>23.137</v>
      </c>
      <c r="S165" s="9">
        <v>32.435000000000002</v>
      </c>
    </row>
    <row r="166" spans="1:19" x14ac:dyDescent="0.35">
      <c r="A166" s="3">
        <f>vals_ghg_excLUC!$A166</f>
        <v>2013</v>
      </c>
      <c r="B166" s="4">
        <f t="shared" si="40"/>
        <v>24.8714249639659</v>
      </c>
      <c r="C166" s="4">
        <f t="shared" si="41"/>
        <v>26.752756359979564</v>
      </c>
      <c r="D166" s="4">
        <f t="shared" si="42"/>
        <v>33.411287970770914</v>
      </c>
      <c r="E166" s="4">
        <f t="shared" si="43"/>
        <v>35.789432241264748</v>
      </c>
      <c r="F166" s="4">
        <f t="shared" si="44"/>
        <v>1.8813313960136639</v>
      </c>
      <c r="G166" s="4">
        <f t="shared" si="45"/>
        <v>0</v>
      </c>
      <c r="H166" s="4">
        <f t="shared" si="46"/>
        <v>6.6585316107913499</v>
      </c>
      <c r="I166" s="5">
        <f>vals_ghg_excLUC!$R166</f>
        <v>26.752756359979564</v>
      </c>
      <c r="J166" s="5">
        <f>vals_ghg_excLUC!$X166</f>
        <v>25.959277362271322</v>
      </c>
      <c r="K166" s="5">
        <f>vals_ghg_excLUC!$AD166</f>
        <v>24.8714249639659</v>
      </c>
      <c r="L166" s="5">
        <f>vals_ghg_excLUC!$AJ166</f>
        <v>25.537890634362569</v>
      </c>
      <c r="M166" s="5">
        <f>vals_ghg_excLUC!$S166</f>
        <v>35.789432241264748</v>
      </c>
      <c r="N166" s="5">
        <f>vals_ghg_excLUC!$Y166</f>
        <v>33.991137027595563</v>
      </c>
      <c r="O166" s="5">
        <f>vals_ghg_excLUC!$AE166</f>
        <v>33.411287970770914</v>
      </c>
      <c r="P166" s="5">
        <f>vals_ghg_excLUC!$AK166</f>
        <v>34.031526866774847</v>
      </c>
      <c r="Q166" s="9">
        <f t="shared" si="47"/>
        <v>2.3781442704938343</v>
      </c>
      <c r="R166" s="9">
        <v>22.966000000000001</v>
      </c>
      <c r="S166" s="9">
        <v>32.29</v>
      </c>
    </row>
    <row r="167" spans="1:19" x14ac:dyDescent="0.35">
      <c r="A167" s="6">
        <f>vals_ghg_excLUC!$A167</f>
        <v>2014</v>
      </c>
      <c r="B167" s="7">
        <f t="shared" si="40"/>
        <v>24.617547633913599</v>
      </c>
      <c r="C167" s="7">
        <f t="shared" si="41"/>
        <v>26.464095495748925</v>
      </c>
      <c r="D167" s="7">
        <f t="shared" si="42"/>
        <v>33.137595917301184</v>
      </c>
      <c r="E167" s="7">
        <f t="shared" si="43"/>
        <v>35.479018769547658</v>
      </c>
      <c r="F167" s="7">
        <f t="shared" si="44"/>
        <v>1.8465478618353259</v>
      </c>
      <c r="G167" s="7">
        <f t="shared" si="45"/>
        <v>0</v>
      </c>
      <c r="H167" s="7">
        <f t="shared" si="46"/>
        <v>6.6735004215522586</v>
      </c>
      <c r="I167" s="8">
        <f>vals_ghg_excLUC!$R167</f>
        <v>26.464095495748925</v>
      </c>
      <c r="J167" s="8">
        <f>vals_ghg_excLUC!$X167</f>
        <v>25.679486026818822</v>
      </c>
      <c r="K167" s="8">
        <f>vals_ghg_excLUC!$AD167</f>
        <v>24.617547633913599</v>
      </c>
      <c r="L167" s="8">
        <f>vals_ghg_excLUC!$AJ167</f>
        <v>25.31414217650395</v>
      </c>
      <c r="M167" s="8">
        <f>vals_ghg_excLUC!$S167</f>
        <v>35.479018769547658</v>
      </c>
      <c r="N167" s="8">
        <f>vals_ghg_excLUC!$Y167</f>
        <v>33.676936698554435</v>
      </c>
      <c r="O167" s="8">
        <f>vals_ghg_excLUC!$AE167</f>
        <v>33.137595917301184</v>
      </c>
      <c r="P167" s="8">
        <f>vals_ghg_excLUC!$AK167</f>
        <v>33.780147284396051</v>
      </c>
      <c r="Q167" s="9">
        <f t="shared" si="47"/>
        <v>2.341422852246474</v>
      </c>
      <c r="R167" s="9">
        <v>22.753</v>
      </c>
      <c r="S167" s="9">
        <v>32.110999999999997</v>
      </c>
    </row>
    <row r="168" spans="1:19" x14ac:dyDescent="0.35">
      <c r="A168" s="3">
        <f>vals_ghg_excLUC!$A168</f>
        <v>2015</v>
      </c>
      <c r="B168" s="4">
        <f t="shared" si="40"/>
        <v>24.367036162560805</v>
      </c>
      <c r="C168" s="4">
        <f t="shared" si="41"/>
        <v>26.173085586145433</v>
      </c>
      <c r="D168" s="4">
        <f t="shared" si="42"/>
        <v>32.880202088192036</v>
      </c>
      <c r="E168" s="4">
        <f t="shared" si="43"/>
        <v>35.178242582128036</v>
      </c>
      <c r="F168" s="4">
        <f t="shared" si="44"/>
        <v>1.8060494235846285</v>
      </c>
      <c r="G168" s="4">
        <f t="shared" si="45"/>
        <v>0</v>
      </c>
      <c r="H168" s="4">
        <f t="shared" si="46"/>
        <v>6.7071165020466026</v>
      </c>
      <c r="I168" s="5">
        <f>vals_ghg_excLUC!$R168</f>
        <v>26.173085586145433</v>
      </c>
      <c r="J168" s="5">
        <f>vals_ghg_excLUC!$X168</f>
        <v>25.403633982151884</v>
      </c>
      <c r="K168" s="5">
        <f>vals_ghg_excLUC!$AD168</f>
        <v>24.367036162560805</v>
      </c>
      <c r="L168" s="5">
        <f>vals_ghg_excLUC!$AJ168</f>
        <v>25.088289244689843</v>
      </c>
      <c r="M168" s="5">
        <f>vals_ghg_excLUC!$S168</f>
        <v>35.178242582128036</v>
      </c>
      <c r="N168" s="5">
        <f>vals_ghg_excLUC!$Y168</f>
        <v>33.379072864129625</v>
      </c>
      <c r="O168" s="5">
        <f>vals_ghg_excLUC!$AE168</f>
        <v>32.880202088192036</v>
      </c>
      <c r="P168" s="5">
        <f>vals_ghg_excLUC!$AK168</f>
        <v>33.541341737788045</v>
      </c>
      <c r="Q168" s="9">
        <f t="shared" si="47"/>
        <v>2.298040493936</v>
      </c>
      <c r="R168" s="9">
        <v>22.530999999999999</v>
      </c>
      <c r="S168" s="9">
        <v>31.92</v>
      </c>
    </row>
    <row r="169" spans="1:19" x14ac:dyDescent="0.35">
      <c r="A169" s="6">
        <f>vals_ghg_excLUC!$A169</f>
        <v>2016</v>
      </c>
      <c r="B169" s="7">
        <f t="shared" si="40"/>
        <v>24.087315208372885</v>
      </c>
      <c r="C169" s="7">
        <f t="shared" si="41"/>
        <v>25.860755085738891</v>
      </c>
      <c r="D169" s="7">
        <f t="shared" si="42"/>
        <v>32.593933828780337</v>
      </c>
      <c r="E169" s="7">
        <f t="shared" si="43"/>
        <v>34.855118054693918</v>
      </c>
      <c r="F169" s="7">
        <f t="shared" si="44"/>
        <v>1.7734398773660054</v>
      </c>
      <c r="G169" s="7">
        <f t="shared" si="45"/>
        <v>0</v>
      </c>
      <c r="H169" s="7">
        <f t="shared" si="46"/>
        <v>6.7331787430414458</v>
      </c>
      <c r="I169" s="8">
        <f>vals_ghg_excLUC!$R169</f>
        <v>25.860755085738891</v>
      </c>
      <c r="J169" s="8">
        <f>vals_ghg_excLUC!$X169</f>
        <v>25.124328888319052</v>
      </c>
      <c r="K169" s="8">
        <f>vals_ghg_excLUC!$AD169</f>
        <v>24.087315208372885</v>
      </c>
      <c r="L169" s="8">
        <f>vals_ghg_excLUC!$AJ169</f>
        <v>24.825156758508356</v>
      </c>
      <c r="M169" s="8">
        <f>vals_ghg_excLUC!$S169</f>
        <v>34.855118054693918</v>
      </c>
      <c r="N169" s="8">
        <f>vals_ghg_excLUC!$Y169</f>
        <v>33.087146059513259</v>
      </c>
      <c r="O169" s="8">
        <f>vals_ghg_excLUC!$AE169</f>
        <v>32.593933828780337</v>
      </c>
      <c r="P169" s="8">
        <f>vals_ghg_excLUC!$AK169</f>
        <v>33.279421023226057</v>
      </c>
      <c r="Q169" s="9">
        <f t="shared" si="47"/>
        <v>2.2611842259135813</v>
      </c>
      <c r="R169" s="9">
        <v>22.285</v>
      </c>
      <c r="S169" s="9">
        <v>31.701000000000001</v>
      </c>
    </row>
    <row r="170" spans="1:19" x14ac:dyDescent="0.35">
      <c r="A170" s="3">
        <f>vals_ghg_excLUC!$A170</f>
        <v>2017</v>
      </c>
      <c r="B170" s="4">
        <f t="shared" si="40"/>
        <v>23.793000924846979</v>
      </c>
      <c r="C170" s="4">
        <f t="shared" si="41"/>
        <v>25.53849508698567</v>
      </c>
      <c r="D170" s="4">
        <f t="shared" si="42"/>
        <v>32.28658423909301</v>
      </c>
      <c r="E170" s="4">
        <f t="shared" si="43"/>
        <v>34.504147840207018</v>
      </c>
      <c r="F170" s="4">
        <f t="shared" si="44"/>
        <v>1.7454941621386908</v>
      </c>
      <c r="G170" s="4">
        <f t="shared" si="45"/>
        <v>0</v>
      </c>
      <c r="H170" s="4">
        <f t="shared" si="46"/>
        <v>6.7480891521073403</v>
      </c>
      <c r="I170" s="5">
        <f>vals_ghg_excLUC!$R170</f>
        <v>25.53849508698567</v>
      </c>
      <c r="J170" s="5">
        <f>vals_ghg_excLUC!$X170</f>
        <v>24.85336644886257</v>
      </c>
      <c r="K170" s="5">
        <f>vals_ghg_excLUC!$AD170</f>
        <v>23.793000924846979</v>
      </c>
      <c r="L170" s="5">
        <f>vals_ghg_excLUC!$AJ170</f>
        <v>24.5529414104838</v>
      </c>
      <c r="M170" s="5">
        <f>vals_ghg_excLUC!$S170</f>
        <v>34.504147840207018</v>
      </c>
      <c r="N170" s="5">
        <f>vals_ghg_excLUC!$Y170</f>
        <v>32.792755335653546</v>
      </c>
      <c r="O170" s="5">
        <f>vals_ghg_excLUC!$AE170</f>
        <v>32.28658423909301</v>
      </c>
      <c r="P170" s="5">
        <f>vals_ghg_excLUC!$AK170</f>
        <v>32.998351403989226</v>
      </c>
      <c r="Q170" s="9">
        <f t="shared" si="47"/>
        <v>2.2175636011140085</v>
      </c>
      <c r="R170" s="9">
        <v>22.045000000000002</v>
      </c>
      <c r="S170" s="9">
        <v>31.442</v>
      </c>
    </row>
    <row r="171" spans="1:19" x14ac:dyDescent="0.35">
      <c r="A171" s="6">
        <f>vals_ghg_excLUC!$A171</f>
        <v>2018</v>
      </c>
      <c r="B171" s="7">
        <f t="shared" si="40"/>
        <v>23.484898220091281</v>
      </c>
      <c r="C171" s="7">
        <f t="shared" si="41"/>
        <v>25.201360283693774</v>
      </c>
      <c r="D171" s="7">
        <f t="shared" si="42"/>
        <v>31.952542075988173</v>
      </c>
      <c r="E171" s="7">
        <f t="shared" si="43"/>
        <v>34.122000353872124</v>
      </c>
      <c r="F171" s="7">
        <f t="shared" si="44"/>
        <v>1.7164620636024921</v>
      </c>
      <c r="G171" s="7">
        <f t="shared" si="45"/>
        <v>0</v>
      </c>
      <c r="H171" s="7">
        <f t="shared" si="46"/>
        <v>6.7511817922943997</v>
      </c>
      <c r="I171" s="8">
        <f>vals_ghg_excLUC!$R171</f>
        <v>25.201360283693774</v>
      </c>
      <c r="J171" s="8">
        <f>vals_ghg_excLUC!$X171</f>
        <v>24.586771116041874</v>
      </c>
      <c r="K171" s="8">
        <f>vals_ghg_excLUC!$AD171</f>
        <v>23.484898220091281</v>
      </c>
      <c r="L171" s="8">
        <f>vals_ghg_excLUC!$AJ171</f>
        <v>24.260421136774632</v>
      </c>
      <c r="M171" s="8">
        <f>vals_ghg_excLUC!$S171</f>
        <v>34.122000353872124</v>
      </c>
      <c r="N171" s="8">
        <f>vals_ghg_excLUC!$Y171</f>
        <v>32.494573736788759</v>
      </c>
      <c r="O171" s="8">
        <f>vals_ghg_excLUC!$AE171</f>
        <v>31.952542075988173</v>
      </c>
      <c r="P171" s="8">
        <f>vals_ghg_excLUC!$AK171</f>
        <v>32.687747331316849</v>
      </c>
      <c r="Q171" s="9">
        <f t="shared" si="47"/>
        <v>2.1694582778839511</v>
      </c>
      <c r="R171" s="9">
        <v>21.794</v>
      </c>
      <c r="S171" s="9">
        <v>31.152999999999999</v>
      </c>
    </row>
    <row r="172" spans="1:19" x14ac:dyDescent="0.35">
      <c r="A172" s="3">
        <f>vals_ghg_excLUC!$A172</f>
        <v>2019</v>
      </c>
      <c r="B172" s="4">
        <f t="shared" si="40"/>
        <v>23.137727784864619</v>
      </c>
      <c r="C172" s="4">
        <f t="shared" si="41"/>
        <v>24.808860545762997</v>
      </c>
      <c r="D172" s="4">
        <f t="shared" si="42"/>
        <v>31.565944669229513</v>
      </c>
      <c r="E172" s="4">
        <f t="shared" si="43"/>
        <v>33.672744261925118</v>
      </c>
      <c r="F172" s="4">
        <f t="shared" si="44"/>
        <v>1.6711327608983773</v>
      </c>
      <c r="G172" s="4">
        <f t="shared" si="45"/>
        <v>0</v>
      </c>
      <c r="H172" s="4">
        <f t="shared" si="46"/>
        <v>6.757084123466516</v>
      </c>
      <c r="I172" s="5">
        <f>vals_ghg_excLUC!$R172</f>
        <v>24.808860545762997</v>
      </c>
      <c r="J172" s="5">
        <f>vals_ghg_excLUC!$X172</f>
        <v>24.265218806085283</v>
      </c>
      <c r="K172" s="5">
        <f>vals_ghg_excLUC!$AD172</f>
        <v>23.137727784864619</v>
      </c>
      <c r="L172" s="5">
        <f>vals_ghg_excLUC!$AJ172</f>
        <v>23.89369276644187</v>
      </c>
      <c r="M172" s="5">
        <f>vals_ghg_excLUC!$S172</f>
        <v>33.672744261925118</v>
      </c>
      <c r="N172" s="5">
        <f>vals_ghg_excLUC!$Y172</f>
        <v>32.126869393204728</v>
      </c>
      <c r="O172" s="5">
        <f>vals_ghg_excLUC!$AE172</f>
        <v>31.565944669229513</v>
      </c>
      <c r="P172" s="5">
        <f>vals_ghg_excLUC!$AK172</f>
        <v>32.284541582431345</v>
      </c>
      <c r="Q172" s="9">
        <f t="shared" si="47"/>
        <v>2.1067995926956051</v>
      </c>
      <c r="R172" s="9">
        <v>21.491</v>
      </c>
      <c r="S172" s="9">
        <v>30.786999999999999</v>
      </c>
    </row>
    <row r="173" spans="1:19" x14ac:dyDescent="0.35">
      <c r="A173" s="6">
        <f>vals_ghg_excLUC!$A173</f>
        <v>2020</v>
      </c>
      <c r="B173" s="7">
        <f t="shared" si="40"/>
        <v>22.797758948443402</v>
      </c>
      <c r="C173" s="7">
        <f t="shared" si="41"/>
        <v>24.439149311310427</v>
      </c>
      <c r="D173" s="7">
        <f t="shared" si="42"/>
        <v>31.191833318191094</v>
      </c>
      <c r="E173" s="7">
        <f t="shared" si="43"/>
        <v>33.265610196826692</v>
      </c>
      <c r="F173" s="7">
        <f t="shared" si="44"/>
        <v>1.6413903628670248</v>
      </c>
      <c r="G173" s="7">
        <f t="shared" si="45"/>
        <v>0</v>
      </c>
      <c r="H173" s="7">
        <f t="shared" si="46"/>
        <v>6.7526840068806671</v>
      </c>
      <c r="I173" s="8">
        <f>vals_ghg_excLUC!$R173</f>
        <v>24.439149311310427</v>
      </c>
      <c r="J173" s="8">
        <f>vals_ghg_excLUC!$X173</f>
        <v>23.96451333864205</v>
      </c>
      <c r="K173" s="8">
        <f>vals_ghg_excLUC!$AD173</f>
        <v>22.797758948443402</v>
      </c>
      <c r="L173" s="8">
        <f>vals_ghg_excLUC!$AJ173</f>
        <v>23.531623790560523</v>
      </c>
      <c r="M173" s="8">
        <f>vals_ghg_excLUC!$S173</f>
        <v>33.265610196826692</v>
      </c>
      <c r="N173" s="8">
        <f>vals_ghg_excLUC!$Y173</f>
        <v>31.792422912987643</v>
      </c>
      <c r="O173" s="8">
        <f>vals_ghg_excLUC!$AE173</f>
        <v>31.191833318191094</v>
      </c>
      <c r="P173" s="8">
        <f>vals_ghg_excLUC!$AK173</f>
        <v>31.904653795049505</v>
      </c>
      <c r="Q173" s="9">
        <f t="shared" si="47"/>
        <v>2.0737768786355986</v>
      </c>
      <c r="R173" s="9">
        <v>21.195</v>
      </c>
      <c r="S173" s="9">
        <v>30.446999999999999</v>
      </c>
    </row>
    <row r="174" spans="1:19" x14ac:dyDescent="0.35">
      <c r="A174" s="3">
        <f>vals_ghg_excLUC!$A174</f>
        <v>2021</v>
      </c>
      <c r="B174" s="4">
        <f t="shared" si="40"/>
        <v>22.621710561294321</v>
      </c>
      <c r="C174" s="4">
        <f t="shared" si="41"/>
        <v>24.254401392537442</v>
      </c>
      <c r="D174" s="4">
        <f t="shared" si="42"/>
        <v>30.96792195280182</v>
      </c>
      <c r="E174" s="4">
        <f t="shared" si="43"/>
        <v>33.018154644798258</v>
      </c>
      <c r="F174" s="4">
        <f t="shared" si="44"/>
        <v>1.6326908312431208</v>
      </c>
      <c r="G174" s="4">
        <f t="shared" si="45"/>
        <v>0</v>
      </c>
      <c r="H174" s="4">
        <f t="shared" si="46"/>
        <v>6.7135205602643779</v>
      </c>
      <c r="I174" s="5">
        <f>vals_ghg_excLUC!$R174</f>
        <v>24.254401392537442</v>
      </c>
      <c r="J174" s="5">
        <f>vals_ghg_excLUC!$X174</f>
        <v>23.872318861588695</v>
      </c>
      <c r="K174" s="5">
        <f>vals_ghg_excLUC!$AD174</f>
        <v>22.621710561294321</v>
      </c>
      <c r="L174" s="5">
        <f>vals_ghg_excLUC!$AJ174</f>
        <v>23.390730061024012</v>
      </c>
      <c r="M174" s="5">
        <f>vals_ghg_excLUC!$S174</f>
        <v>33.018154644798258</v>
      </c>
      <c r="N174" s="5">
        <f>vals_ghg_excLUC!$Y174</f>
        <v>31.650458672735066</v>
      </c>
      <c r="O174" s="5">
        <f>vals_ghg_excLUC!$AE174</f>
        <v>30.96792195280182</v>
      </c>
      <c r="P174" s="5">
        <f>vals_ghg_excLUC!$AK174</f>
        <v>31.738204553785536</v>
      </c>
      <c r="Q174" s="9">
        <f t="shared" si="47"/>
        <v>2.0502326919964382</v>
      </c>
      <c r="R174" s="9">
        <v>21.122</v>
      </c>
      <c r="S174" s="9">
        <v>30.274000000000001</v>
      </c>
    </row>
    <row r="175" spans="1:19" x14ac:dyDescent="0.35">
      <c r="A175" s="6">
        <f>vals_ghg_excLUC!$A175</f>
        <v>2022</v>
      </c>
      <c r="B175" s="7">
        <f t="shared" si="40"/>
        <v>22.345478782688009</v>
      </c>
      <c r="C175" s="7">
        <f t="shared" si="41"/>
        <v>23.886424027941462</v>
      </c>
      <c r="D175" s="7">
        <f t="shared" si="42"/>
        <v>30.565124215200179</v>
      </c>
      <c r="E175" s="7">
        <f t="shared" si="43"/>
        <v>32.542284900368379</v>
      </c>
      <c r="F175" s="7">
        <f t="shared" si="44"/>
        <v>1.5409452452534538</v>
      </c>
      <c r="G175" s="7">
        <f t="shared" si="45"/>
        <v>0</v>
      </c>
      <c r="H175" s="7">
        <f t="shared" si="46"/>
        <v>6.6787001872587162</v>
      </c>
      <c r="I175" s="8">
        <f>vals_ghg_excLUC!$R175</f>
        <v>23.886424027941462</v>
      </c>
      <c r="J175" s="8">
        <f>vals_ghg_excLUC!$X175</f>
        <v>23.693464924117976</v>
      </c>
      <c r="K175" s="8">
        <f>vals_ghg_excLUC!$AD175</f>
        <v>22.345478782688009</v>
      </c>
      <c r="L175" s="8">
        <f>vals_ghg_excLUC!$AJ175</f>
        <v>23.155061636279108</v>
      </c>
      <c r="M175" s="8">
        <f>vals_ghg_excLUC!$S175</f>
        <v>32.542284900368379</v>
      </c>
      <c r="N175" s="8">
        <f>vals_ghg_excLUC!$Y175</f>
        <v>31.380720994961898</v>
      </c>
      <c r="O175" s="8">
        <f>vals_ghg_excLUC!$AE175</f>
        <v>30.565124215200179</v>
      </c>
      <c r="P175" s="8">
        <f>vals_ghg_excLUC!$AK175</f>
        <v>31.36107059802724</v>
      </c>
      <c r="Q175" s="9">
        <f t="shared" si="47"/>
        <v>1.9771606851682009</v>
      </c>
      <c r="R175" s="9">
        <v>20.824000000000002</v>
      </c>
      <c r="S175" s="9">
        <v>29.821000000000002</v>
      </c>
    </row>
    <row r="176" spans="1:19" x14ac:dyDescent="0.35">
      <c r="A176" s="3">
        <f>vals_ghg_excLUC!$A176</f>
        <v>2023</v>
      </c>
      <c r="B176" s="4">
        <f t="shared" si="40"/>
        <v>21.909650548042364</v>
      </c>
      <c r="C176" s="4">
        <f t="shared" si="41"/>
        <v>23.507402216203879</v>
      </c>
      <c r="D176" s="4">
        <f t="shared" si="42"/>
        <v>30.082933794566237</v>
      </c>
      <c r="E176" s="4">
        <f t="shared" si="43"/>
        <v>32.07692845849153</v>
      </c>
      <c r="F176" s="4">
        <f t="shared" si="44"/>
        <v>1.5977516681615143</v>
      </c>
      <c r="G176" s="4">
        <f t="shared" si="45"/>
        <v>0</v>
      </c>
      <c r="H176" s="4">
        <f t="shared" si="46"/>
        <v>6.5755315783623587</v>
      </c>
      <c r="I176" s="5">
        <f>vals_ghg_excLUC!$R176</f>
        <v>23.429090509986398</v>
      </c>
      <c r="J176" s="5">
        <f>vals_ghg_excLUC!$X176</f>
        <v>23.507402216203879</v>
      </c>
      <c r="K176" s="5">
        <f>vals_ghg_excLUC!$AD176</f>
        <v>21.909650548042364</v>
      </c>
      <c r="L176" s="5">
        <f>vals_ghg_excLUC!$AJ176</f>
        <v>22.63868373244577</v>
      </c>
      <c r="M176" s="5">
        <f>vals_ghg_excLUC!$S176</f>
        <v>32.07692845849153</v>
      </c>
      <c r="N176" s="5">
        <f>vals_ghg_excLUC!$Y176</f>
        <v>31.197464674276148</v>
      </c>
      <c r="O176" s="5">
        <f>vals_ghg_excLUC!$AE176</f>
        <v>30.082933794566237</v>
      </c>
      <c r="P176" s="5">
        <f>vals_ghg_excLUC!$AK176</f>
        <v>30.770028681063938</v>
      </c>
      <c r="Q176" s="9">
        <f t="shared" si="47"/>
        <v>1.9939946639252923</v>
      </c>
      <c r="R176" s="9">
        <v>20.52</v>
      </c>
      <c r="S176" s="9">
        <v>29.513999999999999</v>
      </c>
    </row>
    <row r="177" spans="1:19" x14ac:dyDescent="0.35">
      <c r="A177" s="6">
        <f>vals_ghg_excLUC!$A177</f>
        <v>2024</v>
      </c>
      <c r="B177" s="7">
        <f t="shared" si="40"/>
        <v>21.729549270643705</v>
      </c>
      <c r="C177" s="7">
        <f t="shared" si="41"/>
        <v>24.324958311054846</v>
      </c>
      <c r="D177" s="7">
        <f t="shared" si="42"/>
        <v>29.90605485455259</v>
      </c>
      <c r="E177" s="7">
        <f t="shared" si="43"/>
        <v>32.229387245274339</v>
      </c>
      <c r="F177" s="7">
        <f t="shared" si="44"/>
        <v>2.5954090404111412</v>
      </c>
      <c r="G177" s="7">
        <f t="shared" si="45"/>
        <v>0</v>
      </c>
      <c r="H177" s="7">
        <f t="shared" si="46"/>
        <v>5.5810965434977433</v>
      </c>
      <c r="I177" s="8">
        <f>vals_ghg_excLUC!$R177</f>
        <v>23.206093264282856</v>
      </c>
      <c r="J177" s="8">
        <f>vals_ghg_excLUC!$X177</f>
        <v>24.324958311054846</v>
      </c>
      <c r="K177" s="8">
        <f>vals_ghg_excLUC!$AD177</f>
        <v>21.729549270643705</v>
      </c>
      <c r="L177" s="8" t="e">
        <f>vals_ghg_excLUC!$AJ177</f>
        <v>#N/A</v>
      </c>
      <c r="M177" s="8">
        <f>vals_ghg_excLUC!$S177</f>
        <v>31.882786293130572</v>
      </c>
      <c r="N177" s="8">
        <f>vals_ghg_excLUC!$Y177</f>
        <v>32.229387245274339</v>
      </c>
      <c r="O177" s="8">
        <f>vals_ghg_excLUC!$AE177</f>
        <v>29.90605485455259</v>
      </c>
      <c r="P177" s="8" t="e">
        <f>vals_ghg_excLUC!$AK177</f>
        <v>#N/A</v>
      </c>
      <c r="Q177" s="9">
        <f t="shared" si="47"/>
        <v>2.3233323907217489</v>
      </c>
      <c r="R177" s="9">
        <v>20.373999999999999</v>
      </c>
      <c r="S177" s="9">
        <v>29.414999999999999</v>
      </c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B5DD-CE1F-40C1-A177-8F1AA90EA46B}">
  <dimension ref="A2:AK177"/>
  <sheetViews>
    <sheetView workbookViewId="0"/>
  </sheetViews>
  <sheetFormatPr defaultRowHeight="14.5" x14ac:dyDescent="0.35"/>
  <sheetData>
    <row r="2" spans="1:3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</row>
    <row r="3" spans="1:37" x14ac:dyDescent="0.35">
      <c r="A3">
        <v>1850</v>
      </c>
      <c r="B3">
        <v>1290.9359999999999</v>
      </c>
      <c r="C3">
        <v>2094.8820000000001</v>
      </c>
      <c r="D3">
        <v>1537.8610000000001</v>
      </c>
      <c r="E3">
        <v>891.93</v>
      </c>
      <c r="F3">
        <v>1211.4929999999999</v>
      </c>
      <c r="G3">
        <v>823.42899999999997</v>
      </c>
      <c r="H3">
        <v>1290.9359999999999</v>
      </c>
      <c r="I3">
        <v>2094.8820000000001</v>
      </c>
      <c r="J3">
        <v>1537.8610000000001</v>
      </c>
      <c r="K3">
        <v>1053.2729999999999</v>
      </c>
      <c r="L3">
        <v>1399.0609999999999</v>
      </c>
      <c r="M3">
        <v>945.55700000000002</v>
      </c>
      <c r="N3">
        <f>IF(ISBLANK($B3),NA(),IFERROR(SUM($B3:$B$177),NA()))</f>
        <v>1078015.4169999997</v>
      </c>
      <c r="O3">
        <f>IF(ISBLANK($C3),NA(),IFERROR(SUM($C3:$C$177),NA()))</f>
        <v>1463023.9169999992</v>
      </c>
      <c r="P3">
        <f>IF(ISBLANK($D3),NA(),IFERROR(SUM($D3:$D$177),NA()))</f>
        <v>1393816.3109999998</v>
      </c>
      <c r="Q3">
        <f t="shared" ref="Q3:Q34" si="0">IFERROR(O3+P3,"")</f>
        <v>2856840.2279999992</v>
      </c>
      <c r="R3">
        <f t="shared" ref="R3:R34" si="1">IFERROR(N3/Q3*100,NA())</f>
        <v>37.734536444647119</v>
      </c>
      <c r="S3">
        <f t="shared" ref="S3:S34" si="2">IFERROR(O3/Q3*100,NA())</f>
        <v>51.211261402049942</v>
      </c>
      <c r="T3">
        <f>IF(ISBLANK($E3),NA(),IFERROR(SUM($E3:$E$177),NA()))</f>
        <v>951442.3339999998</v>
      </c>
      <c r="U3">
        <f>IF(ISBLANK($F3),NA(),IFERROR(SUM($F3:$F$177),NA()))</f>
        <v>1207192.1059999999</v>
      </c>
      <c r="V3">
        <f>IF(ISBLANK($G3),NA(),IFERROR(SUM($G3:$G$177),NA()))</f>
        <v>1042057.3429999998</v>
      </c>
      <c r="W3">
        <f t="shared" ref="W3:W34" si="3">IFERROR(U3+V3,"")</f>
        <v>2249249.4489999996</v>
      </c>
      <c r="X3">
        <f t="shared" ref="X3:X34" si="4">IFERROR(T3/W3*100,NA())</f>
        <v>42.30043645994909</v>
      </c>
      <c r="Y3">
        <f t="shared" ref="Y3:Y34" si="5">IFERROR(U3/W3*100,NA())</f>
        <v>53.670885927601717</v>
      </c>
      <c r="Z3">
        <f>IF(ISBLANK($H3),NA(),IFERROR(SUM($H3:$H$177),NA()))</f>
        <v>1078015.4229999997</v>
      </c>
      <c r="AA3">
        <f>IF(ISBLANK($I3),NA(),IFERROR(SUM($I3:$I$177),NA()))</f>
        <v>1463023.9259999997</v>
      </c>
      <c r="AB3">
        <f>IF(ISBLANK($J3),NA(),IFERROR(SUM($J3:$J$177),NA()))</f>
        <v>1393332.4800000004</v>
      </c>
      <c r="AC3">
        <f t="shared" ref="AC3:AC34" si="6">IFERROR(AA3+AB3,"")</f>
        <v>2856356.4060000004</v>
      </c>
      <c r="AD3">
        <f t="shared" ref="AD3:AD34" si="7">IFERROR(Z3/AC3*100,NA())</f>
        <v>37.740928293666151</v>
      </c>
      <c r="AE3">
        <f t="shared" ref="AE3:AE34" si="8">IFERROR(AA3/AC3*100,NA())</f>
        <v>51.219936102049566</v>
      </c>
      <c r="AF3">
        <f>IF(ISBLANK($K3),NA(),IFERROR(SUM($K3:$K$177),NA()))</f>
        <v>1034414.7359999995</v>
      </c>
      <c r="AG3">
        <f>IF(ISBLANK($L3),NA(),IFERROR(SUM($L3:$L$177),NA()))</f>
        <v>1338460.6179999996</v>
      </c>
      <c r="AH3">
        <f>IF(ISBLANK($M3),NA(),IFERROR(SUM($M3:$M$177),NA()))</f>
        <v>1235047.9309999996</v>
      </c>
      <c r="AI3">
        <f t="shared" ref="AI3:AI34" si="9">IFERROR(AG3+AH3,"")</f>
        <v>2573508.5489999992</v>
      </c>
      <c r="AJ3">
        <f t="shared" ref="AJ3:AJ34" si="10">IFERROR(AF3/AI3*100,NA())</f>
        <v>40.194727015845629</v>
      </c>
      <c r="AK3">
        <f t="shared" ref="AK3:AK34" si="11">IFERROR(AG3/AI3*100,NA())</f>
        <v>52.00917706374404</v>
      </c>
    </row>
    <row r="4" spans="1:37" x14ac:dyDescent="0.35">
      <c r="A4">
        <v>1851</v>
      </c>
      <c r="B4">
        <v>1347.7840000000001</v>
      </c>
      <c r="C4">
        <v>2157.6010000000001</v>
      </c>
      <c r="D4">
        <v>1626.338</v>
      </c>
      <c r="E4">
        <v>899.51</v>
      </c>
      <c r="F4">
        <v>1219.5309999999999</v>
      </c>
      <c r="G4">
        <v>789.23900000000003</v>
      </c>
      <c r="H4">
        <v>1347.7840000000001</v>
      </c>
      <c r="I4">
        <v>2157.6010000000001</v>
      </c>
      <c r="J4">
        <v>1626.338</v>
      </c>
      <c r="K4">
        <v>1086.404</v>
      </c>
      <c r="L4">
        <v>1423.289</v>
      </c>
      <c r="M4">
        <v>980.53499999999997</v>
      </c>
      <c r="N4">
        <f>IF(ISBLANK($B4),NA(),IFERROR(SUM($B4:$B$177),NA()))</f>
        <v>1076724.4809999997</v>
      </c>
      <c r="O4">
        <f>IF(ISBLANK($C4),NA(),IFERROR(SUM($C4:$C$177),NA()))</f>
        <v>1460929.0349999992</v>
      </c>
      <c r="P4">
        <f>IF(ISBLANK($D4),NA(),IFERROR(SUM($D4:$D$177),NA()))</f>
        <v>1392278.4499999997</v>
      </c>
      <c r="Q4">
        <f t="shared" si="0"/>
        <v>2853207.4849999989</v>
      </c>
      <c r="R4">
        <f t="shared" si="1"/>
        <v>37.737335495599268</v>
      </c>
      <c r="S4">
        <f t="shared" si="2"/>
        <v>51.203042284182146</v>
      </c>
      <c r="T4">
        <f>IF(ISBLANK($E4),NA(),IFERROR(SUM($E4:$E$177),NA()))</f>
        <v>950550.40399999975</v>
      </c>
      <c r="U4">
        <f>IF(ISBLANK($F4),NA(),IFERROR(SUM($F4:$F$177),NA()))</f>
        <v>1205980.6129999999</v>
      </c>
      <c r="V4">
        <f>IF(ISBLANK($G4),NA(),IFERROR(SUM($G4:$G$177),NA()))</f>
        <v>1041233.9139999998</v>
      </c>
      <c r="W4">
        <f t="shared" si="3"/>
        <v>2247214.5269999998</v>
      </c>
      <c r="X4">
        <f t="shared" si="4"/>
        <v>42.299050338953236</v>
      </c>
      <c r="Y4">
        <f t="shared" si="5"/>
        <v>53.665575694278168</v>
      </c>
      <c r="Z4">
        <f>IF(ISBLANK($H4),NA(),IFERROR(SUM($H4:$H$177),NA()))</f>
        <v>1076724.4869999995</v>
      </c>
      <c r="AA4">
        <f>IF(ISBLANK($I4),NA(),IFERROR(SUM($I4:$I$177),NA()))</f>
        <v>1460929.0439999995</v>
      </c>
      <c r="AB4">
        <f>IF(ISBLANK($J4),NA(),IFERROR(SUM($J4:$J$177),NA()))</f>
        <v>1391794.6190000004</v>
      </c>
      <c r="AC4">
        <f t="shared" si="6"/>
        <v>2852723.6629999997</v>
      </c>
      <c r="AD4">
        <f t="shared" si="7"/>
        <v>37.743735958907685</v>
      </c>
      <c r="AE4">
        <f t="shared" si="8"/>
        <v>51.211726636839686</v>
      </c>
      <c r="AF4">
        <f>IF(ISBLANK($K4),NA(),IFERROR(SUM($K4:$K$177),NA()))</f>
        <v>1033361.4629999994</v>
      </c>
      <c r="AG4">
        <f>IF(ISBLANK($L4),NA(),IFERROR(SUM($L4:$L$177),NA()))</f>
        <v>1337061.5569999996</v>
      </c>
      <c r="AH4">
        <f>IF(ISBLANK($M4),NA(),IFERROR(SUM($M4:$M$177),NA()))</f>
        <v>1234102.3739999998</v>
      </c>
      <c r="AI4">
        <f t="shared" si="9"/>
        <v>2571163.9309999994</v>
      </c>
      <c r="AJ4">
        <f t="shared" si="10"/>
        <v>40.190415342288013</v>
      </c>
      <c r="AK4">
        <f t="shared" si="11"/>
        <v>52.002190170736327</v>
      </c>
    </row>
    <row r="5" spans="1:37" x14ac:dyDescent="0.35">
      <c r="A5">
        <v>1852</v>
      </c>
      <c r="B5">
        <v>1380.203</v>
      </c>
      <c r="C5">
        <v>2230.3449999999998</v>
      </c>
      <c r="D5">
        <v>1683.59</v>
      </c>
      <c r="E5">
        <v>1146.19</v>
      </c>
      <c r="F5">
        <v>1468.0509999999999</v>
      </c>
      <c r="G5">
        <v>754.79</v>
      </c>
      <c r="H5">
        <v>1380.203</v>
      </c>
      <c r="I5">
        <v>2230.3449999999998</v>
      </c>
      <c r="J5">
        <v>1683.59</v>
      </c>
      <c r="K5">
        <v>1103.114</v>
      </c>
      <c r="L5">
        <v>1471.461</v>
      </c>
      <c r="M5">
        <v>1004.504</v>
      </c>
      <c r="N5">
        <f>IF(ISBLANK($B5),NA(),IFERROR(SUM($B5:$B$177),NA()))</f>
        <v>1075376.6969999997</v>
      </c>
      <c r="O5">
        <f>IF(ISBLANK($C5),NA(),IFERROR(SUM($C5:$C$177),NA()))</f>
        <v>1458771.4339999994</v>
      </c>
      <c r="P5">
        <f>IF(ISBLANK($D5),NA(),IFERROR(SUM($D5:$D$177),NA()))</f>
        <v>1390652.1119999997</v>
      </c>
      <c r="Q5">
        <f t="shared" si="0"/>
        <v>2849423.5459999992</v>
      </c>
      <c r="R5">
        <f t="shared" si="1"/>
        <v>37.740149178931503</v>
      </c>
      <c r="S5">
        <f t="shared" si="2"/>
        <v>51.195317594950474</v>
      </c>
      <c r="T5">
        <f>IF(ISBLANK($E5),NA(),IFERROR(SUM($E5:$E$177),NA()))</f>
        <v>949650.89399999985</v>
      </c>
      <c r="U5">
        <f>IF(ISBLANK($F5),NA(),IFERROR(SUM($F5:$F$177),NA()))</f>
        <v>1204761.0819999997</v>
      </c>
      <c r="V5">
        <f>IF(ISBLANK($G5),NA(),IFERROR(SUM($G5:$G$177),NA()))</f>
        <v>1040444.6749999997</v>
      </c>
      <c r="W5">
        <f t="shared" si="3"/>
        <v>2245205.7569999993</v>
      </c>
      <c r="X5">
        <f t="shared" si="4"/>
        <v>42.296831416863327</v>
      </c>
      <c r="Y5">
        <f t="shared" si="5"/>
        <v>53.659272796885141</v>
      </c>
      <c r="Z5">
        <f>IF(ISBLANK($H5),NA(),IFERROR(SUM($H5:$H$177),NA()))</f>
        <v>1075376.7029999995</v>
      </c>
      <c r="AA5">
        <f>IF(ISBLANK($I5),NA(),IFERROR(SUM($I5:$I$177),NA()))</f>
        <v>1458771.4429999997</v>
      </c>
      <c r="AB5">
        <f>IF(ISBLANK($J5),NA(),IFERROR(SUM($J5:$J$177),NA()))</f>
        <v>1390168.2810000004</v>
      </c>
      <c r="AC5">
        <f t="shared" si="6"/>
        <v>2848939.7240000004</v>
      </c>
      <c r="AD5">
        <f t="shared" si="7"/>
        <v>37.746558621118773</v>
      </c>
      <c r="AE5">
        <f t="shared" si="8"/>
        <v>51.204012170248348</v>
      </c>
      <c r="AF5">
        <f>IF(ISBLANK($K5),NA(),IFERROR(SUM($K5:$K$177),NA()))</f>
        <v>1032275.0589999995</v>
      </c>
      <c r="AG5">
        <f>IF(ISBLANK($L5),NA(),IFERROR(SUM($L5:$L$177),NA()))</f>
        <v>1335638.2679999997</v>
      </c>
      <c r="AH5">
        <f>IF(ISBLANK($M5),NA(),IFERROR(SUM($M5:$M$177),NA()))</f>
        <v>1233121.8389999997</v>
      </c>
      <c r="AI5">
        <f t="shared" si="9"/>
        <v>2568760.1069999994</v>
      </c>
      <c r="AJ5">
        <f t="shared" si="10"/>
        <v>40.185732259972376</v>
      </c>
      <c r="AK5">
        <f t="shared" si="11"/>
        <v>51.995445754561466</v>
      </c>
    </row>
    <row r="6" spans="1:37" x14ac:dyDescent="0.35">
      <c r="A6">
        <v>1853</v>
      </c>
      <c r="B6">
        <v>1433.029</v>
      </c>
      <c r="C6">
        <v>2259.1729999999998</v>
      </c>
      <c r="D6">
        <v>1710.3679999999999</v>
      </c>
      <c r="E6">
        <v>1184.999</v>
      </c>
      <c r="F6">
        <v>1508.2090000000001</v>
      </c>
      <c r="G6">
        <v>718.59299999999996</v>
      </c>
      <c r="H6">
        <v>1433.029</v>
      </c>
      <c r="I6">
        <v>2259.1729999999998</v>
      </c>
      <c r="J6">
        <v>1710.3679999999999</v>
      </c>
      <c r="K6">
        <v>1143.7909999999999</v>
      </c>
      <c r="L6">
        <v>1481.32</v>
      </c>
      <c r="M6">
        <v>1002.07</v>
      </c>
      <c r="N6">
        <f>IF(ISBLANK($B6),NA(),IFERROR(SUM($B6:$B$177),NA()))</f>
        <v>1073996.4939999997</v>
      </c>
      <c r="O6">
        <f>IF(ISBLANK($C6),NA(),IFERROR(SUM($C6:$C$177),NA()))</f>
        <v>1456541.0889999992</v>
      </c>
      <c r="P6">
        <f>IF(ISBLANK($D6),NA(),IFERROR(SUM($D6:$D$177),NA()))</f>
        <v>1388968.5219999996</v>
      </c>
      <c r="Q6">
        <f t="shared" si="0"/>
        <v>2845509.6109999986</v>
      </c>
      <c r="R6">
        <f t="shared" si="1"/>
        <v>37.743555314247018</v>
      </c>
      <c r="S6">
        <f t="shared" si="2"/>
        <v>51.187354397588081</v>
      </c>
      <c r="T6">
        <f>IF(ISBLANK($E6),NA(),IFERROR(SUM($E6:$E$177),NA()))</f>
        <v>948504.70399999979</v>
      </c>
      <c r="U6">
        <f>IF(ISBLANK($F6),NA(),IFERROR(SUM($F6:$F$177),NA()))</f>
        <v>1203293.0309999997</v>
      </c>
      <c r="V6">
        <f>IF(ISBLANK($G6),NA(),IFERROR(SUM($G6:$G$177),NA()))</f>
        <v>1039689.8849999999</v>
      </c>
      <c r="W6">
        <f t="shared" si="3"/>
        <v>2242982.9159999997</v>
      </c>
      <c r="X6">
        <f t="shared" si="4"/>
        <v>42.287647276935388</v>
      </c>
      <c r="Y6">
        <f t="shared" si="5"/>
        <v>53.646999378215497</v>
      </c>
      <c r="Z6">
        <f>IF(ISBLANK($H6),NA(),IFERROR(SUM($H6:$H$177),NA()))</f>
        <v>1073996.4999999995</v>
      </c>
      <c r="AA6">
        <f>IF(ISBLANK($I6),NA(),IFERROR(SUM($I6:$I$177),NA()))</f>
        <v>1456541.0979999998</v>
      </c>
      <c r="AB6">
        <f>IF(ISBLANK($J6),NA(),IFERROR(SUM($J6:$J$177),NA()))</f>
        <v>1388484.6910000003</v>
      </c>
      <c r="AC6">
        <f t="shared" si="6"/>
        <v>2845025.7889999999</v>
      </c>
      <c r="AD6">
        <f t="shared" si="7"/>
        <v>37.749974153221977</v>
      </c>
      <c r="AE6">
        <f t="shared" si="8"/>
        <v>51.196059579901402</v>
      </c>
      <c r="AF6">
        <f>IF(ISBLANK($K6),NA(),IFERROR(SUM($K6:$K$177),NA()))</f>
        <v>1031171.9449999995</v>
      </c>
      <c r="AG6">
        <f>IF(ISBLANK($L6),NA(),IFERROR(SUM($L6:$L$177),NA()))</f>
        <v>1334166.8069999996</v>
      </c>
      <c r="AH6">
        <f>IF(ISBLANK($M6),NA(),IFERROR(SUM($M6:$M$177),NA()))</f>
        <v>1232117.3349999997</v>
      </c>
      <c r="AI6">
        <f t="shared" si="9"/>
        <v>2566284.1419999991</v>
      </c>
      <c r="AJ6">
        <f t="shared" si="10"/>
        <v>40.181518800812505</v>
      </c>
      <c r="AK6">
        <f t="shared" si="11"/>
        <v>51.98827305070882</v>
      </c>
    </row>
    <row r="7" spans="1:37" x14ac:dyDescent="0.35">
      <c r="A7">
        <v>1854</v>
      </c>
      <c r="B7">
        <v>1499.0139999999999</v>
      </c>
      <c r="C7">
        <v>2352.1419999999998</v>
      </c>
      <c r="D7">
        <v>1705.8689999999999</v>
      </c>
      <c r="E7">
        <v>1251.8499999999999</v>
      </c>
      <c r="F7">
        <v>1576.8320000000001</v>
      </c>
      <c r="G7">
        <v>681.93100000000004</v>
      </c>
      <c r="H7">
        <v>1499.0139999999999</v>
      </c>
      <c r="I7">
        <v>2352.1419999999998</v>
      </c>
      <c r="J7">
        <v>1705.8689999999999</v>
      </c>
      <c r="K7">
        <v>1200.0509999999999</v>
      </c>
      <c r="L7">
        <v>1558.9380000000001</v>
      </c>
      <c r="M7">
        <v>1006.056</v>
      </c>
      <c r="N7">
        <f>IF(ISBLANK($B7),NA(),IFERROR(SUM($B7:$B$177),NA()))</f>
        <v>1072563.4649999996</v>
      </c>
      <c r="O7">
        <f>IF(ISBLANK($C7),NA(),IFERROR(SUM($C7:$C$177),NA()))</f>
        <v>1454281.9159999993</v>
      </c>
      <c r="P7">
        <f>IF(ISBLANK($D7),NA(),IFERROR(SUM($D7:$D$177),NA()))</f>
        <v>1387258.1539999996</v>
      </c>
      <c r="Q7">
        <f t="shared" si="0"/>
        <v>2841540.0699999989</v>
      </c>
      <c r="R7">
        <f t="shared" si="1"/>
        <v>37.745850439476648</v>
      </c>
      <c r="S7">
        <f t="shared" si="2"/>
        <v>51.179356270700062</v>
      </c>
      <c r="T7">
        <f>IF(ISBLANK($E7),NA(),IFERROR(SUM($E7:$E$177),NA()))</f>
        <v>947319.70499999984</v>
      </c>
      <c r="U7">
        <f>IF(ISBLANK($F7),NA(),IFERROR(SUM($F7:$F$177),NA()))</f>
        <v>1201784.8219999997</v>
      </c>
      <c r="V7">
        <f>IF(ISBLANK($G7),NA(),IFERROR(SUM($G7:$G$177),NA()))</f>
        <v>1038971.2919999998</v>
      </c>
      <c r="W7">
        <f t="shared" si="3"/>
        <v>2240756.1139999996</v>
      </c>
      <c r="X7">
        <f t="shared" si="4"/>
        <v>42.276787691496175</v>
      </c>
      <c r="Y7">
        <f t="shared" si="5"/>
        <v>53.633004256526597</v>
      </c>
      <c r="Z7">
        <f>IF(ISBLANK($H7),NA(),IFERROR(SUM($H7:$H$177),NA()))</f>
        <v>1072563.4709999994</v>
      </c>
      <c r="AA7">
        <f>IF(ISBLANK($I7),NA(),IFERROR(SUM($I7:$I$177),NA()))</f>
        <v>1454281.9249999996</v>
      </c>
      <c r="AB7">
        <f>IF(ISBLANK($J7),NA(),IFERROR(SUM($J7:$J$177),NA()))</f>
        <v>1386774.3230000003</v>
      </c>
      <c r="AC7">
        <f t="shared" si="6"/>
        <v>2841056.2479999997</v>
      </c>
      <c r="AD7">
        <f t="shared" si="7"/>
        <v>37.752278637744155</v>
      </c>
      <c r="AE7">
        <f t="shared" si="8"/>
        <v>51.188072253893644</v>
      </c>
      <c r="AF7">
        <f>IF(ISBLANK($K7),NA(),IFERROR(SUM($K7:$K$177),NA()))</f>
        <v>1030028.1539999995</v>
      </c>
      <c r="AG7">
        <f>IF(ISBLANK($L7),NA(),IFERROR(SUM($L7:$L$177),NA()))</f>
        <v>1332685.4869999995</v>
      </c>
      <c r="AH7">
        <f>IF(ISBLANK($M7),NA(),IFERROR(SUM($M7:$M$177),NA()))</f>
        <v>1231115.2649999997</v>
      </c>
      <c r="AI7">
        <f t="shared" si="9"/>
        <v>2563800.7519999994</v>
      </c>
      <c r="AJ7">
        <f t="shared" si="10"/>
        <v>40.175826970816011</v>
      </c>
      <c r="AK7">
        <f t="shared" si="11"/>
        <v>51.980852488649234</v>
      </c>
    </row>
    <row r="8" spans="1:37" x14ac:dyDescent="0.35">
      <c r="A8">
        <v>1855</v>
      </c>
      <c r="B8">
        <v>1518.9490000000001</v>
      </c>
      <c r="C8">
        <v>2377.3240000000001</v>
      </c>
      <c r="D8">
        <v>1754.3</v>
      </c>
      <c r="E8">
        <v>1283.2860000000001</v>
      </c>
      <c r="F8">
        <v>1610.443</v>
      </c>
      <c r="G8">
        <v>643.80100000000004</v>
      </c>
      <c r="H8">
        <v>1518.9490000000001</v>
      </c>
      <c r="I8">
        <v>2377.3240000000001</v>
      </c>
      <c r="J8">
        <v>1754.3</v>
      </c>
      <c r="K8">
        <v>1212.1949999999999</v>
      </c>
      <c r="L8">
        <v>1571.616</v>
      </c>
      <c r="M8">
        <v>1020.76</v>
      </c>
      <c r="N8">
        <f>IF(ISBLANK($B8),NA(),IFERROR(SUM($B8:$B$177),NA()))</f>
        <v>1071064.4509999997</v>
      </c>
      <c r="O8">
        <f>IF(ISBLANK($C8),NA(),IFERROR(SUM($C8:$C$177),NA()))</f>
        <v>1451929.7739999993</v>
      </c>
      <c r="P8">
        <f>IF(ISBLANK($D8),NA(),IFERROR(SUM($D8:$D$177),NA()))</f>
        <v>1385552.2849999997</v>
      </c>
      <c r="Q8">
        <f t="shared" si="0"/>
        <v>2837482.058999999</v>
      </c>
      <c r="R8">
        <f t="shared" si="1"/>
        <v>37.747003460436687</v>
      </c>
      <c r="S8">
        <f t="shared" si="2"/>
        <v>51.169654778775808</v>
      </c>
      <c r="T8">
        <f>IF(ISBLANK($E8),NA(),IFERROR(SUM($E8:$E$177),NA()))</f>
        <v>946067.85499999975</v>
      </c>
      <c r="U8">
        <f>IF(ISBLANK($F8),NA(),IFERROR(SUM($F8:$F$177),NA()))</f>
        <v>1200207.9899999998</v>
      </c>
      <c r="V8">
        <f>IF(ISBLANK($G8),NA(),IFERROR(SUM($G8:$G$177),NA()))</f>
        <v>1038289.3609999997</v>
      </c>
      <c r="W8">
        <f t="shared" si="3"/>
        <v>2238497.3509999993</v>
      </c>
      <c r="X8">
        <f t="shared" si="4"/>
        <v>42.263523545264178</v>
      </c>
      <c r="Y8">
        <f t="shared" si="5"/>
        <v>53.616681273436996</v>
      </c>
      <c r="Z8">
        <f>IF(ISBLANK($H8),NA(),IFERROR(SUM($H8:$H$177),NA()))</f>
        <v>1071064.4569999995</v>
      </c>
      <c r="AA8">
        <f>IF(ISBLANK($I8),NA(),IFERROR(SUM($I8:$I$177),NA()))</f>
        <v>1451929.7829999996</v>
      </c>
      <c r="AB8">
        <f>IF(ISBLANK($J8),NA(),IFERROR(SUM($J8:$J$177),NA()))</f>
        <v>1385068.4540000004</v>
      </c>
      <c r="AC8">
        <f t="shared" si="6"/>
        <v>2836998.2369999997</v>
      </c>
      <c r="AD8">
        <f t="shared" si="7"/>
        <v>37.75344105016444</v>
      </c>
      <c r="AE8">
        <f t="shared" si="8"/>
        <v>51.178381574722131</v>
      </c>
      <c r="AF8">
        <f>IF(ISBLANK($K8),NA(),IFERROR(SUM($K8:$K$177),NA()))</f>
        <v>1028828.1029999995</v>
      </c>
      <c r="AG8">
        <f>IF(ISBLANK($L8),NA(),IFERROR(SUM($L8:$L$177),NA()))</f>
        <v>1331126.5489999996</v>
      </c>
      <c r="AH8">
        <f>IF(ISBLANK($M8),NA(),IFERROR(SUM($M8:$M$177),NA()))</f>
        <v>1230109.2089999998</v>
      </c>
      <c r="AI8">
        <f t="shared" si="9"/>
        <v>2561235.7579999994</v>
      </c>
      <c r="AJ8">
        <f t="shared" si="10"/>
        <v>40.169207375247012</v>
      </c>
      <c r="AK8">
        <f t="shared" si="11"/>
        <v>51.972042981292773</v>
      </c>
    </row>
    <row r="9" spans="1:37" x14ac:dyDescent="0.35">
      <c r="A9">
        <v>1856</v>
      </c>
      <c r="B9">
        <v>1546.951</v>
      </c>
      <c r="C9">
        <v>2411.2860000000001</v>
      </c>
      <c r="D9">
        <v>1762.1289999999999</v>
      </c>
      <c r="E9">
        <v>1326.327</v>
      </c>
      <c r="F9">
        <v>1655.482</v>
      </c>
      <c r="G9">
        <v>637.61199999999997</v>
      </c>
      <c r="H9">
        <v>1546.95</v>
      </c>
      <c r="I9">
        <v>2411.2860000000001</v>
      </c>
      <c r="J9">
        <v>1762.1289999999999</v>
      </c>
      <c r="K9">
        <v>1234.154</v>
      </c>
      <c r="L9">
        <v>1595.778</v>
      </c>
      <c r="M9">
        <v>1034.424</v>
      </c>
      <c r="N9">
        <f>IF(ISBLANK($B9),NA(),IFERROR(SUM($B9:$B$177),NA()))</f>
        <v>1069545.5019999996</v>
      </c>
      <c r="O9">
        <f>IF(ISBLANK($C9),NA(),IFERROR(SUM($C9:$C$177),NA()))</f>
        <v>1449552.4499999993</v>
      </c>
      <c r="P9">
        <f>IF(ISBLANK($D9),NA(),IFERROR(SUM($D9:$D$177),NA()))</f>
        <v>1383797.9849999996</v>
      </c>
      <c r="Q9">
        <f t="shared" si="0"/>
        <v>2833350.4349999987</v>
      </c>
      <c r="R9">
        <f t="shared" si="1"/>
        <v>37.748436931346269</v>
      </c>
      <c r="S9">
        <f t="shared" si="2"/>
        <v>51.160365907932594</v>
      </c>
      <c r="T9">
        <f>IF(ISBLANK($E9),NA(),IFERROR(SUM($E9:$E$177),NA()))</f>
        <v>944784.56899999978</v>
      </c>
      <c r="U9">
        <f>IF(ISBLANK($F9),NA(),IFERROR(SUM($F9:$F$177),NA()))</f>
        <v>1198597.5469999998</v>
      </c>
      <c r="V9">
        <f>IF(ISBLANK($G9),NA(),IFERROR(SUM($G9:$G$177),NA()))</f>
        <v>1037645.5599999997</v>
      </c>
      <c r="W9">
        <f t="shared" si="3"/>
        <v>2236243.1069999994</v>
      </c>
      <c r="X9">
        <f t="shared" si="4"/>
        <v>42.248741473705977</v>
      </c>
      <c r="Y9">
        <f t="shared" si="5"/>
        <v>53.59871398812097</v>
      </c>
      <c r="Z9">
        <f>IF(ISBLANK($H9),NA(),IFERROR(SUM($H9:$H$177),NA()))</f>
        <v>1069545.5079999994</v>
      </c>
      <c r="AA9">
        <f>IF(ISBLANK($I9),NA(),IFERROR(SUM($I9:$I$177),NA()))</f>
        <v>1449552.4589999996</v>
      </c>
      <c r="AB9">
        <f>IF(ISBLANK($J9),NA(),IFERROR(SUM($J9:$J$177),NA()))</f>
        <v>1383314.1540000003</v>
      </c>
      <c r="AC9">
        <f t="shared" si="6"/>
        <v>2832866.6129999999</v>
      </c>
      <c r="AD9">
        <f t="shared" si="7"/>
        <v>37.75488415486506</v>
      </c>
      <c r="AE9">
        <f t="shared" si="8"/>
        <v>51.169103845130451</v>
      </c>
      <c r="AF9">
        <f>IF(ISBLANK($K9),NA(),IFERROR(SUM($K9:$K$177),NA()))</f>
        <v>1027615.9079999995</v>
      </c>
      <c r="AG9">
        <f>IF(ISBLANK($L9),NA(),IFERROR(SUM($L9:$L$177),NA()))</f>
        <v>1329554.9329999997</v>
      </c>
      <c r="AH9">
        <f>IF(ISBLANK($M9),NA(),IFERROR(SUM($M9:$M$177),NA()))</f>
        <v>1229088.4489999998</v>
      </c>
      <c r="AI9">
        <f t="shared" si="9"/>
        <v>2558643.3819999993</v>
      </c>
      <c r="AJ9">
        <f t="shared" si="10"/>
        <v>40.162529691681733</v>
      </c>
      <c r="AK9">
        <f t="shared" si="11"/>
        <v>51.963276412546968</v>
      </c>
    </row>
    <row r="10" spans="1:37" x14ac:dyDescent="0.35">
      <c r="A10">
        <v>1857</v>
      </c>
      <c r="B10">
        <v>1571.184</v>
      </c>
      <c r="C10">
        <v>2446.174</v>
      </c>
      <c r="D10">
        <v>1776.9480000000001</v>
      </c>
      <c r="E10">
        <v>1353.4690000000001</v>
      </c>
      <c r="F10">
        <v>1684.3820000000001</v>
      </c>
      <c r="G10">
        <v>632.51300000000003</v>
      </c>
      <c r="H10">
        <v>1571.184</v>
      </c>
      <c r="I10">
        <v>2446.174</v>
      </c>
      <c r="J10">
        <v>1776.9480000000001</v>
      </c>
      <c r="K10">
        <v>1253.7329999999999</v>
      </c>
      <c r="L10">
        <v>1622.81</v>
      </c>
      <c r="M10">
        <v>1054.5640000000001</v>
      </c>
      <c r="N10">
        <f>IF(ISBLANK($B10),NA(),IFERROR(SUM($B10:$B$177),NA()))</f>
        <v>1067998.5509999997</v>
      </c>
      <c r="O10">
        <f>IF(ISBLANK($C10),NA(),IFERROR(SUM($C10:$C$177),NA()))</f>
        <v>1447141.1639999994</v>
      </c>
      <c r="P10">
        <f>IF(ISBLANK($D10),NA(),IFERROR(SUM($D10:$D$177),NA()))</f>
        <v>1382035.8559999997</v>
      </c>
      <c r="Q10">
        <f t="shared" si="0"/>
        <v>2829177.0199999991</v>
      </c>
      <c r="R10">
        <f t="shared" si="1"/>
        <v>37.749442450935788</v>
      </c>
      <c r="S10">
        <f t="shared" si="2"/>
        <v>51.150605061821118</v>
      </c>
      <c r="T10">
        <f>IF(ISBLANK($E10),NA(),IFERROR(SUM($E10:$E$177),NA()))</f>
        <v>943458.24199999974</v>
      </c>
      <c r="U10">
        <f>IF(ISBLANK($F10),NA(),IFERROR(SUM($F10:$F$177),NA()))</f>
        <v>1196942.0649999997</v>
      </c>
      <c r="V10">
        <f>IF(ISBLANK($G10),NA(),IFERROR(SUM($G10:$G$177),NA()))</f>
        <v>1037007.9479999997</v>
      </c>
      <c r="W10">
        <f t="shared" si="3"/>
        <v>2233950.0129999993</v>
      </c>
      <c r="X10">
        <f t="shared" si="4"/>
        <v>42.232737371460601</v>
      </c>
      <c r="Y10">
        <f t="shared" si="5"/>
        <v>53.579626134633664</v>
      </c>
      <c r="Z10">
        <f>IF(ISBLANK($H10),NA(),IFERROR(SUM($H10:$H$177),NA()))</f>
        <v>1067998.5579999997</v>
      </c>
      <c r="AA10">
        <f>IF(ISBLANK($I10),NA(),IFERROR(SUM($I10:$I$177),NA()))</f>
        <v>1447141.1729999997</v>
      </c>
      <c r="AB10">
        <f>IF(ISBLANK($J10),NA(),IFERROR(SUM($J10:$J$177),NA()))</f>
        <v>1381552.0250000004</v>
      </c>
      <c r="AC10">
        <f t="shared" si="6"/>
        <v>2828693.1979999999</v>
      </c>
      <c r="AD10">
        <f t="shared" si="7"/>
        <v>37.755899393936318</v>
      </c>
      <c r="AE10">
        <f t="shared" si="8"/>
        <v>51.15935422134811</v>
      </c>
      <c r="AF10">
        <f>IF(ISBLANK($K10),NA(),IFERROR(SUM($K10:$K$177),NA()))</f>
        <v>1026381.7539999994</v>
      </c>
      <c r="AG10">
        <f>IF(ISBLANK($L10),NA(),IFERROR(SUM($L10:$L$177),NA()))</f>
        <v>1327959.1549999998</v>
      </c>
      <c r="AH10">
        <f>IF(ISBLANK($M10),NA(),IFERROR(SUM($M10:$M$177),NA()))</f>
        <v>1228054.0249999997</v>
      </c>
      <c r="AI10">
        <f t="shared" si="9"/>
        <v>2556013.1799999997</v>
      </c>
      <c r="AJ10">
        <f t="shared" si="10"/>
        <v>40.15557361093105</v>
      </c>
      <c r="AK10">
        <f t="shared" si="11"/>
        <v>51.954315626807521</v>
      </c>
    </row>
    <row r="11" spans="1:37" x14ac:dyDescent="0.35">
      <c r="A11">
        <v>1858</v>
      </c>
      <c r="B11">
        <v>1600.2329999999999</v>
      </c>
      <c r="C11">
        <v>2476.819</v>
      </c>
      <c r="D11">
        <v>1775.5709999999999</v>
      </c>
      <c r="E11">
        <v>1379.76</v>
      </c>
      <c r="F11">
        <v>1712.848</v>
      </c>
      <c r="G11">
        <v>628.01199999999994</v>
      </c>
      <c r="H11">
        <v>1600.2329999999999</v>
      </c>
      <c r="I11">
        <v>2476.819</v>
      </c>
      <c r="J11">
        <v>1775.5709999999999</v>
      </c>
      <c r="K11">
        <v>1279.577</v>
      </c>
      <c r="L11">
        <v>1647.578</v>
      </c>
      <c r="M11">
        <v>1043.049</v>
      </c>
      <c r="N11">
        <f>IF(ISBLANK($B11),NA(),IFERROR(SUM($B11:$B$177),NA()))</f>
        <v>1066427.3669999996</v>
      </c>
      <c r="O11">
        <f>IF(ISBLANK($C11),NA(),IFERROR(SUM($C11:$C$177),NA()))</f>
        <v>1444694.9899999993</v>
      </c>
      <c r="P11">
        <f>IF(ISBLANK($D11),NA(),IFERROR(SUM($D11:$D$177),NA()))</f>
        <v>1380258.9079999998</v>
      </c>
      <c r="Q11">
        <f t="shared" si="0"/>
        <v>2824953.8979999991</v>
      </c>
      <c r="R11">
        <f t="shared" si="1"/>
        <v>37.750257367208903</v>
      </c>
      <c r="S11">
        <f t="shared" si="2"/>
        <v>51.140480240148676</v>
      </c>
      <c r="T11">
        <f>IF(ISBLANK($E11),NA(),IFERROR(SUM($E11:$E$177),NA()))</f>
        <v>942104.7729999997</v>
      </c>
      <c r="U11">
        <f>IF(ISBLANK($F11),NA(),IFERROR(SUM($F11:$F$177),NA()))</f>
        <v>1195257.6829999997</v>
      </c>
      <c r="V11">
        <f>IF(ISBLANK($G11),NA(),IFERROR(SUM($G11:$G$177),NA()))</f>
        <v>1036375.4349999997</v>
      </c>
      <c r="W11">
        <f t="shared" si="3"/>
        <v>2231633.1179999993</v>
      </c>
      <c r="X11">
        <f t="shared" si="4"/>
        <v>42.215934393567281</v>
      </c>
      <c r="Y11">
        <f t="shared" si="5"/>
        <v>53.559775276645638</v>
      </c>
      <c r="Z11">
        <f>IF(ISBLANK($H11),NA(),IFERROR(SUM($H11:$H$177),NA()))</f>
        <v>1066427.3739999996</v>
      </c>
      <c r="AA11">
        <f>IF(ISBLANK($I11),NA(),IFERROR(SUM($I11:$I$177),NA()))</f>
        <v>1444694.9989999996</v>
      </c>
      <c r="AB11">
        <f>IF(ISBLANK($J11),NA(),IFERROR(SUM($J11:$J$177),NA()))</f>
        <v>1379775.0770000003</v>
      </c>
      <c r="AC11">
        <f t="shared" si="6"/>
        <v>2824470.0759999999</v>
      </c>
      <c r="AD11">
        <f t="shared" si="7"/>
        <v>37.756724104164299</v>
      </c>
      <c r="AE11">
        <f t="shared" si="8"/>
        <v>51.149240746992419</v>
      </c>
      <c r="AF11">
        <f>IF(ISBLANK($K11),NA(),IFERROR(SUM($K11:$K$177),NA()))</f>
        <v>1025128.0209999994</v>
      </c>
      <c r="AG11">
        <f>IF(ISBLANK($L11),NA(),IFERROR(SUM($L11:$L$177),NA()))</f>
        <v>1326336.3449999997</v>
      </c>
      <c r="AH11">
        <f>IF(ISBLANK($M11),NA(),IFERROR(SUM($M11:$M$177),NA()))</f>
        <v>1226999.4609999997</v>
      </c>
      <c r="AI11">
        <f t="shared" si="9"/>
        <v>2553335.8059999994</v>
      </c>
      <c r="AJ11">
        <f t="shared" si="10"/>
        <v>40.148578130267268</v>
      </c>
      <c r="AK11">
        <f t="shared" si="11"/>
        <v>51.945237359037769</v>
      </c>
    </row>
    <row r="12" spans="1:37" x14ac:dyDescent="0.35">
      <c r="A12">
        <v>1859</v>
      </c>
      <c r="B12">
        <v>1645.326</v>
      </c>
      <c r="C12">
        <v>2527.7260000000001</v>
      </c>
      <c r="D12">
        <v>1787.971</v>
      </c>
      <c r="E12">
        <v>1419.5360000000001</v>
      </c>
      <c r="F12">
        <v>1753.6220000000001</v>
      </c>
      <c r="G12">
        <v>624.22400000000005</v>
      </c>
      <c r="H12">
        <v>1645.326</v>
      </c>
      <c r="I12">
        <v>2527.7260000000001</v>
      </c>
      <c r="J12">
        <v>1787.971</v>
      </c>
      <c r="K12">
        <v>1322.8119999999999</v>
      </c>
      <c r="L12">
        <v>1694.498</v>
      </c>
      <c r="M12">
        <v>1049.7380000000001</v>
      </c>
      <c r="N12">
        <f>IF(ISBLANK($B12),NA(),IFERROR(SUM($B12:$B$177),NA()))</f>
        <v>1064827.1339999996</v>
      </c>
      <c r="O12">
        <f>IF(ISBLANK($C12),NA(),IFERROR(SUM($C12:$C$177),NA()))</f>
        <v>1442218.1709999994</v>
      </c>
      <c r="P12">
        <f>IF(ISBLANK($D12),NA(),IFERROR(SUM($D12:$D$177),NA()))</f>
        <v>1378483.3369999998</v>
      </c>
      <c r="Q12">
        <f t="shared" si="0"/>
        <v>2820701.5079999994</v>
      </c>
      <c r="R12">
        <f t="shared" si="1"/>
        <v>37.750436583947824</v>
      </c>
      <c r="S12">
        <f t="shared" si="2"/>
        <v>51.129769204916506</v>
      </c>
      <c r="T12">
        <f>IF(ISBLANK($E12),NA(),IFERROR(SUM($E12:$E$177),NA()))</f>
        <v>940725.01299999969</v>
      </c>
      <c r="U12">
        <f>IF(ISBLANK($F12),NA(),IFERROR(SUM($F12:$F$177),NA()))</f>
        <v>1193544.8349999997</v>
      </c>
      <c r="V12">
        <f>IF(ISBLANK($G12),NA(),IFERROR(SUM($G12:$G$177),NA()))</f>
        <v>1035747.4229999998</v>
      </c>
      <c r="W12">
        <f t="shared" si="3"/>
        <v>2229292.2579999994</v>
      </c>
      <c r="X12">
        <f t="shared" si="4"/>
        <v>42.198370788941212</v>
      </c>
      <c r="Y12">
        <f t="shared" si="5"/>
        <v>53.539181806103052</v>
      </c>
      <c r="Z12">
        <f>IF(ISBLANK($H12),NA(),IFERROR(SUM($H12:$H$177),NA()))</f>
        <v>1064827.1409999996</v>
      </c>
      <c r="AA12">
        <f>IF(ISBLANK($I12),NA(),IFERROR(SUM($I12:$I$177),NA()))</f>
        <v>1442218.1799999997</v>
      </c>
      <c r="AB12">
        <f>IF(ISBLANK($J12),NA(),IFERROR(SUM($J12:$J$177),NA()))</f>
        <v>1377999.5060000003</v>
      </c>
      <c r="AC12">
        <f t="shared" si="6"/>
        <v>2820217.6859999998</v>
      </c>
      <c r="AD12">
        <f t="shared" si="7"/>
        <v>37.756913102345521</v>
      </c>
      <c r="AE12">
        <f t="shared" si="8"/>
        <v>51.138541083526832</v>
      </c>
      <c r="AF12">
        <f>IF(ISBLANK($K12),NA(),IFERROR(SUM($K12:$K$177),NA()))</f>
        <v>1023848.4439999996</v>
      </c>
      <c r="AG12">
        <f>IF(ISBLANK($L12),NA(),IFERROR(SUM($L12:$L$177),NA()))</f>
        <v>1324688.7669999998</v>
      </c>
      <c r="AH12">
        <f>IF(ISBLANK($M12),NA(),IFERROR(SUM($M12:$M$177),NA()))</f>
        <v>1225956.4119999998</v>
      </c>
      <c r="AI12">
        <f t="shared" si="9"/>
        <v>2550645.1789999995</v>
      </c>
      <c r="AJ12">
        <f t="shared" si="10"/>
        <v>40.140763302930573</v>
      </c>
      <c r="AK12">
        <f t="shared" si="11"/>
        <v>51.93543884137403</v>
      </c>
    </row>
    <row r="13" spans="1:37" x14ac:dyDescent="0.35">
      <c r="A13">
        <v>1860</v>
      </c>
      <c r="B13">
        <v>1582.327</v>
      </c>
      <c r="C13">
        <v>2419.7600000000002</v>
      </c>
      <c r="D13">
        <v>1497.1780000000001</v>
      </c>
      <c r="E13">
        <v>1470.527</v>
      </c>
      <c r="F13">
        <v>1806.778</v>
      </c>
      <c r="G13">
        <v>619.51900000000001</v>
      </c>
      <c r="H13">
        <v>1582.327</v>
      </c>
      <c r="I13">
        <v>2419.761</v>
      </c>
      <c r="J13">
        <v>1497.1780000000001</v>
      </c>
      <c r="K13">
        <v>1362.587</v>
      </c>
      <c r="L13">
        <v>1713.3430000000001</v>
      </c>
      <c r="M13">
        <v>1027.021</v>
      </c>
      <c r="N13">
        <f>IF(ISBLANK($B13),NA(),IFERROR(SUM($B13:$B$177),NA()))</f>
        <v>1063181.8079999997</v>
      </c>
      <c r="O13">
        <f>IF(ISBLANK($C13),NA(),IFERROR(SUM($C13:$C$177),NA()))</f>
        <v>1439690.4449999994</v>
      </c>
      <c r="P13">
        <f>IF(ISBLANK($D13),NA(),IFERROR(SUM($D13:$D$177),NA()))</f>
        <v>1376695.3659999997</v>
      </c>
      <c r="Q13">
        <f t="shared" si="0"/>
        <v>2816385.8109999988</v>
      </c>
      <c r="R13">
        <f t="shared" si="1"/>
        <v>37.749863809408325</v>
      </c>
      <c r="S13">
        <f t="shared" si="2"/>
        <v>51.118367354961791</v>
      </c>
      <c r="T13">
        <f>IF(ISBLANK($E13),NA(),IFERROR(SUM($E13:$E$177),NA()))</f>
        <v>939305.47699999972</v>
      </c>
      <c r="U13">
        <f>IF(ISBLANK($F13),NA(),IFERROR(SUM($F13:$F$177),NA()))</f>
        <v>1191791.2129999998</v>
      </c>
      <c r="V13">
        <f>IF(ISBLANK($G13),NA(),IFERROR(SUM($G13:$G$177),NA()))</f>
        <v>1035123.1989999997</v>
      </c>
      <c r="W13">
        <f t="shared" si="3"/>
        <v>2226914.4119999995</v>
      </c>
      <c r="X13">
        <f t="shared" si="4"/>
        <v>42.179684676628696</v>
      </c>
      <c r="Y13">
        <f t="shared" si="5"/>
        <v>53.517602947732868</v>
      </c>
      <c r="Z13">
        <f>IF(ISBLANK($H13),NA(),IFERROR(SUM($H13:$H$177),NA()))</f>
        <v>1063181.8149999995</v>
      </c>
      <c r="AA13">
        <f>IF(ISBLANK($I13),NA(),IFERROR(SUM($I13:$I$177),NA()))</f>
        <v>1439690.4539999997</v>
      </c>
      <c r="AB13">
        <f>IF(ISBLANK($J13),NA(),IFERROR(SUM($J13:$J$177),NA()))</f>
        <v>1376211.5350000004</v>
      </c>
      <c r="AC13">
        <f t="shared" si="6"/>
        <v>2815901.9890000001</v>
      </c>
      <c r="AD13">
        <f t="shared" si="7"/>
        <v>37.756350155410168</v>
      </c>
      <c r="AE13">
        <f t="shared" si="8"/>
        <v>51.127150718454914</v>
      </c>
      <c r="AF13">
        <f>IF(ISBLANK($K13),NA(),IFERROR(SUM($K13:$K$177),NA()))</f>
        <v>1022525.6319999994</v>
      </c>
      <c r="AG13">
        <f>IF(ISBLANK($L13),NA(),IFERROR(SUM($L13:$L$177),NA()))</f>
        <v>1322994.2689999996</v>
      </c>
      <c r="AH13">
        <f>IF(ISBLANK($M13),NA(),IFERROR(SUM($M13:$M$177),NA()))</f>
        <v>1224906.6739999996</v>
      </c>
      <c r="AI13">
        <f t="shared" si="9"/>
        <v>2547900.942999999</v>
      </c>
      <c r="AJ13">
        <f t="shared" si="10"/>
        <v>40.132079498979159</v>
      </c>
      <c r="AK13">
        <f t="shared" si="11"/>
        <v>51.924870652241836</v>
      </c>
    </row>
    <row r="14" spans="1:37" x14ac:dyDescent="0.35">
      <c r="A14">
        <v>1861</v>
      </c>
      <c r="B14">
        <v>1522.367</v>
      </c>
      <c r="C14">
        <v>2358.9899999999998</v>
      </c>
      <c r="D14">
        <v>1386.92</v>
      </c>
      <c r="E14">
        <v>1506.66</v>
      </c>
      <c r="F14">
        <v>1858.106</v>
      </c>
      <c r="G14">
        <v>625.60400000000004</v>
      </c>
      <c r="H14">
        <v>1522.367</v>
      </c>
      <c r="I14">
        <v>2358.9899999999998</v>
      </c>
      <c r="J14">
        <v>1386.92</v>
      </c>
      <c r="K14">
        <v>1322.922</v>
      </c>
      <c r="L14">
        <v>1678</v>
      </c>
      <c r="M14">
        <v>989.23500000000001</v>
      </c>
      <c r="N14">
        <f>IF(ISBLANK($B14),NA(),IFERROR(SUM($B14:$B$177),NA()))</f>
        <v>1061599.4809999997</v>
      </c>
      <c r="O14">
        <f>IF(ISBLANK($C14),NA(),IFERROR(SUM($C14:$C$177),NA()))</f>
        <v>1437270.6849999994</v>
      </c>
      <c r="P14">
        <f>IF(ISBLANK($D14),NA(),IFERROR(SUM($D14:$D$177),NA()))</f>
        <v>1375198.1879999996</v>
      </c>
      <c r="Q14">
        <f t="shared" si="0"/>
        <v>2812468.8729999987</v>
      </c>
      <c r="R14">
        <f t="shared" si="1"/>
        <v>37.746177075645818</v>
      </c>
      <c r="S14">
        <f t="shared" si="2"/>
        <v>51.103523270886711</v>
      </c>
      <c r="T14">
        <f>IF(ISBLANK($E14),NA(),IFERROR(SUM($E14:$E$177),NA()))</f>
        <v>937834.94999999972</v>
      </c>
      <c r="U14">
        <f>IF(ISBLANK($F14),NA(),IFERROR(SUM($F14:$F$177),NA()))</f>
        <v>1189984.4349999998</v>
      </c>
      <c r="V14">
        <f>IF(ISBLANK($G14),NA(),IFERROR(SUM($G14:$G$177),NA()))</f>
        <v>1034503.6799999998</v>
      </c>
      <c r="W14">
        <f t="shared" si="3"/>
        <v>2224488.1149999998</v>
      </c>
      <c r="X14">
        <f t="shared" si="4"/>
        <v>42.159584655726505</v>
      </c>
      <c r="Y14">
        <f t="shared" si="5"/>
        <v>53.49475355592088</v>
      </c>
      <c r="Z14">
        <f>IF(ISBLANK($H14),NA(),IFERROR(SUM($H14:$H$177),NA()))</f>
        <v>1061599.4879999997</v>
      </c>
      <c r="AA14">
        <f>IF(ISBLANK($I14),NA(),IFERROR(SUM($I14:$I$177),NA()))</f>
        <v>1437270.6929999997</v>
      </c>
      <c r="AB14">
        <f>IF(ISBLANK($J14),NA(),IFERROR(SUM($J14:$J$177),NA()))</f>
        <v>1374714.3570000003</v>
      </c>
      <c r="AC14">
        <f t="shared" si="6"/>
        <v>2811985.05</v>
      </c>
      <c r="AD14">
        <f t="shared" si="7"/>
        <v>37.752671835861989</v>
      </c>
      <c r="AE14">
        <f t="shared" si="8"/>
        <v>51.112316297698655</v>
      </c>
      <c r="AF14">
        <f>IF(ISBLANK($K14),NA(),IFERROR(SUM($K14:$K$177),NA()))</f>
        <v>1021163.0449999996</v>
      </c>
      <c r="AG14">
        <f>IF(ISBLANK($L14),NA(),IFERROR(SUM($L14:$L$177),NA()))</f>
        <v>1321280.9259999997</v>
      </c>
      <c r="AH14">
        <f>IF(ISBLANK($M14),NA(),IFERROR(SUM($M14:$M$177),NA()))</f>
        <v>1223879.6529999997</v>
      </c>
      <c r="AI14">
        <f t="shared" si="9"/>
        <v>2545160.5789999994</v>
      </c>
      <c r="AJ14">
        <f t="shared" si="10"/>
        <v>40.121753158742436</v>
      </c>
      <c r="AK14">
        <f t="shared" si="11"/>
        <v>51.913460270515998</v>
      </c>
    </row>
    <row r="15" spans="1:37" x14ac:dyDescent="0.35">
      <c r="A15">
        <v>1862</v>
      </c>
      <c r="B15">
        <v>1523.1780000000001</v>
      </c>
      <c r="C15">
        <v>2349.9690000000001</v>
      </c>
      <c r="D15">
        <v>1282.0360000000001</v>
      </c>
      <c r="E15">
        <v>1323.9449999999999</v>
      </c>
      <c r="F15">
        <v>1650.9580000000001</v>
      </c>
      <c r="G15">
        <v>624.66800000000001</v>
      </c>
      <c r="H15">
        <v>1523.1780000000001</v>
      </c>
      <c r="I15">
        <v>2349.9690000000001</v>
      </c>
      <c r="J15">
        <v>1282.0360000000001</v>
      </c>
      <c r="K15">
        <v>1340.838</v>
      </c>
      <c r="L15">
        <v>1689.2929999999999</v>
      </c>
      <c r="M15">
        <v>969.16399999999999</v>
      </c>
      <c r="N15">
        <f>IF(ISBLANK($B15),NA(),IFERROR(SUM($B15:$B$177),NA()))</f>
        <v>1060077.1139999996</v>
      </c>
      <c r="O15">
        <f>IF(ISBLANK($C15),NA(),IFERROR(SUM($C15:$C$177),NA()))</f>
        <v>1434911.6949999994</v>
      </c>
      <c r="P15">
        <f>IF(ISBLANK($D15),NA(),IFERROR(SUM($D15:$D$177),NA()))</f>
        <v>1373811.2679999997</v>
      </c>
      <c r="Q15">
        <f t="shared" si="0"/>
        <v>2808722.9629999991</v>
      </c>
      <c r="R15">
        <f t="shared" si="1"/>
        <v>37.742316631602939</v>
      </c>
      <c r="S15">
        <f t="shared" si="2"/>
        <v>51.087690523502857</v>
      </c>
      <c r="T15">
        <f>IF(ISBLANK($E15),NA(),IFERROR(SUM($E15:$E$177),NA()))</f>
        <v>936328.28999999969</v>
      </c>
      <c r="U15">
        <f>IF(ISBLANK($F15),NA(),IFERROR(SUM($F15:$F$177),NA()))</f>
        <v>1188126.3289999997</v>
      </c>
      <c r="V15">
        <f>IF(ISBLANK($G15),NA(),IFERROR(SUM($G15:$G$177),NA()))</f>
        <v>1033878.0759999998</v>
      </c>
      <c r="W15">
        <f t="shared" si="3"/>
        <v>2222004.4049999993</v>
      </c>
      <c r="X15">
        <f t="shared" si="4"/>
        <v>42.138903410499765</v>
      </c>
      <c r="Y15">
        <f t="shared" si="5"/>
        <v>53.470925904847611</v>
      </c>
      <c r="Z15">
        <f>IF(ISBLANK($H15),NA(),IFERROR(SUM($H15:$H$177),NA()))</f>
        <v>1060077.1209999996</v>
      </c>
      <c r="AA15">
        <f>IF(ISBLANK($I15),NA(),IFERROR(SUM($I15:$I$177),NA()))</f>
        <v>1434911.7029999995</v>
      </c>
      <c r="AB15">
        <f>IF(ISBLANK($J15),NA(),IFERROR(SUM($J15:$J$177),NA()))</f>
        <v>1373327.4370000004</v>
      </c>
      <c r="AC15">
        <f t="shared" si="6"/>
        <v>2808239.1399999997</v>
      </c>
      <c r="AD15">
        <f t="shared" si="7"/>
        <v>37.748819390075148</v>
      </c>
      <c r="AE15">
        <f t="shared" si="8"/>
        <v>51.096492551556693</v>
      </c>
      <c r="AF15">
        <f>IF(ISBLANK($K15),NA(),IFERROR(SUM($K15:$K$177),NA()))</f>
        <v>1019840.1229999996</v>
      </c>
      <c r="AG15">
        <f>IF(ISBLANK($L15),NA(),IFERROR(SUM($L15:$L$177),NA()))</f>
        <v>1319602.9259999997</v>
      </c>
      <c r="AH15">
        <f>IF(ISBLANK($M15),NA(),IFERROR(SUM($M15:$M$177),NA()))</f>
        <v>1222890.4179999998</v>
      </c>
      <c r="AI15">
        <f t="shared" si="9"/>
        <v>2542493.3439999996</v>
      </c>
      <c r="AJ15">
        <f t="shared" si="10"/>
        <v>40.111810927910916</v>
      </c>
      <c r="AK15">
        <f t="shared" si="11"/>
        <v>51.90192254049024</v>
      </c>
    </row>
    <row r="16" spans="1:37" x14ac:dyDescent="0.35">
      <c r="A16">
        <v>1863</v>
      </c>
      <c r="B16">
        <v>1543.8230000000001</v>
      </c>
      <c r="C16">
        <v>2356.241</v>
      </c>
      <c r="D16">
        <v>1241.748</v>
      </c>
      <c r="E16">
        <v>1345.537</v>
      </c>
      <c r="F16">
        <v>1677.135</v>
      </c>
      <c r="G16">
        <v>623.221</v>
      </c>
      <c r="H16">
        <v>1543.8230000000001</v>
      </c>
      <c r="I16">
        <v>2356.241</v>
      </c>
      <c r="J16">
        <v>1241.748</v>
      </c>
      <c r="K16">
        <v>1377.7470000000001</v>
      </c>
      <c r="L16">
        <v>1714.396</v>
      </c>
      <c r="M16">
        <v>965.971</v>
      </c>
      <c r="N16">
        <f>IF(ISBLANK($B16),NA(),IFERROR(SUM($B16:$B$177),NA()))</f>
        <v>1058553.9359999998</v>
      </c>
      <c r="O16">
        <f>IF(ISBLANK($C16),NA(),IFERROR(SUM($C16:$C$177),NA()))</f>
        <v>1432561.7259999993</v>
      </c>
      <c r="P16">
        <f>IF(ISBLANK($D16),NA(),IFERROR(SUM($D16:$D$177),NA()))</f>
        <v>1372529.2319999998</v>
      </c>
      <c r="Q16">
        <f t="shared" si="0"/>
        <v>2805090.9579999992</v>
      </c>
      <c r="R16">
        <f t="shared" si="1"/>
        <v>37.736884537774053</v>
      </c>
      <c r="S16">
        <f t="shared" si="2"/>
        <v>51.07006323322225</v>
      </c>
      <c r="T16">
        <f>IF(ISBLANK($E16),NA(),IFERROR(SUM($E16:$E$177),NA()))</f>
        <v>935004.34499999974</v>
      </c>
      <c r="U16">
        <f>IF(ISBLANK($F16),NA(),IFERROR(SUM($F16:$F$177),NA()))</f>
        <v>1186475.3709999998</v>
      </c>
      <c r="V16">
        <f>IF(ISBLANK($G16),NA(),IFERROR(SUM($G16:$G$177),NA()))</f>
        <v>1033253.4079999997</v>
      </c>
      <c r="W16">
        <f t="shared" si="3"/>
        <v>2219728.7789999996</v>
      </c>
      <c r="X16">
        <f t="shared" si="4"/>
        <v>42.122459006961407</v>
      </c>
      <c r="Y16">
        <f t="shared" si="5"/>
        <v>53.451366771687923</v>
      </c>
      <c r="Z16">
        <f>IF(ISBLANK($H16),NA(),IFERROR(SUM($H16:$H$177),NA()))</f>
        <v>1058553.9429999995</v>
      </c>
      <c r="AA16">
        <f>IF(ISBLANK($I16),NA(),IFERROR(SUM($I16:$I$177),NA()))</f>
        <v>1432561.7339999995</v>
      </c>
      <c r="AB16">
        <f>IF(ISBLANK($J16),NA(),IFERROR(SUM($J16:$J$177),NA()))</f>
        <v>1372045.4010000003</v>
      </c>
      <c r="AC16">
        <f t="shared" si="6"/>
        <v>2804607.1349999998</v>
      </c>
      <c r="AD16">
        <f t="shared" si="7"/>
        <v>37.743394780317409</v>
      </c>
      <c r="AE16">
        <f t="shared" si="8"/>
        <v>51.078873619138797</v>
      </c>
      <c r="AF16">
        <f>IF(ISBLANK($K16),NA(),IFERROR(SUM($K16:$K$177),NA()))</f>
        <v>1018499.2849999996</v>
      </c>
      <c r="AG16">
        <f>IF(ISBLANK($L16),NA(),IFERROR(SUM($L16:$L$177),NA()))</f>
        <v>1317913.6329999997</v>
      </c>
      <c r="AH16">
        <f>IF(ISBLANK($M16),NA(),IFERROR(SUM($M16:$M$177),NA()))</f>
        <v>1221921.2539999997</v>
      </c>
      <c r="AI16">
        <f t="shared" si="9"/>
        <v>2539834.8869999992</v>
      </c>
      <c r="AJ16">
        <f t="shared" si="10"/>
        <v>40.101003817733599</v>
      </c>
      <c r="AK16">
        <f t="shared" si="11"/>
        <v>51.889736602393555</v>
      </c>
    </row>
    <row r="17" spans="1:37" x14ac:dyDescent="0.35">
      <c r="A17">
        <v>1864</v>
      </c>
      <c r="B17">
        <v>1549.5740000000001</v>
      </c>
      <c r="C17">
        <v>2399.2820000000002</v>
      </c>
      <c r="D17">
        <v>1237.3699999999999</v>
      </c>
      <c r="E17">
        <v>1373.538</v>
      </c>
      <c r="F17">
        <v>1708.56</v>
      </c>
      <c r="G17">
        <v>624.15300000000002</v>
      </c>
      <c r="H17">
        <v>1549.5740000000001</v>
      </c>
      <c r="I17">
        <v>2399.2820000000002</v>
      </c>
      <c r="J17">
        <v>1237.3699999999999</v>
      </c>
      <c r="K17">
        <v>1399.0889999999999</v>
      </c>
      <c r="L17">
        <v>1775.4</v>
      </c>
      <c r="M17">
        <v>971.447</v>
      </c>
      <c r="N17">
        <f>IF(ISBLANK($B17),NA(),IFERROR(SUM($B17:$B$177),NA()))</f>
        <v>1057010.1129999999</v>
      </c>
      <c r="O17">
        <f>IF(ISBLANK($C17),NA(),IFERROR(SUM($C17:$C$177),NA()))</f>
        <v>1430205.4849999994</v>
      </c>
      <c r="P17">
        <f>IF(ISBLANK($D17),NA(),IFERROR(SUM($D17:$D$177),NA()))</f>
        <v>1371287.4839999997</v>
      </c>
      <c r="Q17">
        <f t="shared" si="0"/>
        <v>2801492.9689999991</v>
      </c>
      <c r="R17">
        <f t="shared" si="1"/>
        <v>37.730243291572592</v>
      </c>
      <c r="S17">
        <f t="shared" si="2"/>
        <v>51.051546472755035</v>
      </c>
      <c r="T17">
        <f>IF(ISBLANK($E17),NA(),IFERROR(SUM($E17:$E$177),NA()))</f>
        <v>933658.80799999973</v>
      </c>
      <c r="U17">
        <f>IF(ISBLANK($F17),NA(),IFERROR(SUM($F17:$F$177),NA()))</f>
        <v>1184798.2359999998</v>
      </c>
      <c r="V17">
        <f>IF(ISBLANK($G17),NA(),IFERROR(SUM($G17:$G$177),NA()))</f>
        <v>1032630.1869999998</v>
      </c>
      <c r="W17">
        <f t="shared" si="3"/>
        <v>2217428.4229999995</v>
      </c>
      <c r="X17">
        <f t="shared" si="4"/>
        <v>42.105476700656503</v>
      </c>
      <c r="Y17">
        <f t="shared" si="5"/>
        <v>53.431182883326834</v>
      </c>
      <c r="Z17">
        <f>IF(ISBLANK($H17),NA(),IFERROR(SUM($H17:$H$177),NA()))</f>
        <v>1057010.1199999996</v>
      </c>
      <c r="AA17">
        <f>IF(ISBLANK($I17),NA(),IFERROR(SUM($I17:$I$177),NA()))</f>
        <v>1430205.4929999996</v>
      </c>
      <c r="AB17">
        <f>IF(ISBLANK($J17),NA(),IFERROR(SUM($J17:$J$177),NA()))</f>
        <v>1370803.6530000004</v>
      </c>
      <c r="AC17">
        <f t="shared" si="6"/>
        <v>2801009.1459999997</v>
      </c>
      <c r="AD17">
        <f t="shared" si="7"/>
        <v>37.736760749584491</v>
      </c>
      <c r="AE17">
        <f t="shared" si="8"/>
        <v>51.060364977473007</v>
      </c>
      <c r="AF17">
        <f>IF(ISBLANK($K17),NA(),IFERROR(SUM($K17:$K$177),NA()))</f>
        <v>1017121.5379999996</v>
      </c>
      <c r="AG17">
        <f>IF(ISBLANK($L17),NA(),IFERROR(SUM($L17:$L$177),NA()))</f>
        <v>1316199.2369999997</v>
      </c>
      <c r="AH17">
        <f>IF(ISBLANK($M17),NA(),IFERROR(SUM($M17:$M$177),NA()))</f>
        <v>1220955.2829999998</v>
      </c>
      <c r="AI17">
        <f t="shared" si="9"/>
        <v>2537154.5199999996</v>
      </c>
      <c r="AJ17">
        <f t="shared" si="10"/>
        <v>40.089065525264097</v>
      </c>
      <c r="AK17">
        <f t="shared" si="11"/>
        <v>51.876983708505065</v>
      </c>
    </row>
    <row r="18" spans="1:37" x14ac:dyDescent="0.35">
      <c r="A18">
        <v>1865</v>
      </c>
      <c r="B18">
        <v>1546.914</v>
      </c>
      <c r="C18">
        <v>2377.2559999999999</v>
      </c>
      <c r="D18">
        <v>1187.931</v>
      </c>
      <c r="E18">
        <v>1397.673</v>
      </c>
      <c r="F18">
        <v>1736.1379999999999</v>
      </c>
      <c r="G18">
        <v>625.79899999999998</v>
      </c>
      <c r="H18">
        <v>1546.914</v>
      </c>
      <c r="I18">
        <v>2377.2559999999999</v>
      </c>
      <c r="J18">
        <v>1187.931</v>
      </c>
      <c r="K18">
        <v>1411.1690000000001</v>
      </c>
      <c r="L18">
        <v>1770.4559999999999</v>
      </c>
      <c r="M18">
        <v>951.02099999999996</v>
      </c>
      <c r="N18">
        <f>IF(ISBLANK($B18),NA(),IFERROR(SUM($B18:$B$177),NA()))</f>
        <v>1055460.5389999999</v>
      </c>
      <c r="O18">
        <f>IF(ISBLANK($C18),NA(),IFERROR(SUM($C18:$C$177),NA()))</f>
        <v>1427806.2029999993</v>
      </c>
      <c r="P18">
        <f>IF(ISBLANK($D18),NA(),IFERROR(SUM($D18:$D$177),NA()))</f>
        <v>1370050.1139999998</v>
      </c>
      <c r="Q18">
        <f t="shared" si="0"/>
        <v>2797856.3169999989</v>
      </c>
      <c r="R18">
        <f t="shared" si="1"/>
        <v>37.723900708801132</v>
      </c>
      <c r="S18">
        <f t="shared" si="2"/>
        <v>51.032148946482145</v>
      </c>
      <c r="T18">
        <f>IF(ISBLANK($E18),NA(),IFERROR(SUM($E18:$E$177),NA()))</f>
        <v>932285.26999999967</v>
      </c>
      <c r="U18">
        <f>IF(ISBLANK($F18),NA(),IFERROR(SUM($F18:$F$177),NA()))</f>
        <v>1183089.6759999997</v>
      </c>
      <c r="V18">
        <f>IF(ISBLANK($G18),NA(),IFERROR(SUM($G18:$G$177),NA()))</f>
        <v>1032006.0339999996</v>
      </c>
      <c r="W18">
        <f t="shared" si="3"/>
        <v>2215095.7099999995</v>
      </c>
      <c r="X18">
        <f t="shared" si="4"/>
        <v>42.087809831025311</v>
      </c>
      <c r="Y18">
        <f t="shared" si="5"/>
        <v>53.4103185997322</v>
      </c>
      <c r="Z18">
        <f>IF(ISBLANK($H18),NA(),IFERROR(SUM($H18:$H$177),NA()))</f>
        <v>1055460.5459999996</v>
      </c>
      <c r="AA18">
        <f>IF(ISBLANK($I18),NA(),IFERROR(SUM($I18:$I$177),NA()))</f>
        <v>1427806.2109999997</v>
      </c>
      <c r="AB18">
        <f>IF(ISBLANK($J18),NA(),IFERROR(SUM($J18:$J$177),NA()))</f>
        <v>1369566.2830000003</v>
      </c>
      <c r="AC18">
        <f t="shared" si="6"/>
        <v>2797372.4939999999</v>
      </c>
      <c r="AD18">
        <f t="shared" si="7"/>
        <v>37.730425542677111</v>
      </c>
      <c r="AE18">
        <f t="shared" si="8"/>
        <v>51.04097556054684</v>
      </c>
      <c r="AF18">
        <f>IF(ISBLANK($K18),NA(),IFERROR(SUM($K18:$K$177),NA()))</f>
        <v>1015722.4489999994</v>
      </c>
      <c r="AG18">
        <f>IF(ISBLANK($L18),NA(),IFERROR(SUM($L18:$L$177),NA()))</f>
        <v>1314423.8369999998</v>
      </c>
      <c r="AH18">
        <f>IF(ISBLANK($M18),NA(),IFERROR(SUM($M18:$M$177),NA()))</f>
        <v>1219983.8359999997</v>
      </c>
      <c r="AI18">
        <f t="shared" si="9"/>
        <v>2534407.6729999995</v>
      </c>
      <c r="AJ18">
        <f t="shared" si="10"/>
        <v>40.077311153247905</v>
      </c>
      <c r="AK18">
        <f t="shared" si="11"/>
        <v>51.863157257731359</v>
      </c>
    </row>
    <row r="19" spans="1:37" x14ac:dyDescent="0.35">
      <c r="A19">
        <v>1866</v>
      </c>
      <c r="B19">
        <v>1544.675</v>
      </c>
      <c r="C19">
        <v>2412.127</v>
      </c>
      <c r="D19">
        <v>1167.4939999999999</v>
      </c>
      <c r="E19">
        <v>1409.91</v>
      </c>
      <c r="F19">
        <v>1751.412</v>
      </c>
      <c r="G19">
        <v>624.83299999999997</v>
      </c>
      <c r="H19">
        <v>1544.675</v>
      </c>
      <c r="I19">
        <v>2412.127</v>
      </c>
      <c r="J19">
        <v>1167.4939999999999</v>
      </c>
      <c r="K19">
        <v>1423.067</v>
      </c>
      <c r="L19">
        <v>1821.809</v>
      </c>
      <c r="M19">
        <v>946</v>
      </c>
      <c r="N19">
        <f>IF(ISBLANK($B19),NA(),IFERROR(SUM($B19:$B$177),NA()))</f>
        <v>1053913.6249999998</v>
      </c>
      <c r="O19">
        <f>IF(ISBLANK($C19),NA(),IFERROR(SUM($C19:$C$177),NA()))</f>
        <v>1425428.9469999995</v>
      </c>
      <c r="P19">
        <f>IF(ISBLANK($D19),NA(),IFERROR(SUM($D19:$D$177),NA()))</f>
        <v>1368862.1829999997</v>
      </c>
      <c r="Q19">
        <f t="shared" si="0"/>
        <v>2794291.129999999</v>
      </c>
      <c r="R19">
        <f t="shared" si="1"/>
        <v>37.71667217080563</v>
      </c>
      <c r="S19">
        <f t="shared" si="2"/>
        <v>51.012184510638306</v>
      </c>
      <c r="T19">
        <f>IF(ISBLANK($E19),NA(),IFERROR(SUM($E19:$E$177),NA()))</f>
        <v>930887.59699999972</v>
      </c>
      <c r="U19">
        <f>IF(ISBLANK($F19),NA(),IFERROR(SUM($F19:$F$177),NA()))</f>
        <v>1181353.5379999997</v>
      </c>
      <c r="V19">
        <f>IF(ISBLANK($G19),NA(),IFERROR(SUM($G19:$G$177),NA()))</f>
        <v>1031380.2349999998</v>
      </c>
      <c r="W19">
        <f t="shared" si="3"/>
        <v>2212733.7729999996</v>
      </c>
      <c r="X19">
        <f t="shared" si="4"/>
        <v>42.069570608031746</v>
      </c>
      <c r="Y19">
        <f t="shared" si="5"/>
        <v>53.388869118146729</v>
      </c>
      <c r="Z19">
        <f>IF(ISBLANK($H19),NA(),IFERROR(SUM($H19:$H$177),NA()))</f>
        <v>1053913.6319999995</v>
      </c>
      <c r="AA19">
        <f>IF(ISBLANK($I19),NA(),IFERROR(SUM($I19:$I$177),NA()))</f>
        <v>1425428.9549999996</v>
      </c>
      <c r="AB19">
        <f>IF(ISBLANK($J19),NA(),IFERROR(SUM($J19:$J$177),NA()))</f>
        <v>1368378.3520000004</v>
      </c>
      <c r="AC19">
        <f t="shared" si="6"/>
        <v>2793807.307</v>
      </c>
      <c r="AD19">
        <f t="shared" si="7"/>
        <v>37.723204079228204</v>
      </c>
      <c r="AE19">
        <f t="shared" si="8"/>
        <v>51.02101893099529</v>
      </c>
      <c r="AF19">
        <f>IF(ISBLANK($K19),NA(),IFERROR(SUM($K19:$K$177),NA()))</f>
        <v>1014311.2799999994</v>
      </c>
      <c r="AG19">
        <f>IF(ISBLANK($L19),NA(),IFERROR(SUM($L19:$L$177),NA()))</f>
        <v>1312653.3809999998</v>
      </c>
      <c r="AH19">
        <f>IF(ISBLANK($M19),NA(),IFERROR(SUM($M19:$M$177),NA()))</f>
        <v>1219032.8149999997</v>
      </c>
      <c r="AI19">
        <f t="shared" si="9"/>
        <v>2531686.1959999995</v>
      </c>
      <c r="AJ19">
        <f t="shared" si="10"/>
        <v>40.064652625692148</v>
      </c>
      <c r="AK19">
        <f t="shared" si="11"/>
        <v>51.84897650719742</v>
      </c>
    </row>
    <row r="20" spans="1:37" x14ac:dyDescent="0.35">
      <c r="A20">
        <v>1867</v>
      </c>
      <c r="B20">
        <v>1585.9939999999999</v>
      </c>
      <c r="C20">
        <v>2405.23</v>
      </c>
      <c r="D20">
        <v>1147.9680000000001</v>
      </c>
      <c r="E20">
        <v>1436.06</v>
      </c>
      <c r="F20">
        <v>1780.691</v>
      </c>
      <c r="G20">
        <v>623.82100000000003</v>
      </c>
      <c r="H20">
        <v>1585.9939999999999</v>
      </c>
      <c r="I20">
        <v>2405.23</v>
      </c>
      <c r="J20">
        <v>1147.9680000000001</v>
      </c>
      <c r="K20">
        <v>1479.624</v>
      </c>
      <c r="L20">
        <v>1832.5150000000001</v>
      </c>
      <c r="M20">
        <v>942.54100000000005</v>
      </c>
      <c r="N20">
        <f>IF(ISBLANK($B20),NA(),IFERROR(SUM($B20:$B$177),NA()))</f>
        <v>1052368.95</v>
      </c>
      <c r="O20">
        <f>IF(ISBLANK($C20),NA(),IFERROR(SUM($C20:$C$177),NA()))</f>
        <v>1423016.8199999994</v>
      </c>
      <c r="P20">
        <f>IF(ISBLANK($D20),NA(),IFERROR(SUM($D20:$D$177),NA()))</f>
        <v>1367694.6889999998</v>
      </c>
      <c r="Q20">
        <f t="shared" si="0"/>
        <v>2790711.5089999991</v>
      </c>
      <c r="R20">
        <f t="shared" si="1"/>
        <v>37.709700433245331</v>
      </c>
      <c r="S20">
        <f t="shared" si="2"/>
        <v>50.991183266732996</v>
      </c>
      <c r="T20">
        <f>IF(ISBLANK($E20),NA(),IFERROR(SUM($E20:$E$177),NA()))</f>
        <v>929477.68699999969</v>
      </c>
      <c r="U20">
        <f>IF(ISBLANK($F20),NA(),IFERROR(SUM($F20:$F$177),NA()))</f>
        <v>1179602.1259999997</v>
      </c>
      <c r="V20">
        <f>IF(ISBLANK($G20),NA(),IFERROR(SUM($G20:$G$177),NA()))</f>
        <v>1030755.4019999997</v>
      </c>
      <c r="W20">
        <f t="shared" si="3"/>
        <v>2210357.5279999995</v>
      </c>
      <c r="X20">
        <f t="shared" si="4"/>
        <v>42.051010989204997</v>
      </c>
      <c r="Y20">
        <f t="shared" si="5"/>
        <v>53.367028232185611</v>
      </c>
      <c r="Z20">
        <f>IF(ISBLANK($H20),NA(),IFERROR(SUM($H20:$H$177),NA()))</f>
        <v>1052368.9569999997</v>
      </c>
      <c r="AA20">
        <f>IF(ISBLANK($I20),NA(),IFERROR(SUM($I20:$I$177),NA()))</f>
        <v>1423016.8279999995</v>
      </c>
      <c r="AB20">
        <f>IF(ISBLANK($J20),NA(),IFERROR(SUM($J20:$J$177),NA()))</f>
        <v>1367210.8580000005</v>
      </c>
      <c r="AC20">
        <f t="shared" si="6"/>
        <v>2790227.6859999998</v>
      </c>
      <c r="AD20">
        <f t="shared" si="7"/>
        <v>37.716239512648855</v>
      </c>
      <c r="AE20">
        <f t="shared" si="8"/>
        <v>51.000025379290847</v>
      </c>
      <c r="AF20">
        <f>IF(ISBLANK($K20),NA(),IFERROR(SUM($K20:$K$177),NA()))</f>
        <v>1012888.2129999994</v>
      </c>
      <c r="AG20">
        <f>IF(ISBLANK($L20),NA(),IFERROR(SUM($L20:$L$177),NA()))</f>
        <v>1310831.5719999997</v>
      </c>
      <c r="AH20">
        <f>IF(ISBLANK($M20),NA(),IFERROR(SUM($M20:$M$177),NA()))</f>
        <v>1218086.8149999997</v>
      </c>
      <c r="AI20">
        <f t="shared" si="9"/>
        <v>2528918.3869999992</v>
      </c>
      <c r="AJ20">
        <f t="shared" si="10"/>
        <v>40.052230163171323</v>
      </c>
      <c r="AK20">
        <f t="shared" si="11"/>
        <v>51.83368426353254</v>
      </c>
    </row>
    <row r="21" spans="1:37" x14ac:dyDescent="0.35">
      <c r="A21">
        <v>1868</v>
      </c>
      <c r="B21">
        <v>1582.827</v>
      </c>
      <c r="C21">
        <v>2417.7260000000001</v>
      </c>
      <c r="D21">
        <v>1125.2650000000001</v>
      </c>
      <c r="E21">
        <v>1443.5139999999999</v>
      </c>
      <c r="F21">
        <v>1790.9190000000001</v>
      </c>
      <c r="G21">
        <v>622.18799999999999</v>
      </c>
      <c r="H21">
        <v>1582.827</v>
      </c>
      <c r="I21">
        <v>2417.7260000000001</v>
      </c>
      <c r="J21">
        <v>1125.2650000000001</v>
      </c>
      <c r="K21">
        <v>1492.0440000000001</v>
      </c>
      <c r="L21">
        <v>1863.116</v>
      </c>
      <c r="M21">
        <v>930.68799999999999</v>
      </c>
      <c r="N21">
        <f>IF(ISBLANK($B21),NA(),IFERROR(SUM($B21:$B$177),NA()))</f>
        <v>1050782.9559999998</v>
      </c>
      <c r="O21">
        <f>IF(ISBLANK($C21),NA(),IFERROR(SUM($C21:$C$177),NA()))</f>
        <v>1420611.5899999994</v>
      </c>
      <c r="P21">
        <f>IF(ISBLANK($D21),NA(),IFERROR(SUM($D21:$D$177),NA()))</f>
        <v>1366546.7209999999</v>
      </c>
      <c r="Q21">
        <f t="shared" si="0"/>
        <v>2787158.3109999993</v>
      </c>
      <c r="R21">
        <f t="shared" si="1"/>
        <v>37.700870878159456</v>
      </c>
      <c r="S21">
        <f t="shared" si="2"/>
        <v>50.969892323421732</v>
      </c>
      <c r="T21">
        <f>IF(ISBLANK($E21),NA(),IFERROR(SUM($E21:$E$177),NA()))</f>
        <v>928041.62699999975</v>
      </c>
      <c r="U21">
        <f>IF(ISBLANK($F21),NA(),IFERROR(SUM($F21:$F$177),NA()))</f>
        <v>1177821.4349999998</v>
      </c>
      <c r="V21">
        <f>IF(ISBLANK($G21),NA(),IFERROR(SUM($G21:$G$177),NA()))</f>
        <v>1030131.5809999997</v>
      </c>
      <c r="W21">
        <f t="shared" si="3"/>
        <v>2207953.0159999994</v>
      </c>
      <c r="X21">
        <f t="shared" si="4"/>
        <v>42.031765181365614</v>
      </c>
      <c r="Y21">
        <f t="shared" si="5"/>
        <v>53.344497209174314</v>
      </c>
      <c r="Z21">
        <f>IF(ISBLANK($H21),NA(),IFERROR(SUM($H21:$H$177),NA()))</f>
        <v>1050782.9629999995</v>
      </c>
      <c r="AA21">
        <f>IF(ISBLANK($I21),NA(),IFERROR(SUM($I21:$I$177),NA()))</f>
        <v>1420611.5979999995</v>
      </c>
      <c r="AB21">
        <f>IF(ISBLANK($J21),NA(),IFERROR(SUM($J21:$J$177),NA()))</f>
        <v>1366062.8900000004</v>
      </c>
      <c r="AC21">
        <f t="shared" si="6"/>
        <v>2786674.4879999999</v>
      </c>
      <c r="AD21">
        <f t="shared" si="7"/>
        <v>37.707416762341261</v>
      </c>
      <c r="AE21">
        <f t="shared" si="8"/>
        <v>50.978742013731726</v>
      </c>
      <c r="AF21">
        <f>IF(ISBLANK($K21),NA(),IFERROR(SUM($K21:$K$177),NA()))</f>
        <v>1011408.5889999996</v>
      </c>
      <c r="AG21">
        <f>IF(ISBLANK($L21),NA(),IFERROR(SUM($L21:$L$177),NA()))</f>
        <v>1308999.0569999998</v>
      </c>
      <c r="AH21">
        <f>IF(ISBLANK($M21),NA(),IFERROR(SUM($M21:$M$177),NA()))</f>
        <v>1217144.2739999997</v>
      </c>
      <c r="AI21">
        <f t="shared" si="9"/>
        <v>2526143.3309999993</v>
      </c>
      <c r="AJ21">
        <f t="shared" si="10"/>
        <v>40.037656477695712</v>
      </c>
      <c r="AK21">
        <f t="shared" si="11"/>
        <v>51.818083357994546</v>
      </c>
    </row>
    <row r="22" spans="1:37" x14ac:dyDescent="0.35">
      <c r="A22">
        <v>1869</v>
      </c>
      <c r="B22">
        <v>1588.327</v>
      </c>
      <c r="C22">
        <v>2429.5650000000001</v>
      </c>
      <c r="D22">
        <v>1128.9849999999999</v>
      </c>
      <c r="E22">
        <v>1467.855</v>
      </c>
      <c r="F22">
        <v>1818.1949999999999</v>
      </c>
      <c r="G22">
        <v>620.05100000000004</v>
      </c>
      <c r="H22">
        <v>1588.327</v>
      </c>
      <c r="I22">
        <v>2429.5650000000001</v>
      </c>
      <c r="J22">
        <v>1128.9849999999999</v>
      </c>
      <c r="K22">
        <v>1511.924</v>
      </c>
      <c r="L22">
        <v>1891.8579999999999</v>
      </c>
      <c r="M22">
        <v>944.13400000000001</v>
      </c>
      <c r="N22">
        <f>IF(ISBLANK($B22),NA(),IFERROR(SUM($B22:$B$177),NA()))</f>
        <v>1049200.129</v>
      </c>
      <c r="O22">
        <f>IF(ISBLANK($C22),NA(),IFERROR(SUM($C22:$C$177),NA()))</f>
        <v>1418193.8639999994</v>
      </c>
      <c r="P22">
        <f>IF(ISBLANK($D22),NA(),IFERROR(SUM($D22:$D$177),NA()))</f>
        <v>1365421.4559999998</v>
      </c>
      <c r="Q22">
        <f t="shared" si="0"/>
        <v>2783615.3199999994</v>
      </c>
      <c r="R22">
        <f t="shared" si="1"/>
        <v>37.691994344965742</v>
      </c>
      <c r="S22">
        <f t="shared" si="2"/>
        <v>50.947911294007376</v>
      </c>
      <c r="T22">
        <f>IF(ISBLANK($E22),NA(),IFERROR(SUM($E22:$E$177),NA()))</f>
        <v>926598.11299999978</v>
      </c>
      <c r="U22">
        <f>IF(ISBLANK($F22),NA(),IFERROR(SUM($F22:$F$177),NA()))</f>
        <v>1176030.5159999998</v>
      </c>
      <c r="V22">
        <f>IF(ISBLANK($G22),NA(),IFERROR(SUM($G22:$G$177),NA()))</f>
        <v>1029509.3929999998</v>
      </c>
      <c r="W22">
        <f t="shared" si="3"/>
        <v>2205539.9089999995</v>
      </c>
      <c r="X22">
        <f t="shared" si="4"/>
        <v>42.012303165265465</v>
      </c>
      <c r="Y22">
        <f t="shared" si="5"/>
        <v>53.321661113501087</v>
      </c>
      <c r="Z22">
        <f>IF(ISBLANK($H22),NA(),IFERROR(SUM($H22:$H$177),NA()))</f>
        <v>1049200.1359999997</v>
      </c>
      <c r="AA22">
        <f>IF(ISBLANK($I22),NA(),IFERROR(SUM($I22:$I$177),NA()))</f>
        <v>1418193.8719999995</v>
      </c>
      <c r="AB22">
        <f>IF(ISBLANK($J22),NA(),IFERROR(SUM($J22:$J$177),NA()))</f>
        <v>1364937.6250000002</v>
      </c>
      <c r="AC22">
        <f t="shared" si="6"/>
        <v>2783131.4969999995</v>
      </c>
      <c r="AD22">
        <f t="shared" si="7"/>
        <v>37.698547019102627</v>
      </c>
      <c r="AE22">
        <f t="shared" si="8"/>
        <v>50.956768428969411</v>
      </c>
      <c r="AF22">
        <f>IF(ISBLANK($K22),NA(),IFERROR(SUM($K22:$K$177),NA()))</f>
        <v>1009916.5449999996</v>
      </c>
      <c r="AG22">
        <f>IF(ISBLANK($L22),NA(),IFERROR(SUM($L22:$L$177),NA()))</f>
        <v>1307135.9409999999</v>
      </c>
      <c r="AH22">
        <f>IF(ISBLANK($M22),NA(),IFERROR(SUM($M22:$M$177),NA()))</f>
        <v>1216213.5859999994</v>
      </c>
      <c r="AI22">
        <f t="shared" si="9"/>
        <v>2523349.5269999993</v>
      </c>
      <c r="AJ22">
        <f t="shared" si="10"/>
        <v>40.022855898234816</v>
      </c>
      <c r="AK22">
        <f t="shared" si="11"/>
        <v>51.801620307197346</v>
      </c>
    </row>
    <row r="23" spans="1:37" x14ac:dyDescent="0.35">
      <c r="A23">
        <v>1870</v>
      </c>
      <c r="B23">
        <v>1929.34</v>
      </c>
      <c r="C23">
        <v>2862.404</v>
      </c>
      <c r="D23">
        <v>1193.7059999999999</v>
      </c>
      <c r="E23">
        <v>1474.0350000000001</v>
      </c>
      <c r="F23">
        <v>1827.106</v>
      </c>
      <c r="G23">
        <v>619.23900000000003</v>
      </c>
      <c r="H23">
        <v>1929.34</v>
      </c>
      <c r="I23">
        <v>2862.404</v>
      </c>
      <c r="J23">
        <v>1193.7059999999999</v>
      </c>
      <c r="K23">
        <v>1612.922</v>
      </c>
      <c r="L23">
        <v>2033.4949999999999</v>
      </c>
      <c r="M23">
        <v>956.48699999999997</v>
      </c>
      <c r="N23">
        <f>IF(ISBLANK($B23),NA(),IFERROR(SUM($B23:$B$177),NA()))</f>
        <v>1047611.8019999998</v>
      </c>
      <c r="O23">
        <f>IF(ISBLANK($C23),NA(),IFERROR(SUM($C23:$C$177),NA()))</f>
        <v>1415764.2989999994</v>
      </c>
      <c r="P23">
        <f>IF(ISBLANK($D23),NA(),IFERROR(SUM($D23:$D$177),NA()))</f>
        <v>1364292.4709999999</v>
      </c>
      <c r="Q23">
        <f t="shared" si="0"/>
        <v>2780056.7699999996</v>
      </c>
      <c r="R23">
        <f t="shared" si="1"/>
        <v>37.683108248181561</v>
      </c>
      <c r="S23">
        <f t="shared" si="2"/>
        <v>50.925733397883079</v>
      </c>
      <c r="T23">
        <f>IF(ISBLANK($E23),NA(),IFERROR(SUM($E23:$E$177),NA()))</f>
        <v>925130.25799999968</v>
      </c>
      <c r="U23">
        <f>IF(ISBLANK($F23),NA(),IFERROR(SUM($F23:$F$177),NA()))</f>
        <v>1174212.3209999998</v>
      </c>
      <c r="V23">
        <f>IF(ISBLANK($G23),NA(),IFERROR(SUM($G23:$G$177),NA()))</f>
        <v>1028889.3419999996</v>
      </c>
      <c r="W23">
        <f t="shared" si="3"/>
        <v>2203101.6629999992</v>
      </c>
      <c r="X23">
        <f t="shared" si="4"/>
        <v>41.992172832380092</v>
      </c>
      <c r="Y23">
        <f t="shared" si="5"/>
        <v>53.298145097900559</v>
      </c>
      <c r="Z23">
        <f>IF(ISBLANK($H23),NA(),IFERROR(SUM($H23:$H$177),NA()))</f>
        <v>1047611.8089999997</v>
      </c>
      <c r="AA23">
        <f>IF(ISBLANK($I23),NA(),IFERROR(SUM($I23:$I$177),NA()))</f>
        <v>1415764.3069999996</v>
      </c>
      <c r="AB23">
        <f>IF(ISBLANK($J23),NA(),IFERROR(SUM($J23:$J$177),NA()))</f>
        <v>1363808.6400000004</v>
      </c>
      <c r="AC23">
        <f t="shared" si="6"/>
        <v>2779572.9469999997</v>
      </c>
      <c r="AD23">
        <f t="shared" si="7"/>
        <v>37.689667764635928</v>
      </c>
      <c r="AE23">
        <f t="shared" si="8"/>
        <v>50.934598011829038</v>
      </c>
      <c r="AF23">
        <f>IF(ISBLANK($K23),NA(),IFERROR(SUM($K23:$K$177),NA()))</f>
        <v>1008404.6209999995</v>
      </c>
      <c r="AG23">
        <f>IF(ISBLANK($L23),NA(),IFERROR(SUM($L23:$L$177),NA()))</f>
        <v>1305244.0829999999</v>
      </c>
      <c r="AH23">
        <f>IF(ISBLANK($M23),NA(),IFERROR(SUM($M23:$M$177),NA()))</f>
        <v>1215269.4519999996</v>
      </c>
      <c r="AI23">
        <f t="shared" si="9"/>
        <v>2520513.5349999992</v>
      </c>
      <c r="AJ23">
        <f t="shared" si="10"/>
        <v>40.007903429092266</v>
      </c>
      <c r="AK23">
        <f t="shared" si="11"/>
        <v>51.784847209717533</v>
      </c>
    </row>
    <row r="24" spans="1:37" x14ac:dyDescent="0.35">
      <c r="A24">
        <v>1871</v>
      </c>
      <c r="B24">
        <v>2095.8890000000001</v>
      </c>
      <c r="C24">
        <v>3017.8449999999998</v>
      </c>
      <c r="D24">
        <v>1197.1759999999999</v>
      </c>
      <c r="E24">
        <v>1508.6669999999999</v>
      </c>
      <c r="F24">
        <v>1857.4380000000001</v>
      </c>
      <c r="G24">
        <v>698.68600000000004</v>
      </c>
      <c r="H24">
        <v>2095.8890000000001</v>
      </c>
      <c r="I24">
        <v>3017.8449999999998</v>
      </c>
      <c r="J24">
        <v>1197.1759999999999</v>
      </c>
      <c r="K24">
        <v>1730.5989999999999</v>
      </c>
      <c r="L24">
        <v>2119.232</v>
      </c>
      <c r="M24">
        <v>957.36400000000003</v>
      </c>
      <c r="N24">
        <f>IF(ISBLANK($B24),NA(),IFERROR(SUM($B24:$B$177),NA()))</f>
        <v>1045682.4619999998</v>
      </c>
      <c r="O24">
        <f>IF(ISBLANK($C24),NA(),IFERROR(SUM($C24:$C$177),NA()))</f>
        <v>1412901.8949999993</v>
      </c>
      <c r="P24">
        <f>IF(ISBLANK($D24),NA(),IFERROR(SUM($D24:$D$177),NA()))</f>
        <v>1363098.7649999999</v>
      </c>
      <c r="Q24">
        <f t="shared" si="0"/>
        <v>2776000.6599999992</v>
      </c>
      <c r="R24">
        <f t="shared" si="1"/>
        <v>37.66866762920727</v>
      </c>
      <c r="S24">
        <f t="shared" si="2"/>
        <v>50.897030226210383</v>
      </c>
      <c r="T24">
        <f>IF(ISBLANK($E24),NA(),IFERROR(SUM($E24:$E$177),NA()))</f>
        <v>923656.22299999965</v>
      </c>
      <c r="U24">
        <f>IF(ISBLANK($F24),NA(),IFERROR(SUM($F24:$F$177),NA()))</f>
        <v>1172385.2149999999</v>
      </c>
      <c r="V24">
        <f>IF(ISBLANK($G24),NA(),IFERROR(SUM($G24:$G$177),NA()))</f>
        <v>1028270.1029999998</v>
      </c>
      <c r="W24">
        <f t="shared" si="3"/>
        <v>2200655.3179999995</v>
      </c>
      <c r="X24">
        <f t="shared" si="4"/>
        <v>41.971871535040627</v>
      </c>
      <c r="Y24">
        <f t="shared" si="5"/>
        <v>53.274368112562378</v>
      </c>
      <c r="Z24">
        <f>IF(ISBLANK($H24),NA(),IFERROR(SUM($H24:$H$177),NA()))</f>
        <v>1045682.4689999997</v>
      </c>
      <c r="AA24">
        <f>IF(ISBLANK($I24),NA(),IFERROR(SUM($I24:$I$177),NA()))</f>
        <v>1412901.9029999995</v>
      </c>
      <c r="AB24">
        <f>IF(ISBLANK($J24),NA(),IFERROR(SUM($J24:$J$177),NA()))</f>
        <v>1362614.9340000004</v>
      </c>
      <c r="AC24">
        <f t="shared" si="6"/>
        <v>2775516.8369999998</v>
      </c>
      <c r="AD24">
        <f t="shared" si="7"/>
        <v>37.675234214405158</v>
      </c>
      <c r="AE24">
        <f t="shared" si="8"/>
        <v>50.905902791322163</v>
      </c>
      <c r="AF24">
        <f>IF(ISBLANK($K24),NA(),IFERROR(SUM($K24:$K$177),NA()))</f>
        <v>1006791.6989999994</v>
      </c>
      <c r="AG24">
        <f>IF(ISBLANK($L24),NA(),IFERROR(SUM($L24:$L$177),NA()))</f>
        <v>1303210.5879999998</v>
      </c>
      <c r="AH24">
        <f>IF(ISBLANK($M24),NA(),IFERROR(SUM($M24:$M$177),NA()))</f>
        <v>1214312.9649999996</v>
      </c>
      <c r="AI24">
        <f t="shared" si="9"/>
        <v>2517523.5529999994</v>
      </c>
      <c r="AJ24">
        <f t="shared" si="10"/>
        <v>39.991351731357554</v>
      </c>
      <c r="AK24">
        <f t="shared" si="11"/>
        <v>51.765576788627563</v>
      </c>
    </row>
    <row r="25" spans="1:37" x14ac:dyDescent="0.35">
      <c r="A25">
        <v>1872</v>
      </c>
      <c r="B25">
        <v>2231.7600000000002</v>
      </c>
      <c r="C25">
        <v>3205.4229999999998</v>
      </c>
      <c r="D25">
        <v>1261.163</v>
      </c>
      <c r="E25">
        <v>1868.481</v>
      </c>
      <c r="F25">
        <v>2219.89</v>
      </c>
      <c r="G25">
        <v>716.899</v>
      </c>
      <c r="H25">
        <v>2231.7600000000002</v>
      </c>
      <c r="I25">
        <v>3205.4229999999998</v>
      </c>
      <c r="J25">
        <v>1261.163</v>
      </c>
      <c r="K25">
        <v>1822.6959999999999</v>
      </c>
      <c r="L25">
        <v>2248.366</v>
      </c>
      <c r="M25">
        <v>991.73299999999995</v>
      </c>
      <c r="N25">
        <f>IF(ISBLANK($B25),NA(),IFERROR(SUM($B25:$B$177),NA()))</f>
        <v>1043586.5729999999</v>
      </c>
      <c r="O25">
        <f>IF(ISBLANK($C25),NA(),IFERROR(SUM($C25:$C$177),NA()))</f>
        <v>1409884.0499999993</v>
      </c>
      <c r="P25">
        <f>IF(ISBLANK($D25),NA(),IFERROR(SUM($D25:$D$177),NA()))</f>
        <v>1361901.5889999999</v>
      </c>
      <c r="Q25">
        <f t="shared" si="0"/>
        <v>2771785.6389999995</v>
      </c>
      <c r="R25">
        <f t="shared" si="1"/>
        <v>37.6503347992128</v>
      </c>
      <c r="S25">
        <f t="shared" si="2"/>
        <v>50.86555143956425</v>
      </c>
      <c r="T25">
        <f>IF(ISBLANK($E25),NA(),IFERROR(SUM($E25:$E$177),NA()))</f>
        <v>922147.55599999975</v>
      </c>
      <c r="U25">
        <f>IF(ISBLANK($F25),NA(),IFERROR(SUM($F25:$F$177),NA()))</f>
        <v>1170527.7769999998</v>
      </c>
      <c r="V25">
        <f>IF(ISBLANK($G25),NA(),IFERROR(SUM($G25:$G$177),NA()))</f>
        <v>1027571.4169999998</v>
      </c>
      <c r="W25">
        <f t="shared" si="3"/>
        <v>2198099.1939999997</v>
      </c>
      <c r="X25">
        <f t="shared" si="4"/>
        <v>41.952044681019061</v>
      </c>
      <c r="Y25">
        <f t="shared" si="5"/>
        <v>53.251817761232481</v>
      </c>
      <c r="Z25">
        <f>IF(ISBLANK($H25),NA(),IFERROR(SUM($H25:$H$177),NA()))</f>
        <v>1043586.5799999997</v>
      </c>
      <c r="AA25">
        <f>IF(ISBLANK($I25),NA(),IFERROR(SUM($I25:$I$177),NA()))</f>
        <v>1409884.0579999995</v>
      </c>
      <c r="AB25">
        <f>IF(ISBLANK($J25),NA(),IFERROR(SUM($J25:$J$177),NA()))</f>
        <v>1361417.7580000004</v>
      </c>
      <c r="AC25">
        <f t="shared" si="6"/>
        <v>2771301.8159999996</v>
      </c>
      <c r="AD25">
        <f t="shared" si="7"/>
        <v>37.65690817127512</v>
      </c>
      <c r="AE25">
        <f t="shared" si="8"/>
        <v>50.874432003764106</v>
      </c>
      <c r="AF25">
        <f>IF(ISBLANK($K25),NA(),IFERROR(SUM($K25:$K$177),NA()))</f>
        <v>1005061.0999999995</v>
      </c>
      <c r="AG25">
        <f>IF(ISBLANK($L25),NA(),IFERROR(SUM($L25:$L$177),NA()))</f>
        <v>1301091.3559999997</v>
      </c>
      <c r="AH25">
        <f>IF(ISBLANK($M25),NA(),IFERROR(SUM($M25:$M$177),NA()))</f>
        <v>1213355.6009999996</v>
      </c>
      <c r="AI25">
        <f t="shared" si="9"/>
        <v>2514446.9569999995</v>
      </c>
      <c r="AJ25">
        <f t="shared" si="10"/>
        <v>39.971457628167407</v>
      </c>
      <c r="AK25">
        <f t="shared" si="11"/>
        <v>51.744633243420616</v>
      </c>
    </row>
    <row r="26" spans="1:37" x14ac:dyDescent="0.35">
      <c r="A26">
        <v>1873</v>
      </c>
      <c r="B26">
        <v>2355.279</v>
      </c>
      <c r="C26">
        <v>3320.2240000000002</v>
      </c>
      <c r="D26">
        <v>1259.797</v>
      </c>
      <c r="E26">
        <v>1932.67</v>
      </c>
      <c r="F26">
        <v>2286.317</v>
      </c>
      <c r="G26">
        <v>731.53599999999994</v>
      </c>
      <c r="H26">
        <v>2355.279</v>
      </c>
      <c r="I26">
        <v>3320.2240000000002</v>
      </c>
      <c r="J26">
        <v>1259.798</v>
      </c>
      <c r="K26">
        <v>1909.163</v>
      </c>
      <c r="L26">
        <v>2313.8629999999998</v>
      </c>
      <c r="M26">
        <v>980.13699999999994</v>
      </c>
      <c r="N26">
        <f>IF(ISBLANK($B26),NA(),IFERROR(SUM($B26:$B$177),NA()))</f>
        <v>1041354.8129999998</v>
      </c>
      <c r="O26">
        <f>IF(ISBLANK($C26),NA(),IFERROR(SUM($C26:$C$177),NA()))</f>
        <v>1406678.6269999994</v>
      </c>
      <c r="P26">
        <f>IF(ISBLANK($D26),NA(),IFERROR(SUM($D26:$D$177),NA()))</f>
        <v>1360640.426</v>
      </c>
      <c r="Q26">
        <f t="shared" si="0"/>
        <v>2767319.0529999994</v>
      </c>
      <c r="R26">
        <f t="shared" si="1"/>
        <v>37.630457242401683</v>
      </c>
      <c r="S26">
        <f t="shared" si="2"/>
        <v>50.831819535772183</v>
      </c>
      <c r="T26">
        <f>IF(ISBLANK($E26),NA(),IFERROR(SUM($E26:$E$177),NA()))</f>
        <v>920279.07499999972</v>
      </c>
      <c r="U26">
        <f>IF(ISBLANK($F26),NA(),IFERROR(SUM($F26:$F$177),NA()))</f>
        <v>1168307.8869999999</v>
      </c>
      <c r="V26">
        <f>IF(ISBLANK($G26),NA(),IFERROR(SUM($G26:$G$177),NA()))</f>
        <v>1026854.5179999998</v>
      </c>
      <c r="W26">
        <f t="shared" si="3"/>
        <v>2195162.4049999998</v>
      </c>
      <c r="X26">
        <f t="shared" si="4"/>
        <v>41.923051930182808</v>
      </c>
      <c r="Y26">
        <f t="shared" si="5"/>
        <v>53.221934028156795</v>
      </c>
      <c r="Z26">
        <f>IF(ISBLANK($H26),NA(),IFERROR(SUM($H26:$H$177),NA()))</f>
        <v>1041354.8199999997</v>
      </c>
      <c r="AA26">
        <f>IF(ISBLANK($I26),NA(),IFERROR(SUM($I26:$I$177),NA()))</f>
        <v>1406678.6349999995</v>
      </c>
      <c r="AB26">
        <f>IF(ISBLANK($J26),NA(),IFERROR(SUM($J26:$J$177),NA()))</f>
        <v>1360156.5950000004</v>
      </c>
      <c r="AC26">
        <f t="shared" si="6"/>
        <v>2766835.23</v>
      </c>
      <c r="AD26">
        <f t="shared" si="7"/>
        <v>37.637037750166272</v>
      </c>
      <c r="AE26">
        <f t="shared" si="8"/>
        <v>50.840708537602353</v>
      </c>
      <c r="AF26">
        <f>IF(ISBLANK($K26),NA(),IFERROR(SUM($K26:$K$177),NA()))</f>
        <v>1003238.4039999995</v>
      </c>
      <c r="AG26">
        <f>IF(ISBLANK($L26),NA(),IFERROR(SUM($L26:$L$177),NA()))</f>
        <v>1298842.9899999998</v>
      </c>
      <c r="AH26">
        <f>IF(ISBLANK($M26),NA(),IFERROR(SUM($M26:$M$177),NA()))</f>
        <v>1212363.8679999996</v>
      </c>
      <c r="AI26">
        <f t="shared" si="9"/>
        <v>2511206.8579999991</v>
      </c>
      <c r="AJ26">
        <f t="shared" si="10"/>
        <v>39.950448558387933</v>
      </c>
      <c r="AK26">
        <f t="shared" si="11"/>
        <v>51.721863766907582</v>
      </c>
    </row>
    <row r="27" spans="1:37" x14ac:dyDescent="0.35">
      <c r="A27">
        <v>1874</v>
      </c>
      <c r="B27">
        <v>2377.7849999999999</v>
      </c>
      <c r="C27">
        <v>3385.5940000000001</v>
      </c>
      <c r="D27">
        <v>1270.575</v>
      </c>
      <c r="E27">
        <v>1905.4639999999999</v>
      </c>
      <c r="F27">
        <v>2262.7269999999999</v>
      </c>
      <c r="G27">
        <v>735.72400000000005</v>
      </c>
      <c r="H27">
        <v>2377.7849999999999</v>
      </c>
      <c r="I27">
        <v>3385.5940000000001</v>
      </c>
      <c r="J27">
        <v>1270.575</v>
      </c>
      <c r="K27">
        <v>1900.1020000000001</v>
      </c>
      <c r="L27">
        <v>2337.1280000000002</v>
      </c>
      <c r="M27">
        <v>986.85699999999997</v>
      </c>
      <c r="N27">
        <f>IF(ISBLANK($B27),NA(),IFERROR(SUM($B27:$B$177),NA()))</f>
        <v>1038999.5339999999</v>
      </c>
      <c r="O27">
        <f>IF(ISBLANK($C27),NA(),IFERROR(SUM($C27:$C$177),NA()))</f>
        <v>1403358.4029999995</v>
      </c>
      <c r="P27">
        <f>IF(ISBLANK($D27),NA(),IFERROR(SUM($D27:$D$177),NA()))</f>
        <v>1359380.6289999997</v>
      </c>
      <c r="Q27">
        <f t="shared" si="0"/>
        <v>2762739.0319999992</v>
      </c>
      <c r="R27">
        <f t="shared" si="1"/>
        <v>37.607588772069015</v>
      </c>
      <c r="S27">
        <f t="shared" si="2"/>
        <v>50.795908942006797</v>
      </c>
      <c r="T27">
        <f>IF(ISBLANK($E27),NA(),IFERROR(SUM($E27:$E$177),NA()))</f>
        <v>918346.4049999998</v>
      </c>
      <c r="U27">
        <f>IF(ISBLANK($F27),NA(),IFERROR(SUM($F27:$F$177),NA()))</f>
        <v>1166021.5699999998</v>
      </c>
      <c r="V27">
        <f>IF(ISBLANK($G27),NA(),IFERROR(SUM($G27:$G$177),NA()))</f>
        <v>1026122.9819999997</v>
      </c>
      <c r="W27">
        <f t="shared" si="3"/>
        <v>2192144.5519999997</v>
      </c>
      <c r="X27">
        <f t="shared" si="4"/>
        <v>41.892602573226654</v>
      </c>
      <c r="Y27">
        <f t="shared" si="5"/>
        <v>53.190907001829871</v>
      </c>
      <c r="Z27">
        <f>IF(ISBLANK($H27),NA(),IFERROR(SUM($H27:$H$177),NA()))</f>
        <v>1038999.5409999996</v>
      </c>
      <c r="AA27">
        <f>IF(ISBLANK($I27),NA(),IFERROR(SUM($I27:$I$177),NA()))</f>
        <v>1403358.4109999996</v>
      </c>
      <c r="AB27">
        <f>IF(ISBLANK($J27),NA(),IFERROR(SUM($J27:$J$177),NA()))</f>
        <v>1358896.7970000003</v>
      </c>
      <c r="AC27">
        <f t="shared" si="6"/>
        <v>2762255.2079999996</v>
      </c>
      <c r="AD27">
        <f t="shared" si="7"/>
        <v>37.614176198885083</v>
      </c>
      <c r="AE27">
        <f t="shared" si="8"/>
        <v>50.8048064109216</v>
      </c>
      <c r="AF27">
        <f>IF(ISBLANK($K27),NA(),IFERROR(SUM($K27:$K$177),NA()))</f>
        <v>1001329.2409999996</v>
      </c>
      <c r="AG27">
        <f>IF(ISBLANK($L27),NA(),IFERROR(SUM($L27:$L$177),NA()))</f>
        <v>1296529.1269999999</v>
      </c>
      <c r="AH27">
        <f>IF(ISBLANK($M27),NA(),IFERROR(SUM($M27:$M$177),NA()))</f>
        <v>1211383.7309999994</v>
      </c>
      <c r="AI27">
        <f t="shared" si="9"/>
        <v>2507912.8579999991</v>
      </c>
      <c r="AJ27">
        <f t="shared" si="10"/>
        <v>39.9267956143634</v>
      </c>
      <c r="AK27">
        <f t="shared" si="11"/>
        <v>51.697534978705406</v>
      </c>
    </row>
    <row r="28" spans="1:37" x14ac:dyDescent="0.35">
      <c r="A28">
        <v>1875</v>
      </c>
      <c r="B28">
        <v>2476.6149999999998</v>
      </c>
      <c r="C28">
        <v>3474.692</v>
      </c>
      <c r="D28">
        <v>1263.3209999999999</v>
      </c>
      <c r="E28">
        <v>1981.2070000000001</v>
      </c>
      <c r="F28">
        <v>2339.7869999999998</v>
      </c>
      <c r="G28">
        <v>742.6</v>
      </c>
      <c r="H28">
        <v>2476.6149999999998</v>
      </c>
      <c r="I28">
        <v>3474.692</v>
      </c>
      <c r="J28">
        <v>1263.3209999999999</v>
      </c>
      <c r="K28">
        <v>1971.93</v>
      </c>
      <c r="L28">
        <v>2389.9059999999999</v>
      </c>
      <c r="M28">
        <v>980.86300000000006</v>
      </c>
      <c r="N28">
        <f>IF(ISBLANK($B28),NA(),IFERROR(SUM($B28:$B$177),NA()))</f>
        <v>1036621.7489999998</v>
      </c>
      <c r="O28">
        <f>IF(ISBLANK($C28),NA(),IFERROR(SUM($C28:$C$177),NA()))</f>
        <v>1399972.8089999994</v>
      </c>
      <c r="P28">
        <f>IF(ISBLANK($D28),NA(),IFERROR(SUM($D28:$D$177),NA()))</f>
        <v>1358110.0539999998</v>
      </c>
      <c r="Q28">
        <f t="shared" si="0"/>
        <v>2758082.862999999</v>
      </c>
      <c r="R28">
        <f t="shared" si="1"/>
        <v>37.584866028008101</v>
      </c>
      <c r="S28">
        <f t="shared" si="2"/>
        <v>50.758910393186397</v>
      </c>
      <c r="T28">
        <f>IF(ISBLANK($E28),NA(),IFERROR(SUM($E28:$E$177),NA()))</f>
        <v>916440.94099999964</v>
      </c>
      <c r="U28">
        <f>IF(ISBLANK($F28),NA(),IFERROR(SUM($F28:$F$177),NA()))</f>
        <v>1163758.8429999996</v>
      </c>
      <c r="V28">
        <f>IF(ISBLANK($G28),NA(),IFERROR(SUM($G28:$G$177),NA()))</f>
        <v>1025387.2579999998</v>
      </c>
      <c r="W28">
        <f t="shared" si="3"/>
        <v>2189146.1009999993</v>
      </c>
      <c r="X28">
        <f t="shared" si="4"/>
        <v>41.862941015283106</v>
      </c>
      <c r="Y28">
        <f t="shared" si="5"/>
        <v>53.160400873582446</v>
      </c>
      <c r="Z28">
        <f>IF(ISBLANK($H28),NA(),IFERROR(SUM($H28:$H$177),NA()))</f>
        <v>1036621.7559999996</v>
      </c>
      <c r="AA28">
        <f>IF(ISBLANK($I28),NA(),IFERROR(SUM($I28:$I$177),NA()))</f>
        <v>1399972.8169999996</v>
      </c>
      <c r="AB28">
        <f>IF(ISBLANK($J28),NA(),IFERROR(SUM($J28:$J$177),NA()))</f>
        <v>1357626.2220000003</v>
      </c>
      <c r="AC28">
        <f t="shared" si="6"/>
        <v>2757599.0389999999</v>
      </c>
      <c r="AD28">
        <f t="shared" si="7"/>
        <v>37.591460590873801</v>
      </c>
      <c r="AE28">
        <f t="shared" si="8"/>
        <v>50.767816393919176</v>
      </c>
      <c r="AF28">
        <f>IF(ISBLANK($K28),NA(),IFERROR(SUM($K28:$K$177),NA()))</f>
        <v>999429.13899999962</v>
      </c>
      <c r="AG28">
        <f>IF(ISBLANK($L28),NA(),IFERROR(SUM($L28:$L$177),NA()))</f>
        <v>1294191.9989999998</v>
      </c>
      <c r="AH28">
        <f>IF(ISBLANK($M28),NA(),IFERROR(SUM($M28:$M$177),NA()))</f>
        <v>1210396.8739999996</v>
      </c>
      <c r="AI28">
        <f t="shared" si="9"/>
        <v>2504588.8729999997</v>
      </c>
      <c r="AJ28">
        <f t="shared" si="10"/>
        <v>39.903919951655865</v>
      </c>
      <c r="AK28">
        <f t="shared" si="11"/>
        <v>51.672831934680566</v>
      </c>
    </row>
    <row r="29" spans="1:37" x14ac:dyDescent="0.35">
      <c r="A29">
        <v>1876</v>
      </c>
      <c r="B29">
        <v>2524.0619999999999</v>
      </c>
      <c r="C29">
        <v>3545.3879999999999</v>
      </c>
      <c r="D29">
        <v>1261.836</v>
      </c>
      <c r="E29">
        <v>2001.732</v>
      </c>
      <c r="F29">
        <v>2371.6559999999999</v>
      </c>
      <c r="G29">
        <v>747.40499999999997</v>
      </c>
      <c r="H29">
        <v>2524.0619999999999</v>
      </c>
      <c r="I29">
        <v>3545.3879999999999</v>
      </c>
      <c r="J29">
        <v>1261.836</v>
      </c>
      <c r="K29">
        <v>1996.0440000000001</v>
      </c>
      <c r="L29">
        <v>2429.0070000000001</v>
      </c>
      <c r="M29">
        <v>987.38800000000003</v>
      </c>
      <c r="N29">
        <f>IF(ISBLANK($B29),NA(),IFERROR(SUM($B29:$B$177),NA()))</f>
        <v>1034145.1339999998</v>
      </c>
      <c r="O29">
        <f>IF(ISBLANK($C29),NA(),IFERROR(SUM($C29:$C$177),NA()))</f>
        <v>1396498.1169999994</v>
      </c>
      <c r="P29">
        <f>IF(ISBLANK($D29),NA(),IFERROR(SUM($D29:$D$177),NA()))</f>
        <v>1356846.7329999998</v>
      </c>
      <c r="Q29">
        <f t="shared" si="0"/>
        <v>2753344.8499999992</v>
      </c>
      <c r="R29">
        <f t="shared" si="1"/>
        <v>37.559593524944766</v>
      </c>
      <c r="S29">
        <f t="shared" si="2"/>
        <v>50.720058440917768</v>
      </c>
      <c r="T29">
        <f>IF(ISBLANK($E29),NA(),IFERROR(SUM($E29:$E$177),NA()))</f>
        <v>914459.73399999971</v>
      </c>
      <c r="U29">
        <f>IF(ISBLANK($F29),NA(),IFERROR(SUM($F29:$F$177),NA()))</f>
        <v>1161419.0559999996</v>
      </c>
      <c r="V29">
        <f>IF(ISBLANK($G29),NA(),IFERROR(SUM($G29:$G$177),NA()))</f>
        <v>1024644.6579999997</v>
      </c>
      <c r="W29">
        <f t="shared" si="3"/>
        <v>2186063.7139999992</v>
      </c>
      <c r="X29">
        <f t="shared" si="4"/>
        <v>41.831339505047929</v>
      </c>
      <c r="Y29">
        <f t="shared" si="5"/>
        <v>53.128325975223611</v>
      </c>
      <c r="Z29">
        <f>IF(ISBLANK($H29),NA(),IFERROR(SUM($H29:$H$177),NA()))</f>
        <v>1034145.1409999997</v>
      </c>
      <c r="AA29">
        <f>IF(ISBLANK($I29),NA(),IFERROR(SUM($I29:$I$177),NA()))</f>
        <v>1396498.1249999995</v>
      </c>
      <c r="AB29">
        <f>IF(ISBLANK($J29),NA(),IFERROR(SUM($J29:$J$177),NA()))</f>
        <v>1356362.9010000003</v>
      </c>
      <c r="AC29">
        <f t="shared" si="6"/>
        <v>2752861.0259999996</v>
      </c>
      <c r="AD29">
        <f t="shared" si="7"/>
        <v>37.566194996143622</v>
      </c>
      <c r="AE29">
        <f t="shared" si="8"/>
        <v>50.728972941622075</v>
      </c>
      <c r="AF29">
        <f>IF(ISBLANK($K29),NA(),IFERROR(SUM($K29:$K$177),NA()))</f>
        <v>997457.20899999945</v>
      </c>
      <c r="AG29">
        <f>IF(ISBLANK($L29),NA(),IFERROR(SUM($L29:$L$177),NA()))</f>
        <v>1291802.0929999999</v>
      </c>
      <c r="AH29">
        <f>IF(ISBLANK($M29),NA(),IFERROR(SUM($M29:$M$177),NA()))</f>
        <v>1209416.0109999995</v>
      </c>
      <c r="AI29">
        <f t="shared" si="9"/>
        <v>2501218.1039999994</v>
      </c>
      <c r="AJ29">
        <f t="shared" si="10"/>
        <v>39.878857721557566</v>
      </c>
      <c r="AK29">
        <f t="shared" si="11"/>
        <v>51.646919192457609</v>
      </c>
    </row>
    <row r="30" spans="1:37" x14ac:dyDescent="0.35">
      <c r="A30">
        <v>1877</v>
      </c>
      <c r="B30">
        <v>2592.6619999999998</v>
      </c>
      <c r="C30">
        <v>3626.8029999999999</v>
      </c>
      <c r="D30">
        <v>1292.5070000000001</v>
      </c>
      <c r="E30">
        <v>2037.1310000000001</v>
      </c>
      <c r="F30">
        <v>2406.6179999999999</v>
      </c>
      <c r="G30">
        <v>751.89499999999998</v>
      </c>
      <c r="H30">
        <v>2592.6619999999998</v>
      </c>
      <c r="I30">
        <v>3626.8029999999999</v>
      </c>
      <c r="J30">
        <v>1292.5070000000001</v>
      </c>
      <c r="K30">
        <v>2044.258</v>
      </c>
      <c r="L30">
        <v>2482.7080000000001</v>
      </c>
      <c r="M30">
        <v>1004.338</v>
      </c>
      <c r="N30">
        <f>IF(ISBLANK($B30),NA(),IFERROR(SUM($B30:$B$177),NA()))</f>
        <v>1031621.0719999998</v>
      </c>
      <c r="O30">
        <f>IF(ISBLANK($C30),NA(),IFERROR(SUM($C30:$C$177),NA()))</f>
        <v>1392952.7289999994</v>
      </c>
      <c r="P30">
        <f>IF(ISBLANK($D30),NA(),IFERROR(SUM($D30:$D$177),NA()))</f>
        <v>1355584.8969999999</v>
      </c>
      <c r="Q30">
        <f t="shared" si="0"/>
        <v>2748537.6259999992</v>
      </c>
      <c r="R30">
        <f t="shared" si="1"/>
        <v>37.533452780173079</v>
      </c>
      <c r="S30">
        <f t="shared" si="2"/>
        <v>50.67977661368932</v>
      </c>
      <c r="T30">
        <f>IF(ISBLANK($E30),NA(),IFERROR(SUM($E30:$E$177),NA()))</f>
        <v>912458.00199999975</v>
      </c>
      <c r="U30">
        <f>IF(ISBLANK($F30),NA(),IFERROR(SUM($F30:$F$177),NA()))</f>
        <v>1159047.3999999997</v>
      </c>
      <c r="V30">
        <f>IF(ISBLANK($G30),NA(),IFERROR(SUM($G30:$G$177),NA()))</f>
        <v>1023897.2529999997</v>
      </c>
      <c r="W30">
        <f t="shared" si="3"/>
        <v>2182944.6529999995</v>
      </c>
      <c r="X30">
        <f t="shared" si="4"/>
        <v>41.799410752169905</v>
      </c>
      <c r="Y30">
        <f t="shared" si="5"/>
        <v>53.095592616474818</v>
      </c>
      <c r="Z30">
        <f>IF(ISBLANK($H30),NA(),IFERROR(SUM($H30:$H$177),NA()))</f>
        <v>1031621.0789999997</v>
      </c>
      <c r="AA30">
        <f>IF(ISBLANK($I30),NA(),IFERROR(SUM($I30:$I$177),NA()))</f>
        <v>1392952.7369999995</v>
      </c>
      <c r="AB30">
        <f>IF(ISBLANK($J30),NA(),IFERROR(SUM($J30:$J$177),NA()))</f>
        <v>1355101.0650000004</v>
      </c>
      <c r="AC30">
        <f t="shared" si="6"/>
        <v>2748053.8020000001</v>
      </c>
      <c r="AD30">
        <f t="shared" si="7"/>
        <v>37.54006119709878</v>
      </c>
      <c r="AE30">
        <f t="shared" si="8"/>
        <v>50.688699616660536</v>
      </c>
      <c r="AF30">
        <f>IF(ISBLANK($K30),NA(),IFERROR(SUM($K30:$K$177),NA()))</f>
        <v>995461.16499999969</v>
      </c>
      <c r="AG30">
        <f>IF(ISBLANK($L30),NA(),IFERROR(SUM($L30:$L$177),NA()))</f>
        <v>1289373.0859999999</v>
      </c>
      <c r="AH30">
        <f>IF(ISBLANK($M30),NA(),IFERROR(SUM($M30:$M$177),NA()))</f>
        <v>1208428.6229999994</v>
      </c>
      <c r="AI30">
        <f t="shared" si="9"/>
        <v>2497801.7089999993</v>
      </c>
      <c r="AJ30">
        <f t="shared" si="10"/>
        <v>39.853490427730343</v>
      </c>
      <c r="AK30">
        <f t="shared" si="11"/>
        <v>51.620314028698601</v>
      </c>
    </row>
    <row r="31" spans="1:37" x14ac:dyDescent="0.35">
      <c r="A31">
        <v>1878</v>
      </c>
      <c r="B31">
        <v>2640.9369999999999</v>
      </c>
      <c r="C31">
        <v>3696.2710000000002</v>
      </c>
      <c r="D31">
        <v>1290.058</v>
      </c>
      <c r="E31">
        <v>2056.4650000000001</v>
      </c>
      <c r="F31">
        <v>2430.223</v>
      </c>
      <c r="G31">
        <v>757.56600000000003</v>
      </c>
      <c r="H31">
        <v>2640.9369999999999</v>
      </c>
      <c r="I31">
        <v>3696.2710000000002</v>
      </c>
      <c r="J31">
        <v>1290.058</v>
      </c>
      <c r="K31">
        <v>2074.4270000000001</v>
      </c>
      <c r="L31">
        <v>2527.598</v>
      </c>
      <c r="M31">
        <v>1005.6950000000001</v>
      </c>
      <c r="N31">
        <f>IF(ISBLANK($B31),NA(),IFERROR(SUM($B31:$B$177),NA()))</f>
        <v>1029028.4099999998</v>
      </c>
      <c r="O31">
        <f>IF(ISBLANK($C31),NA(),IFERROR(SUM($C31:$C$177),NA()))</f>
        <v>1389325.9259999997</v>
      </c>
      <c r="P31">
        <f>IF(ISBLANK($D31),NA(),IFERROR(SUM($D31:$D$177),NA()))</f>
        <v>1354292.39</v>
      </c>
      <c r="Q31">
        <f t="shared" si="0"/>
        <v>2743618.3159999996</v>
      </c>
      <c r="R31">
        <f t="shared" si="1"/>
        <v>37.506252382082437</v>
      </c>
      <c r="S31">
        <f t="shared" si="2"/>
        <v>50.638454988357786</v>
      </c>
      <c r="T31">
        <f>IF(ISBLANK($E31),NA(),IFERROR(SUM($E31:$E$177),NA()))</f>
        <v>910420.87099999969</v>
      </c>
      <c r="U31">
        <f>IF(ISBLANK($F31),NA(),IFERROR(SUM($F31:$F$177),NA()))</f>
        <v>1156640.7819999997</v>
      </c>
      <c r="V31">
        <f>IF(ISBLANK($G31),NA(),IFERROR(SUM($G31:$G$177),NA()))</f>
        <v>1023145.3579999997</v>
      </c>
      <c r="W31">
        <f t="shared" si="3"/>
        <v>2179786.1399999992</v>
      </c>
      <c r="X31">
        <f t="shared" si="4"/>
        <v>41.766522609415254</v>
      </c>
      <c r="Y31">
        <f t="shared" si="5"/>
        <v>53.062122048358383</v>
      </c>
      <c r="Z31">
        <f>IF(ISBLANK($H31),NA(),IFERROR(SUM($H31:$H$177),NA()))</f>
        <v>1029028.4169999997</v>
      </c>
      <c r="AA31">
        <f>IF(ISBLANK($I31),NA(),IFERROR(SUM($I31:$I$177),NA()))</f>
        <v>1389325.9339999999</v>
      </c>
      <c r="AB31">
        <f>IF(ISBLANK($J31),NA(),IFERROR(SUM($J31:$J$177),NA()))</f>
        <v>1353808.5580000004</v>
      </c>
      <c r="AC31">
        <f t="shared" si="6"/>
        <v>2743134.4920000006</v>
      </c>
      <c r="AD31">
        <f t="shared" si="7"/>
        <v>37.512867852488782</v>
      </c>
      <c r="AE31">
        <f t="shared" si="8"/>
        <v>50.647386704946129</v>
      </c>
      <c r="AF31">
        <f>IF(ISBLANK($K31),NA(),IFERROR(SUM($K31:$K$177),NA()))</f>
        <v>993416.90699999977</v>
      </c>
      <c r="AG31">
        <f>IF(ISBLANK($L31),NA(),IFERROR(SUM($L31:$L$177),NA()))</f>
        <v>1286890.3779999998</v>
      </c>
      <c r="AH31">
        <f>IF(ISBLANK($M31),NA(),IFERROR(SUM($M31:$M$177),NA()))</f>
        <v>1207424.2849999995</v>
      </c>
      <c r="AI31">
        <f t="shared" si="9"/>
        <v>2494314.6629999992</v>
      </c>
      <c r="AJ31">
        <f t="shared" si="10"/>
        <v>39.827248812512792</v>
      </c>
      <c r="AK31">
        <f t="shared" si="11"/>
        <v>51.592944430363566</v>
      </c>
    </row>
    <row r="32" spans="1:37" x14ac:dyDescent="0.35">
      <c r="A32">
        <v>1879</v>
      </c>
      <c r="B32">
        <v>2737.42</v>
      </c>
      <c r="C32">
        <v>3808.3890000000001</v>
      </c>
      <c r="D32">
        <v>1282.0119999999999</v>
      </c>
      <c r="E32">
        <v>2126.4270000000001</v>
      </c>
      <c r="F32">
        <v>2503.7139999999999</v>
      </c>
      <c r="G32">
        <v>762.97900000000004</v>
      </c>
      <c r="H32">
        <v>2737.42</v>
      </c>
      <c r="I32">
        <v>3808.3890000000001</v>
      </c>
      <c r="J32">
        <v>1282.0119999999999</v>
      </c>
      <c r="K32">
        <v>2155.1289999999999</v>
      </c>
      <c r="L32">
        <v>2618.2269999999999</v>
      </c>
      <c r="M32">
        <v>1006.793</v>
      </c>
      <c r="N32">
        <f>IF(ISBLANK($B32),NA(),IFERROR(SUM($B32:$B$177),NA()))</f>
        <v>1026387.4729999999</v>
      </c>
      <c r="O32">
        <f>IF(ISBLANK($C32),NA(),IFERROR(SUM($C32:$C$177),NA()))</f>
        <v>1385629.6549999996</v>
      </c>
      <c r="P32">
        <f>IF(ISBLANK($D32),NA(),IFERROR(SUM($D32:$D$177),NA()))</f>
        <v>1353002.3319999999</v>
      </c>
      <c r="Q32">
        <f t="shared" si="0"/>
        <v>2738631.9869999997</v>
      </c>
      <c r="R32">
        <f t="shared" si="1"/>
        <v>37.478108700699991</v>
      </c>
      <c r="S32">
        <f t="shared" si="2"/>
        <v>50.595686517116533</v>
      </c>
      <c r="T32">
        <f>IF(ISBLANK($E32),NA(),IFERROR(SUM($E32:$E$177),NA()))</f>
        <v>908364.40599999973</v>
      </c>
      <c r="U32">
        <f>IF(ISBLANK($F32),NA(),IFERROR(SUM($F32:$F$177),NA()))</f>
        <v>1154210.5589999997</v>
      </c>
      <c r="V32">
        <f>IF(ISBLANK($G32),NA(),IFERROR(SUM($G32:$G$177),NA()))</f>
        <v>1022387.7919999998</v>
      </c>
      <c r="W32">
        <f t="shared" si="3"/>
        <v>2176598.3509999993</v>
      </c>
      <c r="X32">
        <f t="shared" si="4"/>
        <v>41.733212082177126</v>
      </c>
      <c r="Y32">
        <f t="shared" si="5"/>
        <v>53.028183103681862</v>
      </c>
      <c r="Z32">
        <f>IF(ISBLANK($H32),NA(),IFERROR(SUM($H32:$H$177),NA()))</f>
        <v>1026387.4799999996</v>
      </c>
      <c r="AA32">
        <f>IF(ISBLANK($I32),NA(),IFERROR(SUM($I32:$I$177),NA()))</f>
        <v>1385629.6629999997</v>
      </c>
      <c r="AB32">
        <f>IF(ISBLANK($J32),NA(),IFERROR(SUM($J32:$J$177),NA()))</f>
        <v>1352518.5000000002</v>
      </c>
      <c r="AC32">
        <f t="shared" si="6"/>
        <v>2738148.1629999997</v>
      </c>
      <c r="AD32">
        <f t="shared" si="7"/>
        <v>37.484731245348598</v>
      </c>
      <c r="AE32">
        <f t="shared" si="8"/>
        <v>50.604626941803652</v>
      </c>
      <c r="AF32">
        <f>IF(ISBLANK($K32),NA(),IFERROR(SUM($K32:$K$177),NA()))</f>
        <v>991342.47999999963</v>
      </c>
      <c r="AG32">
        <f>IF(ISBLANK($L32),NA(),IFERROR(SUM($L32:$L$177),NA()))</f>
        <v>1284362.7799999998</v>
      </c>
      <c r="AH32">
        <f>IF(ISBLANK($M32),NA(),IFERROR(SUM($M32:$M$177),NA()))</f>
        <v>1206418.5899999996</v>
      </c>
      <c r="AI32">
        <f t="shared" si="9"/>
        <v>2490781.3699999992</v>
      </c>
      <c r="AJ32">
        <f t="shared" si="10"/>
        <v>39.800461491327113</v>
      </c>
      <c r="AK32">
        <f t="shared" si="11"/>
        <v>51.564653384251066</v>
      </c>
    </row>
    <row r="33" spans="1:37" x14ac:dyDescent="0.35">
      <c r="A33">
        <v>1880</v>
      </c>
      <c r="B33">
        <v>2688.2570000000001</v>
      </c>
      <c r="C33">
        <v>3792.0459999999998</v>
      </c>
      <c r="D33">
        <v>1423.4010000000001</v>
      </c>
      <c r="E33">
        <v>2248.683</v>
      </c>
      <c r="F33">
        <v>2629.2510000000002</v>
      </c>
      <c r="G33">
        <v>767.91499999999996</v>
      </c>
      <c r="H33">
        <v>2688.2570000000001</v>
      </c>
      <c r="I33">
        <v>3792.0459999999998</v>
      </c>
      <c r="J33">
        <v>1423.4010000000001</v>
      </c>
      <c r="K33">
        <v>2249.2109999999998</v>
      </c>
      <c r="L33">
        <v>2725.6030000000001</v>
      </c>
      <c r="M33">
        <v>1063.0999999999999</v>
      </c>
      <c r="N33">
        <f>IF(ISBLANK($B33),NA(),IFERROR(SUM($B33:$B$177),NA()))</f>
        <v>1023650.0529999998</v>
      </c>
      <c r="O33">
        <f>IF(ISBLANK($C33),NA(),IFERROR(SUM($C33:$C$177),NA()))</f>
        <v>1381821.2659999996</v>
      </c>
      <c r="P33">
        <f>IF(ISBLANK($D33),NA(),IFERROR(SUM($D33:$D$177),NA()))</f>
        <v>1351720.3199999998</v>
      </c>
      <c r="Q33">
        <f t="shared" si="0"/>
        <v>2733541.5859999992</v>
      </c>
      <c r="R33">
        <f t="shared" si="1"/>
        <v>37.447758550397999</v>
      </c>
      <c r="S33">
        <f t="shared" si="2"/>
        <v>50.550585111895927</v>
      </c>
      <c r="T33">
        <f>IF(ISBLANK($E33),NA(),IFERROR(SUM($E33:$E$177),NA()))</f>
        <v>906237.97899999982</v>
      </c>
      <c r="U33">
        <f>IF(ISBLANK($F33),NA(),IFERROR(SUM($F33:$F$177),NA()))</f>
        <v>1151706.8449999997</v>
      </c>
      <c r="V33">
        <f>IF(ISBLANK($G33),NA(),IFERROR(SUM($G33:$G$177),NA()))</f>
        <v>1021624.8129999995</v>
      </c>
      <c r="W33">
        <f t="shared" si="3"/>
        <v>2173331.6579999994</v>
      </c>
      <c r="X33">
        <f t="shared" si="4"/>
        <v>41.698098661755203</v>
      </c>
      <c r="Y33">
        <f t="shared" si="5"/>
        <v>52.99268709221554</v>
      </c>
      <c r="Z33">
        <f>IF(ISBLANK($H33),NA(),IFERROR(SUM($H33:$H$177),NA()))</f>
        <v>1023650.0599999997</v>
      </c>
      <c r="AA33">
        <f>IF(ISBLANK($I33),NA(),IFERROR(SUM($I33:$I$177),NA()))</f>
        <v>1381821.2739999997</v>
      </c>
      <c r="AB33">
        <f>IF(ISBLANK($J33),NA(),IFERROR(SUM($J33:$J$177),NA()))</f>
        <v>1351236.4880000004</v>
      </c>
      <c r="AC33">
        <f t="shared" si="6"/>
        <v>2733057.7620000001</v>
      </c>
      <c r="AD33">
        <f t="shared" si="7"/>
        <v>37.454388056947316</v>
      </c>
      <c r="AE33">
        <f t="shared" si="8"/>
        <v>50.559534204239029</v>
      </c>
      <c r="AF33">
        <f>IF(ISBLANK($K33),NA(),IFERROR(SUM($K33:$K$177),NA()))</f>
        <v>989187.35099999967</v>
      </c>
      <c r="AG33">
        <f>IF(ISBLANK($L33),NA(),IFERROR(SUM($L33:$L$177),NA()))</f>
        <v>1281744.5529999998</v>
      </c>
      <c r="AH33">
        <f>IF(ISBLANK($M33),NA(),IFERROR(SUM($M33:$M$177),NA()))</f>
        <v>1205411.7969999996</v>
      </c>
      <c r="AI33">
        <f t="shared" si="9"/>
        <v>2487156.3499999996</v>
      </c>
      <c r="AJ33">
        <f t="shared" si="10"/>
        <v>39.771820175277675</v>
      </c>
      <c r="AK33">
        <f t="shared" si="11"/>
        <v>51.53453875145405</v>
      </c>
    </row>
    <row r="34" spans="1:37" x14ac:dyDescent="0.35">
      <c r="A34">
        <v>1881</v>
      </c>
      <c r="B34">
        <v>2623.6219999999998</v>
      </c>
      <c r="C34">
        <v>3738.0720000000001</v>
      </c>
      <c r="D34">
        <v>1487.3140000000001</v>
      </c>
      <c r="E34">
        <v>2288.7240000000002</v>
      </c>
      <c r="F34">
        <v>2671.3290000000002</v>
      </c>
      <c r="G34">
        <v>885.10799999999995</v>
      </c>
      <c r="H34">
        <v>2623.6219999999998</v>
      </c>
      <c r="I34">
        <v>3738.0720000000001</v>
      </c>
      <c r="J34">
        <v>1487.3140000000001</v>
      </c>
      <c r="K34">
        <v>2202.239</v>
      </c>
      <c r="L34">
        <v>2674.4340000000002</v>
      </c>
      <c r="M34">
        <v>1113.922</v>
      </c>
      <c r="N34">
        <f>IF(ISBLANK($B34),NA(),IFERROR(SUM($B34:$B$177),NA()))</f>
        <v>1020961.7959999999</v>
      </c>
      <c r="O34">
        <f>IF(ISBLANK($C34),NA(),IFERROR(SUM($C34:$C$177),NA()))</f>
        <v>1378029.2199999997</v>
      </c>
      <c r="P34">
        <f>IF(ISBLANK($D34),NA(),IFERROR(SUM($D34:$D$177),NA()))</f>
        <v>1350296.9189999998</v>
      </c>
      <c r="Q34">
        <f t="shared" si="0"/>
        <v>2728326.1389999995</v>
      </c>
      <c r="R34">
        <f t="shared" si="1"/>
        <v>37.420812028513872</v>
      </c>
      <c r="S34">
        <f t="shared" si="2"/>
        <v>50.508229214308017</v>
      </c>
      <c r="T34">
        <f>IF(ISBLANK($E34),NA(),IFERROR(SUM($E34:$E$177),NA()))</f>
        <v>903989.29599999986</v>
      </c>
      <c r="U34">
        <f>IF(ISBLANK($F34),NA(),IFERROR(SUM($F34:$F$177),NA()))</f>
        <v>1149077.5939999998</v>
      </c>
      <c r="V34">
        <f>IF(ISBLANK($G34),NA(),IFERROR(SUM($G34:$G$177),NA()))</f>
        <v>1020856.8979999997</v>
      </c>
      <c r="W34">
        <f t="shared" si="3"/>
        <v>2169934.4919999996</v>
      </c>
      <c r="X34">
        <f t="shared" si="4"/>
        <v>41.659750528542681</v>
      </c>
      <c r="Y34">
        <f t="shared" si="5"/>
        <v>52.954483107041185</v>
      </c>
      <c r="Z34">
        <f>IF(ISBLANK($H34),NA(),IFERROR(SUM($H34:$H$177),NA()))</f>
        <v>1020961.8029999997</v>
      </c>
      <c r="AA34">
        <f>IF(ISBLANK($I34),NA(),IFERROR(SUM($I34:$I$177),NA()))</f>
        <v>1378029.2279999997</v>
      </c>
      <c r="AB34">
        <f>IF(ISBLANK($J34),NA(),IFERROR(SUM($J34:$J$177),NA()))</f>
        <v>1349813.0870000003</v>
      </c>
      <c r="AC34">
        <f t="shared" si="6"/>
        <v>2727842.3149999999</v>
      </c>
      <c r="AD34">
        <f t="shared" si="7"/>
        <v>37.427449430851716</v>
      </c>
      <c r="AE34">
        <f t="shared" si="8"/>
        <v>50.51718790424291</v>
      </c>
      <c r="AF34">
        <f>IF(ISBLANK($K34),NA(),IFERROR(SUM($K34:$K$177),NA()))</f>
        <v>986938.13999999955</v>
      </c>
      <c r="AG34">
        <f>IF(ISBLANK($L34),NA(),IFERROR(SUM($L34:$L$177),NA()))</f>
        <v>1279018.95</v>
      </c>
      <c r="AH34">
        <f>IF(ISBLANK($M34),NA(),IFERROR(SUM($M34:$M$177),NA()))</f>
        <v>1204348.6969999995</v>
      </c>
      <c r="AI34">
        <f t="shared" si="9"/>
        <v>2483367.6469999994</v>
      </c>
      <c r="AJ34">
        <f t="shared" si="10"/>
        <v>39.741926298840916</v>
      </c>
      <c r="AK34">
        <f t="shared" si="11"/>
        <v>51.503407139297423</v>
      </c>
    </row>
    <row r="35" spans="1:37" x14ac:dyDescent="0.35">
      <c r="A35">
        <v>1882</v>
      </c>
      <c r="B35">
        <v>2677.5590000000002</v>
      </c>
      <c r="C35">
        <v>3813.681</v>
      </c>
      <c r="D35">
        <v>1548.82</v>
      </c>
      <c r="E35">
        <v>2137.1350000000002</v>
      </c>
      <c r="F35">
        <v>2522.2249999999999</v>
      </c>
      <c r="G35">
        <v>918.08299999999997</v>
      </c>
      <c r="H35">
        <v>2677.5590000000002</v>
      </c>
      <c r="I35">
        <v>3813.681</v>
      </c>
      <c r="J35">
        <v>1548.82</v>
      </c>
      <c r="K35">
        <v>2271.8090000000002</v>
      </c>
      <c r="L35">
        <v>2754.59</v>
      </c>
      <c r="M35">
        <v>1148.472</v>
      </c>
      <c r="N35">
        <f>IF(ISBLANK($B35),NA(),IFERROR(SUM($B35:$B$177),NA()))</f>
        <v>1018338.1739999999</v>
      </c>
      <c r="O35">
        <f>IF(ISBLANK($C35),NA(),IFERROR(SUM($C35:$C$177),NA()))</f>
        <v>1374291.1479999998</v>
      </c>
      <c r="P35">
        <f>IF(ISBLANK($D35),NA(),IFERROR(SUM($D35:$D$177),NA()))</f>
        <v>1348809.605</v>
      </c>
      <c r="Q35">
        <f t="shared" ref="Q35:Q66" si="12">IFERROR(O35+P35,"")</f>
        <v>2723100.7529999996</v>
      </c>
      <c r="R35">
        <f t="shared" ref="R35:R66" si="13">IFERROR(N35/Q35*100,NA())</f>
        <v>37.396272351587136</v>
      </c>
      <c r="S35">
        <f t="shared" ref="S35:S66" si="14">IFERROR(O35/Q35*100,NA())</f>
        <v>50.467877344823307</v>
      </c>
      <c r="T35">
        <f>IF(ISBLANK($E35),NA(),IFERROR(SUM($E35:$E$177),NA()))</f>
        <v>901700.57199999981</v>
      </c>
      <c r="U35">
        <f>IF(ISBLANK($F35),NA(),IFERROR(SUM($F35:$F$177),NA()))</f>
        <v>1146406.2649999997</v>
      </c>
      <c r="V35">
        <f>IF(ISBLANK($G35),NA(),IFERROR(SUM($G35:$G$177),NA()))</f>
        <v>1019971.7899999997</v>
      </c>
      <c r="W35">
        <f t="shared" ref="W35:W66" si="15">IFERROR(U35+V35,"")</f>
        <v>2166378.0549999992</v>
      </c>
      <c r="X35">
        <f t="shared" ref="X35:X66" si="16">IFERROR(T35/W35*100,NA())</f>
        <v>41.622493817220658</v>
      </c>
      <c r="Y35">
        <f t="shared" ref="Y35:Y66" si="17">IFERROR(U35/W35*100,NA())</f>
        <v>52.91810736145959</v>
      </c>
      <c r="Z35">
        <f>IF(ISBLANK($H35),NA(),IFERROR(SUM($H35:$H$177),NA()))</f>
        <v>1018338.1809999996</v>
      </c>
      <c r="AA35">
        <f>IF(ISBLANK($I35),NA(),IFERROR(SUM($I35:$I$177),NA()))</f>
        <v>1374291.156</v>
      </c>
      <c r="AB35">
        <f>IF(ISBLANK($J35),NA(),IFERROR(SUM($J35:$J$177),NA()))</f>
        <v>1348325.7730000003</v>
      </c>
      <c r="AC35">
        <f t="shared" ref="AC35:AC66" si="18">IFERROR(AA35+AB35,"")</f>
        <v>2722616.9290000005</v>
      </c>
      <c r="AD35">
        <f t="shared" ref="AD35:AD66" si="19">IFERROR(Z35/AC35*100,NA())</f>
        <v>37.402918131932303</v>
      </c>
      <c r="AE35">
        <f t="shared" ref="AE35:AE66" si="20">IFERROR(AA35/AC35*100,NA())</f>
        <v>50.476846057986137</v>
      </c>
      <c r="AF35">
        <f>IF(ISBLANK($K35),NA(),IFERROR(SUM($K35:$K$177),NA()))</f>
        <v>984735.90099999972</v>
      </c>
      <c r="AG35">
        <f>IF(ISBLANK($L35),NA(),IFERROR(SUM($L35:$L$177),NA()))</f>
        <v>1276344.5159999998</v>
      </c>
      <c r="AH35">
        <f>IF(ISBLANK($M35),NA(),IFERROR(SUM($M35:$M$177),NA()))</f>
        <v>1203234.7749999994</v>
      </c>
      <c r="AI35">
        <f t="shared" ref="AI35:AI66" si="21">IFERROR(AG35+AH35,"")</f>
        <v>2479579.2909999993</v>
      </c>
      <c r="AJ35">
        <f t="shared" ref="AJ35:AJ66" si="22">IFERROR(AF35/AI35*100,NA())</f>
        <v>39.713829865180948</v>
      </c>
      <c r="AK35">
        <f t="shared" ref="AK35:AK66" si="23">IFERROR(AG35/AI35*100,NA())</f>
        <v>51.474236804311182</v>
      </c>
    </row>
    <row r="36" spans="1:37" x14ac:dyDescent="0.35">
      <c r="A36">
        <v>1883</v>
      </c>
      <c r="B36">
        <v>2745.018</v>
      </c>
      <c r="C36">
        <v>3900.6480000000001</v>
      </c>
      <c r="D36">
        <v>1577.8720000000001</v>
      </c>
      <c r="E36">
        <v>2186.203</v>
      </c>
      <c r="F36">
        <v>2578.4</v>
      </c>
      <c r="G36">
        <v>944.74900000000002</v>
      </c>
      <c r="H36">
        <v>2745.018</v>
      </c>
      <c r="I36">
        <v>3900.6480000000001</v>
      </c>
      <c r="J36">
        <v>1577.8720000000001</v>
      </c>
      <c r="K36">
        <v>2354.203</v>
      </c>
      <c r="L36">
        <v>2847.096</v>
      </c>
      <c r="M36">
        <v>1173.702</v>
      </c>
      <c r="N36">
        <f>IF(ISBLANK($B36),NA(),IFERROR(SUM($B36:$B$177),NA()))</f>
        <v>1015660.6149999999</v>
      </c>
      <c r="O36">
        <f>IF(ISBLANK($C36),NA(),IFERROR(SUM($C36:$C$177),NA()))</f>
        <v>1370477.4669999997</v>
      </c>
      <c r="P36">
        <f>IF(ISBLANK($D36),NA(),IFERROR(SUM($D36:$D$177),NA()))</f>
        <v>1347260.7849999999</v>
      </c>
      <c r="Q36">
        <f t="shared" si="12"/>
        <v>2717738.2519999994</v>
      </c>
      <c r="R36">
        <f t="shared" si="13"/>
        <v>37.371539155861285</v>
      </c>
      <c r="S36">
        <f t="shared" si="14"/>
        <v>50.427132413927552</v>
      </c>
      <c r="T36">
        <f>IF(ISBLANK($E36),NA(),IFERROR(SUM($E36:$E$177),NA()))</f>
        <v>899563.4369999998</v>
      </c>
      <c r="U36">
        <f>IF(ISBLANK($F36),NA(),IFERROR(SUM($F36:$F$177),NA()))</f>
        <v>1143884.0399999996</v>
      </c>
      <c r="V36">
        <f>IF(ISBLANK($G36),NA(),IFERROR(SUM($G36:$G$177),NA()))</f>
        <v>1019053.7069999996</v>
      </c>
      <c r="W36">
        <f t="shared" si="15"/>
        <v>2162937.746999999</v>
      </c>
      <c r="X36">
        <f t="shared" si="16"/>
        <v>41.589890335387459</v>
      </c>
      <c r="Y36">
        <f t="shared" si="17"/>
        <v>52.885666339059924</v>
      </c>
      <c r="Z36">
        <f>IF(ISBLANK($H36),NA(),IFERROR(SUM($H36:$H$177),NA()))</f>
        <v>1015660.6219999999</v>
      </c>
      <c r="AA36">
        <f>IF(ISBLANK($I36),NA(),IFERROR(SUM($I36:$I$177),NA()))</f>
        <v>1370477.4749999999</v>
      </c>
      <c r="AB36">
        <f>IF(ISBLANK($J36),NA(),IFERROR(SUM($J36:$J$177),NA()))</f>
        <v>1346776.9530000004</v>
      </c>
      <c r="AC36">
        <f t="shared" si="18"/>
        <v>2717254.4280000003</v>
      </c>
      <c r="AD36">
        <f t="shared" si="19"/>
        <v>37.378193647753612</v>
      </c>
      <c r="AE36">
        <f t="shared" si="20"/>
        <v>50.436111571956175</v>
      </c>
      <c r="AF36">
        <f>IF(ISBLANK($K36),NA(),IFERROR(SUM($K36:$K$177),NA()))</f>
        <v>982464.0919999996</v>
      </c>
      <c r="AG36">
        <f>IF(ISBLANK($L36),NA(),IFERROR(SUM($L36:$L$177),NA()))</f>
        <v>1273589.9259999997</v>
      </c>
      <c r="AH36">
        <f>IF(ISBLANK($M36),NA(),IFERROR(SUM($M36:$M$177),NA()))</f>
        <v>1202086.3029999996</v>
      </c>
      <c r="AI36">
        <f t="shared" si="21"/>
        <v>2475676.2289999994</v>
      </c>
      <c r="AJ36">
        <f t="shared" si="22"/>
        <v>39.684676069166223</v>
      </c>
      <c r="AK36">
        <f t="shared" si="23"/>
        <v>51.444123067516031</v>
      </c>
    </row>
    <row r="37" spans="1:37" x14ac:dyDescent="0.35">
      <c r="A37">
        <v>1884</v>
      </c>
      <c r="B37">
        <v>2727.6669999999999</v>
      </c>
      <c r="C37">
        <v>3910.0610000000001</v>
      </c>
      <c r="D37">
        <v>1584.3779999999999</v>
      </c>
      <c r="E37">
        <v>2190.759</v>
      </c>
      <c r="F37">
        <v>2585.8510000000001</v>
      </c>
      <c r="G37">
        <v>968.3</v>
      </c>
      <c r="H37">
        <v>2727.6660000000002</v>
      </c>
      <c r="I37">
        <v>3910.0610000000001</v>
      </c>
      <c r="J37">
        <v>1584.3779999999999</v>
      </c>
      <c r="K37">
        <v>2350.8560000000002</v>
      </c>
      <c r="L37">
        <v>2862.3240000000001</v>
      </c>
      <c r="M37">
        <v>1173.2729999999999</v>
      </c>
      <c r="N37">
        <f>IF(ISBLANK($B37),NA(),IFERROR(SUM($B37:$B$177),NA()))</f>
        <v>1012915.5969999998</v>
      </c>
      <c r="O37">
        <f>IF(ISBLANK($C37),NA(),IFERROR(SUM($C37:$C$177),NA()))</f>
        <v>1366576.8189999997</v>
      </c>
      <c r="P37">
        <f>IF(ISBLANK($D37),NA(),IFERROR(SUM($D37:$D$177),NA()))</f>
        <v>1345682.9129999999</v>
      </c>
      <c r="Q37">
        <f t="shared" si="12"/>
        <v>2712259.7319999998</v>
      </c>
      <c r="R37">
        <f t="shared" si="13"/>
        <v>37.345818508800541</v>
      </c>
      <c r="S37">
        <f t="shared" si="14"/>
        <v>50.385175242501433</v>
      </c>
      <c r="T37">
        <f>IF(ISBLANK($E37),NA(),IFERROR(SUM($E37:$E$177),NA()))</f>
        <v>897377.23399999982</v>
      </c>
      <c r="U37">
        <f>IF(ISBLANK($F37),NA(),IFERROR(SUM($F37:$F$177),NA()))</f>
        <v>1141305.6399999997</v>
      </c>
      <c r="V37">
        <f>IF(ISBLANK($G37),NA(),IFERROR(SUM($G37:$G$177),NA()))</f>
        <v>1018108.9579999995</v>
      </c>
      <c r="W37">
        <f t="shared" si="15"/>
        <v>2159414.5979999993</v>
      </c>
      <c r="X37">
        <f t="shared" si="16"/>
        <v>41.556504935695543</v>
      </c>
      <c r="Y37">
        <f t="shared" si="17"/>
        <v>52.852548142309075</v>
      </c>
      <c r="Z37">
        <f>IF(ISBLANK($H37),NA(),IFERROR(SUM($H37:$H$177),NA()))</f>
        <v>1012915.6039999998</v>
      </c>
      <c r="AA37">
        <f>IF(ISBLANK($I37),NA(),IFERROR(SUM($I37:$I$177),NA()))</f>
        <v>1366576.8269999998</v>
      </c>
      <c r="AB37">
        <f>IF(ISBLANK($J37),NA(),IFERROR(SUM($J37:$J$177),NA()))</f>
        <v>1345199.0810000005</v>
      </c>
      <c r="AC37">
        <f t="shared" si="18"/>
        <v>2711775.9080000003</v>
      </c>
      <c r="AD37">
        <f t="shared" si="19"/>
        <v>37.352481855591428</v>
      </c>
      <c r="AE37">
        <f t="shared" si="20"/>
        <v>50.394165055027827</v>
      </c>
      <c r="AF37">
        <f>IF(ISBLANK($K37),NA(),IFERROR(SUM($K37:$K$177),NA()))</f>
        <v>980109.88899999962</v>
      </c>
      <c r="AG37">
        <f>IF(ISBLANK($L37),NA(),IFERROR(SUM($L37:$L$177),NA()))</f>
        <v>1270742.8299999998</v>
      </c>
      <c r="AH37">
        <f>IF(ISBLANK($M37),NA(),IFERROR(SUM($M37:$M$177),NA()))</f>
        <v>1200912.6009999996</v>
      </c>
      <c r="AI37">
        <f t="shared" si="21"/>
        <v>2471655.4309999994</v>
      </c>
      <c r="AJ37">
        <f t="shared" si="22"/>
        <v>39.653985612527713</v>
      </c>
      <c r="AK37">
        <f t="shared" si="23"/>
        <v>51.412620629157601</v>
      </c>
    </row>
    <row r="38" spans="1:37" x14ac:dyDescent="0.35">
      <c r="A38">
        <v>1885</v>
      </c>
      <c r="B38">
        <v>2705.8220000000001</v>
      </c>
      <c r="C38">
        <v>3908.114</v>
      </c>
      <c r="D38">
        <v>1597.4970000000001</v>
      </c>
      <c r="E38">
        <v>2191.6790000000001</v>
      </c>
      <c r="F38">
        <v>2591.2939999999999</v>
      </c>
      <c r="G38">
        <v>988.16300000000001</v>
      </c>
      <c r="H38">
        <v>2705.8220000000001</v>
      </c>
      <c r="I38">
        <v>3908.114</v>
      </c>
      <c r="J38">
        <v>1597.4970000000001</v>
      </c>
      <c r="K38">
        <v>2341.5</v>
      </c>
      <c r="L38">
        <v>2865.7809999999999</v>
      </c>
      <c r="M38">
        <v>1178.914</v>
      </c>
      <c r="N38">
        <f>IF(ISBLANK($B38),NA(),IFERROR(SUM($B38:$B$177),NA()))</f>
        <v>1010187.9299999998</v>
      </c>
      <c r="O38">
        <f>IF(ISBLANK($C38),NA(),IFERROR(SUM($C38:$C$177),NA()))</f>
        <v>1362666.7579999997</v>
      </c>
      <c r="P38">
        <f>IF(ISBLANK($D38),NA(),IFERROR(SUM($D38:$D$177),NA()))</f>
        <v>1344098.5349999999</v>
      </c>
      <c r="Q38">
        <f t="shared" si="12"/>
        <v>2706765.2929999996</v>
      </c>
      <c r="R38">
        <f t="shared" si="13"/>
        <v>37.320854254059626</v>
      </c>
      <c r="S38">
        <f t="shared" si="14"/>
        <v>50.342996547355234</v>
      </c>
      <c r="T38">
        <f>IF(ISBLANK($E38),NA(),IFERROR(SUM($E38:$E$177),NA()))</f>
        <v>895186.47499999986</v>
      </c>
      <c r="U38">
        <f>IF(ISBLANK($F38),NA(),IFERROR(SUM($F38:$F$177),NA()))</f>
        <v>1138719.7889999996</v>
      </c>
      <c r="V38">
        <f>IF(ISBLANK($G38),NA(),IFERROR(SUM($G38:$G$177),NA()))</f>
        <v>1017140.6579999997</v>
      </c>
      <c r="W38">
        <f t="shared" si="15"/>
        <v>2155860.4469999992</v>
      </c>
      <c r="X38">
        <f t="shared" si="16"/>
        <v>41.523396203390718</v>
      </c>
      <c r="Y38">
        <f t="shared" si="17"/>
        <v>52.819735645903798</v>
      </c>
      <c r="Z38">
        <f>IF(ISBLANK($H38),NA(),IFERROR(SUM($H38:$H$177),NA()))</f>
        <v>1010187.9379999997</v>
      </c>
      <c r="AA38">
        <f>IF(ISBLANK($I38),NA(),IFERROR(SUM($I38:$I$177),NA()))</f>
        <v>1362666.7659999998</v>
      </c>
      <c r="AB38">
        <f>IF(ISBLANK($J38),NA(),IFERROR(SUM($J38:$J$177),NA()))</f>
        <v>1343614.7030000002</v>
      </c>
      <c r="AC38">
        <f t="shared" si="18"/>
        <v>2706281.469</v>
      </c>
      <c r="AD38">
        <f t="shared" si="19"/>
        <v>37.327526703025278</v>
      </c>
      <c r="AE38">
        <f t="shared" si="20"/>
        <v>50.351997070856036</v>
      </c>
      <c r="AF38">
        <f>IF(ISBLANK($K38),NA(),IFERROR(SUM($K38:$K$177),NA()))</f>
        <v>977759.0329999997</v>
      </c>
      <c r="AG38">
        <f>IF(ISBLANK($L38),NA(),IFERROR(SUM($L38:$L$177),NA()))</f>
        <v>1267880.5059999998</v>
      </c>
      <c r="AH38">
        <f>IF(ISBLANK($M38),NA(),IFERROR(SUM($M38:$M$177),NA()))</f>
        <v>1199739.3279999995</v>
      </c>
      <c r="AI38">
        <f t="shared" si="21"/>
        <v>2467619.8339999993</v>
      </c>
      <c r="AJ38">
        <f t="shared" si="22"/>
        <v>39.623568409038811</v>
      </c>
      <c r="AK38">
        <f t="shared" si="23"/>
        <v>51.38070656308399</v>
      </c>
    </row>
    <row r="39" spans="1:37" x14ac:dyDescent="0.35">
      <c r="A39">
        <v>1886</v>
      </c>
      <c r="B39">
        <v>2714.569</v>
      </c>
      <c r="C39">
        <v>3905.1770000000001</v>
      </c>
      <c r="D39">
        <v>1611.29</v>
      </c>
      <c r="E39">
        <v>2201.3040000000001</v>
      </c>
      <c r="F39">
        <v>2604.4650000000001</v>
      </c>
      <c r="G39">
        <v>1000.879</v>
      </c>
      <c r="H39">
        <v>2714.569</v>
      </c>
      <c r="I39">
        <v>3905.1770000000001</v>
      </c>
      <c r="J39">
        <v>1611.29</v>
      </c>
      <c r="K39">
        <v>2361.1979999999999</v>
      </c>
      <c r="L39">
        <v>2867.5819999999999</v>
      </c>
      <c r="M39">
        <v>1198.838</v>
      </c>
      <c r="N39">
        <f>IF(ISBLANK($B39),NA(),IFERROR(SUM($B39:$B$177),NA()))</f>
        <v>1007482.1079999999</v>
      </c>
      <c r="O39">
        <f>IF(ISBLANK($C39),NA(),IFERROR(SUM($C39:$C$177),NA()))</f>
        <v>1358758.6439999996</v>
      </c>
      <c r="P39">
        <f>IF(ISBLANK($D39),NA(),IFERROR(SUM($D39:$D$177),NA()))</f>
        <v>1342501.0379999999</v>
      </c>
      <c r="Q39">
        <f t="shared" si="12"/>
        <v>2701259.6819999996</v>
      </c>
      <c r="R39">
        <f t="shared" si="13"/>
        <v>37.296751390227875</v>
      </c>
      <c r="S39">
        <f t="shared" si="14"/>
        <v>50.300926380909118</v>
      </c>
      <c r="T39">
        <f>IF(ISBLANK($E39),NA(),IFERROR(SUM($E39:$E$177),NA()))</f>
        <v>892994.79599999986</v>
      </c>
      <c r="U39">
        <f>IF(ISBLANK($F39),NA(),IFERROR(SUM($F39:$F$177),NA()))</f>
        <v>1136128.4949999996</v>
      </c>
      <c r="V39">
        <f>IF(ISBLANK($G39),NA(),IFERROR(SUM($G39:$G$177),NA()))</f>
        <v>1016152.4949999995</v>
      </c>
      <c r="W39">
        <f t="shared" si="15"/>
        <v>2152280.9899999993</v>
      </c>
      <c r="X39">
        <f t="shared" si="16"/>
        <v>41.490623210866168</v>
      </c>
      <c r="Y39">
        <f t="shared" si="17"/>
        <v>52.787182541625285</v>
      </c>
      <c r="Z39">
        <f>IF(ISBLANK($H39),NA(),IFERROR(SUM($H39:$H$177),NA()))</f>
        <v>1007482.1159999998</v>
      </c>
      <c r="AA39">
        <f>IF(ISBLANK($I39),NA(),IFERROR(SUM($I39:$I$177),NA()))</f>
        <v>1358758.6519999998</v>
      </c>
      <c r="AB39">
        <f>IF(ISBLANK($J39),NA(),IFERROR(SUM($J39:$J$177),NA()))</f>
        <v>1342017.2060000002</v>
      </c>
      <c r="AC39">
        <f t="shared" si="18"/>
        <v>2700775.858</v>
      </c>
      <c r="AD39">
        <f t="shared" si="19"/>
        <v>37.303433123327331</v>
      </c>
      <c r="AE39">
        <f t="shared" si="20"/>
        <v>50.309937715682871</v>
      </c>
      <c r="AF39">
        <f>IF(ISBLANK($K39),NA(),IFERROR(SUM($K39:$K$177),NA()))</f>
        <v>975417.5329999997</v>
      </c>
      <c r="AG39">
        <f>IF(ISBLANK($L39),NA(),IFERROR(SUM($L39:$L$177),NA()))</f>
        <v>1265014.7249999999</v>
      </c>
      <c r="AH39">
        <f>IF(ISBLANK($M39),NA(),IFERROR(SUM($M39:$M$177),NA()))</f>
        <v>1198560.4139999996</v>
      </c>
      <c r="AI39">
        <f t="shared" si="21"/>
        <v>2463575.1389999995</v>
      </c>
      <c r="AJ39">
        <f t="shared" si="22"/>
        <v>39.593577543404493</v>
      </c>
      <c r="AK39">
        <f t="shared" si="23"/>
        <v>51.348737246694554</v>
      </c>
    </row>
    <row r="40" spans="1:37" x14ac:dyDescent="0.35">
      <c r="A40">
        <v>1887</v>
      </c>
      <c r="B40">
        <v>2791.9050000000002</v>
      </c>
      <c r="C40">
        <v>3973.4059999999999</v>
      </c>
      <c r="D40">
        <v>1651.5319999999999</v>
      </c>
      <c r="E40">
        <v>2238.61</v>
      </c>
      <c r="F40">
        <v>2645.875</v>
      </c>
      <c r="G40">
        <v>1011.183</v>
      </c>
      <c r="H40">
        <v>2791.9050000000002</v>
      </c>
      <c r="I40">
        <v>3973.4059999999999</v>
      </c>
      <c r="J40">
        <v>1651.5319999999999</v>
      </c>
      <c r="K40">
        <v>2447.741</v>
      </c>
      <c r="L40">
        <v>2939.7190000000001</v>
      </c>
      <c r="M40">
        <v>1233.537</v>
      </c>
      <c r="N40">
        <f>IF(ISBLANK($B40),NA(),IFERROR(SUM($B40:$B$177),NA()))</f>
        <v>1004767.5389999999</v>
      </c>
      <c r="O40">
        <f>IF(ISBLANK($C40),NA(),IFERROR(SUM($C40:$C$177),NA()))</f>
        <v>1354853.4669999997</v>
      </c>
      <c r="P40">
        <f>IF(ISBLANK($D40),NA(),IFERROR(SUM($D40:$D$177),NA()))</f>
        <v>1340889.7479999999</v>
      </c>
      <c r="Q40">
        <f t="shared" si="12"/>
        <v>2695743.2149999999</v>
      </c>
      <c r="R40">
        <f t="shared" si="13"/>
        <v>37.272375699923629</v>
      </c>
      <c r="S40">
        <f t="shared" si="14"/>
        <v>50.258995718180813</v>
      </c>
      <c r="T40">
        <f>IF(ISBLANK($E40),NA(),IFERROR(SUM($E40:$E$177),NA()))</f>
        <v>890793.49199999985</v>
      </c>
      <c r="U40">
        <f>IF(ISBLANK($F40),NA(),IFERROR(SUM($F40:$F$177),NA()))</f>
        <v>1133524.0299999996</v>
      </c>
      <c r="V40">
        <f>IF(ISBLANK($G40),NA(),IFERROR(SUM($G40:$G$177),NA()))</f>
        <v>1015151.6159999996</v>
      </c>
      <c r="W40">
        <f t="shared" si="15"/>
        <v>2148675.6459999993</v>
      </c>
      <c r="X40">
        <f t="shared" si="16"/>
        <v>41.457792555070462</v>
      </c>
      <c r="Y40">
        <f t="shared" si="17"/>
        <v>52.754543577118383</v>
      </c>
      <c r="Z40">
        <f>IF(ISBLANK($H40),NA(),IFERROR(SUM($H40:$H$177),NA()))</f>
        <v>1004767.5469999998</v>
      </c>
      <c r="AA40">
        <f>IF(ISBLANK($I40),NA(),IFERROR(SUM($I40:$I$177),NA()))</f>
        <v>1354853.4749999999</v>
      </c>
      <c r="AB40">
        <f>IF(ISBLANK($J40),NA(),IFERROR(SUM($J40:$J$177),NA()))</f>
        <v>1340405.9160000002</v>
      </c>
      <c r="AC40">
        <f t="shared" si="18"/>
        <v>2695259.3909999998</v>
      </c>
      <c r="AD40">
        <f t="shared" si="19"/>
        <v>37.279066733061605</v>
      </c>
      <c r="AE40">
        <f t="shared" si="20"/>
        <v>50.268017969777659</v>
      </c>
      <c r="AF40">
        <f>IF(ISBLANK($K40),NA(),IFERROR(SUM($K40:$K$177),NA()))</f>
        <v>973056.33499999961</v>
      </c>
      <c r="AG40">
        <f>IF(ISBLANK($L40),NA(),IFERROR(SUM($L40:$L$177),NA()))</f>
        <v>1262147.1429999997</v>
      </c>
      <c r="AH40">
        <f>IF(ISBLANK($M40),NA(),IFERROR(SUM($M40:$M$177),NA()))</f>
        <v>1197361.5759999997</v>
      </c>
      <c r="AI40">
        <f t="shared" si="21"/>
        <v>2459508.7189999996</v>
      </c>
      <c r="AJ40">
        <f t="shared" si="22"/>
        <v>39.563036613085487</v>
      </c>
      <c r="AK40">
        <f t="shared" si="23"/>
        <v>51.317042840700736</v>
      </c>
    </row>
    <row r="41" spans="1:37" x14ac:dyDescent="0.35">
      <c r="A41">
        <v>1888</v>
      </c>
      <c r="B41">
        <v>2884.8609999999999</v>
      </c>
      <c r="C41">
        <v>4087.0140000000001</v>
      </c>
      <c r="D41">
        <v>1639.288</v>
      </c>
      <c r="E41">
        <v>2340.6350000000002</v>
      </c>
      <c r="F41">
        <v>2756.4569999999999</v>
      </c>
      <c r="G41">
        <v>1017.919</v>
      </c>
      <c r="H41">
        <v>2884.8609999999999</v>
      </c>
      <c r="I41">
        <v>4087.0140000000001</v>
      </c>
      <c r="J41">
        <v>1639.288</v>
      </c>
      <c r="K41">
        <v>2547.922</v>
      </c>
      <c r="L41">
        <v>3056.1570000000002</v>
      </c>
      <c r="M41">
        <v>1242.9659999999999</v>
      </c>
      <c r="N41">
        <f>IF(ISBLANK($B41),NA(),IFERROR(SUM($B41:$B$177),NA()))</f>
        <v>1001975.6339999998</v>
      </c>
      <c r="O41">
        <f>IF(ISBLANK($C41),NA(),IFERROR(SUM($C41:$C$177),NA()))</f>
        <v>1350880.0609999998</v>
      </c>
      <c r="P41">
        <f>IF(ISBLANK($D41),NA(),IFERROR(SUM($D41:$D$177),NA()))</f>
        <v>1339238.2159999998</v>
      </c>
      <c r="Q41">
        <f t="shared" si="12"/>
        <v>2690118.2769999998</v>
      </c>
      <c r="R41">
        <f t="shared" si="13"/>
        <v>37.246527134762111</v>
      </c>
      <c r="S41">
        <f t="shared" si="14"/>
        <v>50.216381656887265</v>
      </c>
      <c r="T41">
        <f>IF(ISBLANK($E41),NA(),IFERROR(SUM($E41:$E$177),NA()))</f>
        <v>888554.88199999975</v>
      </c>
      <c r="U41">
        <f>IF(ISBLANK($F41),NA(),IFERROR(SUM($F41:$F$177),NA()))</f>
        <v>1130878.1549999996</v>
      </c>
      <c r="V41">
        <f>IF(ISBLANK($G41),NA(),IFERROR(SUM($G41:$G$177),NA()))</f>
        <v>1014140.4329999996</v>
      </c>
      <c r="W41">
        <f t="shared" si="15"/>
        <v>2145018.5879999991</v>
      </c>
      <c r="X41">
        <f t="shared" si="16"/>
        <v>41.424111052971455</v>
      </c>
      <c r="Y41">
        <f t="shared" si="17"/>
        <v>52.721135440342394</v>
      </c>
      <c r="Z41">
        <f>IF(ISBLANK($H41),NA(),IFERROR(SUM($H41:$H$177),NA()))</f>
        <v>1001975.6419999998</v>
      </c>
      <c r="AA41">
        <f>IF(ISBLANK($I41),NA(),IFERROR(SUM($I41:$I$177),NA()))</f>
        <v>1350880.0689999997</v>
      </c>
      <c r="AB41">
        <f>IF(ISBLANK($J41),NA(),IFERROR(SUM($J41:$J$177),NA()))</f>
        <v>1338754.3840000003</v>
      </c>
      <c r="AC41">
        <f t="shared" si="18"/>
        <v>2689634.4529999997</v>
      </c>
      <c r="AD41">
        <f t="shared" si="19"/>
        <v>37.253227511359512</v>
      </c>
      <c r="AE41">
        <f t="shared" si="20"/>
        <v>50.225415111456407</v>
      </c>
      <c r="AF41">
        <f>IF(ISBLANK($K41),NA(),IFERROR(SUM($K41:$K$177),NA()))</f>
        <v>970608.59399999969</v>
      </c>
      <c r="AG41">
        <f>IF(ISBLANK($L41),NA(),IFERROR(SUM($L41:$L$177),NA()))</f>
        <v>1259207.4239999996</v>
      </c>
      <c r="AH41">
        <f>IF(ISBLANK($M41),NA(),IFERROR(SUM($M41:$M$177),NA()))</f>
        <v>1196128.0389999996</v>
      </c>
      <c r="AI41">
        <f t="shared" si="21"/>
        <v>2455335.4629999995</v>
      </c>
      <c r="AJ41">
        <f t="shared" si="22"/>
        <v>39.53058995914482</v>
      </c>
      <c r="AK41">
        <f t="shared" si="23"/>
        <v>51.28453700014839</v>
      </c>
    </row>
    <row r="42" spans="1:37" x14ac:dyDescent="0.35">
      <c r="A42">
        <v>1889</v>
      </c>
      <c r="B42">
        <v>2853.2530000000002</v>
      </c>
      <c r="C42">
        <v>4076.23</v>
      </c>
      <c r="D42">
        <v>1688.1030000000001</v>
      </c>
      <c r="E42">
        <v>2321.7849999999999</v>
      </c>
      <c r="F42">
        <v>2745.84</v>
      </c>
      <c r="G42">
        <v>1025.336</v>
      </c>
      <c r="H42">
        <v>2853.2530000000002</v>
      </c>
      <c r="I42">
        <v>4076.23</v>
      </c>
      <c r="J42">
        <v>1688.1030000000001</v>
      </c>
      <c r="K42">
        <v>2521.6640000000002</v>
      </c>
      <c r="L42">
        <v>3047.0520000000001</v>
      </c>
      <c r="M42">
        <v>1280.8050000000001</v>
      </c>
      <c r="N42">
        <f>IF(ISBLANK($B42),NA(),IFERROR(SUM($B42:$B$177),NA()))</f>
        <v>999090.77299999981</v>
      </c>
      <c r="O42">
        <f>IF(ISBLANK($C42),NA(),IFERROR(SUM($C42:$C$177),NA()))</f>
        <v>1346793.0469999998</v>
      </c>
      <c r="P42">
        <f>IF(ISBLANK($D42),NA(),IFERROR(SUM($D42:$D$177),NA()))</f>
        <v>1337598.9279999998</v>
      </c>
      <c r="Q42">
        <f t="shared" si="12"/>
        <v>2684391.9749999996</v>
      </c>
      <c r="R42">
        <f t="shared" si="13"/>
        <v>37.21851288130155</v>
      </c>
      <c r="S42">
        <f t="shared" si="14"/>
        <v>50.171251424635919</v>
      </c>
      <c r="T42">
        <f>IF(ISBLANK($E42),NA(),IFERROR(SUM($E42:$E$177),NA()))</f>
        <v>886214.24699999986</v>
      </c>
      <c r="U42">
        <f>IF(ISBLANK($F42),NA(),IFERROR(SUM($F42:$F$177),NA()))</f>
        <v>1128121.6979999996</v>
      </c>
      <c r="V42">
        <f>IF(ISBLANK($G42),NA(),IFERROR(SUM($G42:$G$177),NA()))</f>
        <v>1013122.5139999996</v>
      </c>
      <c r="W42">
        <f t="shared" si="15"/>
        <v>2141244.2119999994</v>
      </c>
      <c r="X42">
        <f t="shared" si="16"/>
        <v>41.387817514390093</v>
      </c>
      <c r="Y42">
        <f t="shared" si="17"/>
        <v>52.685335548264867</v>
      </c>
      <c r="Z42">
        <f>IF(ISBLANK($H42),NA(),IFERROR(SUM($H42:$H$177),NA()))</f>
        <v>999090.78099999984</v>
      </c>
      <c r="AA42">
        <f>IF(ISBLANK($I42),NA(),IFERROR(SUM($I42:$I$177),NA()))</f>
        <v>1346793.0549999997</v>
      </c>
      <c r="AB42">
        <f>IF(ISBLANK($J42),NA(),IFERROR(SUM($J42:$J$177),NA()))</f>
        <v>1337115.0960000004</v>
      </c>
      <c r="AC42">
        <f t="shared" si="18"/>
        <v>2683908.1510000001</v>
      </c>
      <c r="AD42">
        <f t="shared" si="19"/>
        <v>37.225222503525224</v>
      </c>
      <c r="AE42">
        <f t="shared" si="20"/>
        <v>50.180296017141892</v>
      </c>
      <c r="AF42">
        <f>IF(ISBLANK($K42),NA(),IFERROR(SUM($K42:$K$177),NA()))</f>
        <v>968060.67199999967</v>
      </c>
      <c r="AG42">
        <f>IF(ISBLANK($L42),NA(),IFERROR(SUM($L42:$L$177),NA()))</f>
        <v>1256151.2669999998</v>
      </c>
      <c r="AH42">
        <f>IF(ISBLANK($M42),NA(),IFERROR(SUM($M42:$M$177),NA()))</f>
        <v>1194885.0729999996</v>
      </c>
      <c r="AI42">
        <f t="shared" si="21"/>
        <v>2451036.3399999994</v>
      </c>
      <c r="AJ42">
        <f t="shared" si="22"/>
        <v>39.495973854063706</v>
      </c>
      <c r="AK42">
        <f t="shared" si="23"/>
        <v>51.249801828723605</v>
      </c>
    </row>
    <row r="43" spans="1:37" x14ac:dyDescent="0.35">
      <c r="A43">
        <v>1890</v>
      </c>
      <c r="B43">
        <v>3048.3969999999999</v>
      </c>
      <c r="C43">
        <v>4408.8649999999998</v>
      </c>
      <c r="D43">
        <v>1766.4870000000001</v>
      </c>
      <c r="E43">
        <v>2413.779</v>
      </c>
      <c r="F43">
        <v>2846.3530000000001</v>
      </c>
      <c r="G43">
        <v>1031.567</v>
      </c>
      <c r="H43">
        <v>3048.3969999999999</v>
      </c>
      <c r="I43">
        <v>4408.8649999999998</v>
      </c>
      <c r="J43">
        <v>1766.4870000000001</v>
      </c>
      <c r="K43">
        <v>2698.7220000000002</v>
      </c>
      <c r="L43">
        <v>3317.04</v>
      </c>
      <c r="M43">
        <v>1368.46</v>
      </c>
      <c r="N43">
        <f>IF(ISBLANK($B43),NA(),IFERROR(SUM($B43:$B$177),NA()))</f>
        <v>996237.51999999979</v>
      </c>
      <c r="O43">
        <f>IF(ISBLANK($C43),NA(),IFERROR(SUM($C43:$C$177),NA()))</f>
        <v>1342716.8169999998</v>
      </c>
      <c r="P43">
        <f>IF(ISBLANK($D43),NA(),IFERROR(SUM($D43:$D$177),NA()))</f>
        <v>1335910.8249999997</v>
      </c>
      <c r="Q43">
        <f t="shared" si="12"/>
        <v>2678627.6419999995</v>
      </c>
      <c r="R43">
        <f t="shared" si="13"/>
        <v>37.192086887304662</v>
      </c>
      <c r="S43">
        <f t="shared" si="14"/>
        <v>50.12704251784168</v>
      </c>
      <c r="T43">
        <f>IF(ISBLANK($E43),NA(),IFERROR(SUM($E43:$E$177),NA()))</f>
        <v>883892.46199999982</v>
      </c>
      <c r="U43">
        <f>IF(ISBLANK($F43),NA(),IFERROR(SUM($F43:$F$177),NA()))</f>
        <v>1125375.8579999995</v>
      </c>
      <c r="V43">
        <f>IF(ISBLANK($G43),NA(),IFERROR(SUM($G43:$G$177),NA()))</f>
        <v>1012097.1779999997</v>
      </c>
      <c r="W43">
        <f t="shared" si="15"/>
        <v>2137473.0359999994</v>
      </c>
      <c r="X43">
        <f t="shared" si="16"/>
        <v>41.352215775974827</v>
      </c>
      <c r="Y43">
        <f t="shared" si="17"/>
        <v>52.649827111082203</v>
      </c>
      <c r="Z43">
        <f>IF(ISBLANK($H43),NA(),IFERROR(SUM($H43:$H$177),NA()))</f>
        <v>996237.52799999982</v>
      </c>
      <c r="AA43">
        <f>IF(ISBLANK($I43),NA(),IFERROR(SUM($I43:$I$177),NA()))</f>
        <v>1342716.825</v>
      </c>
      <c r="AB43">
        <f>IF(ISBLANK($J43),NA(),IFERROR(SUM($J43:$J$177),NA()))</f>
        <v>1335426.9930000002</v>
      </c>
      <c r="AC43">
        <f t="shared" si="18"/>
        <v>2678143.818</v>
      </c>
      <c r="AD43">
        <f t="shared" si="19"/>
        <v>37.198806177032566</v>
      </c>
      <c r="AE43">
        <f t="shared" si="20"/>
        <v>50.13609859095326</v>
      </c>
      <c r="AF43">
        <f>IF(ISBLANK($K43),NA(),IFERROR(SUM($K43:$K$177),NA()))</f>
        <v>965539.00799999957</v>
      </c>
      <c r="AG43">
        <f>IF(ISBLANK($L43),NA(),IFERROR(SUM($L43:$L$177),NA()))</f>
        <v>1253104.2149999999</v>
      </c>
      <c r="AH43">
        <f>IF(ISBLANK($M43),NA(),IFERROR(SUM($M43:$M$177),NA()))</f>
        <v>1193604.2679999995</v>
      </c>
      <c r="AI43">
        <f t="shared" si="21"/>
        <v>2446708.4829999991</v>
      </c>
      <c r="AJ43">
        <f t="shared" si="22"/>
        <v>39.462772729512785</v>
      </c>
      <c r="AK43">
        <f t="shared" si="23"/>
        <v>51.215918189956277</v>
      </c>
    </row>
    <row r="44" spans="1:37" x14ac:dyDescent="0.35">
      <c r="A44">
        <v>1891</v>
      </c>
      <c r="B44">
        <v>3127.7759999999998</v>
      </c>
      <c r="C44">
        <v>4518.1419999999998</v>
      </c>
      <c r="D44">
        <v>1804.2349999999999</v>
      </c>
      <c r="E44">
        <v>2455.7800000000002</v>
      </c>
      <c r="F44">
        <v>2897.5920000000001</v>
      </c>
      <c r="G44">
        <v>1029.5650000000001</v>
      </c>
      <c r="H44">
        <v>3127.7759999999998</v>
      </c>
      <c r="I44">
        <v>4518.1419999999998</v>
      </c>
      <c r="J44">
        <v>1804.2349999999999</v>
      </c>
      <c r="K44">
        <v>2808.0630000000001</v>
      </c>
      <c r="L44">
        <v>3448.1550000000002</v>
      </c>
      <c r="M44">
        <v>1407.441</v>
      </c>
      <c r="N44">
        <f>IF(ISBLANK($B44),NA(),IFERROR(SUM($B44:$B$177),NA()))</f>
        <v>993189.12299999979</v>
      </c>
      <c r="O44">
        <f>IF(ISBLANK($C44),NA(),IFERROR(SUM($C44:$C$177),NA()))</f>
        <v>1338307.9519999998</v>
      </c>
      <c r="P44">
        <f>IF(ISBLANK($D44),NA(),IFERROR(SUM($D44:$D$177),NA()))</f>
        <v>1334144.3379999998</v>
      </c>
      <c r="Q44">
        <f t="shared" si="12"/>
        <v>2672452.2899999996</v>
      </c>
      <c r="R44">
        <f t="shared" si="13"/>
        <v>37.163960857838177</v>
      </c>
      <c r="S44">
        <f t="shared" si="14"/>
        <v>50.077898752684561</v>
      </c>
      <c r="T44">
        <f>IF(ISBLANK($E44),NA(),IFERROR(SUM($E44:$E$177),NA()))</f>
        <v>881478.68299999984</v>
      </c>
      <c r="U44">
        <f>IF(ISBLANK($F44),NA(),IFERROR(SUM($F44:$F$177),NA()))</f>
        <v>1122529.5049999997</v>
      </c>
      <c r="V44">
        <f>IF(ISBLANK($G44),NA(),IFERROR(SUM($G44:$G$177),NA()))</f>
        <v>1011065.6109999997</v>
      </c>
      <c r="W44">
        <f t="shared" si="15"/>
        <v>2133595.1159999995</v>
      </c>
      <c r="X44">
        <f t="shared" si="16"/>
        <v>41.31424356897525</v>
      </c>
      <c r="Y44">
        <f t="shared" si="17"/>
        <v>52.612114481424413</v>
      </c>
      <c r="Z44">
        <f>IF(ISBLANK($H44),NA(),IFERROR(SUM($H44:$H$177),NA()))</f>
        <v>993189.13099999982</v>
      </c>
      <c r="AA44">
        <f>IF(ISBLANK($I44),NA(),IFERROR(SUM($I44:$I$177),NA()))</f>
        <v>1338307.96</v>
      </c>
      <c r="AB44">
        <f>IF(ISBLANK($J44),NA(),IFERROR(SUM($J44:$J$177),NA()))</f>
        <v>1333660.5060000003</v>
      </c>
      <c r="AC44">
        <f t="shared" si="18"/>
        <v>2671968.466</v>
      </c>
      <c r="AD44">
        <f t="shared" si="19"/>
        <v>37.170690584040742</v>
      </c>
      <c r="AE44">
        <f t="shared" si="20"/>
        <v>50.08696685719044</v>
      </c>
      <c r="AF44">
        <f>IF(ISBLANK($K44),NA(),IFERROR(SUM($K44:$K$177),NA()))</f>
        <v>962840.2859999995</v>
      </c>
      <c r="AG44">
        <f>IF(ISBLANK($L44),NA(),IFERROR(SUM($L44:$L$177),NA()))</f>
        <v>1249787.1749999998</v>
      </c>
      <c r="AH44">
        <f>IF(ISBLANK($M44),NA(),IFERROR(SUM($M44:$M$177),NA()))</f>
        <v>1192235.8079999997</v>
      </c>
      <c r="AI44">
        <f t="shared" si="21"/>
        <v>2442022.9829999995</v>
      </c>
      <c r="AJ44">
        <f t="shared" si="22"/>
        <v>39.427978061744547</v>
      </c>
      <c r="AK44">
        <f t="shared" si="23"/>
        <v>51.178354327552213</v>
      </c>
    </row>
    <row r="45" spans="1:37" x14ac:dyDescent="0.35">
      <c r="A45">
        <v>1892</v>
      </c>
      <c r="B45">
        <v>3129.6570000000002</v>
      </c>
      <c r="C45">
        <v>4534.9059999999999</v>
      </c>
      <c r="D45">
        <v>1770.27</v>
      </c>
      <c r="E45">
        <v>2512.0010000000002</v>
      </c>
      <c r="F45">
        <v>2954.9720000000002</v>
      </c>
      <c r="G45">
        <v>1033.0899999999999</v>
      </c>
      <c r="H45">
        <v>3129.6570000000002</v>
      </c>
      <c r="I45">
        <v>4534.9059999999999</v>
      </c>
      <c r="J45">
        <v>1770.27</v>
      </c>
      <c r="K45">
        <v>2820.03</v>
      </c>
      <c r="L45">
        <v>3471.4609999999998</v>
      </c>
      <c r="M45">
        <v>1385.9649999999999</v>
      </c>
      <c r="N45">
        <f>IF(ISBLANK($B45),NA(),IFERROR(SUM($B45:$B$177),NA()))</f>
        <v>990061.34699999983</v>
      </c>
      <c r="O45">
        <f>IF(ISBLANK($C45),NA(),IFERROR(SUM($C45:$C$177),NA()))</f>
        <v>1333789.8099999998</v>
      </c>
      <c r="P45">
        <f>IF(ISBLANK($D45),NA(),IFERROR(SUM($D45:$D$177),NA()))</f>
        <v>1332340.1029999999</v>
      </c>
      <c r="Q45">
        <f t="shared" si="12"/>
        <v>2666129.9129999997</v>
      </c>
      <c r="R45">
        <f t="shared" si="13"/>
        <v>37.134775097510406</v>
      </c>
      <c r="S45">
        <f t="shared" si="14"/>
        <v>50.027187478617066</v>
      </c>
      <c r="T45">
        <f>IF(ISBLANK($E45),NA(),IFERROR(SUM($E45:$E$177),NA()))</f>
        <v>879022.90299999982</v>
      </c>
      <c r="U45">
        <f>IF(ISBLANK($F45),NA(),IFERROR(SUM($F45:$F$177),NA()))</f>
        <v>1119631.9129999995</v>
      </c>
      <c r="V45">
        <f>IF(ISBLANK($G45),NA(),IFERROR(SUM($G45:$G$177),NA()))</f>
        <v>1010036.0459999997</v>
      </c>
      <c r="W45">
        <f t="shared" si="15"/>
        <v>2129667.9589999993</v>
      </c>
      <c r="X45">
        <f t="shared" si="16"/>
        <v>41.27511517864744</v>
      </c>
      <c r="Y45">
        <f t="shared" si="17"/>
        <v>52.573074045107504</v>
      </c>
      <c r="Z45">
        <f>IF(ISBLANK($H45),NA(),IFERROR(SUM($H45:$H$177),NA()))</f>
        <v>990061.35499999975</v>
      </c>
      <c r="AA45">
        <f>IF(ISBLANK($I45),NA(),IFERROR(SUM($I45:$I$177),NA()))</f>
        <v>1333789.818</v>
      </c>
      <c r="AB45">
        <f>IF(ISBLANK($J45),NA(),IFERROR(SUM($J45:$J$177),NA()))</f>
        <v>1331856.2710000004</v>
      </c>
      <c r="AC45">
        <f t="shared" si="18"/>
        <v>2665646.0890000006</v>
      </c>
      <c r="AD45">
        <f t="shared" si="19"/>
        <v>37.141515487954919</v>
      </c>
      <c r="AE45">
        <f t="shared" si="20"/>
        <v>50.036267886573128</v>
      </c>
      <c r="AF45">
        <f>IF(ISBLANK($K45),NA(),IFERROR(SUM($K45:$K$177),NA()))</f>
        <v>960032.22299999965</v>
      </c>
      <c r="AG45">
        <f>IF(ISBLANK($L45),NA(),IFERROR(SUM($L45:$L$177),NA()))</f>
        <v>1246339.0199999998</v>
      </c>
      <c r="AH45">
        <f>IF(ISBLANK($M45),NA(),IFERROR(SUM($M45:$M$177),NA()))</f>
        <v>1190828.3669999996</v>
      </c>
      <c r="AI45">
        <f t="shared" si="21"/>
        <v>2437167.3869999992</v>
      </c>
      <c r="AJ45">
        <f t="shared" si="22"/>
        <v>39.391312559033516</v>
      </c>
      <c r="AK45">
        <f t="shared" si="23"/>
        <v>51.138835463171247</v>
      </c>
    </row>
    <row r="46" spans="1:37" x14ac:dyDescent="0.35">
      <c r="A46">
        <v>1893</v>
      </c>
      <c r="B46">
        <v>3140.4920000000002</v>
      </c>
      <c r="C46">
        <v>4549.8</v>
      </c>
      <c r="D46">
        <v>1769.4390000000001</v>
      </c>
      <c r="E46">
        <v>2487.0430000000001</v>
      </c>
      <c r="F46">
        <v>2939.674</v>
      </c>
      <c r="G46">
        <v>1036.307</v>
      </c>
      <c r="H46">
        <v>3140.4920000000002</v>
      </c>
      <c r="I46">
        <v>4549.8</v>
      </c>
      <c r="J46">
        <v>1769.4390000000001</v>
      </c>
      <c r="K46">
        <v>2836.98</v>
      </c>
      <c r="L46">
        <v>3489.556</v>
      </c>
      <c r="M46">
        <v>1419.942</v>
      </c>
      <c r="N46">
        <f>IF(ISBLANK($B46),NA(),IFERROR(SUM($B46:$B$177),NA()))</f>
        <v>986931.68999999983</v>
      </c>
      <c r="O46">
        <f>IF(ISBLANK($C46),NA(),IFERROR(SUM($C46:$C$177),NA()))</f>
        <v>1329254.9039999999</v>
      </c>
      <c r="P46">
        <f>IF(ISBLANK($D46),NA(),IFERROR(SUM($D46:$D$177),NA()))</f>
        <v>1330569.8329999996</v>
      </c>
      <c r="Q46">
        <f t="shared" si="12"/>
        <v>2659824.7369999997</v>
      </c>
      <c r="R46">
        <f t="shared" si="13"/>
        <v>37.105139909073635</v>
      </c>
      <c r="S46">
        <f t="shared" si="14"/>
        <v>49.9752816608232</v>
      </c>
      <c r="T46">
        <f>IF(ISBLANK($E46),NA(),IFERROR(SUM($E46:$E$177),NA()))</f>
        <v>876510.90199999977</v>
      </c>
      <c r="U46">
        <f>IF(ISBLANK($F46),NA(),IFERROR(SUM($F46:$F$177),NA()))</f>
        <v>1116676.9409999994</v>
      </c>
      <c r="V46">
        <f>IF(ISBLANK($G46),NA(),IFERROR(SUM($G46:$G$177),NA()))</f>
        <v>1009002.9559999997</v>
      </c>
      <c r="W46">
        <f t="shared" si="15"/>
        <v>2125679.8969999989</v>
      </c>
      <c r="X46">
        <f t="shared" si="16"/>
        <v>41.234378856244142</v>
      </c>
      <c r="Y46">
        <f t="shared" si="17"/>
        <v>52.532695189712278</v>
      </c>
      <c r="Z46">
        <f>IF(ISBLANK($H46),NA(),IFERROR(SUM($H46:$H$177),NA()))</f>
        <v>986931.69799999974</v>
      </c>
      <c r="AA46">
        <f>IF(ISBLANK($I46),NA(),IFERROR(SUM($I46:$I$177),NA()))</f>
        <v>1329254.912</v>
      </c>
      <c r="AB46">
        <f>IF(ISBLANK($J46),NA(),IFERROR(SUM($J46:$J$177),NA()))</f>
        <v>1330086.0010000004</v>
      </c>
      <c r="AC46">
        <f t="shared" si="18"/>
        <v>2659340.9130000006</v>
      </c>
      <c r="AD46">
        <f t="shared" si="19"/>
        <v>37.111890889033958</v>
      </c>
      <c r="AE46">
        <f t="shared" si="20"/>
        <v>49.984374154589624</v>
      </c>
      <c r="AF46">
        <f>IF(ISBLANK($K46),NA(),IFERROR(SUM($K46:$K$177),NA()))</f>
        <v>957212.19299999962</v>
      </c>
      <c r="AG46">
        <f>IF(ISBLANK($L46),NA(),IFERROR(SUM($L46:$L$177),NA()))</f>
        <v>1242867.5589999999</v>
      </c>
      <c r="AH46">
        <f>IF(ISBLANK($M46),NA(),IFERROR(SUM($M46:$M$177),NA()))</f>
        <v>1189442.4019999998</v>
      </c>
      <c r="AI46">
        <f t="shared" si="21"/>
        <v>2432309.9609999997</v>
      </c>
      <c r="AJ46">
        <f t="shared" si="22"/>
        <v>39.35403827423621</v>
      </c>
      <c r="AK46">
        <f t="shared" si="23"/>
        <v>51.09823907841983</v>
      </c>
    </row>
    <row r="47" spans="1:37" x14ac:dyDescent="0.35">
      <c r="A47">
        <v>1894</v>
      </c>
      <c r="B47">
        <v>3195.2150000000001</v>
      </c>
      <c r="C47">
        <v>4657.8310000000001</v>
      </c>
      <c r="D47">
        <v>1795.337</v>
      </c>
      <c r="E47">
        <v>2540.4740000000002</v>
      </c>
      <c r="F47">
        <v>2996.9070000000002</v>
      </c>
      <c r="G47">
        <v>1094.134</v>
      </c>
      <c r="H47">
        <v>3195.2150000000001</v>
      </c>
      <c r="I47">
        <v>4657.8310000000001</v>
      </c>
      <c r="J47">
        <v>1795.337</v>
      </c>
      <c r="K47">
        <v>2896.8739999999998</v>
      </c>
      <c r="L47">
        <v>3599.683</v>
      </c>
      <c r="M47">
        <v>1441.7</v>
      </c>
      <c r="N47">
        <f>IF(ISBLANK($B47),NA(),IFERROR(SUM($B47:$B$177),NA()))</f>
        <v>983791.19799999974</v>
      </c>
      <c r="O47">
        <f>IF(ISBLANK($C47),NA(),IFERROR(SUM($C47:$C$177),NA()))</f>
        <v>1324705.1039999998</v>
      </c>
      <c r="P47">
        <f>IF(ISBLANK($D47),NA(),IFERROR(SUM($D47:$D$177),NA()))</f>
        <v>1328800.3939999999</v>
      </c>
      <c r="Q47">
        <f t="shared" si="12"/>
        <v>2653505.4979999997</v>
      </c>
      <c r="R47">
        <f t="shared" si="13"/>
        <v>37.07515204854495</v>
      </c>
      <c r="S47">
        <f t="shared" si="14"/>
        <v>49.922832456855907</v>
      </c>
      <c r="T47">
        <f>IF(ISBLANK($E47),NA(),IFERROR(SUM($E47:$E$177),NA()))</f>
        <v>874023.85899999982</v>
      </c>
      <c r="U47">
        <f>IF(ISBLANK($F47),NA(),IFERROR(SUM($F47:$F$177),NA()))</f>
        <v>1113737.2669999995</v>
      </c>
      <c r="V47">
        <f>IF(ISBLANK($G47),NA(),IFERROR(SUM($G47:$G$177),NA()))</f>
        <v>1007966.6489999996</v>
      </c>
      <c r="W47">
        <f t="shared" si="15"/>
        <v>2121703.9159999993</v>
      </c>
      <c r="X47">
        <f t="shared" si="16"/>
        <v>41.194431155492104</v>
      </c>
      <c r="Y47">
        <f t="shared" si="17"/>
        <v>52.492586670608752</v>
      </c>
      <c r="Z47">
        <f>IF(ISBLANK($H47),NA(),IFERROR(SUM($H47:$H$177),NA()))</f>
        <v>983791.20599999977</v>
      </c>
      <c r="AA47">
        <f>IF(ISBLANK($I47),NA(),IFERROR(SUM($I47:$I$177),NA()))</f>
        <v>1324705.112</v>
      </c>
      <c r="AB47">
        <f>IF(ISBLANK($J47),NA(),IFERROR(SUM($J47:$J$177),NA()))</f>
        <v>1328316.5620000004</v>
      </c>
      <c r="AC47">
        <f t="shared" si="18"/>
        <v>2653021.6740000006</v>
      </c>
      <c r="AD47">
        <f t="shared" si="19"/>
        <v>37.081913639880788</v>
      </c>
      <c r="AE47">
        <f t="shared" si="20"/>
        <v>49.931937043044286</v>
      </c>
      <c r="AF47">
        <f>IF(ISBLANK($K47),NA(),IFERROR(SUM($K47:$K$177),NA()))</f>
        <v>954375.21299999964</v>
      </c>
      <c r="AG47">
        <f>IF(ISBLANK($L47),NA(),IFERROR(SUM($L47:$L$177),NA()))</f>
        <v>1239378.0029999998</v>
      </c>
      <c r="AH47">
        <f>IF(ISBLANK($M47),NA(),IFERROR(SUM($M47:$M$177),NA()))</f>
        <v>1188022.4599999997</v>
      </c>
      <c r="AI47">
        <f t="shared" si="21"/>
        <v>2427400.4629999995</v>
      </c>
      <c r="AJ47">
        <f t="shared" si="22"/>
        <v>39.316759947408805</v>
      </c>
      <c r="AK47">
        <f t="shared" si="23"/>
        <v>51.057830048704247</v>
      </c>
    </row>
    <row r="48" spans="1:37" x14ac:dyDescent="0.35">
      <c r="A48">
        <v>1895</v>
      </c>
      <c r="B48">
        <v>3267.5039999999999</v>
      </c>
      <c r="C48">
        <v>4718.1360000000004</v>
      </c>
      <c r="D48">
        <v>1806.0360000000001</v>
      </c>
      <c r="E48">
        <v>2621.6489999999999</v>
      </c>
      <c r="F48">
        <v>3089.41</v>
      </c>
      <c r="G48">
        <v>1106.492</v>
      </c>
      <c r="H48">
        <v>3267.5039999999999</v>
      </c>
      <c r="I48">
        <v>4718.1360000000004</v>
      </c>
      <c r="J48">
        <v>1806.0360000000001</v>
      </c>
      <c r="K48">
        <v>2973.1680000000001</v>
      </c>
      <c r="L48">
        <v>3660.8879999999999</v>
      </c>
      <c r="M48">
        <v>1460.9870000000001</v>
      </c>
      <c r="N48">
        <f>IF(ISBLANK($B48),NA(),IFERROR(SUM($B48:$B$177),NA()))</f>
        <v>980595.98299999977</v>
      </c>
      <c r="O48">
        <f>IF(ISBLANK($C48),NA(),IFERROR(SUM($C48:$C$177),NA()))</f>
        <v>1320047.2729999998</v>
      </c>
      <c r="P48">
        <f>IF(ISBLANK($D48),NA(),IFERROR(SUM($D48:$D$177),NA()))</f>
        <v>1327005.0569999998</v>
      </c>
      <c r="Q48">
        <f t="shared" si="12"/>
        <v>2647052.3299999996</v>
      </c>
      <c r="R48">
        <f t="shared" si="13"/>
        <v>37.04482801063476</v>
      </c>
      <c r="S48">
        <f t="shared" si="14"/>
        <v>49.868574868710667</v>
      </c>
      <c r="T48">
        <f>IF(ISBLANK($E48),NA(),IFERROR(SUM($E48:$E$177),NA()))</f>
        <v>871483.38499999978</v>
      </c>
      <c r="U48">
        <f>IF(ISBLANK($F48),NA(),IFERROR(SUM($F48:$F$177),NA()))</f>
        <v>1110740.3599999994</v>
      </c>
      <c r="V48">
        <f>IF(ISBLANK($G48),NA(),IFERROR(SUM($G48:$G$177),NA()))</f>
        <v>1006872.5149999998</v>
      </c>
      <c r="W48">
        <f t="shared" si="15"/>
        <v>2117612.8749999991</v>
      </c>
      <c r="X48">
        <f t="shared" si="16"/>
        <v>41.15404639292251</v>
      </c>
      <c r="Y48">
        <f t="shared" si="17"/>
        <v>52.452474817900786</v>
      </c>
      <c r="Z48">
        <f>IF(ISBLANK($H48),NA(),IFERROR(SUM($H48:$H$177),NA()))</f>
        <v>980595.99099999981</v>
      </c>
      <c r="AA48">
        <f>IF(ISBLANK($I48),NA(),IFERROR(SUM($I48:$I$177),NA()))</f>
        <v>1320047.281</v>
      </c>
      <c r="AB48">
        <f>IF(ISBLANK($J48),NA(),IFERROR(SUM($J48:$J$177),NA()))</f>
        <v>1326521.2250000003</v>
      </c>
      <c r="AC48">
        <f t="shared" si="18"/>
        <v>2646568.5060000001</v>
      </c>
      <c r="AD48">
        <f t="shared" si="19"/>
        <v>37.051600545268478</v>
      </c>
      <c r="AE48">
        <f t="shared" si="20"/>
        <v>49.877691735820875</v>
      </c>
      <c r="AF48">
        <f>IF(ISBLANK($K48),NA(),IFERROR(SUM($K48:$K$177),NA()))</f>
        <v>951478.33899999957</v>
      </c>
      <c r="AG48">
        <f>IF(ISBLANK($L48),NA(),IFERROR(SUM($L48:$L$177),NA()))</f>
        <v>1235778.3199999998</v>
      </c>
      <c r="AH48">
        <f>IF(ISBLANK($M48),NA(),IFERROR(SUM($M48:$M$177),NA()))</f>
        <v>1186580.7599999998</v>
      </c>
      <c r="AI48">
        <f t="shared" si="21"/>
        <v>2422359.0799999996</v>
      </c>
      <c r="AJ48">
        <f t="shared" si="22"/>
        <v>39.278996530935444</v>
      </c>
      <c r="AK48">
        <f t="shared" si="23"/>
        <v>51.015488587265935</v>
      </c>
    </row>
    <row r="49" spans="1:37" x14ac:dyDescent="0.35">
      <c r="A49">
        <v>1896</v>
      </c>
      <c r="B49">
        <v>3324.105</v>
      </c>
      <c r="C49">
        <v>4781.558</v>
      </c>
      <c r="D49">
        <v>1798.3240000000001</v>
      </c>
      <c r="E49">
        <v>2664.2510000000002</v>
      </c>
      <c r="F49">
        <v>3139.328</v>
      </c>
      <c r="G49">
        <v>1115.2090000000001</v>
      </c>
      <c r="H49">
        <v>3324.1060000000002</v>
      </c>
      <c r="I49">
        <v>4781.558</v>
      </c>
      <c r="J49">
        <v>1798.3230000000001</v>
      </c>
      <c r="K49">
        <v>3032.3359999999998</v>
      </c>
      <c r="L49">
        <v>3723.7460000000001</v>
      </c>
      <c r="M49">
        <v>1474.278</v>
      </c>
      <c r="N49">
        <f>IF(ISBLANK($B49),NA(),IFERROR(SUM($B49:$B$177),NA()))</f>
        <v>977328.4789999997</v>
      </c>
      <c r="O49">
        <f>IF(ISBLANK($C49),NA(),IFERROR(SUM($C49:$C$177),NA()))</f>
        <v>1315329.1369999999</v>
      </c>
      <c r="P49">
        <f>IF(ISBLANK($D49),NA(),IFERROR(SUM($D49:$D$177),NA()))</f>
        <v>1325199.0209999997</v>
      </c>
      <c r="Q49">
        <f t="shared" si="12"/>
        <v>2640528.1579999998</v>
      </c>
      <c r="R49">
        <f t="shared" si="13"/>
        <v>37.012613406109331</v>
      </c>
      <c r="S49">
        <f t="shared" si="14"/>
        <v>49.813107768419414</v>
      </c>
      <c r="T49">
        <f>IF(ISBLANK($E49),NA(),IFERROR(SUM($E49:$E$177),NA()))</f>
        <v>868861.7359999998</v>
      </c>
      <c r="U49">
        <f>IF(ISBLANK($F49),NA(),IFERROR(SUM($F49:$F$177),NA()))</f>
        <v>1107650.9499999995</v>
      </c>
      <c r="V49">
        <f>IF(ISBLANK($G49),NA(),IFERROR(SUM($G49:$G$177),NA()))</f>
        <v>1005766.0229999997</v>
      </c>
      <c r="W49">
        <f t="shared" si="15"/>
        <v>2113416.9729999993</v>
      </c>
      <c r="X49">
        <f t="shared" si="16"/>
        <v>41.11170427322957</v>
      </c>
      <c r="Y49">
        <f t="shared" si="17"/>
        <v>52.410431266087876</v>
      </c>
      <c r="Z49">
        <f>IF(ISBLANK($H49),NA(),IFERROR(SUM($H49:$H$177),NA()))</f>
        <v>977328.48699999985</v>
      </c>
      <c r="AA49">
        <f>IF(ISBLANK($I49),NA(),IFERROR(SUM($I49:$I$177),NA()))</f>
        <v>1315329.145</v>
      </c>
      <c r="AB49">
        <f>IF(ISBLANK($J49),NA(),IFERROR(SUM($J49:$J$177),NA()))</f>
        <v>1324715.1890000002</v>
      </c>
      <c r="AC49">
        <f t="shared" si="18"/>
        <v>2640044.3340000003</v>
      </c>
      <c r="AD49">
        <f t="shared" si="19"/>
        <v>37.019396773508873</v>
      </c>
      <c r="AE49">
        <f t="shared" si="20"/>
        <v>49.82223700035788</v>
      </c>
      <c r="AF49">
        <f>IF(ISBLANK($K49),NA(),IFERROR(SUM($K49:$K$177),NA()))</f>
        <v>948505.17099999951</v>
      </c>
      <c r="AG49">
        <f>IF(ISBLANK($L49),NA(),IFERROR(SUM($L49:$L$177),NA()))</f>
        <v>1232117.4319999998</v>
      </c>
      <c r="AH49">
        <f>IF(ISBLANK($M49),NA(),IFERROR(SUM($M49:$M$177),NA()))</f>
        <v>1185119.7729999998</v>
      </c>
      <c r="AI49">
        <f t="shared" si="21"/>
        <v>2417237.2049999996</v>
      </c>
      <c r="AJ49">
        <f t="shared" si="22"/>
        <v>39.239226048566451</v>
      </c>
      <c r="AK49">
        <f t="shared" si="23"/>
        <v>50.972135852095654</v>
      </c>
    </row>
    <row r="50" spans="1:37" x14ac:dyDescent="0.35">
      <c r="A50">
        <v>1897</v>
      </c>
      <c r="B50">
        <v>3401.8809999999999</v>
      </c>
      <c r="C50">
        <v>4889.8950000000004</v>
      </c>
      <c r="D50">
        <v>1835.971</v>
      </c>
      <c r="E50">
        <v>2732.7190000000001</v>
      </c>
      <c r="F50">
        <v>3220.3040000000001</v>
      </c>
      <c r="G50">
        <v>1125.7159999999999</v>
      </c>
      <c r="H50">
        <v>3401.8809999999999</v>
      </c>
      <c r="I50">
        <v>4889.8950000000004</v>
      </c>
      <c r="J50">
        <v>1835.971</v>
      </c>
      <c r="K50">
        <v>3111.145</v>
      </c>
      <c r="L50">
        <v>3830.1260000000002</v>
      </c>
      <c r="M50">
        <v>1509.385</v>
      </c>
      <c r="N50">
        <f>IF(ISBLANK($B50),NA(),IFERROR(SUM($B50:$B$177),NA()))</f>
        <v>974004.37399999972</v>
      </c>
      <c r="O50">
        <f>IF(ISBLANK($C50),NA(),IFERROR(SUM($C50:$C$177),NA()))</f>
        <v>1310547.5789999999</v>
      </c>
      <c r="P50">
        <f>IF(ISBLANK($D50),NA(),IFERROR(SUM($D50:$D$177),NA()))</f>
        <v>1323400.6969999997</v>
      </c>
      <c r="Q50">
        <f t="shared" si="12"/>
        <v>2633948.2759999996</v>
      </c>
      <c r="R50">
        <f t="shared" si="13"/>
        <v>36.97887247350031</v>
      </c>
      <c r="S50">
        <f t="shared" si="14"/>
        <v>49.756010432757648</v>
      </c>
      <c r="T50">
        <f>IF(ISBLANK($E50),NA(),IFERROR(SUM($E50:$E$177),NA()))</f>
        <v>866197.48499999975</v>
      </c>
      <c r="U50">
        <f>IF(ISBLANK($F50),NA(),IFERROR(SUM($F50:$F$177),NA()))</f>
        <v>1104511.6219999995</v>
      </c>
      <c r="V50">
        <f>IF(ISBLANK($G50),NA(),IFERROR(SUM($G50:$G$177),NA()))</f>
        <v>1004650.8139999997</v>
      </c>
      <c r="W50">
        <f t="shared" si="15"/>
        <v>2109162.4359999993</v>
      </c>
      <c r="X50">
        <f t="shared" si="16"/>
        <v>41.068315565240795</v>
      </c>
      <c r="Y50">
        <f t="shared" si="17"/>
        <v>52.367309560789074</v>
      </c>
      <c r="Z50">
        <f>IF(ISBLANK($H50),NA(),IFERROR(SUM($H50:$H$177),NA()))</f>
        <v>974004.3809999997</v>
      </c>
      <c r="AA50">
        <f>IF(ISBLANK($I50),NA(),IFERROR(SUM($I50:$I$177),NA()))</f>
        <v>1310547.5870000001</v>
      </c>
      <c r="AB50">
        <f>IF(ISBLANK($J50),NA(),IFERROR(SUM($J50:$J$177),NA()))</f>
        <v>1322916.8660000004</v>
      </c>
      <c r="AC50">
        <f t="shared" si="18"/>
        <v>2633464.4530000007</v>
      </c>
      <c r="AD50">
        <f t="shared" si="19"/>
        <v>36.985666538632387</v>
      </c>
      <c r="AE50">
        <f t="shared" si="20"/>
        <v>49.765151965770613</v>
      </c>
      <c r="AF50">
        <f>IF(ISBLANK($K50),NA(),IFERROR(SUM($K50:$K$177),NA()))</f>
        <v>945472.83499999961</v>
      </c>
      <c r="AG50">
        <f>IF(ISBLANK($L50),NA(),IFERROR(SUM($L50:$L$177),NA()))</f>
        <v>1228393.6859999998</v>
      </c>
      <c r="AH50">
        <f>IF(ISBLANK($M50),NA(),IFERROR(SUM($M50:$M$177),NA()))</f>
        <v>1183645.4949999999</v>
      </c>
      <c r="AI50">
        <f t="shared" si="21"/>
        <v>2412039.1809999999</v>
      </c>
      <c r="AJ50">
        <f t="shared" si="22"/>
        <v>39.198071177600809</v>
      </c>
      <c r="AK50">
        <f t="shared" si="23"/>
        <v>50.927600831538889</v>
      </c>
    </row>
    <row r="51" spans="1:37" x14ac:dyDescent="0.35">
      <c r="A51">
        <v>1898</v>
      </c>
      <c r="B51">
        <v>3492.5</v>
      </c>
      <c r="C51">
        <v>5010.259</v>
      </c>
      <c r="D51">
        <v>1815.2270000000001</v>
      </c>
      <c r="E51">
        <v>2805.3330000000001</v>
      </c>
      <c r="F51">
        <v>3307.248</v>
      </c>
      <c r="G51">
        <v>1137.875</v>
      </c>
      <c r="H51">
        <v>3492.5</v>
      </c>
      <c r="I51">
        <v>5010.259</v>
      </c>
      <c r="J51">
        <v>1815.2270000000001</v>
      </c>
      <c r="K51">
        <v>3201.1860000000001</v>
      </c>
      <c r="L51">
        <v>3946.9949999999999</v>
      </c>
      <c r="M51">
        <v>1514.692</v>
      </c>
      <c r="N51">
        <f>IF(ISBLANK($B51),NA(),IFERROR(SUM($B51:$B$177),NA()))</f>
        <v>970602.49299999967</v>
      </c>
      <c r="O51">
        <f>IF(ISBLANK($C51),NA(),IFERROR(SUM($C51:$C$177),NA()))</f>
        <v>1305657.6840000001</v>
      </c>
      <c r="P51">
        <f>IF(ISBLANK($D51),NA(),IFERROR(SUM($D51:$D$177),NA()))</f>
        <v>1321564.7259999998</v>
      </c>
      <c r="Q51">
        <f t="shared" si="12"/>
        <v>2627222.41</v>
      </c>
      <c r="R51">
        <f t="shared" si="13"/>
        <v>36.944055033391699</v>
      </c>
      <c r="S51">
        <f t="shared" si="14"/>
        <v>49.697265029038789</v>
      </c>
      <c r="T51">
        <f>IF(ISBLANK($E51),NA(),IFERROR(SUM($E51:$E$177),NA()))</f>
        <v>863464.76599999971</v>
      </c>
      <c r="U51">
        <f>IF(ISBLANK($F51),NA(),IFERROR(SUM($F51:$F$177),NA()))</f>
        <v>1101291.3179999995</v>
      </c>
      <c r="V51">
        <f>IF(ISBLANK($G51),NA(),IFERROR(SUM($G51:$G$177),NA()))</f>
        <v>1003525.0979999999</v>
      </c>
      <c r="W51">
        <f t="shared" si="15"/>
        <v>2104816.4159999993</v>
      </c>
      <c r="X51">
        <f t="shared" si="16"/>
        <v>41.023281623816452</v>
      </c>
      <c r="Y51">
        <f t="shared" si="17"/>
        <v>52.322440552459085</v>
      </c>
      <c r="Z51">
        <f>IF(ISBLANK($H51),NA(),IFERROR(SUM($H51:$H$177),NA()))</f>
        <v>970602.49999999965</v>
      </c>
      <c r="AA51">
        <f>IF(ISBLANK($I51),NA(),IFERROR(SUM($I51:$I$177),NA()))</f>
        <v>1305657.692</v>
      </c>
      <c r="AB51">
        <f>IF(ISBLANK($J51),NA(),IFERROR(SUM($J51:$J$177),NA()))</f>
        <v>1321080.8950000003</v>
      </c>
      <c r="AC51">
        <f t="shared" si="18"/>
        <v>2626738.5870000003</v>
      </c>
      <c r="AD51">
        <f t="shared" si="19"/>
        <v>36.950860081913419</v>
      </c>
      <c r="AE51">
        <f t="shared" si="20"/>
        <v>49.706419148895684</v>
      </c>
      <c r="AF51">
        <f>IF(ISBLANK($K51),NA(),IFERROR(SUM($K51:$K$177),NA()))</f>
        <v>942361.68999999959</v>
      </c>
      <c r="AG51">
        <f>IF(ISBLANK($L51),NA(),IFERROR(SUM($L51:$L$177),NA()))</f>
        <v>1224563.5599999998</v>
      </c>
      <c r="AH51">
        <f>IF(ISBLANK($M51),NA(),IFERROR(SUM($M51:$M$177),NA()))</f>
        <v>1182136.1099999996</v>
      </c>
      <c r="AI51">
        <f t="shared" si="21"/>
        <v>2406699.6699999995</v>
      </c>
      <c r="AJ51">
        <f t="shared" si="22"/>
        <v>39.155765953962998</v>
      </c>
      <c r="AK51">
        <f t="shared" si="23"/>
        <v>50.881444629940056</v>
      </c>
    </row>
    <row r="52" spans="1:37" x14ac:dyDescent="0.35">
      <c r="A52">
        <v>1899</v>
      </c>
      <c r="B52">
        <v>3657.09</v>
      </c>
      <c r="C52">
        <v>5184.4040000000005</v>
      </c>
      <c r="D52">
        <v>1829.8309999999999</v>
      </c>
      <c r="E52">
        <v>2955.6619999999998</v>
      </c>
      <c r="F52">
        <v>3470.1680000000001</v>
      </c>
      <c r="G52">
        <v>1147.192</v>
      </c>
      <c r="H52">
        <v>3657.09</v>
      </c>
      <c r="I52">
        <v>5184.4049999999997</v>
      </c>
      <c r="J52">
        <v>1829.8309999999999</v>
      </c>
      <c r="K52">
        <v>3363.8049999999998</v>
      </c>
      <c r="L52">
        <v>4116.4160000000002</v>
      </c>
      <c r="M52">
        <v>1539.1189999999999</v>
      </c>
      <c r="N52">
        <f>IF(ISBLANK($B52),NA(),IFERROR(SUM($B52:$B$177),NA()))</f>
        <v>967109.99299999967</v>
      </c>
      <c r="O52">
        <f>IF(ISBLANK($C52),NA(),IFERROR(SUM($C52:$C$177),NA()))</f>
        <v>1300647.425</v>
      </c>
      <c r="P52">
        <f>IF(ISBLANK($D52),NA(),IFERROR(SUM($D52:$D$177),NA()))</f>
        <v>1319749.4989999998</v>
      </c>
      <c r="Q52">
        <f t="shared" si="12"/>
        <v>2620396.9239999996</v>
      </c>
      <c r="R52">
        <f t="shared" si="13"/>
        <v>36.907003826111954</v>
      </c>
      <c r="S52">
        <f t="shared" si="14"/>
        <v>49.635511822177683</v>
      </c>
      <c r="T52">
        <f>IF(ISBLANK($E52),NA(),IFERROR(SUM($E52:$E$177),NA()))</f>
        <v>860659.43299999973</v>
      </c>
      <c r="U52">
        <f>IF(ISBLANK($F52),NA(),IFERROR(SUM($F52:$F$177),NA()))</f>
        <v>1097984.0699999994</v>
      </c>
      <c r="V52">
        <f>IF(ISBLANK($G52),NA(),IFERROR(SUM($G52:$G$177),NA()))</f>
        <v>1002387.2229999999</v>
      </c>
      <c r="W52">
        <f t="shared" si="15"/>
        <v>2100371.2929999991</v>
      </c>
      <c r="X52">
        <f t="shared" si="16"/>
        <v>40.976537618294337</v>
      </c>
      <c r="Y52">
        <f t="shared" si="17"/>
        <v>52.275713044607862</v>
      </c>
      <c r="Z52">
        <f>IF(ISBLANK($H52),NA(),IFERROR(SUM($H52:$H$177),NA()))</f>
        <v>967109.99999999965</v>
      </c>
      <c r="AA52">
        <f>IF(ISBLANK($I52),NA(),IFERROR(SUM($I52:$I$177),NA()))</f>
        <v>1300647.433</v>
      </c>
      <c r="AB52">
        <f>IF(ISBLANK($J52),NA(),IFERROR(SUM($J52:$J$177),NA()))</f>
        <v>1319265.6680000003</v>
      </c>
      <c r="AC52">
        <f t="shared" si="18"/>
        <v>2619913.1010000003</v>
      </c>
      <c r="AD52">
        <f t="shared" si="19"/>
        <v>36.913819761077619</v>
      </c>
      <c r="AE52">
        <f t="shared" si="20"/>
        <v>49.644678386605761</v>
      </c>
      <c r="AF52">
        <f>IF(ISBLANK($K52),NA(),IFERROR(SUM($K52:$K$177),NA()))</f>
        <v>939160.50399999961</v>
      </c>
      <c r="AG52">
        <f>IF(ISBLANK($L52),NA(),IFERROR(SUM($L52:$L$177),NA()))</f>
        <v>1220616.5649999997</v>
      </c>
      <c r="AH52">
        <f>IF(ISBLANK($M52),NA(),IFERROR(SUM($M52:$M$177),NA()))</f>
        <v>1180621.4179999998</v>
      </c>
      <c r="AI52">
        <f t="shared" si="21"/>
        <v>2401237.9829999995</v>
      </c>
      <c r="AJ52">
        <f t="shared" si="22"/>
        <v>39.111512921624467</v>
      </c>
      <c r="AK52">
        <f t="shared" si="23"/>
        <v>50.832802647699914</v>
      </c>
    </row>
    <row r="53" spans="1:37" x14ac:dyDescent="0.35">
      <c r="A53">
        <v>1900</v>
      </c>
      <c r="B53">
        <v>3738.346</v>
      </c>
      <c r="C53">
        <v>5353.3040000000001</v>
      </c>
      <c r="D53">
        <v>1864.415</v>
      </c>
      <c r="E53">
        <v>3050.9639999999999</v>
      </c>
      <c r="F53">
        <v>3576.9560000000001</v>
      </c>
      <c r="G53">
        <v>1152.9659999999999</v>
      </c>
      <c r="H53">
        <v>3738.346</v>
      </c>
      <c r="I53">
        <v>5353.3040000000001</v>
      </c>
      <c r="J53">
        <v>1864.415</v>
      </c>
      <c r="K53">
        <v>3446.5430000000001</v>
      </c>
      <c r="L53">
        <v>4180.7510000000002</v>
      </c>
      <c r="M53">
        <v>1534.749</v>
      </c>
      <c r="N53">
        <f>IF(ISBLANK($B53),NA(),IFERROR(SUM($B53:$B$177),NA()))</f>
        <v>963452.9029999997</v>
      </c>
      <c r="O53">
        <f>IF(ISBLANK($C53),NA(),IFERROR(SUM($C53:$C$177),NA()))</f>
        <v>1295463.0209999999</v>
      </c>
      <c r="P53">
        <f>IF(ISBLANK($D53),NA(),IFERROR(SUM($D53:$D$177),NA()))</f>
        <v>1317919.6679999998</v>
      </c>
      <c r="Q53">
        <f t="shared" si="12"/>
        <v>2613382.6889999998</v>
      </c>
      <c r="R53">
        <f t="shared" si="13"/>
        <v>36.866124010665317</v>
      </c>
      <c r="S53">
        <f t="shared" si="14"/>
        <v>49.570352878387801</v>
      </c>
      <c r="T53">
        <f>IF(ISBLANK($E53),NA(),IFERROR(SUM($E53:$E$177),NA()))</f>
        <v>857703.77099999972</v>
      </c>
      <c r="U53">
        <f>IF(ISBLANK($F53),NA(),IFERROR(SUM($F53:$F$177),NA()))</f>
        <v>1094513.9019999995</v>
      </c>
      <c r="V53">
        <f>IF(ISBLANK($G53),NA(),IFERROR(SUM($G53:$G$177),NA()))</f>
        <v>1001240.0309999998</v>
      </c>
      <c r="W53">
        <f t="shared" si="15"/>
        <v>2095753.9329999993</v>
      </c>
      <c r="X53">
        <f t="shared" si="16"/>
        <v>40.925786061736098</v>
      </c>
      <c r="Y53">
        <f t="shared" si="17"/>
        <v>52.225305879934133</v>
      </c>
      <c r="Z53">
        <f>IF(ISBLANK($H53),NA(),IFERROR(SUM($H53:$H$177),NA()))</f>
        <v>963452.90999999968</v>
      </c>
      <c r="AA53">
        <f>IF(ISBLANK($I53),NA(),IFERROR(SUM($I53:$I$177),NA()))</f>
        <v>1295463.0279999999</v>
      </c>
      <c r="AB53">
        <f>IF(ISBLANK($J53),NA(),IFERROR(SUM($J53:$J$177),NA()))</f>
        <v>1317435.8370000003</v>
      </c>
      <c r="AC53">
        <f t="shared" si="18"/>
        <v>2612898.8650000002</v>
      </c>
      <c r="AD53">
        <f t="shared" si="19"/>
        <v>36.872950687281943</v>
      </c>
      <c r="AE53">
        <f t="shared" si="20"/>
        <v>49.579531965543559</v>
      </c>
      <c r="AF53">
        <f>IF(ISBLANK($K53),NA(),IFERROR(SUM($K53:$K$177),NA()))</f>
        <v>935796.69899999967</v>
      </c>
      <c r="AG53">
        <f>IF(ISBLANK($L53),NA(),IFERROR(SUM($L53:$L$177),NA()))</f>
        <v>1216500.1489999997</v>
      </c>
      <c r="AH53">
        <f>IF(ISBLANK($M53),NA(),IFERROR(SUM($M53:$M$177),NA()))</f>
        <v>1179082.2989999996</v>
      </c>
      <c r="AI53">
        <f t="shared" si="21"/>
        <v>2395582.4479999994</v>
      </c>
      <c r="AJ53">
        <f t="shared" si="22"/>
        <v>39.063431099241377</v>
      </c>
      <c r="AK53">
        <f t="shared" si="23"/>
        <v>50.780976042616253</v>
      </c>
    </row>
    <row r="54" spans="1:37" x14ac:dyDescent="0.35">
      <c r="A54">
        <v>1901</v>
      </c>
      <c r="B54">
        <v>3769.174</v>
      </c>
      <c r="C54">
        <v>5478.2370000000001</v>
      </c>
      <c r="D54">
        <v>1982.65</v>
      </c>
      <c r="E54">
        <v>3100.096</v>
      </c>
      <c r="F54">
        <v>3641.4670000000001</v>
      </c>
      <c r="G54">
        <v>1396.982</v>
      </c>
      <c r="H54">
        <v>3769.174</v>
      </c>
      <c r="I54">
        <v>5478.2359999999999</v>
      </c>
      <c r="J54">
        <v>1982.65</v>
      </c>
      <c r="K54">
        <v>3434.7150000000001</v>
      </c>
      <c r="L54">
        <v>4201.0929999999998</v>
      </c>
      <c r="M54">
        <v>1587.8109999999999</v>
      </c>
      <c r="N54">
        <f>IF(ISBLANK($B54),NA(),IFERROR(SUM($B54:$B$177),NA()))</f>
        <v>959714.55699999968</v>
      </c>
      <c r="O54">
        <f>IF(ISBLANK($C54),NA(),IFERROR(SUM($C54:$C$177),NA()))</f>
        <v>1290109.7169999999</v>
      </c>
      <c r="P54">
        <f>IF(ISBLANK($D54),NA(),IFERROR(SUM($D54:$D$177),NA()))</f>
        <v>1316055.2529999998</v>
      </c>
      <c r="Q54">
        <f t="shared" si="12"/>
        <v>2606164.9699999997</v>
      </c>
      <c r="R54">
        <f t="shared" si="13"/>
        <v>36.824781548652304</v>
      </c>
      <c r="S54">
        <f t="shared" si="14"/>
        <v>49.502227673638025</v>
      </c>
      <c r="T54">
        <f>IF(ISBLANK($E54),NA(),IFERROR(SUM($E54:$E$177),NA()))</f>
        <v>854652.80699999968</v>
      </c>
      <c r="U54">
        <f>IF(ISBLANK($F54),NA(),IFERROR(SUM($F54:$F$177),NA()))</f>
        <v>1090936.9459999995</v>
      </c>
      <c r="V54">
        <f>IF(ISBLANK($G54),NA(),IFERROR(SUM($G54:$G$177),NA()))</f>
        <v>1000087.0649999998</v>
      </c>
      <c r="W54">
        <f t="shared" si="15"/>
        <v>2091024.0109999995</v>
      </c>
      <c r="X54">
        <f t="shared" si="16"/>
        <v>40.872453042338591</v>
      </c>
      <c r="Y54">
        <f t="shared" si="17"/>
        <v>52.172377756593811</v>
      </c>
      <c r="Z54">
        <f>IF(ISBLANK($H54),NA(),IFERROR(SUM($H54:$H$177),NA()))</f>
        <v>959714.56399999978</v>
      </c>
      <c r="AA54">
        <f>IF(ISBLANK($I54),NA(),IFERROR(SUM($I54:$I$177),NA()))</f>
        <v>1290109.7239999999</v>
      </c>
      <c r="AB54">
        <f>IF(ISBLANK($J54),NA(),IFERROR(SUM($J54:$J$177),NA()))</f>
        <v>1315571.4220000003</v>
      </c>
      <c r="AC54">
        <f t="shared" si="18"/>
        <v>2605681.1460000002</v>
      </c>
      <c r="AD54">
        <f t="shared" si="19"/>
        <v>36.831619458630406</v>
      </c>
      <c r="AE54">
        <f t="shared" si="20"/>
        <v>49.511419537285164</v>
      </c>
      <c r="AF54">
        <f>IF(ISBLANK($K54),NA(),IFERROR(SUM($K54:$K$177),NA()))</f>
        <v>932350.15599999961</v>
      </c>
      <c r="AG54">
        <f>IF(ISBLANK($L54),NA(),IFERROR(SUM($L54:$L$177),NA()))</f>
        <v>1212319.3979999998</v>
      </c>
      <c r="AH54">
        <f>IF(ISBLANK($M54),NA(),IFERROR(SUM($M54:$M$177),NA()))</f>
        <v>1177547.5499999998</v>
      </c>
      <c r="AI54">
        <f t="shared" si="21"/>
        <v>2389866.9479999999</v>
      </c>
      <c r="AJ54">
        <f t="shared" si="22"/>
        <v>39.012638623261111</v>
      </c>
      <c r="AK54">
        <f t="shared" si="23"/>
        <v>50.727485018132477</v>
      </c>
    </row>
    <row r="55" spans="1:37" x14ac:dyDescent="0.35">
      <c r="A55">
        <v>1902</v>
      </c>
      <c r="B55">
        <v>3834.19</v>
      </c>
      <c r="C55">
        <v>5567.87</v>
      </c>
      <c r="D55">
        <v>2023.5830000000001</v>
      </c>
      <c r="E55">
        <v>3035.8150000000001</v>
      </c>
      <c r="F55">
        <v>3575.598</v>
      </c>
      <c r="G55">
        <v>1531.2950000000001</v>
      </c>
      <c r="H55">
        <v>3834.19</v>
      </c>
      <c r="I55">
        <v>5567.8689999999997</v>
      </c>
      <c r="J55">
        <v>2023.5830000000001</v>
      </c>
      <c r="K55">
        <v>3471.1660000000002</v>
      </c>
      <c r="L55">
        <v>4226.5069999999996</v>
      </c>
      <c r="M55">
        <v>1593.537</v>
      </c>
      <c r="N55">
        <f>IF(ISBLANK($B55),NA(),IFERROR(SUM($B55:$B$177),NA()))</f>
        <v>955945.3829999998</v>
      </c>
      <c r="O55">
        <f>IF(ISBLANK($C55),NA(),IFERROR(SUM($C55:$C$177),NA()))</f>
        <v>1284631.48</v>
      </c>
      <c r="P55">
        <f>IF(ISBLANK($D55),NA(),IFERROR(SUM($D55:$D$177),NA()))</f>
        <v>1314072.6029999999</v>
      </c>
      <c r="Q55">
        <f t="shared" si="12"/>
        <v>2598704.0829999996</v>
      </c>
      <c r="R55">
        <f t="shared" si="13"/>
        <v>36.785465080596481</v>
      </c>
      <c r="S55">
        <f t="shared" si="14"/>
        <v>49.433542218358077</v>
      </c>
      <c r="T55">
        <f>IF(ISBLANK($E55),NA(),IFERROR(SUM($E55:$E$177),NA()))</f>
        <v>851552.71099999978</v>
      </c>
      <c r="U55">
        <f>IF(ISBLANK($F55),NA(),IFERROR(SUM($F55:$F$177),NA()))</f>
        <v>1087295.4789999996</v>
      </c>
      <c r="V55">
        <f>IF(ISBLANK($G55),NA(),IFERROR(SUM($G55:$G$177),NA()))</f>
        <v>998690.08299999975</v>
      </c>
      <c r="W55">
        <f t="shared" si="15"/>
        <v>2085985.5619999995</v>
      </c>
      <c r="X55">
        <f t="shared" si="16"/>
        <v>40.822560161133083</v>
      </c>
      <c r="Y55">
        <f t="shared" si="17"/>
        <v>52.123825725693109</v>
      </c>
      <c r="Z55">
        <f>IF(ISBLANK($H55),NA(),IFERROR(SUM($H55:$H$177),NA()))</f>
        <v>955945.38999999978</v>
      </c>
      <c r="AA55">
        <f>IF(ISBLANK($I55),NA(),IFERROR(SUM($I55:$I$177),NA()))</f>
        <v>1284631.4880000001</v>
      </c>
      <c r="AB55">
        <f>IF(ISBLANK($J55),NA(),IFERROR(SUM($J55:$J$177),NA()))</f>
        <v>1313588.7720000003</v>
      </c>
      <c r="AC55">
        <f t="shared" si="18"/>
        <v>2598220.2600000007</v>
      </c>
      <c r="AD55">
        <f t="shared" si="19"/>
        <v>36.792315290467307</v>
      </c>
      <c r="AE55">
        <f t="shared" si="20"/>
        <v>49.442747706077846</v>
      </c>
      <c r="AF55">
        <f>IF(ISBLANK($K55),NA(),IFERROR(SUM($K55:$K$177),NA()))</f>
        <v>928915.44099999953</v>
      </c>
      <c r="AG55">
        <f>IF(ISBLANK($L55),NA(),IFERROR(SUM($L55:$L$177),NA()))</f>
        <v>1208118.3049999997</v>
      </c>
      <c r="AH55">
        <f>IF(ISBLANK($M55),NA(),IFERROR(SUM($M55:$M$177),NA()))</f>
        <v>1175959.7389999998</v>
      </c>
      <c r="AI55">
        <f t="shared" si="21"/>
        <v>2384078.0439999998</v>
      </c>
      <c r="AJ55">
        <f t="shared" si="22"/>
        <v>38.963298342426228</v>
      </c>
      <c r="AK55">
        <f t="shared" si="23"/>
        <v>50.674444489787838</v>
      </c>
    </row>
    <row r="56" spans="1:37" x14ac:dyDescent="0.35">
      <c r="A56">
        <v>1903</v>
      </c>
      <c r="B56">
        <v>4005.3290000000002</v>
      </c>
      <c r="C56">
        <v>5799.6459999999997</v>
      </c>
      <c r="D56">
        <v>2036.9549999999999</v>
      </c>
      <c r="E56">
        <v>3204.6579999999999</v>
      </c>
      <c r="F56">
        <v>3749.8530000000001</v>
      </c>
      <c r="G56">
        <v>1661.933</v>
      </c>
      <c r="H56">
        <v>4005.3290000000002</v>
      </c>
      <c r="I56">
        <v>5799.6459999999997</v>
      </c>
      <c r="J56">
        <v>2036.9549999999999</v>
      </c>
      <c r="K56">
        <v>3613.2170000000001</v>
      </c>
      <c r="L56">
        <v>4378.9279999999999</v>
      </c>
      <c r="M56">
        <v>1612.894</v>
      </c>
      <c r="N56">
        <f>IF(ISBLANK($B56),NA(),IFERROR(SUM($B56:$B$177),NA()))</f>
        <v>952111.19299999974</v>
      </c>
      <c r="O56">
        <f>IF(ISBLANK($C56),NA(),IFERROR(SUM($C56:$C$177),NA()))</f>
        <v>1279063.6100000001</v>
      </c>
      <c r="P56">
        <f>IF(ISBLANK($D56),NA(),IFERROR(SUM($D56:$D$177),NA()))</f>
        <v>1312049.0199999998</v>
      </c>
      <c r="Q56">
        <f t="shared" si="12"/>
        <v>2591112.63</v>
      </c>
      <c r="R56">
        <f t="shared" si="13"/>
        <v>36.74526463946107</v>
      </c>
      <c r="S56">
        <f t="shared" si="14"/>
        <v>49.363489459738389</v>
      </c>
      <c r="T56">
        <f>IF(ISBLANK($E56),NA(),IFERROR(SUM($E56:$E$177),NA()))</f>
        <v>848516.89599999972</v>
      </c>
      <c r="U56">
        <f>IF(ISBLANK($F56),NA(),IFERROR(SUM($F56:$F$177),NA()))</f>
        <v>1083719.8809999996</v>
      </c>
      <c r="V56">
        <f>IF(ISBLANK($G56),NA(),IFERROR(SUM($G56:$G$177),NA()))</f>
        <v>997158.78799999983</v>
      </c>
      <c r="W56">
        <f t="shared" si="15"/>
        <v>2080878.6689999993</v>
      </c>
      <c r="X56">
        <f t="shared" si="16"/>
        <v>40.776855885007876</v>
      </c>
      <c r="Y56">
        <f t="shared" si="17"/>
        <v>52.079916870924492</v>
      </c>
      <c r="Z56">
        <f>IF(ISBLANK($H56),NA(),IFERROR(SUM($H56:$H$177),NA()))</f>
        <v>952111.19999999972</v>
      </c>
      <c r="AA56">
        <f>IF(ISBLANK($I56),NA(),IFERROR(SUM($I56:$I$177),NA()))</f>
        <v>1279063.6189999999</v>
      </c>
      <c r="AB56">
        <f>IF(ISBLANK($J56),NA(),IFERROR(SUM($J56:$J$177),NA()))</f>
        <v>1311565.1890000002</v>
      </c>
      <c r="AC56">
        <f t="shared" si="18"/>
        <v>2590628.8080000002</v>
      </c>
      <c r="AD56">
        <f t="shared" si="19"/>
        <v>36.752127400877711</v>
      </c>
      <c r="AE56">
        <f t="shared" si="20"/>
        <v>49.372708859338829</v>
      </c>
      <c r="AF56">
        <f>IF(ISBLANK($K56),NA(),IFERROR(SUM($K56:$K$177),NA()))</f>
        <v>925444.27499999956</v>
      </c>
      <c r="AG56">
        <f>IF(ISBLANK($L56),NA(),IFERROR(SUM($L56:$L$177),NA()))</f>
        <v>1203891.798</v>
      </c>
      <c r="AH56">
        <f>IF(ISBLANK($M56),NA(),IFERROR(SUM($M56:$M$177),NA()))</f>
        <v>1174366.2019999998</v>
      </c>
      <c r="AI56">
        <f t="shared" si="21"/>
        <v>2378258</v>
      </c>
      <c r="AJ56">
        <f t="shared" si="22"/>
        <v>38.912694711843692</v>
      </c>
      <c r="AK56">
        <f t="shared" si="23"/>
        <v>50.620739970179848</v>
      </c>
    </row>
    <row r="57" spans="1:37" x14ac:dyDescent="0.35">
      <c r="A57">
        <v>1904</v>
      </c>
      <c r="B57">
        <v>4053.308</v>
      </c>
      <c r="C57">
        <v>5897.0150000000003</v>
      </c>
      <c r="D57">
        <v>2082.6179999999999</v>
      </c>
      <c r="E57">
        <v>3191.4169999999999</v>
      </c>
      <c r="F57">
        <v>3748.0079999999998</v>
      </c>
      <c r="G57">
        <v>1787.5730000000001</v>
      </c>
      <c r="H57">
        <v>4053.308</v>
      </c>
      <c r="I57">
        <v>5897.0150000000003</v>
      </c>
      <c r="J57">
        <v>2082.6179999999999</v>
      </c>
      <c r="K57">
        <v>3641.58</v>
      </c>
      <c r="L57">
        <v>4422.183</v>
      </c>
      <c r="M57">
        <v>1695.3140000000001</v>
      </c>
      <c r="N57">
        <f>IF(ISBLANK($B57),NA(),IFERROR(SUM($B57:$B$177),NA()))</f>
        <v>948105.86399999983</v>
      </c>
      <c r="O57">
        <f>IF(ISBLANK($C57),NA(),IFERROR(SUM($C57:$C$177),NA()))</f>
        <v>1273263.9639999999</v>
      </c>
      <c r="P57">
        <f>IF(ISBLANK($D57),NA(),IFERROR(SUM($D57:$D$177),NA()))</f>
        <v>1310012.0649999999</v>
      </c>
      <c r="Q57">
        <f t="shared" si="12"/>
        <v>2583276.0290000001</v>
      </c>
      <c r="R57">
        <f t="shared" si="13"/>
        <v>36.701686283483099</v>
      </c>
      <c r="S57">
        <f t="shared" si="14"/>
        <v>49.288730654651999</v>
      </c>
      <c r="T57">
        <f>IF(ISBLANK($E57),NA(),IFERROR(SUM($E57:$E$177),NA()))</f>
        <v>845312.23799999966</v>
      </c>
      <c r="U57">
        <f>IF(ISBLANK($F57),NA(),IFERROR(SUM($F57:$F$177),NA()))</f>
        <v>1079970.0279999995</v>
      </c>
      <c r="V57">
        <f>IF(ISBLANK($G57),NA(),IFERROR(SUM($G57:$G$177),NA()))</f>
        <v>995496.85499999986</v>
      </c>
      <c r="W57">
        <f t="shared" si="15"/>
        <v>2075466.8829999994</v>
      </c>
      <c r="X57">
        <f t="shared" si="16"/>
        <v>40.728775049310187</v>
      </c>
      <c r="Y57">
        <f t="shared" si="17"/>
        <v>52.035040252675515</v>
      </c>
      <c r="Z57">
        <f>IF(ISBLANK($H57),NA(),IFERROR(SUM($H57:$H$177),NA()))</f>
        <v>948105.87099999969</v>
      </c>
      <c r="AA57">
        <f>IF(ISBLANK($I57),NA(),IFERROR(SUM($I57:$I$177),NA()))</f>
        <v>1273263.973</v>
      </c>
      <c r="AB57">
        <f>IF(ISBLANK($J57),NA(),IFERROR(SUM($J57:$J$177),NA()))</f>
        <v>1309528.2340000004</v>
      </c>
      <c r="AC57">
        <f t="shared" si="18"/>
        <v>2582792.2070000004</v>
      </c>
      <c r="AD57">
        <f t="shared" si="19"/>
        <v>36.70856170428268</v>
      </c>
      <c r="AE57">
        <f t="shared" si="20"/>
        <v>49.29796402316618</v>
      </c>
      <c r="AF57">
        <f>IF(ISBLANK($K57),NA(),IFERROR(SUM($K57:$K$177),NA()))</f>
        <v>921831.05799999961</v>
      </c>
      <c r="AG57">
        <f>IF(ISBLANK($L57),NA(),IFERROR(SUM($L57:$L$177),NA()))</f>
        <v>1199512.8699999999</v>
      </c>
      <c r="AH57">
        <f>IF(ISBLANK($M57),NA(),IFERROR(SUM($M57:$M$177),NA()))</f>
        <v>1172753.3079999997</v>
      </c>
      <c r="AI57">
        <f t="shared" si="21"/>
        <v>2372266.1779999994</v>
      </c>
      <c r="AJ57">
        <f t="shared" si="22"/>
        <v>38.858668835264233</v>
      </c>
      <c r="AK57">
        <f t="shared" si="23"/>
        <v>50.564008420474991</v>
      </c>
    </row>
    <row r="58" spans="1:37" x14ac:dyDescent="0.35">
      <c r="A58">
        <v>1905</v>
      </c>
      <c r="B58">
        <v>4195.268</v>
      </c>
      <c r="C58">
        <v>6096.393</v>
      </c>
      <c r="D58">
        <v>2074.3820000000001</v>
      </c>
      <c r="E58">
        <v>3321.6849999999999</v>
      </c>
      <c r="F58">
        <v>3879.6460000000002</v>
      </c>
      <c r="G58">
        <v>1906.2380000000001</v>
      </c>
      <c r="H58">
        <v>4195.268</v>
      </c>
      <c r="I58">
        <v>6096.393</v>
      </c>
      <c r="J58">
        <v>2074.3820000000001</v>
      </c>
      <c r="K58">
        <v>3777.8780000000002</v>
      </c>
      <c r="L58">
        <v>4587.0429999999997</v>
      </c>
      <c r="M58">
        <v>1669.182</v>
      </c>
      <c r="N58">
        <f>IF(ISBLANK($B58),NA(),IFERROR(SUM($B58:$B$177),NA()))</f>
        <v>944052.55599999975</v>
      </c>
      <c r="O58">
        <f>IF(ISBLANK($C58),NA(),IFERROR(SUM($C58:$C$177),NA()))</f>
        <v>1267366.9489999998</v>
      </c>
      <c r="P58">
        <f>IF(ISBLANK($D58),NA(),IFERROR(SUM($D58:$D$177),NA()))</f>
        <v>1307929.4469999999</v>
      </c>
      <c r="Q58">
        <f t="shared" si="12"/>
        <v>2575296.3959999997</v>
      </c>
      <c r="R58">
        <f t="shared" si="13"/>
        <v>36.658015654676504</v>
      </c>
      <c r="S58">
        <f t="shared" si="14"/>
        <v>49.212469328520733</v>
      </c>
      <c r="T58">
        <f>IF(ISBLANK($E58),NA(),IFERROR(SUM($E58:$E$177),NA()))</f>
        <v>842120.82099999976</v>
      </c>
      <c r="U58">
        <f>IF(ISBLANK($F58),NA(),IFERROR(SUM($F58:$F$177),NA()))</f>
        <v>1076222.0199999996</v>
      </c>
      <c r="V58">
        <f>IF(ISBLANK($G58),NA(),IFERROR(SUM($G58:$G$177),NA()))</f>
        <v>993709.28199999977</v>
      </c>
      <c r="W58">
        <f t="shared" si="15"/>
        <v>2069931.3019999992</v>
      </c>
      <c r="X58">
        <f t="shared" si="16"/>
        <v>40.683515447412667</v>
      </c>
      <c r="Y58">
        <f t="shared" si="17"/>
        <v>51.993127451144751</v>
      </c>
      <c r="Z58">
        <f>IF(ISBLANK($H58),NA(),IFERROR(SUM($H58:$H$177),NA()))</f>
        <v>944052.56299999962</v>
      </c>
      <c r="AA58">
        <f>IF(ISBLANK($I58),NA(),IFERROR(SUM($I58:$I$177),NA()))</f>
        <v>1267366.9580000001</v>
      </c>
      <c r="AB58">
        <f>IF(ISBLANK($J58),NA(),IFERROR(SUM($J58:$J$177),NA()))</f>
        <v>1307445.6160000004</v>
      </c>
      <c r="AC58">
        <f t="shared" si="18"/>
        <v>2574812.5740000005</v>
      </c>
      <c r="AD58">
        <f t="shared" si="19"/>
        <v>36.664904177215632</v>
      </c>
      <c r="AE58">
        <f t="shared" si="20"/>
        <v>49.221716982340631</v>
      </c>
      <c r="AF58">
        <f>IF(ISBLANK($K58),NA(),IFERROR(SUM($K58:$K$177),NA()))</f>
        <v>918189.47799999954</v>
      </c>
      <c r="AG58">
        <f>IF(ISBLANK($L58),NA(),IFERROR(SUM($L58:$L$177),NA()))</f>
        <v>1195090.6869999999</v>
      </c>
      <c r="AH58">
        <f>IF(ISBLANK($M58),NA(),IFERROR(SUM($M58:$M$177),NA()))</f>
        <v>1171057.9939999997</v>
      </c>
      <c r="AI58">
        <f t="shared" si="21"/>
        <v>2366148.6809999999</v>
      </c>
      <c r="AJ58">
        <f t="shared" si="22"/>
        <v>38.805231698793641</v>
      </c>
      <c r="AK58">
        <f t="shared" si="23"/>
        <v>50.507844101112084</v>
      </c>
    </row>
    <row r="59" spans="1:37" x14ac:dyDescent="0.35">
      <c r="A59">
        <v>1906</v>
      </c>
      <c r="B59">
        <v>4273.1059999999998</v>
      </c>
      <c r="C59">
        <v>6220.1890000000003</v>
      </c>
      <c r="D59">
        <v>2133.6930000000002</v>
      </c>
      <c r="E59">
        <v>3393.6770000000001</v>
      </c>
      <c r="F59">
        <v>3970.4459999999999</v>
      </c>
      <c r="G59">
        <v>2059.6790000000001</v>
      </c>
      <c r="H59">
        <v>4273.1059999999998</v>
      </c>
      <c r="I59">
        <v>6220.1890000000003</v>
      </c>
      <c r="J59">
        <v>2133.6930000000002</v>
      </c>
      <c r="K59">
        <v>3843.82</v>
      </c>
      <c r="L59">
        <v>4668.9539999999997</v>
      </c>
      <c r="M59">
        <v>1728.7349999999999</v>
      </c>
      <c r="N59">
        <f>IF(ISBLANK($B59),NA(),IFERROR(SUM($B59:$B$177),NA()))</f>
        <v>939857.28799999971</v>
      </c>
      <c r="O59">
        <f>IF(ISBLANK($C59),NA(),IFERROR(SUM($C59:$C$177),NA()))</f>
        <v>1261270.5559999999</v>
      </c>
      <c r="P59">
        <f>IF(ISBLANK($D59),NA(),IFERROR(SUM($D59:$D$177),NA()))</f>
        <v>1305855.0649999999</v>
      </c>
      <c r="Q59">
        <f t="shared" si="12"/>
        <v>2567125.6209999998</v>
      </c>
      <c r="R59">
        <f t="shared" si="13"/>
        <v>36.611269830803487</v>
      </c>
      <c r="S59">
        <f t="shared" si="14"/>
        <v>49.131625880804528</v>
      </c>
      <c r="T59">
        <f>IF(ISBLANK($E59),NA(),IFERROR(SUM($E59:$E$177),NA()))</f>
        <v>838799.13599999982</v>
      </c>
      <c r="U59">
        <f>IF(ISBLANK($F59),NA(),IFERROR(SUM($F59:$F$177),NA()))</f>
        <v>1072342.3739999996</v>
      </c>
      <c r="V59">
        <f>IF(ISBLANK($G59),NA(),IFERROR(SUM($G59:$G$177),NA()))</f>
        <v>991803.04399999988</v>
      </c>
      <c r="W59">
        <f t="shared" si="15"/>
        <v>2064145.4179999996</v>
      </c>
      <c r="X59">
        <f t="shared" si="16"/>
        <v>40.636629991540644</v>
      </c>
      <c r="Y59">
        <f t="shared" si="17"/>
        <v>51.95091221039155</v>
      </c>
      <c r="Z59">
        <f>IF(ISBLANK($H59),NA(),IFERROR(SUM($H59:$H$177),NA()))</f>
        <v>939857.29499999969</v>
      </c>
      <c r="AA59">
        <f>IF(ISBLANK($I59),NA(),IFERROR(SUM($I59:$I$177),NA()))</f>
        <v>1261270.5649999999</v>
      </c>
      <c r="AB59">
        <f>IF(ISBLANK($J59),NA(),IFERROR(SUM($J59:$J$177),NA()))</f>
        <v>1305371.2340000004</v>
      </c>
      <c r="AC59">
        <f t="shared" si="18"/>
        <v>2566641.7990000006</v>
      </c>
      <c r="AD59">
        <f t="shared" si="19"/>
        <v>36.618171470837154</v>
      </c>
      <c r="AE59">
        <f t="shared" si="20"/>
        <v>49.140887734759424</v>
      </c>
      <c r="AF59">
        <f>IF(ISBLANK($K59),NA(),IFERROR(SUM($K59:$K$177),NA()))</f>
        <v>914411.59999999951</v>
      </c>
      <c r="AG59">
        <f>IF(ISBLANK($L59),NA(),IFERROR(SUM($L59:$L$177),NA()))</f>
        <v>1190503.6439999999</v>
      </c>
      <c r="AH59">
        <f>IF(ISBLANK($M59),NA(),IFERROR(SUM($M59:$M$177),NA()))</f>
        <v>1169388.8119999997</v>
      </c>
      <c r="AI59">
        <f t="shared" si="21"/>
        <v>2359892.4559999993</v>
      </c>
      <c r="AJ59">
        <f t="shared" si="22"/>
        <v>38.748019964855537</v>
      </c>
      <c r="AK59">
        <f t="shared" si="23"/>
        <v>50.447368521949301</v>
      </c>
    </row>
    <row r="60" spans="1:37" x14ac:dyDescent="0.35">
      <c r="A60">
        <v>1907</v>
      </c>
      <c r="B60">
        <v>4590.7190000000001</v>
      </c>
      <c r="C60">
        <v>6598.3969999999999</v>
      </c>
      <c r="D60">
        <v>2122.1970000000001</v>
      </c>
      <c r="E60">
        <v>3704.2080000000001</v>
      </c>
      <c r="F60">
        <v>4304.4229999999998</v>
      </c>
      <c r="G60">
        <v>2115.4229999999998</v>
      </c>
      <c r="H60">
        <v>4590.7190000000001</v>
      </c>
      <c r="I60">
        <v>6598.3969999999999</v>
      </c>
      <c r="J60">
        <v>2122.1970000000001</v>
      </c>
      <c r="K60">
        <v>4140.3990000000003</v>
      </c>
      <c r="L60">
        <v>5005.9870000000001</v>
      </c>
      <c r="M60">
        <v>1724.5239999999999</v>
      </c>
      <c r="N60">
        <f>IF(ISBLANK($B60),NA(),IFERROR(SUM($B60:$B$177),NA()))</f>
        <v>935584.18199999968</v>
      </c>
      <c r="O60">
        <f>IF(ISBLANK($C60),NA(),IFERROR(SUM($C60:$C$177),NA()))</f>
        <v>1255050.3669999999</v>
      </c>
      <c r="P60">
        <f>IF(ISBLANK($D60),NA(),IFERROR(SUM($D60:$D$177),NA()))</f>
        <v>1303721.372</v>
      </c>
      <c r="Q60">
        <f t="shared" si="12"/>
        <v>2558771.7390000001</v>
      </c>
      <c r="R60">
        <f t="shared" si="13"/>
        <v>36.563800034997954</v>
      </c>
      <c r="S60">
        <f t="shared" si="14"/>
        <v>49.048938124136434</v>
      </c>
      <c r="T60">
        <f>IF(ISBLANK($E60),NA(),IFERROR(SUM($E60:$E$177),NA()))</f>
        <v>835405.4589999998</v>
      </c>
      <c r="U60">
        <f>IF(ISBLANK($F60),NA(),IFERROR(SUM($F60:$F$177),NA()))</f>
        <v>1068371.9279999994</v>
      </c>
      <c r="V60">
        <f>IF(ISBLANK($G60),NA(),IFERROR(SUM($G60:$G$177),NA()))</f>
        <v>989743.36499999987</v>
      </c>
      <c r="W60">
        <f t="shared" si="15"/>
        <v>2058115.2929999991</v>
      </c>
      <c r="X60">
        <f t="shared" si="16"/>
        <v>40.590799837179006</v>
      </c>
      <c r="Y60">
        <f t="shared" si="17"/>
        <v>51.910207928278574</v>
      </c>
      <c r="Z60">
        <f>IF(ISBLANK($H60),NA(),IFERROR(SUM($H60:$H$177),NA()))</f>
        <v>935584.18899999966</v>
      </c>
      <c r="AA60">
        <f>IF(ISBLANK($I60),NA(),IFERROR(SUM($I60:$I$177),NA()))</f>
        <v>1255050.3759999997</v>
      </c>
      <c r="AB60">
        <f>IF(ISBLANK($J60),NA(),IFERROR(SUM($J60:$J$177),NA()))</f>
        <v>1303237.5410000004</v>
      </c>
      <c r="AC60">
        <f t="shared" si="18"/>
        <v>2558287.9170000004</v>
      </c>
      <c r="AD60">
        <f t="shared" si="19"/>
        <v>36.570715234316587</v>
      </c>
      <c r="AE60">
        <f t="shared" si="20"/>
        <v>49.058214584062377</v>
      </c>
      <c r="AF60">
        <f>IF(ISBLANK($K60),NA(),IFERROR(SUM($K60:$K$177),NA()))</f>
        <v>910567.77999999968</v>
      </c>
      <c r="AG60">
        <f>IF(ISBLANK($L60),NA(),IFERROR(SUM($L60:$L$177),NA()))</f>
        <v>1185834.69</v>
      </c>
      <c r="AH60">
        <f>IF(ISBLANK($M60),NA(),IFERROR(SUM($M60:$M$177),NA()))</f>
        <v>1167660.0769999998</v>
      </c>
      <c r="AI60">
        <f t="shared" si="21"/>
        <v>2353494.767</v>
      </c>
      <c r="AJ60">
        <f t="shared" si="22"/>
        <v>38.690027815982802</v>
      </c>
      <c r="AK60">
        <f t="shared" si="23"/>
        <v>50.386119681565454</v>
      </c>
    </row>
    <row r="61" spans="1:37" x14ac:dyDescent="0.35">
      <c r="A61">
        <v>1908</v>
      </c>
      <c r="B61">
        <v>4471.4269999999997</v>
      </c>
      <c r="C61">
        <v>6521.25</v>
      </c>
      <c r="D61">
        <v>2129.3490000000002</v>
      </c>
      <c r="E61">
        <v>3567.8319999999999</v>
      </c>
      <c r="F61">
        <v>4177.3</v>
      </c>
      <c r="G61">
        <v>2171.962</v>
      </c>
      <c r="H61">
        <v>4471.4269999999997</v>
      </c>
      <c r="I61">
        <v>6521.25</v>
      </c>
      <c r="J61">
        <v>2129.3490000000002</v>
      </c>
      <c r="K61">
        <v>4006.491</v>
      </c>
      <c r="L61">
        <v>4891.9480000000003</v>
      </c>
      <c r="M61">
        <v>1764.3140000000001</v>
      </c>
      <c r="N61">
        <f>IF(ISBLANK($B61),NA(),IFERROR(SUM($B61:$B$177),NA()))</f>
        <v>930993.46299999964</v>
      </c>
      <c r="O61">
        <f>IF(ISBLANK($C61),NA(),IFERROR(SUM($C61:$C$177),NA()))</f>
        <v>1248451.9699999997</v>
      </c>
      <c r="P61">
        <f>IF(ISBLANK($D61),NA(),IFERROR(SUM($D61:$D$177),NA()))</f>
        <v>1301599.1749999998</v>
      </c>
      <c r="Q61">
        <f t="shared" si="12"/>
        <v>2550051.1449999996</v>
      </c>
      <c r="R61">
        <f t="shared" si="13"/>
        <v>36.50881531632966</v>
      </c>
      <c r="S61">
        <f t="shared" si="14"/>
        <v>48.957918842055228</v>
      </c>
      <c r="T61">
        <f>IF(ISBLANK($E61),NA(),IFERROR(SUM($E61:$E$177),NA()))</f>
        <v>831701.25099999981</v>
      </c>
      <c r="U61">
        <f>IF(ISBLANK($F61),NA(),IFERROR(SUM($F61:$F$177),NA()))</f>
        <v>1064067.5049999994</v>
      </c>
      <c r="V61">
        <f>IF(ISBLANK($G61),NA(),IFERROR(SUM($G61:$G$177),NA()))</f>
        <v>987627.94199999969</v>
      </c>
      <c r="W61">
        <f t="shared" si="15"/>
        <v>2051695.4469999992</v>
      </c>
      <c r="X61">
        <f t="shared" si="16"/>
        <v>40.537266494211806</v>
      </c>
      <c r="Y61">
        <f t="shared" si="17"/>
        <v>51.862838929427127</v>
      </c>
      <c r="Z61">
        <f>IF(ISBLANK($H61),NA(),IFERROR(SUM($H61:$H$177),NA()))</f>
        <v>930993.46999999962</v>
      </c>
      <c r="AA61">
        <f>IF(ISBLANK($I61),NA(),IFERROR(SUM($I61:$I$177),NA()))</f>
        <v>1248451.9789999998</v>
      </c>
      <c r="AB61">
        <f>IF(ISBLANK($J61),NA(),IFERROR(SUM($J61:$J$177),NA()))</f>
        <v>1301115.3440000003</v>
      </c>
      <c r="AC61">
        <f t="shared" si="18"/>
        <v>2549567.3229999999</v>
      </c>
      <c r="AD61">
        <f t="shared" si="19"/>
        <v>36.51574373429478</v>
      </c>
      <c r="AE61">
        <f t="shared" si="20"/>
        <v>48.967209758987011</v>
      </c>
      <c r="AF61">
        <f>IF(ISBLANK($K61),NA(),IFERROR(SUM($K61:$K$177),NA()))</f>
        <v>906427.3809999997</v>
      </c>
      <c r="AG61">
        <f>IF(ISBLANK($L61),NA(),IFERROR(SUM($L61:$L$177),NA()))</f>
        <v>1180828.703</v>
      </c>
      <c r="AH61">
        <f>IF(ISBLANK($M61),NA(),IFERROR(SUM($M61:$M$177),NA()))</f>
        <v>1165935.5529999998</v>
      </c>
      <c r="AI61">
        <f t="shared" si="21"/>
        <v>2346764.2560000001</v>
      </c>
      <c r="AJ61">
        <f t="shared" si="22"/>
        <v>38.624560548956978</v>
      </c>
      <c r="AK61">
        <f t="shared" si="23"/>
        <v>50.317312443333883</v>
      </c>
    </row>
    <row r="62" spans="1:37" x14ac:dyDescent="0.35">
      <c r="A62">
        <v>1909</v>
      </c>
      <c r="B62">
        <v>4594.2619999999997</v>
      </c>
      <c r="C62">
        <v>6693.9639999999999</v>
      </c>
      <c r="D62">
        <v>2153.491</v>
      </c>
      <c r="E62">
        <v>3661.759</v>
      </c>
      <c r="F62">
        <v>4281.0230000000001</v>
      </c>
      <c r="G62">
        <v>2206.3670000000002</v>
      </c>
      <c r="H62">
        <v>4594.2619999999997</v>
      </c>
      <c r="I62">
        <v>6693.9639999999999</v>
      </c>
      <c r="J62">
        <v>2153.491</v>
      </c>
      <c r="K62">
        <v>4107.1899999999996</v>
      </c>
      <c r="L62">
        <v>5020.0860000000002</v>
      </c>
      <c r="M62">
        <v>1816.14</v>
      </c>
      <c r="N62">
        <f>IF(ISBLANK($B62),NA(),IFERROR(SUM($B62:$B$177),NA()))</f>
        <v>926522.03599999961</v>
      </c>
      <c r="O62">
        <f>IF(ISBLANK($C62),NA(),IFERROR(SUM($C62:$C$177),NA()))</f>
        <v>1241930.7199999997</v>
      </c>
      <c r="P62">
        <f>IF(ISBLANK($D62),NA(),IFERROR(SUM($D62:$D$177),NA()))</f>
        <v>1299469.8259999999</v>
      </c>
      <c r="Q62">
        <f t="shared" si="12"/>
        <v>2541400.5459999996</v>
      </c>
      <c r="R62">
        <f t="shared" si="13"/>
        <v>36.457143186589988</v>
      </c>
      <c r="S62">
        <f t="shared" si="14"/>
        <v>48.867964632915438</v>
      </c>
      <c r="T62">
        <f>IF(ISBLANK($E62),NA(),IFERROR(SUM($E62:$E$177),NA()))</f>
        <v>828133.41899999976</v>
      </c>
      <c r="U62">
        <f>IF(ISBLANK($F62),NA(),IFERROR(SUM($F62:$F$177),NA()))</f>
        <v>1059890.2049999996</v>
      </c>
      <c r="V62">
        <f>IF(ISBLANK($G62),NA(),IFERROR(SUM($G62:$G$177),NA()))</f>
        <v>985455.97999999986</v>
      </c>
      <c r="W62">
        <f t="shared" si="15"/>
        <v>2045346.1849999996</v>
      </c>
      <c r="X62">
        <f t="shared" si="16"/>
        <v>40.488667643321222</v>
      </c>
      <c r="Y62">
        <f t="shared" si="17"/>
        <v>51.819599673294412</v>
      </c>
      <c r="Z62">
        <f>IF(ISBLANK($H62),NA(),IFERROR(SUM($H62:$H$177),NA()))</f>
        <v>926522.0429999996</v>
      </c>
      <c r="AA62">
        <f>IF(ISBLANK($I62),NA(),IFERROR(SUM($I62:$I$177),NA()))</f>
        <v>1241930.7289999998</v>
      </c>
      <c r="AB62">
        <f>IF(ISBLANK($J62),NA(),IFERROR(SUM($J62:$J$177),NA()))</f>
        <v>1298985.9950000003</v>
      </c>
      <c r="AC62">
        <f t="shared" si="18"/>
        <v>2540916.7240000004</v>
      </c>
      <c r="AD62">
        <f t="shared" si="19"/>
        <v>36.464085353471795</v>
      </c>
      <c r="AE62">
        <f t="shared" si="20"/>
        <v>48.877270052554451</v>
      </c>
      <c r="AF62">
        <f>IF(ISBLANK($K62),NA(),IFERROR(SUM($K62:$K$177),NA()))</f>
        <v>902420.88999999955</v>
      </c>
      <c r="AG62">
        <f>IF(ISBLANK($L62),NA(),IFERROR(SUM($L62:$L$177),NA()))</f>
        <v>1175936.7549999999</v>
      </c>
      <c r="AH62">
        <f>IF(ISBLANK($M62),NA(),IFERROR(SUM($M62:$M$177),NA()))</f>
        <v>1164171.2389999998</v>
      </c>
      <c r="AI62">
        <f t="shared" si="21"/>
        <v>2340107.9939999999</v>
      </c>
      <c r="AJ62">
        <f t="shared" si="22"/>
        <v>38.563215557307288</v>
      </c>
      <c r="AK62">
        <f t="shared" si="23"/>
        <v>50.25138831263699</v>
      </c>
    </row>
    <row r="63" spans="1:37" x14ac:dyDescent="0.35">
      <c r="A63">
        <v>1910</v>
      </c>
      <c r="B63">
        <v>4652.5829999999996</v>
      </c>
      <c r="C63">
        <v>6324.1390000000001</v>
      </c>
      <c r="D63">
        <v>2334.1190000000001</v>
      </c>
      <c r="E63">
        <v>3801.97</v>
      </c>
      <c r="F63">
        <v>4418.3770000000004</v>
      </c>
      <c r="G63">
        <v>2240.2939999999999</v>
      </c>
      <c r="H63">
        <v>4652.5829999999996</v>
      </c>
      <c r="I63">
        <v>6324.1390000000001</v>
      </c>
      <c r="J63">
        <v>2334.1190000000001</v>
      </c>
      <c r="K63">
        <v>4240.6009999999997</v>
      </c>
      <c r="L63">
        <v>5009.4780000000001</v>
      </c>
      <c r="M63">
        <v>1919.626</v>
      </c>
      <c r="N63">
        <f>IF(ISBLANK($B63),NA(),IFERROR(SUM($B63:$B$177),NA()))</f>
        <v>921927.77399999963</v>
      </c>
      <c r="O63">
        <f>IF(ISBLANK($C63),NA(),IFERROR(SUM($C63:$C$177),NA()))</f>
        <v>1235236.7560000001</v>
      </c>
      <c r="P63">
        <f>IF(ISBLANK($D63),NA(),IFERROR(SUM($D63:$D$177),NA()))</f>
        <v>1297316.335</v>
      </c>
      <c r="Q63">
        <f t="shared" si="12"/>
        <v>2532553.091</v>
      </c>
      <c r="R63">
        <f t="shared" si="13"/>
        <v>36.403097620195147</v>
      </c>
      <c r="S63">
        <f t="shared" si="14"/>
        <v>48.774367668330157</v>
      </c>
      <c r="T63">
        <f>IF(ISBLANK($E63),NA(),IFERROR(SUM($E63:$E$177),NA()))</f>
        <v>824471.6599999998</v>
      </c>
      <c r="U63">
        <f>IF(ISBLANK($F63),NA(),IFERROR(SUM($F63:$F$177),NA()))</f>
        <v>1055609.1819999996</v>
      </c>
      <c r="V63">
        <f>IF(ISBLANK($G63),NA(),IFERROR(SUM($G63:$G$177),NA()))</f>
        <v>983249.61299999978</v>
      </c>
      <c r="W63">
        <f t="shared" si="15"/>
        <v>2038858.7949999995</v>
      </c>
      <c r="X63">
        <f t="shared" si="16"/>
        <v>40.437898986525937</v>
      </c>
      <c r="Y63">
        <f t="shared" si="17"/>
        <v>51.774511535017794</v>
      </c>
      <c r="Z63">
        <f>IF(ISBLANK($H63),NA(),IFERROR(SUM($H63:$H$177),NA()))</f>
        <v>921927.78099999961</v>
      </c>
      <c r="AA63">
        <f>IF(ISBLANK($I63),NA(),IFERROR(SUM($I63:$I$177),NA()))</f>
        <v>1235236.7649999999</v>
      </c>
      <c r="AB63">
        <f>IF(ISBLANK($J63),NA(),IFERROR(SUM($J63:$J$177),NA()))</f>
        <v>1296832.5040000004</v>
      </c>
      <c r="AC63">
        <f t="shared" si="18"/>
        <v>2532069.2690000003</v>
      </c>
      <c r="AD63">
        <f t="shared" si="19"/>
        <v>36.410053717215249</v>
      </c>
      <c r="AE63">
        <f t="shared" si="20"/>
        <v>48.78368771829993</v>
      </c>
      <c r="AF63">
        <f>IF(ISBLANK($K63),NA(),IFERROR(SUM($K63:$K$177),NA()))</f>
        <v>898313.6999999996</v>
      </c>
      <c r="AG63">
        <f>IF(ISBLANK($L63),NA(),IFERROR(SUM($L63:$L$177),NA()))</f>
        <v>1170916.669</v>
      </c>
      <c r="AH63">
        <f>IF(ISBLANK($M63),NA(),IFERROR(SUM($M63:$M$177),NA()))</f>
        <v>1162355.0989999997</v>
      </c>
      <c r="AI63">
        <f t="shared" si="21"/>
        <v>2333271.7679999997</v>
      </c>
      <c r="AJ63">
        <f t="shared" si="22"/>
        <v>38.500174404030233</v>
      </c>
      <c r="AK63">
        <f t="shared" si="23"/>
        <v>50.183467055090183</v>
      </c>
    </row>
    <row r="64" spans="1:37" x14ac:dyDescent="0.35">
      <c r="A64">
        <v>1911</v>
      </c>
      <c r="B64">
        <v>4662.1270000000004</v>
      </c>
      <c r="C64">
        <v>6207.1559999999999</v>
      </c>
      <c r="D64">
        <v>2418.9839999999999</v>
      </c>
      <c r="E64">
        <v>3822.973</v>
      </c>
      <c r="F64">
        <v>4451.1710000000003</v>
      </c>
      <c r="G64">
        <v>2050.0340000000001</v>
      </c>
      <c r="H64">
        <v>4662.1270000000004</v>
      </c>
      <c r="I64">
        <v>6207.1559999999999</v>
      </c>
      <c r="J64">
        <v>2418.9830000000002</v>
      </c>
      <c r="K64">
        <v>4254.8389999999999</v>
      </c>
      <c r="L64">
        <v>5004.2839999999997</v>
      </c>
      <c r="M64">
        <v>1998.519</v>
      </c>
      <c r="N64">
        <f>IF(ISBLANK($B64),NA(),IFERROR(SUM($B64:$B$177),NA()))</f>
        <v>917275.19099999953</v>
      </c>
      <c r="O64">
        <f>IF(ISBLANK($C64),NA(),IFERROR(SUM($C64:$C$177),NA()))</f>
        <v>1228912.6169999999</v>
      </c>
      <c r="P64">
        <f>IF(ISBLANK($D64),NA(),IFERROR(SUM($D64:$D$177),NA()))</f>
        <v>1294982.2159999998</v>
      </c>
      <c r="Q64">
        <f t="shared" si="12"/>
        <v>2523894.8329999996</v>
      </c>
      <c r="R64">
        <f t="shared" si="13"/>
        <v>36.343637579767559</v>
      </c>
      <c r="S64">
        <f t="shared" si="14"/>
        <v>48.691118224576201</v>
      </c>
      <c r="T64">
        <f>IF(ISBLANK($E64),NA(),IFERROR(SUM($E64:$E$177),NA()))</f>
        <v>820669.68999999983</v>
      </c>
      <c r="U64">
        <f>IF(ISBLANK($F64),NA(),IFERROR(SUM($F64:$F$177),NA()))</f>
        <v>1051190.8049999995</v>
      </c>
      <c r="V64">
        <f>IF(ISBLANK($G64),NA(),IFERROR(SUM($G64:$G$177),NA()))</f>
        <v>981009.31899999978</v>
      </c>
      <c r="W64">
        <f t="shared" si="15"/>
        <v>2032200.1239999994</v>
      </c>
      <c r="X64">
        <f t="shared" si="16"/>
        <v>40.38331069406037</v>
      </c>
      <c r="Y64">
        <f t="shared" si="17"/>
        <v>51.72673658394087</v>
      </c>
      <c r="Z64">
        <f>IF(ISBLANK($H64),NA(),IFERROR(SUM($H64:$H$177),NA()))</f>
        <v>917275.19799999963</v>
      </c>
      <c r="AA64">
        <f>IF(ISBLANK($I64),NA(),IFERROR(SUM($I64:$I$177),NA()))</f>
        <v>1228912.6259999999</v>
      </c>
      <c r="AB64">
        <f>IF(ISBLANK($J64),NA(),IFERROR(SUM($J64:$J$177),NA()))</f>
        <v>1294498.3850000002</v>
      </c>
      <c r="AC64">
        <f t="shared" si="18"/>
        <v>2523411.0109999999</v>
      </c>
      <c r="AD64">
        <f t="shared" si="19"/>
        <v>36.350606143883532</v>
      </c>
      <c r="AE64">
        <f t="shared" si="20"/>
        <v>48.700454291550201</v>
      </c>
      <c r="AF64">
        <f>IF(ISBLANK($K64),NA(),IFERROR(SUM($K64:$K$177),NA()))</f>
        <v>894073.09899999958</v>
      </c>
      <c r="AG64">
        <f>IF(ISBLANK($L64),NA(),IFERROR(SUM($L64:$L$177),NA()))</f>
        <v>1165907.1909999999</v>
      </c>
      <c r="AH64">
        <f>IF(ISBLANK($M64),NA(),IFERROR(SUM($M64:$M$177),NA()))</f>
        <v>1160435.4729999998</v>
      </c>
      <c r="AI64">
        <f t="shared" si="21"/>
        <v>2326342.6639999999</v>
      </c>
      <c r="AJ64">
        <f t="shared" si="22"/>
        <v>38.432562529833724</v>
      </c>
      <c r="AK64">
        <f t="shared" si="23"/>
        <v>50.11760344004076</v>
      </c>
    </row>
    <row r="65" spans="1:37" x14ac:dyDescent="0.35">
      <c r="A65">
        <v>1912</v>
      </c>
      <c r="B65">
        <v>4724.9260000000004</v>
      </c>
      <c r="C65">
        <v>6221.73</v>
      </c>
      <c r="D65">
        <v>2423.402</v>
      </c>
      <c r="E65">
        <v>3883.9259999999999</v>
      </c>
      <c r="F65">
        <v>4540.7240000000002</v>
      </c>
      <c r="G65">
        <v>1987.106</v>
      </c>
      <c r="H65">
        <v>4724.9260000000004</v>
      </c>
      <c r="I65">
        <v>6221.73</v>
      </c>
      <c r="J65">
        <v>2423.402</v>
      </c>
      <c r="K65">
        <v>4324.2889999999998</v>
      </c>
      <c r="L65">
        <v>5120.9089999999997</v>
      </c>
      <c r="M65">
        <v>1996.6130000000001</v>
      </c>
      <c r="N65">
        <f>IF(ISBLANK($B65),NA(),IFERROR(SUM($B65:$B$177),NA()))</f>
        <v>912613.06399999966</v>
      </c>
      <c r="O65">
        <f>IF(ISBLANK($C65),NA(),IFERROR(SUM($C65:$C$177),NA()))</f>
        <v>1222705.4609999999</v>
      </c>
      <c r="P65">
        <f>IF(ISBLANK($D65),NA(),IFERROR(SUM($D65:$D$177),NA()))</f>
        <v>1292563.2319999998</v>
      </c>
      <c r="Q65">
        <f t="shared" si="12"/>
        <v>2515268.693</v>
      </c>
      <c r="R65">
        <f t="shared" si="13"/>
        <v>36.282925420246528</v>
      </c>
      <c r="S65">
        <f t="shared" si="14"/>
        <v>48.611325875553284</v>
      </c>
      <c r="T65">
        <f>IF(ISBLANK($E65),NA(),IFERROR(SUM($E65:$E$177),NA()))</f>
        <v>816846.71699999971</v>
      </c>
      <c r="U65">
        <f>IF(ISBLANK($F65),NA(),IFERROR(SUM($F65:$F$177),NA()))</f>
        <v>1046739.6339999996</v>
      </c>
      <c r="V65">
        <f>IF(ISBLANK($G65),NA(),IFERROR(SUM($G65:$G$177),NA()))</f>
        <v>978959.2849999998</v>
      </c>
      <c r="W65">
        <f t="shared" si="15"/>
        <v>2025698.9189999993</v>
      </c>
      <c r="X65">
        <f t="shared" si="16"/>
        <v>40.324191780841836</v>
      </c>
      <c r="Y65">
        <f t="shared" si="17"/>
        <v>51.673011432356894</v>
      </c>
      <c r="Z65">
        <f>IF(ISBLANK($H65),NA(),IFERROR(SUM($H65:$H$177),NA()))</f>
        <v>912613.07099999965</v>
      </c>
      <c r="AA65">
        <f>IF(ISBLANK($I65),NA(),IFERROR(SUM($I65:$I$177),NA()))</f>
        <v>1222705.4699999997</v>
      </c>
      <c r="AB65">
        <f>IF(ISBLANK($J65),NA(),IFERROR(SUM($J65:$J$177),NA()))</f>
        <v>1292079.4020000002</v>
      </c>
      <c r="AC65">
        <f t="shared" si="18"/>
        <v>2514784.872</v>
      </c>
      <c r="AD65">
        <f t="shared" si="19"/>
        <v>36.289906192818854</v>
      </c>
      <c r="AE65">
        <f t="shared" si="20"/>
        <v>48.620678596161035</v>
      </c>
      <c r="AF65">
        <f>IF(ISBLANK($K65),NA(),IFERROR(SUM($K65:$K$177),NA()))</f>
        <v>889818.25999999966</v>
      </c>
      <c r="AG65">
        <f>IF(ISBLANK($L65),NA(),IFERROR(SUM($L65:$L$177),NA()))</f>
        <v>1160902.9069999999</v>
      </c>
      <c r="AH65">
        <f>IF(ISBLANK($M65),NA(),IFERROR(SUM($M65:$M$177),NA()))</f>
        <v>1158436.9539999999</v>
      </c>
      <c r="AI65">
        <f t="shared" si="21"/>
        <v>2319339.8609999996</v>
      </c>
      <c r="AJ65">
        <f t="shared" si="22"/>
        <v>38.365151867667571</v>
      </c>
      <c r="AK65">
        <f t="shared" si="23"/>
        <v>50.053160665270866</v>
      </c>
    </row>
    <row r="66" spans="1:37" x14ac:dyDescent="0.35">
      <c r="A66">
        <v>1913</v>
      </c>
      <c r="B66">
        <v>4949.5280000000002</v>
      </c>
      <c r="C66">
        <v>6352.7420000000002</v>
      </c>
      <c r="D66">
        <v>2487.319</v>
      </c>
      <c r="E66">
        <v>4115.7629999999999</v>
      </c>
      <c r="F66">
        <v>4810.4930000000004</v>
      </c>
      <c r="G66">
        <v>1885.2270000000001</v>
      </c>
      <c r="H66">
        <v>4949.5280000000002</v>
      </c>
      <c r="I66">
        <v>6352.7420000000002</v>
      </c>
      <c r="J66">
        <v>2487.319</v>
      </c>
      <c r="K66">
        <v>4542.8389999999999</v>
      </c>
      <c r="L66">
        <v>5311.6909999999998</v>
      </c>
      <c r="M66">
        <v>2079.663</v>
      </c>
      <c r="N66">
        <f>IF(ISBLANK($B66),NA(),IFERROR(SUM($B66:$B$177),NA()))</f>
        <v>907888.13799999969</v>
      </c>
      <c r="O66">
        <f>IF(ISBLANK($C66),NA(),IFERROR(SUM($C66:$C$177),NA()))</f>
        <v>1216483.7309999999</v>
      </c>
      <c r="P66">
        <f>IF(ISBLANK($D66),NA(),IFERROR(SUM($D66:$D$177),NA()))</f>
        <v>1290139.8299999998</v>
      </c>
      <c r="Q66">
        <f t="shared" si="12"/>
        <v>2506623.5609999998</v>
      </c>
      <c r="R66">
        <f t="shared" si="13"/>
        <v>36.219564521998038</v>
      </c>
      <c r="S66">
        <f t="shared" si="14"/>
        <v>48.530770632136417</v>
      </c>
      <c r="T66">
        <f>IF(ISBLANK($E66),NA(),IFERROR(SUM($E66:$E$177),NA()))</f>
        <v>812962.79099999974</v>
      </c>
      <c r="U66">
        <f>IF(ISBLANK($F66),NA(),IFERROR(SUM($F66:$F$177),NA()))</f>
        <v>1042198.9099999997</v>
      </c>
      <c r="V66">
        <f>IF(ISBLANK($G66),NA(),IFERROR(SUM($G66:$G$177),NA()))</f>
        <v>976972.17899999989</v>
      </c>
      <c r="W66">
        <f t="shared" si="15"/>
        <v>2019171.0889999997</v>
      </c>
      <c r="X66">
        <f t="shared" si="16"/>
        <v>40.262204398074161</v>
      </c>
      <c r="Y66">
        <f t="shared" si="17"/>
        <v>51.615185839261976</v>
      </c>
      <c r="Z66">
        <f>IF(ISBLANK($H66),NA(),IFERROR(SUM($H66:$H$177),NA()))</f>
        <v>907888.14499999967</v>
      </c>
      <c r="AA66">
        <f>IF(ISBLANK($I66),NA(),IFERROR(SUM($I66:$I$177),NA()))</f>
        <v>1216483.7399999998</v>
      </c>
      <c r="AB66">
        <f>IF(ISBLANK($J66),NA(),IFERROR(SUM($J66:$J$177),NA()))</f>
        <v>1289656.0000000002</v>
      </c>
      <c r="AC66">
        <f t="shared" si="18"/>
        <v>2506139.7400000002</v>
      </c>
      <c r="AD66">
        <f t="shared" si="19"/>
        <v>36.22655714321818</v>
      </c>
      <c r="AE66">
        <f t="shared" si="20"/>
        <v>48.540140064176931</v>
      </c>
      <c r="AF66">
        <f>IF(ISBLANK($K66),NA(),IFERROR(SUM($K66:$K$177),NA()))</f>
        <v>885493.97099999955</v>
      </c>
      <c r="AG66">
        <f>IF(ISBLANK($L66),NA(),IFERROR(SUM($L66:$L$177),NA()))</f>
        <v>1155781.9979999999</v>
      </c>
      <c r="AH66">
        <f>IF(ISBLANK($M66),NA(),IFERROR(SUM($M66:$M$177),NA()))</f>
        <v>1156440.3409999998</v>
      </c>
      <c r="AI66">
        <f t="shared" si="21"/>
        <v>2312222.3389999997</v>
      </c>
      <c r="AJ66">
        <f t="shared" si="22"/>
        <v>38.296229392151012</v>
      </c>
      <c r="AK66">
        <f t="shared" si="23"/>
        <v>49.985763847427307</v>
      </c>
    </row>
    <row r="67" spans="1:37" x14ac:dyDescent="0.35">
      <c r="A67">
        <v>1914</v>
      </c>
      <c r="B67">
        <v>4678.9459999999999</v>
      </c>
      <c r="C67">
        <v>5960.5789999999997</v>
      </c>
      <c r="D67">
        <v>2541.14</v>
      </c>
      <c r="E67">
        <v>3810.5030000000002</v>
      </c>
      <c r="F67">
        <v>4471.7709999999997</v>
      </c>
      <c r="G67">
        <v>1843.528</v>
      </c>
      <c r="H67">
        <v>4678.9470000000001</v>
      </c>
      <c r="I67">
        <v>5960.5789999999997</v>
      </c>
      <c r="J67">
        <v>2541.14</v>
      </c>
      <c r="K67">
        <v>4265.625</v>
      </c>
      <c r="L67">
        <v>4979.3119999999999</v>
      </c>
      <c r="M67">
        <v>2109.9140000000002</v>
      </c>
      <c r="N67">
        <f>IF(ISBLANK($B67),NA(),IFERROR(SUM($B67:$B$177),NA()))</f>
        <v>902938.60999999975</v>
      </c>
      <c r="O67">
        <f>IF(ISBLANK($C67),NA(),IFERROR(SUM($C67:$C$177),NA()))</f>
        <v>1210130.9890000001</v>
      </c>
      <c r="P67">
        <f>IF(ISBLANK($D67),NA(),IFERROR(SUM($D67:$D$177),NA()))</f>
        <v>1287652.5109999999</v>
      </c>
      <c r="Q67">
        <f t="shared" ref="Q67:Q98" si="24">IFERROR(O67+P67,"")</f>
        <v>2497783.5</v>
      </c>
      <c r="R67">
        <f t="shared" ref="R67:R98" si="25">IFERROR(N67/Q67*100,NA())</f>
        <v>36.149594630599481</v>
      </c>
      <c r="S67">
        <f t="shared" ref="S67:S98" si="26">IFERROR(O67/Q67*100,NA())</f>
        <v>48.448193728559744</v>
      </c>
      <c r="T67">
        <f>IF(ISBLANK($E67),NA(),IFERROR(SUM($E67:$E$177),NA()))</f>
        <v>808847.02799999982</v>
      </c>
      <c r="U67">
        <f>IF(ISBLANK($F67),NA(),IFERROR(SUM($F67:$F$177),NA()))</f>
        <v>1037388.4169999997</v>
      </c>
      <c r="V67">
        <f>IF(ISBLANK($G67),NA(),IFERROR(SUM($G67:$G$177),NA()))</f>
        <v>975086.9519999997</v>
      </c>
      <c r="W67">
        <f t="shared" ref="W67:W98" si="27">IFERROR(U67+V67,"")</f>
        <v>2012475.3689999995</v>
      </c>
      <c r="X67">
        <f t="shared" ref="X67:X98" si="28">IFERROR(T67/W67*100,NA())</f>
        <v>40.19164857664402</v>
      </c>
      <c r="Y67">
        <f t="shared" ref="Y67:Y98" si="29">IFERROR(U67/W67*100,NA())</f>
        <v>51.547881429002473</v>
      </c>
      <c r="Z67">
        <f>IF(ISBLANK($H67),NA(),IFERROR(SUM($H67:$H$177),NA()))</f>
        <v>902938.61699999962</v>
      </c>
      <c r="AA67">
        <f>IF(ISBLANK($I67),NA(),IFERROR(SUM($I67:$I$177),NA()))</f>
        <v>1210130.9979999997</v>
      </c>
      <c r="AB67">
        <f>IF(ISBLANK($J67),NA(),IFERROR(SUM($J67:$J$177),NA()))</f>
        <v>1287168.6810000003</v>
      </c>
      <c r="AC67">
        <f t="shared" ref="AC67:AC98" si="30">IFERROR(AA67+AB67,"")</f>
        <v>2497299.679</v>
      </c>
      <c r="AD67">
        <f t="shared" ref="AD67:AD98" si="31">IFERROR(Z67/AC67*100,NA())</f>
        <v>36.156598448831964</v>
      </c>
      <c r="AE67">
        <f t="shared" ref="AE67:AE98" si="32">IFERROR(AA67/AC67*100,NA())</f>
        <v>48.457580328708303</v>
      </c>
      <c r="AF67">
        <f>IF(ISBLANK($K67),NA(),IFERROR(SUM($K67:$K$177),NA()))</f>
        <v>880951.13199999963</v>
      </c>
      <c r="AG67">
        <f>IF(ISBLANK($L67),NA(),IFERROR(SUM($L67:$L$177),NA()))</f>
        <v>1150470.3069999998</v>
      </c>
      <c r="AH67">
        <f>IF(ISBLANK($M67),NA(),IFERROR(SUM($M67:$M$177),NA()))</f>
        <v>1154360.6779999998</v>
      </c>
      <c r="AI67">
        <f t="shared" ref="AI67:AI98" si="33">IFERROR(AG67+AH67,"")</f>
        <v>2304830.9849999994</v>
      </c>
      <c r="AJ67">
        <f t="shared" ref="AJ67:AJ98" si="34">IFERROR(AF67/AI67*100,NA())</f>
        <v>38.221940686032553</v>
      </c>
      <c r="AK67">
        <f t="shared" ref="AK67:AK98" si="35">IFERROR(AG67/AI67*100,NA())</f>
        <v>49.915603985165966</v>
      </c>
    </row>
    <row r="68" spans="1:37" x14ac:dyDescent="0.35">
      <c r="A68">
        <v>1915</v>
      </c>
      <c r="B68">
        <v>4606.3190000000004</v>
      </c>
      <c r="C68">
        <v>5795.9189999999999</v>
      </c>
      <c r="D68">
        <v>2562.3319999999999</v>
      </c>
      <c r="E68">
        <v>3762.2820000000002</v>
      </c>
      <c r="F68">
        <v>4416.625</v>
      </c>
      <c r="G68">
        <v>1805.5719999999999</v>
      </c>
      <c r="H68">
        <v>4606.3190000000004</v>
      </c>
      <c r="I68">
        <v>5795.9189999999999</v>
      </c>
      <c r="J68">
        <v>2562.3310000000001</v>
      </c>
      <c r="K68">
        <v>4186.7020000000002</v>
      </c>
      <c r="L68">
        <v>4878.5910000000003</v>
      </c>
      <c r="M68">
        <v>2148.8009999999999</v>
      </c>
      <c r="N68">
        <f>IF(ISBLANK($B68),NA(),IFERROR(SUM($B68:$B$177),NA()))</f>
        <v>898259.66399999976</v>
      </c>
      <c r="O68">
        <f>IF(ISBLANK($C68),NA(),IFERROR(SUM($C68:$C$177),NA()))</f>
        <v>1204170.4099999999</v>
      </c>
      <c r="P68">
        <f>IF(ISBLANK($D68),NA(),IFERROR(SUM($D68:$D$177),NA()))</f>
        <v>1285111.3709999998</v>
      </c>
      <c r="Q68">
        <f t="shared" si="24"/>
        <v>2489281.7809999995</v>
      </c>
      <c r="R68">
        <f t="shared" si="25"/>
        <v>36.085093734914537</v>
      </c>
      <c r="S68">
        <f t="shared" si="26"/>
        <v>48.374210553063946</v>
      </c>
      <c r="T68">
        <f>IF(ISBLANK($E68),NA(),IFERROR(SUM($E68:$E$177),NA()))</f>
        <v>805036.52499999979</v>
      </c>
      <c r="U68">
        <f>IF(ISBLANK($F68),NA(),IFERROR(SUM($F68:$F$177),NA()))</f>
        <v>1032916.6459999995</v>
      </c>
      <c r="V68">
        <f>IF(ISBLANK($G68),NA(),IFERROR(SUM($G68:$G$177),NA()))</f>
        <v>973243.42399999977</v>
      </c>
      <c r="W68">
        <f t="shared" si="27"/>
        <v>2006160.0699999994</v>
      </c>
      <c r="X68">
        <f t="shared" si="28"/>
        <v>40.128229897427879</v>
      </c>
      <c r="Y68">
        <f t="shared" si="29"/>
        <v>51.487249768658785</v>
      </c>
      <c r="Z68">
        <f>IF(ISBLANK($H68),NA(),IFERROR(SUM($H68:$H$177),NA()))</f>
        <v>898259.66999999969</v>
      </c>
      <c r="AA68">
        <f>IF(ISBLANK($I68),NA(),IFERROR(SUM($I68:$I$177),NA()))</f>
        <v>1204170.4189999998</v>
      </c>
      <c r="AB68">
        <f>IF(ISBLANK($J68),NA(),IFERROR(SUM($J68:$J$177),NA()))</f>
        <v>1284627.5410000004</v>
      </c>
      <c r="AC68">
        <f t="shared" si="30"/>
        <v>2488797.96</v>
      </c>
      <c r="AD68">
        <f t="shared" si="31"/>
        <v>36.092108899028496</v>
      </c>
      <c r="AE68">
        <f t="shared" si="32"/>
        <v>48.383614835492708</v>
      </c>
      <c r="AF68">
        <f>IF(ISBLANK($K68),NA(),IFERROR(SUM($K68:$K$177),NA()))</f>
        <v>876685.50699999963</v>
      </c>
      <c r="AG68">
        <f>IF(ISBLANK($L68),NA(),IFERROR(SUM($L68:$L$177),NA()))</f>
        <v>1145490.9949999996</v>
      </c>
      <c r="AH68">
        <f>IF(ISBLANK($M68),NA(),IFERROR(SUM($M68:$M$177),NA()))</f>
        <v>1152250.7639999997</v>
      </c>
      <c r="AI68">
        <f t="shared" si="33"/>
        <v>2297741.7589999996</v>
      </c>
      <c r="AJ68">
        <f t="shared" si="34"/>
        <v>38.154222665193757</v>
      </c>
      <c r="AK68">
        <f t="shared" si="35"/>
        <v>49.852904074761163</v>
      </c>
    </row>
    <row r="69" spans="1:37" x14ac:dyDescent="0.35">
      <c r="A69">
        <v>1916</v>
      </c>
      <c r="B69">
        <v>4814.3649999999998</v>
      </c>
      <c r="C69">
        <v>6014.0389999999998</v>
      </c>
      <c r="D69">
        <v>2567.2460000000001</v>
      </c>
      <c r="E69">
        <v>3972.5219999999999</v>
      </c>
      <c r="F69">
        <v>4654.4139999999998</v>
      </c>
      <c r="G69">
        <v>1826.923</v>
      </c>
      <c r="H69">
        <v>4814.3649999999998</v>
      </c>
      <c r="I69">
        <v>6014.0389999999998</v>
      </c>
      <c r="J69">
        <v>2567.2460000000001</v>
      </c>
      <c r="K69">
        <v>4364.7740000000003</v>
      </c>
      <c r="L69">
        <v>5118.665</v>
      </c>
      <c r="M69">
        <v>2182.4490000000001</v>
      </c>
      <c r="N69">
        <f>IF(ISBLANK($B69),NA(),IFERROR(SUM($B69:$B$177),NA()))</f>
        <v>893653.34499999962</v>
      </c>
      <c r="O69">
        <f>IF(ISBLANK($C69),NA(),IFERROR(SUM($C69:$C$177),NA()))</f>
        <v>1198374.4909999999</v>
      </c>
      <c r="P69">
        <f>IF(ISBLANK($D69),NA(),IFERROR(SUM($D69:$D$177),NA()))</f>
        <v>1282549.0389999999</v>
      </c>
      <c r="Q69">
        <f t="shared" si="24"/>
        <v>2480923.5299999998</v>
      </c>
      <c r="R69">
        <f t="shared" si="25"/>
        <v>36.020995173519097</v>
      </c>
      <c r="S69">
        <f t="shared" si="26"/>
        <v>48.303564237628883</v>
      </c>
      <c r="T69">
        <f>IF(ISBLANK($E69),NA(),IFERROR(SUM($E69:$E$177),NA()))</f>
        <v>801274.24299999978</v>
      </c>
      <c r="U69">
        <f>IF(ISBLANK($F69),NA(),IFERROR(SUM($F69:$F$177),NA()))</f>
        <v>1028500.0209999995</v>
      </c>
      <c r="V69">
        <f>IF(ISBLANK($G69),NA(),IFERROR(SUM($G69:$G$177),NA()))</f>
        <v>971437.85199999984</v>
      </c>
      <c r="W69">
        <f t="shared" si="27"/>
        <v>1999937.8729999992</v>
      </c>
      <c r="X69">
        <f t="shared" si="28"/>
        <v>40.064956707782699</v>
      </c>
      <c r="Y69">
        <f t="shared" si="29"/>
        <v>51.426598540143743</v>
      </c>
      <c r="Z69">
        <f>IF(ISBLANK($H69),NA(),IFERROR(SUM($H69:$H$177),NA()))</f>
        <v>893653.35099999967</v>
      </c>
      <c r="AA69">
        <f>IF(ISBLANK($I69),NA(),IFERROR(SUM($I69:$I$177),NA()))</f>
        <v>1198374.4999999998</v>
      </c>
      <c r="AB69">
        <f>IF(ISBLANK($J69),NA(),IFERROR(SUM($J69:$J$177),NA()))</f>
        <v>1282065.2100000004</v>
      </c>
      <c r="AC69">
        <f t="shared" si="30"/>
        <v>2480439.71</v>
      </c>
      <c r="AD69">
        <f t="shared" si="31"/>
        <v>36.028021459146842</v>
      </c>
      <c r="AE69">
        <f t="shared" si="32"/>
        <v>48.31298640997808</v>
      </c>
      <c r="AF69">
        <f>IF(ISBLANK($K69),NA(),IFERROR(SUM($K69:$K$177),NA()))</f>
        <v>872498.80499999959</v>
      </c>
      <c r="AG69">
        <f>IF(ISBLANK($L69),NA(),IFERROR(SUM($L69:$L$177),NA()))</f>
        <v>1140612.4039999999</v>
      </c>
      <c r="AH69">
        <f>IF(ISBLANK($M69),NA(),IFERROR(SUM($M69:$M$177),NA()))</f>
        <v>1150101.9629999998</v>
      </c>
      <c r="AI69">
        <f t="shared" si="33"/>
        <v>2290714.3669999996</v>
      </c>
      <c r="AJ69">
        <f t="shared" si="34"/>
        <v>38.088502764430416</v>
      </c>
      <c r="AK69">
        <f t="shared" si="35"/>
        <v>49.792869003296389</v>
      </c>
    </row>
    <row r="70" spans="1:37" x14ac:dyDescent="0.35">
      <c r="A70">
        <v>1917</v>
      </c>
      <c r="B70">
        <v>4938.4080000000004</v>
      </c>
      <c r="C70">
        <v>6037.7719999999999</v>
      </c>
      <c r="D70">
        <v>2590.7530000000002</v>
      </c>
      <c r="E70">
        <v>4085.9580000000001</v>
      </c>
      <c r="F70">
        <v>4773.0600000000004</v>
      </c>
      <c r="G70">
        <v>1852.66</v>
      </c>
      <c r="H70">
        <v>4938.4080000000004</v>
      </c>
      <c r="I70">
        <v>6037.7719999999999</v>
      </c>
      <c r="J70">
        <v>2590.7530000000002</v>
      </c>
      <c r="K70">
        <v>4473.7209999999995</v>
      </c>
      <c r="L70">
        <v>5176.1580000000004</v>
      </c>
      <c r="M70">
        <v>2260.9389999999999</v>
      </c>
      <c r="N70">
        <f>IF(ISBLANK($B70),NA(),IFERROR(SUM($B70:$B$177),NA()))</f>
        <v>888838.97999999975</v>
      </c>
      <c r="O70">
        <f>IF(ISBLANK($C70),NA(),IFERROR(SUM($C70:$C$177),NA()))</f>
        <v>1192360.452</v>
      </c>
      <c r="P70">
        <f>IF(ISBLANK($D70),NA(),IFERROR(SUM($D70:$D$177),NA()))</f>
        <v>1279981.7929999998</v>
      </c>
      <c r="Q70">
        <f t="shared" si="24"/>
        <v>2472342.2450000001</v>
      </c>
      <c r="R70">
        <f t="shared" si="25"/>
        <v>35.951292010544428</v>
      </c>
      <c r="S70">
        <f t="shared" si="26"/>
        <v>48.227969020526928</v>
      </c>
      <c r="T70">
        <f>IF(ISBLANK($E70),NA(),IFERROR(SUM($E70:$E$177),NA()))</f>
        <v>797301.72099999979</v>
      </c>
      <c r="U70">
        <f>IF(ISBLANK($F70),NA(),IFERROR(SUM($F70:$F$177),NA()))</f>
        <v>1023845.6069999996</v>
      </c>
      <c r="V70">
        <f>IF(ISBLANK($G70),NA(),IFERROR(SUM($G70:$G$177),NA()))</f>
        <v>969610.92899999989</v>
      </c>
      <c r="W70">
        <f t="shared" si="27"/>
        <v>1993456.5359999994</v>
      </c>
      <c r="X70">
        <f t="shared" si="28"/>
        <v>39.995942053486537</v>
      </c>
      <c r="Y70">
        <f t="shared" si="29"/>
        <v>51.360317544440306</v>
      </c>
      <c r="Z70">
        <f>IF(ISBLANK($H70),NA(),IFERROR(SUM($H70:$H$177),NA()))</f>
        <v>888838.98599999968</v>
      </c>
      <c r="AA70">
        <f>IF(ISBLANK($I70),NA(),IFERROR(SUM($I70:$I$177),NA()))</f>
        <v>1192360.4609999997</v>
      </c>
      <c r="AB70">
        <f>IF(ISBLANK($J70),NA(),IFERROR(SUM($J70:$J$177),NA()))</f>
        <v>1279497.9640000004</v>
      </c>
      <c r="AC70">
        <f t="shared" si="30"/>
        <v>2471858.4249999998</v>
      </c>
      <c r="AD70">
        <f t="shared" si="31"/>
        <v>35.958329045483254</v>
      </c>
      <c r="AE70">
        <f t="shared" si="32"/>
        <v>48.237409106470153</v>
      </c>
      <c r="AF70">
        <f>IF(ISBLANK($K70),NA(),IFERROR(SUM($K70:$K$177),NA()))</f>
        <v>868134.03099999961</v>
      </c>
      <c r="AG70">
        <f>IF(ISBLANK($L70),NA(),IFERROR(SUM($L70:$L$177),NA()))</f>
        <v>1135493.7389999998</v>
      </c>
      <c r="AH70">
        <f>IF(ISBLANK($M70),NA(),IFERROR(SUM($M70:$M$177),NA()))</f>
        <v>1147919.5139999997</v>
      </c>
      <c r="AI70">
        <f t="shared" si="33"/>
        <v>2283413.2529999996</v>
      </c>
      <c r="AJ70">
        <f t="shared" si="34"/>
        <v>38.019137791174053</v>
      </c>
      <c r="AK70">
        <f t="shared" si="35"/>
        <v>49.727912260654641</v>
      </c>
    </row>
    <row r="71" spans="1:37" x14ac:dyDescent="0.35">
      <c r="A71">
        <v>1918</v>
      </c>
      <c r="B71">
        <v>4989.5339999999997</v>
      </c>
      <c r="C71">
        <v>5918.1310000000003</v>
      </c>
      <c r="D71">
        <v>2610.259</v>
      </c>
      <c r="E71">
        <v>4109.9830000000002</v>
      </c>
      <c r="F71">
        <v>4717.6130000000003</v>
      </c>
      <c r="G71">
        <v>1871.5630000000001</v>
      </c>
      <c r="H71">
        <v>4989.5339999999997</v>
      </c>
      <c r="I71">
        <v>5918.1310000000003</v>
      </c>
      <c r="J71">
        <v>2610.259</v>
      </c>
      <c r="K71">
        <v>4516.643</v>
      </c>
      <c r="L71">
        <v>5096.0550000000003</v>
      </c>
      <c r="M71">
        <v>2254.6660000000002</v>
      </c>
      <c r="N71">
        <f>IF(ISBLANK($B71),NA(),IFERROR(SUM($B71:$B$177),NA()))</f>
        <v>883900.57199999969</v>
      </c>
      <c r="O71">
        <f>IF(ISBLANK($C71),NA(),IFERROR(SUM($C71:$C$177),NA()))</f>
        <v>1186322.68</v>
      </c>
      <c r="P71">
        <f>IF(ISBLANK($D71),NA(),IFERROR(SUM($D71:$D$177),NA()))</f>
        <v>1277391.0399999998</v>
      </c>
      <c r="Q71">
        <f t="shared" si="24"/>
        <v>2463713.7199999997</v>
      </c>
      <c r="R71">
        <f t="shared" si="25"/>
        <v>35.876756492633397</v>
      </c>
      <c r="S71">
        <f t="shared" si="26"/>
        <v>48.15180718318198</v>
      </c>
      <c r="T71">
        <f>IF(ISBLANK($E71),NA(),IFERROR(SUM($E71:$E$177),NA()))</f>
        <v>793215.76299999969</v>
      </c>
      <c r="U71">
        <f>IF(ISBLANK($F71),NA(),IFERROR(SUM($F71:$F$177),NA()))</f>
        <v>1019072.5469999996</v>
      </c>
      <c r="V71">
        <f>IF(ISBLANK($G71),NA(),IFERROR(SUM($G71:$G$177),NA()))</f>
        <v>967758.26899999974</v>
      </c>
      <c r="W71">
        <f t="shared" si="27"/>
        <v>1986830.8159999992</v>
      </c>
      <c r="X71">
        <f t="shared" si="28"/>
        <v>39.923669222976258</v>
      </c>
      <c r="Y71">
        <f t="shared" si="29"/>
        <v>51.291360028915513</v>
      </c>
      <c r="Z71">
        <f>IF(ISBLANK($H71),NA(),IFERROR(SUM($H71:$H$177),NA()))</f>
        <v>883900.57799999963</v>
      </c>
      <c r="AA71">
        <f>IF(ISBLANK($I71),NA(),IFERROR(SUM($I71:$I$177),NA()))</f>
        <v>1186322.6889999998</v>
      </c>
      <c r="AB71">
        <f>IF(ISBLANK($J71),NA(),IFERROR(SUM($J71:$J$177),NA()))</f>
        <v>1276907.2110000004</v>
      </c>
      <c r="AC71">
        <f t="shared" si="30"/>
        <v>2463229.9000000004</v>
      </c>
      <c r="AD71">
        <f t="shared" si="31"/>
        <v>35.883803537785873</v>
      </c>
      <c r="AE71">
        <f t="shared" si="32"/>
        <v>48.161265377624702</v>
      </c>
      <c r="AF71">
        <f>IF(ISBLANK($K71),NA(),IFERROR(SUM($K71:$K$177),NA()))</f>
        <v>863660.30999999971</v>
      </c>
      <c r="AG71">
        <f>IF(ISBLANK($L71),NA(),IFERROR(SUM($L71:$L$177),NA()))</f>
        <v>1130317.5809999998</v>
      </c>
      <c r="AH71">
        <f>IF(ISBLANK($M71),NA(),IFERROR(SUM($M71:$M$177),NA()))</f>
        <v>1145658.5749999997</v>
      </c>
      <c r="AI71">
        <f t="shared" si="33"/>
        <v>2275976.1559999995</v>
      </c>
      <c r="AJ71">
        <f t="shared" si="34"/>
        <v>37.946808349603813</v>
      </c>
      <c r="AK71">
        <f t="shared" si="35"/>
        <v>49.662979905137462</v>
      </c>
    </row>
    <row r="72" spans="1:37" x14ac:dyDescent="0.35">
      <c r="A72">
        <v>1919</v>
      </c>
      <c r="B72">
        <v>4580.0410000000002</v>
      </c>
      <c r="C72">
        <v>5358.8280000000004</v>
      </c>
      <c r="D72">
        <v>2650.761</v>
      </c>
      <c r="E72">
        <v>3711.2269999999999</v>
      </c>
      <c r="F72">
        <v>4211.0249999999996</v>
      </c>
      <c r="G72">
        <v>1912.3489999999999</v>
      </c>
      <c r="H72">
        <v>4580.0410000000002</v>
      </c>
      <c r="I72">
        <v>5358.8280000000004</v>
      </c>
      <c r="J72">
        <v>2650.761</v>
      </c>
      <c r="K72">
        <v>4110.8779999999997</v>
      </c>
      <c r="L72">
        <v>4591.57</v>
      </c>
      <c r="M72">
        <v>2309.058</v>
      </c>
      <c r="N72">
        <f>IF(ISBLANK($B72),NA(),IFERROR(SUM($B72:$B$177),NA()))</f>
        <v>878911.03799999971</v>
      </c>
      <c r="O72">
        <f>IF(ISBLANK($C72),NA(),IFERROR(SUM($C72:$C$177),NA()))</f>
        <v>1180404.5489999999</v>
      </c>
      <c r="P72">
        <f>IF(ISBLANK($D72),NA(),IFERROR(SUM($D72:$D$177),NA()))</f>
        <v>1274780.781</v>
      </c>
      <c r="Q72">
        <f t="shared" si="24"/>
        <v>2455185.33</v>
      </c>
      <c r="R72">
        <f t="shared" si="25"/>
        <v>35.79815451243347</v>
      </c>
      <c r="S72">
        <f t="shared" si="26"/>
        <v>48.078022240382154</v>
      </c>
      <c r="T72">
        <f>IF(ISBLANK($E72),NA(),IFERROR(SUM($E72:$E$177),NA()))</f>
        <v>789105.77999999968</v>
      </c>
      <c r="U72">
        <f>IF(ISBLANK($F72),NA(),IFERROR(SUM($F72:$F$177),NA()))</f>
        <v>1014354.9339999994</v>
      </c>
      <c r="V72">
        <f>IF(ISBLANK($G72),NA(),IFERROR(SUM($G72:$G$177),NA()))</f>
        <v>965886.70599999966</v>
      </c>
      <c r="W72">
        <f t="shared" si="27"/>
        <v>1980241.6399999992</v>
      </c>
      <c r="X72">
        <f t="shared" si="28"/>
        <v>39.848964089049254</v>
      </c>
      <c r="Y72">
        <f t="shared" si="29"/>
        <v>51.223795798981378</v>
      </c>
      <c r="Z72">
        <f>IF(ISBLANK($H72),NA(),IFERROR(SUM($H72:$H$177),NA()))</f>
        <v>878911.04399999965</v>
      </c>
      <c r="AA72">
        <f>IF(ISBLANK($I72),NA(),IFERROR(SUM($I72:$I$177),NA()))</f>
        <v>1180404.5579999997</v>
      </c>
      <c r="AB72">
        <f>IF(ISBLANK($J72),NA(),IFERROR(SUM($J72:$J$177),NA()))</f>
        <v>1274296.9520000003</v>
      </c>
      <c r="AC72">
        <f t="shared" si="30"/>
        <v>2454701.5099999998</v>
      </c>
      <c r="AD72">
        <f t="shared" si="31"/>
        <v>35.805210548797021</v>
      </c>
      <c r="AE72">
        <f t="shared" si="32"/>
        <v>48.0874987525469</v>
      </c>
      <c r="AF72">
        <f>IF(ISBLANK($K72),NA(),IFERROR(SUM($K72:$K$177),NA()))</f>
        <v>859143.66699999955</v>
      </c>
      <c r="AG72">
        <f>IF(ISBLANK($L72),NA(),IFERROR(SUM($L72:$L$177),NA()))</f>
        <v>1125221.5259999996</v>
      </c>
      <c r="AH72">
        <f>IF(ISBLANK($M72),NA(),IFERROR(SUM($M72:$M$177),NA()))</f>
        <v>1143403.9089999998</v>
      </c>
      <c r="AI72">
        <f t="shared" si="33"/>
        <v>2268625.4349999996</v>
      </c>
      <c r="AJ72">
        <f t="shared" si="34"/>
        <v>37.870670660095094</v>
      </c>
      <c r="AK72">
        <f t="shared" si="35"/>
        <v>49.599264322803464</v>
      </c>
    </row>
    <row r="73" spans="1:37" x14ac:dyDescent="0.35">
      <c r="A73">
        <v>1920</v>
      </c>
      <c r="B73">
        <v>5008.1049999999996</v>
      </c>
      <c r="C73">
        <v>6051.3159999999998</v>
      </c>
      <c r="D73">
        <v>3092.3870000000002</v>
      </c>
      <c r="E73">
        <v>4098.9430000000002</v>
      </c>
      <c r="F73">
        <v>4678.357</v>
      </c>
      <c r="G73">
        <v>1965.9469999999999</v>
      </c>
      <c r="H73">
        <v>5008.1059999999998</v>
      </c>
      <c r="I73">
        <v>6051.317</v>
      </c>
      <c r="J73">
        <v>3092.3870000000002</v>
      </c>
      <c r="K73">
        <v>4481.2579999999998</v>
      </c>
      <c r="L73">
        <v>5098.9759999999997</v>
      </c>
      <c r="M73">
        <v>2423.645</v>
      </c>
      <c r="N73">
        <f>IF(ISBLANK($B73),NA(),IFERROR(SUM($B73:$B$177),NA()))</f>
        <v>874330.99699999974</v>
      </c>
      <c r="O73">
        <f>IF(ISBLANK($C73),NA(),IFERROR(SUM($C73:$C$177),NA()))</f>
        <v>1175045.7209999999</v>
      </c>
      <c r="P73">
        <f>IF(ISBLANK($D73),NA(),IFERROR(SUM($D73:$D$177),NA()))</f>
        <v>1272130.0199999998</v>
      </c>
      <c r="Q73">
        <f t="shared" si="24"/>
        <v>2447175.7409999995</v>
      </c>
      <c r="R73">
        <f t="shared" si="25"/>
        <v>35.728165425615011</v>
      </c>
      <c r="S73">
        <f t="shared" si="26"/>
        <v>48.016401164545549</v>
      </c>
      <c r="T73">
        <f>IF(ISBLANK($E73),NA(),IFERROR(SUM($E73:$E$177),NA()))</f>
        <v>785394.55299999972</v>
      </c>
      <c r="U73">
        <f>IF(ISBLANK($F73),NA(),IFERROR(SUM($F73:$F$177),NA()))</f>
        <v>1010143.9089999995</v>
      </c>
      <c r="V73">
        <f>IF(ISBLANK($G73),NA(),IFERROR(SUM($G73:$G$177),NA()))</f>
        <v>963974.35699999973</v>
      </c>
      <c r="W73">
        <f t="shared" si="27"/>
        <v>1974118.2659999994</v>
      </c>
      <c r="X73">
        <f t="shared" si="28"/>
        <v>39.78457453774454</v>
      </c>
      <c r="Y73">
        <f t="shared" si="29"/>
        <v>51.169371480806703</v>
      </c>
      <c r="Z73">
        <f>IF(ISBLANK($H73),NA(),IFERROR(SUM($H73:$H$177),NA()))</f>
        <v>874331.00299999968</v>
      </c>
      <c r="AA73">
        <f>IF(ISBLANK($I73),NA(),IFERROR(SUM($I73:$I$177),NA()))</f>
        <v>1175045.7299999997</v>
      </c>
      <c r="AB73">
        <f>IF(ISBLANK($J73),NA(),IFERROR(SUM($J73:$J$177),NA()))</f>
        <v>1271646.1910000003</v>
      </c>
      <c r="AC73">
        <f t="shared" si="30"/>
        <v>2446691.9210000001</v>
      </c>
      <c r="AD73">
        <f t="shared" si="31"/>
        <v>35.73523072094207</v>
      </c>
      <c r="AE73">
        <f t="shared" si="32"/>
        <v>48.025896514169254</v>
      </c>
      <c r="AF73">
        <f>IF(ISBLANK($K73),NA(),IFERROR(SUM($K73:$K$177),NA()))</f>
        <v>855032.78899999976</v>
      </c>
      <c r="AG73">
        <f>IF(ISBLANK($L73),NA(),IFERROR(SUM($L73:$L$177),NA()))</f>
        <v>1120629.9559999998</v>
      </c>
      <c r="AH73">
        <f>IF(ISBLANK($M73),NA(),IFERROR(SUM($M73:$M$177),NA()))</f>
        <v>1141094.8509999998</v>
      </c>
      <c r="AI73">
        <f t="shared" si="33"/>
        <v>2261724.8069999996</v>
      </c>
      <c r="AJ73">
        <f t="shared" si="34"/>
        <v>37.804457304163968</v>
      </c>
      <c r="AK73">
        <f t="shared" si="35"/>
        <v>49.547582116607167</v>
      </c>
    </row>
    <row r="74" spans="1:37" x14ac:dyDescent="0.35">
      <c r="A74">
        <v>1921</v>
      </c>
      <c r="B74">
        <v>4590.6040000000003</v>
      </c>
      <c r="C74">
        <v>5705.9449999999997</v>
      </c>
      <c r="D74">
        <v>3286.9319999999998</v>
      </c>
      <c r="E74">
        <v>3607.509</v>
      </c>
      <c r="F74">
        <v>4194.6940000000004</v>
      </c>
      <c r="G74">
        <v>2172.0949999999998</v>
      </c>
      <c r="H74">
        <v>4590.6040000000003</v>
      </c>
      <c r="I74">
        <v>5705.9459999999999</v>
      </c>
      <c r="J74">
        <v>3286.9319999999998</v>
      </c>
      <c r="K74">
        <v>4068.8960000000002</v>
      </c>
      <c r="L74">
        <v>4719.6270000000004</v>
      </c>
      <c r="M74">
        <v>2529.2530000000002</v>
      </c>
      <c r="N74">
        <f>IF(ISBLANK($B74),NA(),IFERROR(SUM($B74:$B$177),NA()))</f>
        <v>869322.89199999964</v>
      </c>
      <c r="O74">
        <f>IF(ISBLANK($C74),NA(),IFERROR(SUM($C74:$C$177),NA()))</f>
        <v>1168994.405</v>
      </c>
      <c r="P74">
        <f>IF(ISBLANK($D74),NA(),IFERROR(SUM($D74:$D$177),NA()))</f>
        <v>1269037.6329999999</v>
      </c>
      <c r="Q74">
        <f t="shared" si="24"/>
        <v>2438032.0379999997</v>
      </c>
      <c r="R74">
        <f t="shared" si="25"/>
        <v>35.656746033293913</v>
      </c>
      <c r="S74">
        <f t="shared" si="26"/>
        <v>47.948279053747207</v>
      </c>
      <c r="T74">
        <f>IF(ISBLANK($E74),NA(),IFERROR(SUM($E74:$E$177),NA()))</f>
        <v>781295.60999999975</v>
      </c>
      <c r="U74">
        <f>IF(ISBLANK($F74),NA(),IFERROR(SUM($F74:$F$177),NA()))</f>
        <v>1005465.5519999994</v>
      </c>
      <c r="V74">
        <f>IF(ISBLANK($G74),NA(),IFERROR(SUM($G74:$G$177),NA()))</f>
        <v>962008.4099999998</v>
      </c>
      <c r="W74">
        <f t="shared" si="27"/>
        <v>1967473.9619999994</v>
      </c>
      <c r="X74">
        <f t="shared" si="28"/>
        <v>39.710594655381769</v>
      </c>
      <c r="Y74">
        <f t="shared" si="29"/>
        <v>51.104389253411618</v>
      </c>
      <c r="Z74">
        <f>IF(ISBLANK($H74),NA(),IFERROR(SUM($H74:$H$177),NA()))</f>
        <v>869322.89699999953</v>
      </c>
      <c r="AA74">
        <f>IF(ISBLANK($I74),NA(),IFERROR(SUM($I74:$I$177),NA()))</f>
        <v>1168994.4129999997</v>
      </c>
      <c r="AB74">
        <f>IF(ISBLANK($J74),NA(),IFERROR(SUM($J74:$J$177),NA()))</f>
        <v>1268553.8040000005</v>
      </c>
      <c r="AC74">
        <f t="shared" si="30"/>
        <v>2437548.2170000002</v>
      </c>
      <c r="AD74">
        <f t="shared" si="31"/>
        <v>35.663823629709121</v>
      </c>
      <c r="AE74">
        <f t="shared" si="32"/>
        <v>47.957796479559839</v>
      </c>
      <c r="AF74">
        <f>IF(ISBLANK($K74),NA(),IFERROR(SUM($K74:$K$177),NA()))</f>
        <v>850551.53099999961</v>
      </c>
      <c r="AG74">
        <f>IF(ISBLANK($L74),NA(),IFERROR(SUM($L74:$L$177),NA()))</f>
        <v>1115530.9799999997</v>
      </c>
      <c r="AH74">
        <f>IF(ISBLANK($M74),NA(),IFERROR(SUM($M74:$M$177),NA()))</f>
        <v>1138671.2059999998</v>
      </c>
      <c r="AI74">
        <f t="shared" si="33"/>
        <v>2254202.1859999998</v>
      </c>
      <c r="AJ74">
        <f t="shared" si="34"/>
        <v>37.731820875804956</v>
      </c>
      <c r="AK74">
        <f t="shared" si="35"/>
        <v>49.486731355693927</v>
      </c>
    </row>
    <row r="75" spans="1:37" x14ac:dyDescent="0.35">
      <c r="A75">
        <v>1922</v>
      </c>
      <c r="B75">
        <v>4743.8850000000002</v>
      </c>
      <c r="C75">
        <v>5881.2359999999999</v>
      </c>
      <c r="D75">
        <v>3380.31</v>
      </c>
      <c r="E75">
        <v>3676.7750000000001</v>
      </c>
      <c r="F75">
        <v>4271.4629999999997</v>
      </c>
      <c r="G75">
        <v>2236.5279999999998</v>
      </c>
      <c r="H75">
        <v>4743.8850000000002</v>
      </c>
      <c r="I75">
        <v>5881.2359999999999</v>
      </c>
      <c r="J75">
        <v>3380.31</v>
      </c>
      <c r="K75">
        <v>4228.393</v>
      </c>
      <c r="L75">
        <v>4882.6180000000004</v>
      </c>
      <c r="M75">
        <v>2547.442</v>
      </c>
      <c r="N75">
        <f>IF(ISBLANK($B75),NA(),IFERROR(SUM($B75:$B$177),NA()))</f>
        <v>864732.28799999971</v>
      </c>
      <c r="O75">
        <f>IF(ISBLANK($C75),NA(),IFERROR(SUM($C75:$C$177),NA()))</f>
        <v>1163288.4600000002</v>
      </c>
      <c r="P75">
        <f>IF(ISBLANK($D75),NA(),IFERROR(SUM($D75:$D$177),NA()))</f>
        <v>1265750.7009999999</v>
      </c>
      <c r="Q75">
        <f t="shared" si="24"/>
        <v>2429039.1610000003</v>
      </c>
      <c r="R75">
        <f t="shared" si="25"/>
        <v>35.599767261224471</v>
      </c>
      <c r="S75">
        <f t="shared" si="26"/>
        <v>47.890889479158957</v>
      </c>
      <c r="T75">
        <f>IF(ISBLANK($E75),NA(),IFERROR(SUM($E75:$E$177),NA()))</f>
        <v>777688.10099999967</v>
      </c>
      <c r="U75">
        <f>IF(ISBLANK($F75),NA(),IFERROR(SUM($F75:$F$177),NA()))</f>
        <v>1001270.8579999995</v>
      </c>
      <c r="V75">
        <f>IF(ISBLANK($G75),NA(),IFERROR(SUM($G75:$G$177),NA()))</f>
        <v>959836.31499999983</v>
      </c>
      <c r="W75">
        <f t="shared" si="27"/>
        <v>1961107.1729999995</v>
      </c>
      <c r="X75">
        <f t="shared" si="28"/>
        <v>39.655563536098484</v>
      </c>
      <c r="Y75">
        <f t="shared" si="29"/>
        <v>51.056406900409613</v>
      </c>
      <c r="Z75">
        <f>IF(ISBLANK($H75),NA(),IFERROR(SUM($H75:$H$177),NA()))</f>
        <v>864732.2929999996</v>
      </c>
      <c r="AA75">
        <f>IF(ISBLANK($I75),NA(),IFERROR(SUM($I75:$I$177),NA()))</f>
        <v>1163288.4669999997</v>
      </c>
      <c r="AB75">
        <f>IF(ISBLANK($J75),NA(),IFERROR(SUM($J75:$J$177),NA()))</f>
        <v>1265266.8720000002</v>
      </c>
      <c r="AC75">
        <f t="shared" si="30"/>
        <v>2428555.3389999997</v>
      </c>
      <c r="AD75">
        <f t="shared" si="31"/>
        <v>35.606859729046498</v>
      </c>
      <c r="AE75">
        <f t="shared" si="32"/>
        <v>47.900430693047504</v>
      </c>
      <c r="AF75">
        <f>IF(ISBLANK($K75),NA(),IFERROR(SUM($K75:$K$177),NA()))</f>
        <v>846482.63499999966</v>
      </c>
      <c r="AG75">
        <f>IF(ISBLANK($L75),NA(),IFERROR(SUM($L75:$L$177),NA()))</f>
        <v>1110811.3529999999</v>
      </c>
      <c r="AH75">
        <f>IF(ISBLANK($M75),NA(),IFERROR(SUM($M75:$M$177),NA()))</f>
        <v>1136141.9529999997</v>
      </c>
      <c r="AI75">
        <f t="shared" si="33"/>
        <v>2246953.3059999999</v>
      </c>
      <c r="AJ75">
        <f t="shared" si="34"/>
        <v>37.672462206475409</v>
      </c>
      <c r="AK75">
        <f t="shared" si="35"/>
        <v>49.436334526125655</v>
      </c>
    </row>
    <row r="76" spans="1:37" x14ac:dyDescent="0.35">
      <c r="A76">
        <v>1923</v>
      </c>
      <c r="B76">
        <v>5145.2809999999999</v>
      </c>
      <c r="C76">
        <v>6339.7629999999999</v>
      </c>
      <c r="D76">
        <v>3524.8980000000001</v>
      </c>
      <c r="E76">
        <v>4101.7719999999999</v>
      </c>
      <c r="F76">
        <v>4691.2380000000003</v>
      </c>
      <c r="G76">
        <v>2300.3330000000001</v>
      </c>
      <c r="H76">
        <v>5145.2809999999999</v>
      </c>
      <c r="I76">
        <v>6339.7629999999999</v>
      </c>
      <c r="J76">
        <v>3524.8980000000001</v>
      </c>
      <c r="K76">
        <v>4628.8180000000002</v>
      </c>
      <c r="L76">
        <v>5306.3670000000002</v>
      </c>
      <c r="M76">
        <v>2637.7719999999999</v>
      </c>
      <c r="N76">
        <f>IF(ISBLANK($B76),NA(),IFERROR(SUM($B76:$B$177),NA()))</f>
        <v>859988.4029999997</v>
      </c>
      <c r="O76">
        <f>IF(ISBLANK($C76),NA(),IFERROR(SUM($C76:$C$177),NA()))</f>
        <v>1157407.2240000002</v>
      </c>
      <c r="P76">
        <f>IF(ISBLANK($D76),NA(),IFERROR(SUM($D76:$D$177),NA()))</f>
        <v>1262370.3909999998</v>
      </c>
      <c r="Q76">
        <f t="shared" si="24"/>
        <v>2419777.6150000002</v>
      </c>
      <c r="R76">
        <f t="shared" si="25"/>
        <v>35.539976800719337</v>
      </c>
      <c r="S76">
        <f t="shared" si="26"/>
        <v>47.831140218230345</v>
      </c>
      <c r="T76">
        <f>IF(ISBLANK($E76),NA(),IFERROR(SUM($E76:$E$177),NA()))</f>
        <v>774011.32599999977</v>
      </c>
      <c r="U76">
        <f>IF(ISBLANK($F76),NA(),IFERROR(SUM($F76:$F$177),NA()))</f>
        <v>996999.39499999955</v>
      </c>
      <c r="V76">
        <f>IF(ISBLANK($G76),NA(),IFERROR(SUM($G76:$G$177),NA()))</f>
        <v>957599.78699999966</v>
      </c>
      <c r="W76">
        <f t="shared" si="27"/>
        <v>1954599.1819999991</v>
      </c>
      <c r="X76">
        <f t="shared" si="28"/>
        <v>39.599490940542111</v>
      </c>
      <c r="Y76">
        <f t="shared" si="29"/>
        <v>51.007869244058654</v>
      </c>
      <c r="Z76">
        <f>IF(ISBLANK($H76),NA(),IFERROR(SUM($H76:$H$177),NA()))</f>
        <v>859988.40799999959</v>
      </c>
      <c r="AA76">
        <f>IF(ISBLANK($I76),NA(),IFERROR(SUM($I76:$I$177),NA()))</f>
        <v>1157407.2309999997</v>
      </c>
      <c r="AB76">
        <f>IF(ISBLANK($J76),NA(),IFERROR(SUM($J76:$J$177),NA()))</f>
        <v>1261886.5620000002</v>
      </c>
      <c r="AC76">
        <f t="shared" si="30"/>
        <v>2419293.7929999996</v>
      </c>
      <c r="AD76">
        <f t="shared" si="31"/>
        <v>35.547084462759159</v>
      </c>
      <c r="AE76">
        <f t="shared" si="32"/>
        <v>47.840706008871237</v>
      </c>
      <c r="AF76">
        <f>IF(ISBLANK($K76),NA(),IFERROR(SUM($K76:$K$177),NA()))</f>
        <v>842254.24199999974</v>
      </c>
      <c r="AG76">
        <f>IF(ISBLANK($L76),NA(),IFERROR(SUM($L76:$L$177),NA()))</f>
        <v>1105928.7349999999</v>
      </c>
      <c r="AH76">
        <f>IF(ISBLANK($M76),NA(),IFERROR(SUM($M76:$M$177),NA()))</f>
        <v>1133594.5109999999</v>
      </c>
      <c r="AI76">
        <f t="shared" si="33"/>
        <v>2239523.2459999998</v>
      </c>
      <c r="AJ76">
        <f t="shared" si="34"/>
        <v>37.608640298971906</v>
      </c>
      <c r="AK76">
        <f t="shared" si="35"/>
        <v>49.382328894120349</v>
      </c>
    </row>
    <row r="77" spans="1:37" x14ac:dyDescent="0.35">
      <c r="A77">
        <v>1924</v>
      </c>
      <c r="B77">
        <v>5113.4449999999997</v>
      </c>
      <c r="C77">
        <v>6263.4610000000002</v>
      </c>
      <c r="D77">
        <v>3592.9279999999999</v>
      </c>
      <c r="E77">
        <v>4062.0720000000001</v>
      </c>
      <c r="F77">
        <v>4672.2929999999997</v>
      </c>
      <c r="G77">
        <v>2361.2460000000001</v>
      </c>
      <c r="H77">
        <v>5113.4449999999997</v>
      </c>
      <c r="I77">
        <v>6263.4610000000002</v>
      </c>
      <c r="J77">
        <v>3592.9279999999999</v>
      </c>
      <c r="K77">
        <v>4594.7489999999998</v>
      </c>
      <c r="L77">
        <v>5204.9740000000002</v>
      </c>
      <c r="M77">
        <v>2671.5410000000002</v>
      </c>
      <c r="N77">
        <f>IF(ISBLANK($B77),NA(),IFERROR(SUM($B77:$B$177),NA()))</f>
        <v>854843.12199999962</v>
      </c>
      <c r="O77">
        <f>IF(ISBLANK($C77),NA(),IFERROR(SUM($C77:$C$177),NA()))</f>
        <v>1151067.4609999999</v>
      </c>
      <c r="P77">
        <f>IF(ISBLANK($D77),NA(),IFERROR(SUM($D77:$D$177),NA()))</f>
        <v>1258845.4929999998</v>
      </c>
      <c r="Q77">
        <f t="shared" si="24"/>
        <v>2409912.9539999999</v>
      </c>
      <c r="R77">
        <f t="shared" si="25"/>
        <v>35.471950162395764</v>
      </c>
      <c r="S77">
        <f t="shared" si="26"/>
        <v>47.763860478422906</v>
      </c>
      <c r="T77">
        <f>IF(ISBLANK($E77),NA(),IFERROR(SUM($E77:$E$177),NA()))</f>
        <v>769909.55399999977</v>
      </c>
      <c r="U77">
        <f>IF(ISBLANK($F77),NA(),IFERROR(SUM($F77:$F$177),NA()))</f>
        <v>992308.15699999942</v>
      </c>
      <c r="V77">
        <f>IF(ISBLANK($G77),NA(),IFERROR(SUM($G77:$G$177),NA()))</f>
        <v>955299.45399999979</v>
      </c>
      <c r="W77">
        <f t="shared" si="27"/>
        <v>1947607.6109999991</v>
      </c>
      <c r="X77">
        <f t="shared" si="28"/>
        <v>39.531040526417421</v>
      </c>
      <c r="Y77">
        <f t="shared" si="29"/>
        <v>50.950106756386049</v>
      </c>
      <c r="Z77">
        <f>IF(ISBLANK($H77),NA(),IFERROR(SUM($H77:$H$177),NA()))</f>
        <v>854843.12699999951</v>
      </c>
      <c r="AA77">
        <f>IF(ISBLANK($I77),NA(),IFERROR(SUM($I77:$I$177),NA()))</f>
        <v>1151067.4679999996</v>
      </c>
      <c r="AB77">
        <f>IF(ISBLANK($J77),NA(),IFERROR(SUM($J77:$J$177),NA()))</f>
        <v>1258361.6640000001</v>
      </c>
      <c r="AC77">
        <f t="shared" si="30"/>
        <v>2409429.1319999998</v>
      </c>
      <c r="AD77">
        <f t="shared" si="31"/>
        <v>35.479073264562807</v>
      </c>
      <c r="AE77">
        <f t="shared" si="32"/>
        <v>47.773451923216797</v>
      </c>
      <c r="AF77">
        <f>IF(ISBLANK($K77),NA(),IFERROR(SUM($K77:$K$177),NA()))</f>
        <v>837625.42399999977</v>
      </c>
      <c r="AG77">
        <f>IF(ISBLANK($L77),NA(),IFERROR(SUM($L77:$L$177),NA()))</f>
        <v>1100622.368</v>
      </c>
      <c r="AH77">
        <f>IF(ISBLANK($M77),NA(),IFERROR(SUM($M77:$M$177),NA()))</f>
        <v>1130956.7390000001</v>
      </c>
      <c r="AI77">
        <f t="shared" si="33"/>
        <v>2231579.1069999998</v>
      </c>
      <c r="AJ77">
        <f t="shared" si="34"/>
        <v>37.535098862170869</v>
      </c>
      <c r="AK77">
        <f t="shared" si="35"/>
        <v>49.320338434231452</v>
      </c>
    </row>
    <row r="78" spans="1:37" x14ac:dyDescent="0.35">
      <c r="A78">
        <v>1925</v>
      </c>
      <c r="B78">
        <v>5152.6049999999996</v>
      </c>
      <c r="C78">
        <v>6387.3220000000001</v>
      </c>
      <c r="D78">
        <v>3641.4279999999999</v>
      </c>
      <c r="E78">
        <v>4084.8159999999998</v>
      </c>
      <c r="F78">
        <v>4697.4579999999996</v>
      </c>
      <c r="G78">
        <v>2398.27</v>
      </c>
      <c r="H78">
        <v>5152.6049999999996</v>
      </c>
      <c r="I78">
        <v>6387.3220000000001</v>
      </c>
      <c r="J78">
        <v>3641.4279999999999</v>
      </c>
      <c r="K78">
        <v>4645.7470000000003</v>
      </c>
      <c r="L78">
        <v>5315.5789999999997</v>
      </c>
      <c r="M78">
        <v>2715.4520000000002</v>
      </c>
      <c r="N78">
        <f>IF(ISBLANK($B78),NA(),IFERROR(SUM($B78:$B$177),NA()))</f>
        <v>849729.67699999968</v>
      </c>
      <c r="O78">
        <f>IF(ISBLANK($C78),NA(),IFERROR(SUM($C78:$C$177),NA()))</f>
        <v>1144804</v>
      </c>
      <c r="P78">
        <f>IF(ISBLANK($D78),NA(),IFERROR(SUM($D78:$D$177),NA()))</f>
        <v>1255252.5649999999</v>
      </c>
      <c r="Q78">
        <f t="shared" si="24"/>
        <v>2400056.5649999999</v>
      </c>
      <c r="R78">
        <f t="shared" si="25"/>
        <v>35.404568766903196</v>
      </c>
      <c r="S78">
        <f t="shared" si="26"/>
        <v>47.69904245985969</v>
      </c>
      <c r="T78">
        <f>IF(ISBLANK($E78),NA(),IFERROR(SUM($E78:$E$177),NA()))</f>
        <v>765847.48199999973</v>
      </c>
      <c r="U78">
        <f>IF(ISBLANK($F78),NA(),IFERROR(SUM($F78:$F$177),NA()))</f>
        <v>987635.86399999936</v>
      </c>
      <c r="V78">
        <f>IF(ISBLANK($G78),NA(),IFERROR(SUM($G78:$G$177),NA()))</f>
        <v>952938.20799999975</v>
      </c>
      <c r="W78">
        <f t="shared" si="27"/>
        <v>1940574.0719999992</v>
      </c>
      <c r="X78">
        <f t="shared" si="28"/>
        <v>39.464996108636043</v>
      </c>
      <c r="Y78">
        <f t="shared" si="29"/>
        <v>50.89400493649385</v>
      </c>
      <c r="Z78">
        <f>IF(ISBLANK($H78),NA(),IFERROR(SUM($H78:$H$177),NA()))</f>
        <v>849729.68199999956</v>
      </c>
      <c r="AA78">
        <f>IF(ISBLANK($I78),NA(),IFERROR(SUM($I78:$I$177),NA()))</f>
        <v>1144804.0069999998</v>
      </c>
      <c r="AB78">
        <f>IF(ISBLANK($J78),NA(),IFERROR(SUM($J78:$J$177),NA()))</f>
        <v>1254768.7360000003</v>
      </c>
      <c r="AC78">
        <f t="shared" si="30"/>
        <v>2399572.7429999998</v>
      </c>
      <c r="AD78">
        <f t="shared" si="31"/>
        <v>35.411707541637114</v>
      </c>
      <c r="AE78">
        <f t="shared" si="32"/>
        <v>47.708660232935465</v>
      </c>
      <c r="AF78">
        <f>IF(ISBLANK($K78),NA(),IFERROR(SUM($K78:$K$177),NA()))</f>
        <v>833030.6749999997</v>
      </c>
      <c r="AG78">
        <f>IF(ISBLANK($L78),NA(),IFERROR(SUM($L78:$L$177),NA()))</f>
        <v>1095417.3939999999</v>
      </c>
      <c r="AH78">
        <f>IF(ISBLANK($M78),NA(),IFERROR(SUM($M78:$M$177),NA()))</f>
        <v>1128285.1980000001</v>
      </c>
      <c r="AI78">
        <f t="shared" si="33"/>
        <v>2223702.5920000002</v>
      </c>
      <c r="AJ78">
        <f t="shared" si="34"/>
        <v>37.461424832480461</v>
      </c>
      <c r="AK78">
        <f t="shared" si="35"/>
        <v>49.260966729133521</v>
      </c>
    </row>
    <row r="79" spans="1:37" x14ac:dyDescent="0.35">
      <c r="A79">
        <v>1926</v>
      </c>
      <c r="B79">
        <v>5037.3620000000001</v>
      </c>
      <c r="C79">
        <v>6320.018</v>
      </c>
      <c r="D79">
        <v>3681.192</v>
      </c>
      <c r="E79">
        <v>3973.0340000000001</v>
      </c>
      <c r="F79">
        <v>4639.3779999999997</v>
      </c>
      <c r="G79">
        <v>2416.6179999999999</v>
      </c>
      <c r="H79">
        <v>5037.3620000000001</v>
      </c>
      <c r="I79">
        <v>6320.018</v>
      </c>
      <c r="J79">
        <v>3681.192</v>
      </c>
      <c r="K79">
        <v>4540.7790000000005</v>
      </c>
      <c r="L79">
        <v>5240.5280000000002</v>
      </c>
      <c r="M79">
        <v>2715.4369999999999</v>
      </c>
      <c r="N79">
        <f>IF(ISBLANK($B79),NA(),IFERROR(SUM($B79:$B$177),NA()))</f>
        <v>844577.07199999969</v>
      </c>
      <c r="O79">
        <f>IF(ISBLANK($C79),NA(),IFERROR(SUM($C79:$C$177),NA()))</f>
        <v>1138416.6780000001</v>
      </c>
      <c r="P79">
        <f>IF(ISBLANK($D79),NA(),IFERROR(SUM($D79:$D$177),NA()))</f>
        <v>1251611.1369999999</v>
      </c>
      <c r="Q79">
        <f t="shared" si="24"/>
        <v>2390027.8149999999</v>
      </c>
      <c r="R79">
        <f t="shared" si="25"/>
        <v>35.337541542377394</v>
      </c>
      <c r="S79">
        <f t="shared" si="26"/>
        <v>47.631942643311874</v>
      </c>
      <c r="T79">
        <f>IF(ISBLANK($E79),NA(),IFERROR(SUM($E79:$E$177),NA()))</f>
        <v>761762.66599999974</v>
      </c>
      <c r="U79">
        <f>IF(ISBLANK($F79),NA(),IFERROR(SUM($F79:$F$177),NA()))</f>
        <v>982938.40599999949</v>
      </c>
      <c r="V79">
        <f>IF(ISBLANK($G79),NA(),IFERROR(SUM($G79:$G$177),NA()))</f>
        <v>950539.93799999973</v>
      </c>
      <c r="W79">
        <f t="shared" si="27"/>
        <v>1933478.3439999991</v>
      </c>
      <c r="X79">
        <f t="shared" si="28"/>
        <v>39.398562097367879</v>
      </c>
      <c r="Y79">
        <f t="shared" si="29"/>
        <v>50.837828572027696</v>
      </c>
      <c r="Z79">
        <f>IF(ISBLANK($H79),NA(),IFERROR(SUM($H79:$H$177),NA()))</f>
        <v>844577.07699999958</v>
      </c>
      <c r="AA79">
        <f>IF(ISBLANK($I79),NA(),IFERROR(SUM($I79:$I$177),NA()))</f>
        <v>1138416.6849999998</v>
      </c>
      <c r="AB79">
        <f>IF(ISBLANK($J79),NA(),IFERROR(SUM($J79:$J$177),NA()))</f>
        <v>1251127.3080000002</v>
      </c>
      <c r="AC79">
        <f t="shared" si="30"/>
        <v>2389543.9929999998</v>
      </c>
      <c r="AD79">
        <f t="shared" si="31"/>
        <v>35.344696706741054</v>
      </c>
      <c r="AE79">
        <f t="shared" si="32"/>
        <v>47.641587195503035</v>
      </c>
      <c r="AF79">
        <f>IF(ISBLANK($K79),NA(),IFERROR(SUM($K79:$K$177),NA()))</f>
        <v>828384.92799999972</v>
      </c>
      <c r="AG79">
        <f>IF(ISBLANK($L79),NA(),IFERROR(SUM($L79:$L$177),NA()))</f>
        <v>1090101.8149999999</v>
      </c>
      <c r="AH79">
        <f>IF(ISBLANK($M79),NA(),IFERROR(SUM($M79:$M$177),NA()))</f>
        <v>1125569.746</v>
      </c>
      <c r="AI79">
        <f t="shared" si="33"/>
        <v>2215671.5609999998</v>
      </c>
      <c r="AJ79">
        <f t="shared" si="34"/>
        <v>37.387532637108208</v>
      </c>
      <c r="AK79">
        <f t="shared" si="35"/>
        <v>49.199612171219279</v>
      </c>
    </row>
    <row r="80" spans="1:37" x14ac:dyDescent="0.35">
      <c r="A80">
        <v>1927</v>
      </c>
      <c r="B80">
        <v>5289.8230000000003</v>
      </c>
      <c r="C80">
        <v>6621.3959999999997</v>
      </c>
      <c r="D80">
        <v>3725.99</v>
      </c>
      <c r="E80">
        <v>4422.2960000000003</v>
      </c>
      <c r="F80">
        <v>5137.8370000000004</v>
      </c>
      <c r="G80">
        <v>2436.2759999999998</v>
      </c>
      <c r="H80">
        <v>5289.8230000000003</v>
      </c>
      <c r="I80">
        <v>6621.3959999999997</v>
      </c>
      <c r="J80">
        <v>3725.99</v>
      </c>
      <c r="K80">
        <v>4802.6379999999999</v>
      </c>
      <c r="L80">
        <v>5536.8230000000003</v>
      </c>
      <c r="M80">
        <v>2750.5010000000002</v>
      </c>
      <c r="N80">
        <f>IF(ISBLANK($B80),NA(),IFERROR(SUM($B80:$B$177),NA()))</f>
        <v>839539.70999999961</v>
      </c>
      <c r="O80">
        <f>IF(ISBLANK($C80),NA(),IFERROR(SUM($C80:$C$177),NA()))</f>
        <v>1132096.6599999999</v>
      </c>
      <c r="P80">
        <f>IF(ISBLANK($D80),NA(),IFERROR(SUM($D80:$D$177),NA()))</f>
        <v>1247929.9449999998</v>
      </c>
      <c r="Q80">
        <f t="shared" si="24"/>
        <v>2380026.6049999995</v>
      </c>
      <c r="R80">
        <f t="shared" si="25"/>
        <v>35.274383413877835</v>
      </c>
      <c r="S80">
        <f t="shared" si="26"/>
        <v>47.566554828491093</v>
      </c>
      <c r="T80">
        <f>IF(ISBLANK($E80),NA(),IFERROR(SUM($E80:$E$177),NA()))</f>
        <v>757789.63199999975</v>
      </c>
      <c r="U80">
        <f>IF(ISBLANK($F80),NA(),IFERROR(SUM($F80:$F$177),NA()))</f>
        <v>978299.02799999947</v>
      </c>
      <c r="V80">
        <f>IF(ISBLANK($G80),NA(),IFERROR(SUM($G80:$G$177),NA()))</f>
        <v>948123.31999999972</v>
      </c>
      <c r="W80">
        <f t="shared" si="27"/>
        <v>1926422.3479999993</v>
      </c>
      <c r="X80">
        <f t="shared" si="28"/>
        <v>39.336630037890323</v>
      </c>
      <c r="Y80">
        <f t="shared" si="29"/>
        <v>50.783205926554167</v>
      </c>
      <c r="Z80">
        <f>IF(ISBLANK($H80),NA(),IFERROR(SUM($H80:$H$177),NA()))</f>
        <v>839539.71499999962</v>
      </c>
      <c r="AA80">
        <f>IF(ISBLANK($I80),NA(),IFERROR(SUM($I80:$I$177),NA()))</f>
        <v>1132096.6669999997</v>
      </c>
      <c r="AB80">
        <f>IF(ISBLANK($J80),NA(),IFERROR(SUM($J80:$J$177),NA()))</f>
        <v>1247446.1160000002</v>
      </c>
      <c r="AC80">
        <f t="shared" si="30"/>
        <v>2379542.7829999998</v>
      </c>
      <c r="AD80">
        <f t="shared" si="31"/>
        <v>35.28155580970698</v>
      </c>
      <c r="AE80">
        <f t="shared" si="32"/>
        <v>47.576226621683723</v>
      </c>
      <c r="AF80">
        <f>IF(ISBLANK($K80),NA(),IFERROR(SUM($K80:$K$177),NA()))</f>
        <v>823844.14899999986</v>
      </c>
      <c r="AG80">
        <f>IF(ISBLANK($L80),NA(),IFERROR(SUM($L80:$L$177),NA()))</f>
        <v>1084861.287</v>
      </c>
      <c r="AH80">
        <f>IF(ISBLANK($M80),NA(),IFERROR(SUM($M80:$M$177),NA()))</f>
        <v>1122854.3089999999</v>
      </c>
      <c r="AI80">
        <f t="shared" si="33"/>
        <v>2207715.5959999999</v>
      </c>
      <c r="AJ80">
        <f t="shared" si="34"/>
        <v>37.316588716982544</v>
      </c>
      <c r="AK80">
        <f t="shared" si="35"/>
        <v>49.139539937371538</v>
      </c>
    </row>
    <row r="81" spans="1:37" x14ac:dyDescent="0.35">
      <c r="A81">
        <v>1928</v>
      </c>
      <c r="B81">
        <v>5234.8490000000002</v>
      </c>
      <c r="C81">
        <v>6592.7870000000003</v>
      </c>
      <c r="D81">
        <v>3805.1610000000001</v>
      </c>
      <c r="E81">
        <v>4362.4030000000002</v>
      </c>
      <c r="F81">
        <v>5099.5940000000001</v>
      </c>
      <c r="G81">
        <v>2471.6610000000001</v>
      </c>
      <c r="H81">
        <v>5234.8490000000002</v>
      </c>
      <c r="I81">
        <v>6592.7870000000003</v>
      </c>
      <c r="J81">
        <v>3805.1610000000001</v>
      </c>
      <c r="K81">
        <v>4753.357</v>
      </c>
      <c r="L81">
        <v>5497.9040000000005</v>
      </c>
      <c r="M81">
        <v>2804.9070000000002</v>
      </c>
      <c r="N81">
        <f>IF(ISBLANK($B81),NA(),IFERROR(SUM($B81:$B$177),NA()))</f>
        <v>834249.88699999976</v>
      </c>
      <c r="O81">
        <f>IF(ISBLANK($C81),NA(),IFERROR(SUM($C81:$C$177),NA()))</f>
        <v>1125475.2640000002</v>
      </c>
      <c r="P81">
        <f>IF(ISBLANK($D81),NA(),IFERROR(SUM($D81:$D$177),NA()))</f>
        <v>1244203.9549999998</v>
      </c>
      <c r="Q81">
        <f t="shared" si="24"/>
        <v>2369679.219</v>
      </c>
      <c r="R81">
        <f t="shared" si="25"/>
        <v>35.205182216690559</v>
      </c>
      <c r="S81">
        <f t="shared" si="26"/>
        <v>47.494836219855472</v>
      </c>
      <c r="T81">
        <f>IF(ISBLANK($E81),NA(),IFERROR(SUM($E81:$E$177),NA()))</f>
        <v>753367.33599999978</v>
      </c>
      <c r="U81">
        <f>IF(ISBLANK($F81),NA(),IFERROR(SUM($F81:$F$177),NA()))</f>
        <v>973161.19099999941</v>
      </c>
      <c r="V81">
        <f>IF(ISBLANK($G81),NA(),IFERROR(SUM($G81:$G$177),NA()))</f>
        <v>945687.04399999988</v>
      </c>
      <c r="W81">
        <f t="shared" si="27"/>
        <v>1918848.2349999994</v>
      </c>
      <c r="X81">
        <f t="shared" si="28"/>
        <v>39.261434138380416</v>
      </c>
      <c r="Y81">
        <f t="shared" si="29"/>
        <v>50.715902031720596</v>
      </c>
      <c r="Z81">
        <f>IF(ISBLANK($H81),NA(),IFERROR(SUM($H81:$H$177),NA()))</f>
        <v>834249.89199999964</v>
      </c>
      <c r="AA81">
        <f>IF(ISBLANK($I81),NA(),IFERROR(SUM($I81:$I$177),NA()))</f>
        <v>1125475.2709999997</v>
      </c>
      <c r="AB81">
        <f>IF(ISBLANK($J81),NA(),IFERROR(SUM($J81:$J$177),NA()))</f>
        <v>1243720.1260000002</v>
      </c>
      <c r="AC81">
        <f t="shared" si="30"/>
        <v>2369195.3969999999</v>
      </c>
      <c r="AD81">
        <f t="shared" si="31"/>
        <v>35.21237180590385</v>
      </c>
      <c r="AE81">
        <f t="shared" si="32"/>
        <v>47.504535608381474</v>
      </c>
      <c r="AF81">
        <f>IF(ISBLANK($K81),NA(),IFERROR(SUM($K81:$K$177),NA()))</f>
        <v>819041.51099999982</v>
      </c>
      <c r="AG81">
        <f>IF(ISBLANK($L81),NA(),IFERROR(SUM($L81:$L$177),NA()))</f>
        <v>1079324.4639999999</v>
      </c>
      <c r="AH81">
        <f>IF(ISBLANK($M81),NA(),IFERROR(SUM($M81:$M$177),NA()))</f>
        <v>1120103.808</v>
      </c>
      <c r="AI81">
        <f t="shared" si="33"/>
        <v>2199428.2719999999</v>
      </c>
      <c r="AJ81">
        <f t="shared" si="34"/>
        <v>37.238837084476643</v>
      </c>
      <c r="AK81">
        <f t="shared" si="35"/>
        <v>49.072955810399804</v>
      </c>
    </row>
    <row r="82" spans="1:37" x14ac:dyDescent="0.35">
      <c r="A82">
        <v>1929</v>
      </c>
      <c r="B82">
        <v>5461.87</v>
      </c>
      <c r="C82">
        <v>6913.5959999999995</v>
      </c>
      <c r="D82">
        <v>3837</v>
      </c>
      <c r="E82">
        <v>4715.473</v>
      </c>
      <c r="F82">
        <v>5483.24</v>
      </c>
      <c r="G82">
        <v>2507.3789999999999</v>
      </c>
      <c r="H82">
        <v>5461.87</v>
      </c>
      <c r="I82">
        <v>6913.5959999999995</v>
      </c>
      <c r="J82">
        <v>3837</v>
      </c>
      <c r="K82">
        <v>4988.3209999999999</v>
      </c>
      <c r="L82">
        <v>5817.67</v>
      </c>
      <c r="M82">
        <v>2833.5839999999998</v>
      </c>
      <c r="N82">
        <f>IF(ISBLANK($B82),NA(),IFERROR(SUM($B82:$B$177),NA()))</f>
        <v>829015.03799999971</v>
      </c>
      <c r="O82">
        <f>IF(ISBLANK($C82),NA(),IFERROR(SUM($C82:$C$177),NA()))</f>
        <v>1118882.4770000002</v>
      </c>
      <c r="P82">
        <f>IF(ISBLANK($D82),NA(),IFERROR(SUM($D82:$D$177),NA()))</f>
        <v>1240398.794</v>
      </c>
      <c r="Q82">
        <f t="shared" si="24"/>
        <v>2359281.2710000002</v>
      </c>
      <c r="R82">
        <f t="shared" si="25"/>
        <v>35.138457130574139</v>
      </c>
      <c r="S82">
        <f t="shared" si="26"/>
        <v>47.424717465999841</v>
      </c>
      <c r="T82">
        <f>IF(ISBLANK($E82),NA(),IFERROR(SUM($E82:$E$177),NA()))</f>
        <v>749004.93299999973</v>
      </c>
      <c r="U82">
        <f>IF(ISBLANK($F82),NA(),IFERROR(SUM($F82:$F$177),NA()))</f>
        <v>968061.59699999937</v>
      </c>
      <c r="V82">
        <f>IF(ISBLANK($G82),NA(),IFERROR(SUM($G82:$G$177),NA()))</f>
        <v>943215.3829999998</v>
      </c>
      <c r="W82">
        <f t="shared" si="27"/>
        <v>1911276.9799999991</v>
      </c>
      <c r="X82">
        <f t="shared" si="28"/>
        <v>39.188717325523385</v>
      </c>
      <c r="Y82">
        <f t="shared" si="29"/>
        <v>50.649989882680423</v>
      </c>
      <c r="Z82">
        <f>IF(ISBLANK($H82),NA(),IFERROR(SUM($H82:$H$177),NA()))</f>
        <v>829015.0429999996</v>
      </c>
      <c r="AA82">
        <f>IF(ISBLANK($I82),NA(),IFERROR(SUM($I82:$I$177),NA()))</f>
        <v>1118882.4839999997</v>
      </c>
      <c r="AB82">
        <f>IF(ISBLANK($J82),NA(),IFERROR(SUM($J82:$J$177),NA()))</f>
        <v>1239914.9650000003</v>
      </c>
      <c r="AC82">
        <f t="shared" si="30"/>
        <v>2358797.449</v>
      </c>
      <c r="AD82">
        <f t="shared" si="31"/>
        <v>35.14566472638235</v>
      </c>
      <c r="AE82">
        <f t="shared" si="32"/>
        <v>47.434445228620376</v>
      </c>
      <c r="AF82">
        <f>IF(ISBLANK($K82),NA(),IFERROR(SUM($K82:$K$177),NA()))</f>
        <v>814288.15399999975</v>
      </c>
      <c r="AG82">
        <f>IF(ISBLANK($L82),NA(),IFERROR(SUM($L82:$L$177),NA()))</f>
        <v>1073826.56</v>
      </c>
      <c r="AH82">
        <f>IF(ISBLANK($M82),NA(),IFERROR(SUM($M82:$M$177),NA()))</f>
        <v>1117298.9010000001</v>
      </c>
      <c r="AI82">
        <f t="shared" si="33"/>
        <v>2191125.4610000001</v>
      </c>
      <c r="AJ82">
        <f t="shared" si="34"/>
        <v>37.16300907883064</v>
      </c>
      <c r="AK82">
        <f t="shared" si="35"/>
        <v>49.007990601775951</v>
      </c>
    </row>
    <row r="83" spans="1:37" x14ac:dyDescent="0.35">
      <c r="A83">
        <v>1930</v>
      </c>
      <c r="B83">
        <v>4942.9279999999999</v>
      </c>
      <c r="C83">
        <v>6632.5860000000002</v>
      </c>
      <c r="D83">
        <v>3836.8890000000001</v>
      </c>
      <c r="E83">
        <v>4616.9539999999997</v>
      </c>
      <c r="F83">
        <v>5401.2439999999997</v>
      </c>
      <c r="G83">
        <v>2533.6350000000002</v>
      </c>
      <c r="H83">
        <v>4942.9279999999999</v>
      </c>
      <c r="I83">
        <v>6632.5860000000002</v>
      </c>
      <c r="J83">
        <v>3836.8890000000001</v>
      </c>
      <c r="K83">
        <v>4621.9979999999996</v>
      </c>
      <c r="L83">
        <v>5515.6490000000003</v>
      </c>
      <c r="M83">
        <v>2831.2460000000001</v>
      </c>
      <c r="N83">
        <f>IF(ISBLANK($B83),NA(),IFERROR(SUM($B83:$B$177),NA()))</f>
        <v>823553.16799999983</v>
      </c>
      <c r="O83">
        <f>IF(ISBLANK($C83),NA(),IFERROR(SUM($C83:$C$177),NA()))</f>
        <v>1111968.8810000003</v>
      </c>
      <c r="P83">
        <f>IF(ISBLANK($D83),NA(),IFERROR(SUM($D83:$D$177),NA()))</f>
        <v>1236561.794</v>
      </c>
      <c r="Q83">
        <f t="shared" si="24"/>
        <v>2348530.6750000003</v>
      </c>
      <c r="R83">
        <f t="shared" si="25"/>
        <v>35.066740952829996</v>
      </c>
      <c r="S83">
        <f t="shared" si="26"/>
        <v>47.347428451195348</v>
      </c>
      <c r="T83">
        <f>IF(ISBLANK($E83),NA(),IFERROR(SUM($E83:$E$177),NA()))</f>
        <v>744289.45999999973</v>
      </c>
      <c r="U83">
        <f>IF(ISBLANK($F83),NA(),IFERROR(SUM($F83:$F$177),NA()))</f>
        <v>962578.35699999938</v>
      </c>
      <c r="V83">
        <f>IF(ISBLANK($G83),NA(),IFERROR(SUM($G83:$G$177),NA()))</f>
        <v>940708.00399999984</v>
      </c>
      <c r="W83">
        <f t="shared" si="27"/>
        <v>1903286.3609999991</v>
      </c>
      <c r="X83">
        <f t="shared" si="28"/>
        <v>39.105490127557324</v>
      </c>
      <c r="Y83">
        <f t="shared" si="29"/>
        <v>50.574541841105528</v>
      </c>
      <c r="Z83">
        <f>IF(ISBLANK($H83),NA(),IFERROR(SUM($H83:$H$177),NA()))</f>
        <v>823553.17299999972</v>
      </c>
      <c r="AA83">
        <f>IF(ISBLANK($I83),NA(),IFERROR(SUM($I83:$I$177),NA()))</f>
        <v>1111968.8879999998</v>
      </c>
      <c r="AB83">
        <f>IF(ISBLANK($J83),NA(),IFERROR(SUM($J83:$J$177),NA()))</f>
        <v>1236077.9650000001</v>
      </c>
      <c r="AC83">
        <f t="shared" si="30"/>
        <v>2348046.8530000001</v>
      </c>
      <c r="AD83">
        <f t="shared" si="31"/>
        <v>35.07396677147991</v>
      </c>
      <c r="AE83">
        <f t="shared" si="32"/>
        <v>47.35718482700991</v>
      </c>
      <c r="AF83">
        <f>IF(ISBLANK($K83),NA(),IFERROR(SUM($K83:$K$177),NA()))</f>
        <v>809299.83299999975</v>
      </c>
      <c r="AG83">
        <f>IF(ISBLANK($L83),NA(),IFERROR(SUM($L83:$L$177),NA()))</f>
        <v>1068008.8899999999</v>
      </c>
      <c r="AH83">
        <f>IF(ISBLANK($M83),NA(),IFERROR(SUM($M83:$M$177),NA()))</f>
        <v>1114465.317</v>
      </c>
      <c r="AI83">
        <f t="shared" si="33"/>
        <v>2182474.2069999999</v>
      </c>
      <c r="AJ83">
        <f t="shared" si="34"/>
        <v>37.081759335541129</v>
      </c>
      <c r="AK83">
        <f t="shared" si="35"/>
        <v>48.935693561669659</v>
      </c>
    </row>
    <row r="84" spans="1:37" x14ac:dyDescent="0.35">
      <c r="A84">
        <v>1931</v>
      </c>
      <c r="B84">
        <v>4445.2079999999996</v>
      </c>
      <c r="C84">
        <v>6249.6059999999998</v>
      </c>
      <c r="D84">
        <v>3875.3330000000001</v>
      </c>
      <c r="E84">
        <v>4145.2849999999999</v>
      </c>
      <c r="F84">
        <v>4956.1509999999998</v>
      </c>
      <c r="G84">
        <v>2571.5360000000001</v>
      </c>
      <c r="H84">
        <v>4445.2079999999996</v>
      </c>
      <c r="I84">
        <v>6249.6059999999998</v>
      </c>
      <c r="J84">
        <v>3875.3330000000001</v>
      </c>
      <c r="K84">
        <v>4218.91</v>
      </c>
      <c r="L84">
        <v>5167.4669999999996</v>
      </c>
      <c r="M84">
        <v>2843.7089999999998</v>
      </c>
      <c r="N84">
        <f>IF(ISBLANK($B84),NA(),IFERROR(SUM($B84:$B$177),NA()))</f>
        <v>818610.23999999987</v>
      </c>
      <c r="O84">
        <f>IF(ISBLANK($C84),NA(),IFERROR(SUM($C84:$C$177),NA()))</f>
        <v>1105336.2950000002</v>
      </c>
      <c r="P84">
        <f>IF(ISBLANK($D84),NA(),IFERROR(SUM($D84:$D$177),NA()))</f>
        <v>1232724.905</v>
      </c>
      <c r="Q84">
        <f t="shared" si="24"/>
        <v>2338061.2000000002</v>
      </c>
      <c r="R84">
        <f t="shared" si="25"/>
        <v>35.012352970059119</v>
      </c>
      <c r="S84">
        <f t="shared" si="26"/>
        <v>47.275763996254675</v>
      </c>
      <c r="T84">
        <f>IF(ISBLANK($E84),NA(),IFERROR(SUM($E84:$E$177),NA()))</f>
        <v>739672.5059999997</v>
      </c>
      <c r="U84">
        <f>IF(ISBLANK($F84),NA(),IFERROR(SUM($F84:$F$177),NA()))</f>
        <v>957177.11299999943</v>
      </c>
      <c r="V84">
        <f>IF(ISBLANK($G84),NA(),IFERROR(SUM($G84:$G$177),NA()))</f>
        <v>938174.36899999983</v>
      </c>
      <c r="W84">
        <f t="shared" si="27"/>
        <v>1895351.4819999994</v>
      </c>
      <c r="X84">
        <f t="shared" si="28"/>
        <v>39.025611503966942</v>
      </c>
      <c r="Y84">
        <f t="shared" si="29"/>
        <v>50.501298682077369</v>
      </c>
      <c r="Z84">
        <f>IF(ISBLANK($H84),NA(),IFERROR(SUM($H84:$H$177),NA()))</f>
        <v>818610.24499999965</v>
      </c>
      <c r="AA84">
        <f>IF(ISBLANK($I84),NA(),IFERROR(SUM($I84:$I$177),NA()))</f>
        <v>1105336.3019999997</v>
      </c>
      <c r="AB84">
        <f>IF(ISBLANK($J84),NA(),IFERROR(SUM($J84:$J$177),NA()))</f>
        <v>1232241.0760000001</v>
      </c>
      <c r="AC84">
        <f t="shared" si="30"/>
        <v>2337577.3779999996</v>
      </c>
      <c r="AD84">
        <f t="shared" si="31"/>
        <v>35.019599894502392</v>
      </c>
      <c r="AE84">
        <f t="shared" si="32"/>
        <v>47.285549235837955</v>
      </c>
      <c r="AF84">
        <f>IF(ISBLANK($K84),NA(),IFERROR(SUM($K84:$K$177),NA()))</f>
        <v>804677.83499999985</v>
      </c>
      <c r="AG84">
        <f>IF(ISBLANK($L84),NA(),IFERROR(SUM($L84:$L$177),NA()))</f>
        <v>1062493.2409999999</v>
      </c>
      <c r="AH84">
        <f>IF(ISBLANK($M84),NA(),IFERROR(SUM($M84:$M$177),NA()))</f>
        <v>1111634.071</v>
      </c>
      <c r="AI84">
        <f t="shared" si="33"/>
        <v>2174127.3119999999</v>
      </c>
      <c r="AJ84">
        <f t="shared" si="34"/>
        <v>37.011532423083779</v>
      </c>
      <c r="AK84">
        <f t="shared" si="35"/>
        <v>48.869872299364218</v>
      </c>
    </row>
    <row r="85" spans="1:37" x14ac:dyDescent="0.35">
      <c r="A85">
        <v>1932</v>
      </c>
      <c r="B85">
        <v>4014.9110000000001</v>
      </c>
      <c r="C85">
        <v>5888.9989999999998</v>
      </c>
      <c r="D85">
        <v>3920.991</v>
      </c>
      <c r="E85">
        <v>3395.556</v>
      </c>
      <c r="F85">
        <v>4210.22</v>
      </c>
      <c r="G85">
        <v>2590.2849999999999</v>
      </c>
      <c r="H85">
        <v>4014.9110000000001</v>
      </c>
      <c r="I85">
        <v>5888.9989999999998</v>
      </c>
      <c r="J85">
        <v>3920.991</v>
      </c>
      <c r="K85">
        <v>3836.3440000000001</v>
      </c>
      <c r="L85">
        <v>4791.6180000000004</v>
      </c>
      <c r="M85">
        <v>2916.6210000000001</v>
      </c>
      <c r="N85">
        <f>IF(ISBLANK($B85),NA(),IFERROR(SUM($B85:$B$177),NA()))</f>
        <v>814165.03199999989</v>
      </c>
      <c r="O85">
        <f>IF(ISBLANK($C85),NA(),IFERROR(SUM($C85:$C$177),NA()))</f>
        <v>1099086.6890000002</v>
      </c>
      <c r="P85">
        <f>IF(ISBLANK($D85),NA(),IFERROR(SUM($D85:$D$177),NA()))</f>
        <v>1228849.5719999999</v>
      </c>
      <c r="Q85">
        <f t="shared" si="24"/>
        <v>2327936.2609999999</v>
      </c>
      <c r="R85">
        <f t="shared" si="25"/>
        <v>34.973682297051511</v>
      </c>
      <c r="S85">
        <f t="shared" si="26"/>
        <v>47.212920190859137</v>
      </c>
      <c r="T85">
        <f>IF(ISBLANK($E85),NA(),IFERROR(SUM($E85:$E$177),NA()))</f>
        <v>735527.22099999979</v>
      </c>
      <c r="U85">
        <f>IF(ISBLANK($F85),NA(),IFERROR(SUM($F85:$F$177),NA()))</f>
        <v>952220.96199999936</v>
      </c>
      <c r="V85">
        <f>IF(ISBLANK($G85),NA(),IFERROR(SUM($G85:$G$177),NA()))</f>
        <v>935602.83299999975</v>
      </c>
      <c r="W85">
        <f t="shared" si="27"/>
        <v>1887823.794999999</v>
      </c>
      <c r="X85">
        <f t="shared" si="28"/>
        <v>38.961645835171829</v>
      </c>
      <c r="Y85">
        <f t="shared" si="29"/>
        <v>50.440139833071655</v>
      </c>
      <c r="Z85">
        <f>IF(ISBLANK($H85),NA(),IFERROR(SUM($H85:$H$177),NA()))</f>
        <v>814165.03699999966</v>
      </c>
      <c r="AA85">
        <f>IF(ISBLANK($I85),NA(),IFERROR(SUM($I85:$I$177),NA()))</f>
        <v>1099086.696</v>
      </c>
      <c r="AB85">
        <f>IF(ISBLANK($J85),NA(),IFERROR(SUM($J85:$J$177),NA()))</f>
        <v>1228365.7430000002</v>
      </c>
      <c r="AC85">
        <f t="shared" si="30"/>
        <v>2327452.4390000002</v>
      </c>
      <c r="AD85">
        <f t="shared" si="31"/>
        <v>34.98095270852491</v>
      </c>
      <c r="AE85">
        <f t="shared" si="32"/>
        <v>47.222734934692248</v>
      </c>
      <c r="AF85">
        <f>IF(ISBLANK($K85),NA(),IFERROR(SUM($K85:$K$177),NA()))</f>
        <v>800458.92499999993</v>
      </c>
      <c r="AG85">
        <f>IF(ISBLANK($L85),NA(),IFERROR(SUM($L85:$L$177),NA()))</f>
        <v>1057325.7739999997</v>
      </c>
      <c r="AH85">
        <f>IF(ISBLANK($M85),NA(),IFERROR(SUM($M85:$M$177),NA()))</f>
        <v>1108790.362</v>
      </c>
      <c r="AI85">
        <f t="shared" si="33"/>
        <v>2166116.1359999999</v>
      </c>
      <c r="AJ85">
        <f t="shared" si="34"/>
        <v>36.953647669055542</v>
      </c>
      <c r="AK85">
        <f t="shared" si="35"/>
        <v>48.81205381501298</v>
      </c>
    </row>
    <row r="86" spans="1:37" x14ac:dyDescent="0.35">
      <c r="A86">
        <v>1933</v>
      </c>
      <c r="B86">
        <v>4089.6619999999998</v>
      </c>
      <c r="C86">
        <v>5985.857</v>
      </c>
      <c r="D86">
        <v>3935.194</v>
      </c>
      <c r="E86">
        <v>3500.06</v>
      </c>
      <c r="F86">
        <v>4335.9380000000001</v>
      </c>
      <c r="G86">
        <v>2631.3919999999998</v>
      </c>
      <c r="H86">
        <v>4089.6619999999998</v>
      </c>
      <c r="I86">
        <v>5985.857</v>
      </c>
      <c r="J86">
        <v>3935.194</v>
      </c>
      <c r="K86">
        <v>3958.5030000000002</v>
      </c>
      <c r="L86">
        <v>4910.7560000000003</v>
      </c>
      <c r="M86">
        <v>2926.14</v>
      </c>
      <c r="N86">
        <f>IF(ISBLANK($B86),NA(),IFERROR(SUM($B86:$B$177),NA()))</f>
        <v>810150.12099999981</v>
      </c>
      <c r="O86">
        <f>IF(ISBLANK($C86),NA(),IFERROR(SUM($C86:$C$177),NA()))</f>
        <v>1093197.6900000002</v>
      </c>
      <c r="P86">
        <f>IF(ISBLANK($D86),NA(),IFERROR(SUM($D86:$D$177),NA()))</f>
        <v>1224928.581</v>
      </c>
      <c r="Q86">
        <f t="shared" si="24"/>
        <v>2318126.2710000002</v>
      </c>
      <c r="R86">
        <f t="shared" si="25"/>
        <v>34.948489697695152</v>
      </c>
      <c r="S86">
        <f t="shared" si="26"/>
        <v>47.15867740580039</v>
      </c>
      <c r="T86">
        <f>IF(ISBLANK($E86),NA(),IFERROR(SUM($E86:$E$177),NA()))</f>
        <v>732131.66499999969</v>
      </c>
      <c r="U86">
        <f>IF(ISBLANK($F86),NA(),IFERROR(SUM($F86:$F$177),NA()))</f>
        <v>948010.74199999939</v>
      </c>
      <c r="V86">
        <f>IF(ISBLANK($G86),NA(),IFERROR(SUM($G86:$G$177),NA()))</f>
        <v>933012.54799999984</v>
      </c>
      <c r="W86">
        <f t="shared" si="27"/>
        <v>1881023.2899999991</v>
      </c>
      <c r="X86">
        <f t="shared" si="28"/>
        <v>38.921988307757744</v>
      </c>
      <c r="Y86">
        <f t="shared" si="29"/>
        <v>50.398671140323827</v>
      </c>
      <c r="Z86">
        <f>IF(ISBLANK($H86),NA(),IFERROR(SUM($H86:$H$177),NA()))</f>
        <v>810150.12599999958</v>
      </c>
      <c r="AA86">
        <f>IF(ISBLANK($I86),NA(),IFERROR(SUM($I86:$I$177),NA()))</f>
        <v>1093197.6969999999</v>
      </c>
      <c r="AB86">
        <f>IF(ISBLANK($J86),NA(),IFERROR(SUM($J86:$J$177),NA()))</f>
        <v>1224444.7520000001</v>
      </c>
      <c r="AC86">
        <f t="shared" si="30"/>
        <v>2317642.449</v>
      </c>
      <c r="AD86">
        <f t="shared" si="31"/>
        <v>34.955785623859171</v>
      </c>
      <c r="AE86">
        <f t="shared" si="32"/>
        <v>47.168522369431273</v>
      </c>
      <c r="AF86">
        <f>IF(ISBLANK($K86),NA(),IFERROR(SUM($K86:$K$177),NA()))</f>
        <v>796622.58099999989</v>
      </c>
      <c r="AG86">
        <f>IF(ISBLANK($L86),NA(),IFERROR(SUM($L86:$L$177),NA()))</f>
        <v>1052534.1559999997</v>
      </c>
      <c r="AH86">
        <f>IF(ISBLANK($M86),NA(),IFERROR(SUM($M86:$M$177),NA()))</f>
        <v>1105873.7409999999</v>
      </c>
      <c r="AI86">
        <f t="shared" si="33"/>
        <v>2158407.8969999999</v>
      </c>
      <c r="AJ86">
        <f t="shared" si="34"/>
        <v>36.907879280243385</v>
      </c>
      <c r="AK86">
        <f t="shared" si="35"/>
        <v>48.764376625147229</v>
      </c>
    </row>
    <row r="87" spans="1:37" x14ac:dyDescent="0.35">
      <c r="A87">
        <v>1934</v>
      </c>
      <c r="B87">
        <v>4267.9480000000003</v>
      </c>
      <c r="C87">
        <v>6250.9650000000001</v>
      </c>
      <c r="D87">
        <v>4017.5169999999998</v>
      </c>
      <c r="E87">
        <v>3685.2460000000001</v>
      </c>
      <c r="F87">
        <v>4568.7489999999998</v>
      </c>
      <c r="G87">
        <v>2670.9690000000001</v>
      </c>
      <c r="H87">
        <v>4267.9480000000003</v>
      </c>
      <c r="I87">
        <v>6250.9650000000001</v>
      </c>
      <c r="J87">
        <v>4017.5169999999998</v>
      </c>
      <c r="K87">
        <v>4176.8050000000003</v>
      </c>
      <c r="L87">
        <v>5153.9750000000004</v>
      </c>
      <c r="M87">
        <v>3028.1309999999999</v>
      </c>
      <c r="N87">
        <f>IF(ISBLANK($B87),NA(),IFERROR(SUM($B87:$B$177),NA()))</f>
        <v>806060.4589999998</v>
      </c>
      <c r="O87">
        <f>IF(ISBLANK($C87),NA(),IFERROR(SUM($C87:$C$177),NA()))</f>
        <v>1087211.8330000001</v>
      </c>
      <c r="P87">
        <f>IF(ISBLANK($D87),NA(),IFERROR(SUM($D87:$D$177),NA()))</f>
        <v>1220993.3870000001</v>
      </c>
      <c r="Q87">
        <f t="shared" si="24"/>
        <v>2308205.2200000002</v>
      </c>
      <c r="R87">
        <f t="shared" si="25"/>
        <v>34.921524828715171</v>
      </c>
      <c r="S87">
        <f t="shared" si="26"/>
        <v>47.102043768881174</v>
      </c>
      <c r="T87">
        <f>IF(ISBLANK($E87),NA(),IFERROR(SUM($E87:$E$177),NA()))</f>
        <v>728631.60499999963</v>
      </c>
      <c r="U87">
        <f>IF(ISBLANK($F87),NA(),IFERROR(SUM($F87:$F$177),NA()))</f>
        <v>943674.80399999954</v>
      </c>
      <c r="V87">
        <f>IF(ISBLANK($G87),NA(),IFERROR(SUM($G87:$G$177),NA()))</f>
        <v>930381.15599999961</v>
      </c>
      <c r="W87">
        <f t="shared" si="27"/>
        <v>1874055.959999999</v>
      </c>
      <c r="X87">
        <f t="shared" si="28"/>
        <v>38.879927843776876</v>
      </c>
      <c r="Y87">
        <f t="shared" si="29"/>
        <v>50.354675855036902</v>
      </c>
      <c r="Z87">
        <f>IF(ISBLANK($H87),NA(),IFERROR(SUM($H87:$H$177),NA()))</f>
        <v>806060.46399999957</v>
      </c>
      <c r="AA87">
        <f>IF(ISBLANK($I87),NA(),IFERROR(SUM($I87:$I$177),NA()))</f>
        <v>1087211.8399999999</v>
      </c>
      <c r="AB87">
        <f>IF(ISBLANK($J87),NA(),IFERROR(SUM($J87:$J$177),NA()))</f>
        <v>1220509.5580000002</v>
      </c>
      <c r="AC87">
        <f t="shared" si="30"/>
        <v>2307721.398</v>
      </c>
      <c r="AD87">
        <f t="shared" si="31"/>
        <v>34.928846467280515</v>
      </c>
      <c r="AE87">
        <f t="shared" si="32"/>
        <v>47.11191918323582</v>
      </c>
      <c r="AF87">
        <f>IF(ISBLANK($K87),NA(),IFERROR(SUM($K87:$K$177),NA()))</f>
        <v>792664.07799999986</v>
      </c>
      <c r="AG87">
        <f>IF(ISBLANK($L87),NA(),IFERROR(SUM($L87:$L$177),NA()))</f>
        <v>1047623.3999999998</v>
      </c>
      <c r="AH87">
        <f>IF(ISBLANK($M87),NA(),IFERROR(SUM($M87:$M$177),NA()))</f>
        <v>1102947.6009999998</v>
      </c>
      <c r="AI87">
        <f t="shared" si="33"/>
        <v>2150571.0009999997</v>
      </c>
      <c r="AJ87">
        <f t="shared" si="34"/>
        <v>36.858307753216096</v>
      </c>
      <c r="AK87">
        <f t="shared" si="35"/>
        <v>48.713732283791728</v>
      </c>
    </row>
    <row r="88" spans="1:37" x14ac:dyDescent="0.35">
      <c r="A88">
        <v>1935</v>
      </c>
      <c r="B88">
        <v>4314.5910000000003</v>
      </c>
      <c r="C88">
        <v>6384.6189999999997</v>
      </c>
      <c r="D88">
        <v>3993.6460000000002</v>
      </c>
      <c r="E88">
        <v>3790.64</v>
      </c>
      <c r="F88">
        <v>4704.7650000000003</v>
      </c>
      <c r="G88">
        <v>2730.3040000000001</v>
      </c>
      <c r="H88">
        <v>4314.5910000000003</v>
      </c>
      <c r="I88">
        <v>6384.6189999999997</v>
      </c>
      <c r="J88">
        <v>3993.6460000000002</v>
      </c>
      <c r="K88">
        <v>4273.9319999999998</v>
      </c>
      <c r="L88">
        <v>5314.8059999999996</v>
      </c>
      <c r="M88">
        <v>3010.5909999999999</v>
      </c>
      <c r="N88">
        <f>IF(ISBLANK($B88),NA(),IFERROR(SUM($B88:$B$177),NA()))</f>
        <v>801792.51099999982</v>
      </c>
      <c r="O88">
        <f>IF(ISBLANK($C88),NA(),IFERROR(SUM($C88:$C$177),NA()))</f>
        <v>1080960.8680000002</v>
      </c>
      <c r="P88">
        <f>IF(ISBLANK($D88),NA(),IFERROR(SUM($D88:$D$177),NA()))</f>
        <v>1216975.8700000001</v>
      </c>
      <c r="Q88">
        <f t="shared" si="24"/>
        <v>2297936.7380000004</v>
      </c>
      <c r="R88">
        <f t="shared" si="25"/>
        <v>34.891844398546695</v>
      </c>
      <c r="S88">
        <f t="shared" si="26"/>
        <v>47.040497248014326</v>
      </c>
      <c r="T88">
        <f>IF(ISBLANK($E88),NA(),IFERROR(SUM($E88:$E$177),NA()))</f>
        <v>724946.35899999959</v>
      </c>
      <c r="U88">
        <f>IF(ISBLANK($F88),NA(),IFERROR(SUM($F88:$F$177),NA()))</f>
        <v>939106.05499999947</v>
      </c>
      <c r="V88">
        <f>IF(ISBLANK($G88),NA(),IFERROR(SUM($G88:$G$177),NA()))</f>
        <v>927710.1869999998</v>
      </c>
      <c r="W88">
        <f t="shared" si="27"/>
        <v>1866816.2419999992</v>
      </c>
      <c r="X88">
        <f t="shared" si="28"/>
        <v>38.833300390794435</v>
      </c>
      <c r="Y88">
        <f t="shared" si="29"/>
        <v>50.305222006955297</v>
      </c>
      <c r="Z88">
        <f>IF(ISBLANK($H88),NA(),IFERROR(SUM($H88:$H$177),NA()))</f>
        <v>801792.5159999996</v>
      </c>
      <c r="AA88">
        <f>IF(ISBLANK($I88),NA(),IFERROR(SUM($I88:$I$177),NA()))</f>
        <v>1080960.875</v>
      </c>
      <c r="AB88">
        <f>IF(ISBLANK($J88),NA(),IFERROR(SUM($J88:$J$177),NA()))</f>
        <v>1216492.0410000002</v>
      </c>
      <c r="AC88">
        <f t="shared" si="30"/>
        <v>2297452.9160000002</v>
      </c>
      <c r="AD88">
        <f t="shared" si="31"/>
        <v>34.89919251080746</v>
      </c>
      <c r="AE88">
        <f t="shared" si="32"/>
        <v>47.050403839483948</v>
      </c>
      <c r="AF88">
        <f>IF(ISBLANK($K88),NA(),IFERROR(SUM($K88:$K$177),NA()))</f>
        <v>788487.27299999993</v>
      </c>
      <c r="AG88">
        <f>IF(ISBLANK($L88),NA(),IFERROR(SUM($L88:$L$177),NA()))</f>
        <v>1042469.4249999998</v>
      </c>
      <c r="AH88">
        <f>IF(ISBLANK($M88),NA(),IFERROR(SUM($M88:$M$177),NA()))</f>
        <v>1099919.4699999997</v>
      </c>
      <c r="AI88">
        <f t="shared" si="33"/>
        <v>2142388.8949999996</v>
      </c>
      <c r="AJ88">
        <f t="shared" si="34"/>
        <v>36.804115015728748</v>
      </c>
      <c r="AK88">
        <f t="shared" si="35"/>
        <v>48.659205965497691</v>
      </c>
    </row>
    <row r="89" spans="1:37" x14ac:dyDescent="0.35">
      <c r="A89">
        <v>1936</v>
      </c>
      <c r="B89">
        <v>4590.7340000000004</v>
      </c>
      <c r="C89">
        <v>6788.8519999999999</v>
      </c>
      <c r="D89">
        <v>4095.0520000000001</v>
      </c>
      <c r="E89">
        <v>4068.5459999999998</v>
      </c>
      <c r="F89">
        <v>5028.9480000000003</v>
      </c>
      <c r="G89">
        <v>2835.9270000000001</v>
      </c>
      <c r="H89">
        <v>4590.7330000000002</v>
      </c>
      <c r="I89">
        <v>6788.8519999999999</v>
      </c>
      <c r="J89">
        <v>4095.0520000000001</v>
      </c>
      <c r="K89">
        <v>4585.3649999999998</v>
      </c>
      <c r="L89">
        <v>5719.3959999999997</v>
      </c>
      <c r="M89">
        <v>3118.5360000000001</v>
      </c>
      <c r="N89">
        <f>IF(ISBLANK($B89),NA(),IFERROR(SUM($B89:$B$177),NA()))</f>
        <v>797477.91999999981</v>
      </c>
      <c r="O89">
        <f>IF(ISBLANK($C89),NA(),IFERROR(SUM($C89:$C$177),NA()))</f>
        <v>1074576.2490000003</v>
      </c>
      <c r="P89">
        <f>IF(ISBLANK($D89),NA(),IFERROR(SUM($D89:$D$177),NA()))</f>
        <v>1212982.2239999999</v>
      </c>
      <c r="Q89">
        <f t="shared" si="24"/>
        <v>2287558.4730000002</v>
      </c>
      <c r="R89">
        <f t="shared" si="25"/>
        <v>34.861531602912592</v>
      </c>
      <c r="S89">
        <f t="shared" si="26"/>
        <v>46.974810116689866</v>
      </c>
      <c r="T89">
        <f>IF(ISBLANK($E89),NA(),IFERROR(SUM($E89:$E$177),NA()))</f>
        <v>721155.71899999969</v>
      </c>
      <c r="U89">
        <f>IF(ISBLANK($F89),NA(),IFERROR(SUM($F89:$F$177),NA()))</f>
        <v>934401.28999999957</v>
      </c>
      <c r="V89">
        <f>IF(ISBLANK($G89),NA(),IFERROR(SUM($G89:$G$177),NA()))</f>
        <v>924979.8829999998</v>
      </c>
      <c r="W89">
        <f t="shared" si="27"/>
        <v>1859381.1729999995</v>
      </c>
      <c r="X89">
        <f t="shared" si="28"/>
        <v>38.7847166289448</v>
      </c>
      <c r="Y89">
        <f t="shared" si="29"/>
        <v>50.253347918565794</v>
      </c>
      <c r="Z89">
        <f>IF(ISBLANK($H89),NA(),IFERROR(SUM($H89:$H$177),NA()))</f>
        <v>797477.92499999958</v>
      </c>
      <c r="AA89">
        <f>IF(ISBLANK($I89),NA(),IFERROR(SUM($I89:$I$177),NA()))</f>
        <v>1074576.2560000001</v>
      </c>
      <c r="AB89">
        <f>IF(ISBLANK($J89),NA(),IFERROR(SUM($J89:$J$177),NA()))</f>
        <v>1212498.395</v>
      </c>
      <c r="AC89">
        <f t="shared" si="30"/>
        <v>2287074.6510000001</v>
      </c>
      <c r="AD89">
        <f t="shared" si="31"/>
        <v>34.868906646807986</v>
      </c>
      <c r="AE89">
        <f t="shared" si="32"/>
        <v>46.984747766329029</v>
      </c>
      <c r="AF89">
        <f>IF(ISBLANK($K89),NA(),IFERROR(SUM($K89:$K$177),NA()))</f>
        <v>784213.3409999999</v>
      </c>
      <c r="AG89">
        <f>IF(ISBLANK($L89),NA(),IFERROR(SUM($L89:$L$177),NA()))</f>
        <v>1037154.6189999997</v>
      </c>
      <c r="AH89">
        <f>IF(ISBLANK($M89),NA(),IFERROR(SUM($M89:$M$177),NA()))</f>
        <v>1096908.8789999997</v>
      </c>
      <c r="AI89">
        <f t="shared" si="33"/>
        <v>2134063.4979999997</v>
      </c>
      <c r="AJ89">
        <f t="shared" si="34"/>
        <v>36.747423014120642</v>
      </c>
      <c r="AK89">
        <f t="shared" si="35"/>
        <v>48.599988705678143</v>
      </c>
    </row>
    <row r="90" spans="1:37" x14ac:dyDescent="0.35">
      <c r="A90">
        <v>1937</v>
      </c>
      <c r="B90">
        <v>4772.0429999999997</v>
      </c>
      <c r="C90">
        <v>7004.0370000000003</v>
      </c>
      <c r="D90">
        <v>4153.808</v>
      </c>
      <c r="E90">
        <v>4222.1710000000003</v>
      </c>
      <c r="F90">
        <v>5195.0659999999998</v>
      </c>
      <c r="G90">
        <v>2908.6669999999999</v>
      </c>
      <c r="H90">
        <v>4772.0429999999997</v>
      </c>
      <c r="I90">
        <v>7004.0370000000003</v>
      </c>
      <c r="J90">
        <v>4153.808</v>
      </c>
      <c r="K90">
        <v>4799.665</v>
      </c>
      <c r="L90">
        <v>5940.28</v>
      </c>
      <c r="M90">
        <v>3175.3020000000001</v>
      </c>
      <c r="N90">
        <f>IF(ISBLANK($B90),NA(),IFERROR(SUM($B90:$B$177),NA()))</f>
        <v>792887.18599999987</v>
      </c>
      <c r="O90">
        <f>IF(ISBLANK($C90),NA(),IFERROR(SUM($C90:$C$177),NA()))</f>
        <v>1067787.3970000001</v>
      </c>
      <c r="P90">
        <f>IF(ISBLANK($D90),NA(),IFERROR(SUM($D90:$D$177),NA()))</f>
        <v>1208887.172</v>
      </c>
      <c r="Q90">
        <f t="shared" si="24"/>
        <v>2276674.5690000001</v>
      </c>
      <c r="R90">
        <f t="shared" si="25"/>
        <v>34.826549072767357</v>
      </c>
      <c r="S90">
        <f t="shared" si="26"/>
        <v>46.901187000521197</v>
      </c>
      <c r="T90">
        <f>IF(ISBLANK($E90),NA(),IFERROR(SUM($E90:$E$177),NA()))</f>
        <v>717087.1729999996</v>
      </c>
      <c r="U90">
        <f>IF(ISBLANK($F90),NA(),IFERROR(SUM($F90:$F$177),NA()))</f>
        <v>929372.34199999948</v>
      </c>
      <c r="V90">
        <f>IF(ISBLANK($G90),NA(),IFERROR(SUM($G90:$G$177),NA()))</f>
        <v>922143.95599999966</v>
      </c>
      <c r="W90">
        <f t="shared" si="27"/>
        <v>1851516.297999999</v>
      </c>
      <c r="X90">
        <f t="shared" si="28"/>
        <v>38.72972513256267</v>
      </c>
      <c r="Y90">
        <f t="shared" si="29"/>
        <v>50.195201792385191</v>
      </c>
      <c r="Z90">
        <f>IF(ISBLANK($H90),NA(),IFERROR(SUM($H90:$H$177),NA()))</f>
        <v>792887.19199999957</v>
      </c>
      <c r="AA90">
        <f>IF(ISBLANK($I90),NA(),IFERROR(SUM($I90:$I$177),NA()))</f>
        <v>1067787.4039999999</v>
      </c>
      <c r="AB90">
        <f>IF(ISBLANK($J90),NA(),IFERROR(SUM($J90:$J$177),NA()))</f>
        <v>1208403.3430000001</v>
      </c>
      <c r="AC90">
        <f t="shared" si="30"/>
        <v>2276190.747</v>
      </c>
      <c r="AD90">
        <f t="shared" si="31"/>
        <v>34.833951989525403</v>
      </c>
      <c r="AE90">
        <f t="shared" si="32"/>
        <v>46.911156519168465</v>
      </c>
      <c r="AF90">
        <f>IF(ISBLANK($K90),NA(),IFERROR(SUM($K90:$K$177),NA()))</f>
        <v>779627.97599999991</v>
      </c>
      <c r="AG90">
        <f>IF(ISBLANK($L90),NA(),IFERROR(SUM($L90:$L$177),NA()))</f>
        <v>1031435.2229999998</v>
      </c>
      <c r="AH90">
        <f>IF(ISBLANK($M90),NA(),IFERROR(SUM($M90:$M$177),NA()))</f>
        <v>1093790.3429999999</v>
      </c>
      <c r="AI90">
        <f t="shared" si="33"/>
        <v>2125225.5659999996</v>
      </c>
      <c r="AJ90">
        <f t="shared" si="34"/>
        <v>36.684481330957226</v>
      </c>
      <c r="AK90">
        <f t="shared" si="35"/>
        <v>48.53297642853596</v>
      </c>
    </row>
    <row r="91" spans="1:37" x14ac:dyDescent="0.35">
      <c r="A91">
        <v>1938</v>
      </c>
      <c r="B91">
        <v>4453.3720000000003</v>
      </c>
      <c r="C91">
        <v>6753.777</v>
      </c>
      <c r="D91">
        <v>4167.7039999999997</v>
      </c>
      <c r="E91">
        <v>3898.8609999999999</v>
      </c>
      <c r="F91">
        <v>4894.7070000000003</v>
      </c>
      <c r="G91">
        <v>2944.1410000000001</v>
      </c>
      <c r="H91">
        <v>4453.3720000000003</v>
      </c>
      <c r="I91">
        <v>6753.777</v>
      </c>
      <c r="J91">
        <v>4167.7039999999997</v>
      </c>
      <c r="K91">
        <v>4514.7430000000004</v>
      </c>
      <c r="L91">
        <v>5691.1880000000001</v>
      </c>
      <c r="M91">
        <v>3219.9789999999998</v>
      </c>
      <c r="N91">
        <f>IF(ISBLANK($B91),NA(),IFERROR(SUM($B91:$B$177),NA()))</f>
        <v>788115.14299999992</v>
      </c>
      <c r="O91">
        <f>IF(ISBLANK($C91),NA(),IFERROR(SUM($C91:$C$177),NA()))</f>
        <v>1060783.3600000001</v>
      </c>
      <c r="P91">
        <f>IF(ISBLANK($D91),NA(),IFERROR(SUM($D91:$D$177),NA()))</f>
        <v>1204733.3640000001</v>
      </c>
      <c r="Q91">
        <f t="shared" si="24"/>
        <v>2265516.7240000004</v>
      </c>
      <c r="R91">
        <f t="shared" si="25"/>
        <v>34.787434347803107</v>
      </c>
      <c r="S91">
        <f t="shared" si="26"/>
        <v>46.82302049516894</v>
      </c>
      <c r="T91">
        <f>IF(ISBLANK($E91),NA(),IFERROR(SUM($E91:$E$177),NA()))</f>
        <v>712865.00199999963</v>
      </c>
      <c r="U91">
        <f>IF(ISBLANK($F91),NA(),IFERROR(SUM($F91:$F$177),NA()))</f>
        <v>924177.27599999961</v>
      </c>
      <c r="V91">
        <f>IF(ISBLANK($G91),NA(),IFERROR(SUM($G91:$G$177),NA()))</f>
        <v>919235.28899999976</v>
      </c>
      <c r="W91">
        <f t="shared" si="27"/>
        <v>1843412.5649999995</v>
      </c>
      <c r="X91">
        <f t="shared" si="28"/>
        <v>38.670941900626559</v>
      </c>
      <c r="Y91">
        <f t="shared" si="29"/>
        <v>50.134044518677776</v>
      </c>
      <c r="Z91">
        <f>IF(ISBLANK($H91),NA(),IFERROR(SUM($H91:$H$177),NA()))</f>
        <v>788115.14899999963</v>
      </c>
      <c r="AA91">
        <f>IF(ISBLANK($I91),NA(),IFERROR(SUM($I91:$I$177),NA()))</f>
        <v>1060783.3669999996</v>
      </c>
      <c r="AB91">
        <f>IF(ISBLANK($J91),NA(),IFERROR(SUM($J91:$J$177),NA()))</f>
        <v>1204249.5350000001</v>
      </c>
      <c r="AC91">
        <f t="shared" si="30"/>
        <v>2265032.9019999998</v>
      </c>
      <c r="AD91">
        <f t="shared" si="31"/>
        <v>34.794865377191755</v>
      </c>
      <c r="AE91">
        <f t="shared" si="32"/>
        <v>46.833022428210178</v>
      </c>
      <c r="AF91">
        <f>IF(ISBLANK($K91),NA(),IFERROR(SUM($K91:$K$177),NA()))</f>
        <v>774828.31099999987</v>
      </c>
      <c r="AG91">
        <f>IF(ISBLANK($L91),NA(),IFERROR(SUM($L91:$L$177),NA()))</f>
        <v>1025494.9429999997</v>
      </c>
      <c r="AH91">
        <f>IF(ISBLANK($M91),NA(),IFERROR(SUM($M91:$M$177),NA()))</f>
        <v>1090615.0409999997</v>
      </c>
      <c r="AI91">
        <f t="shared" si="33"/>
        <v>2116109.9839999992</v>
      </c>
      <c r="AJ91">
        <f t="shared" si="34"/>
        <v>36.615691852432569</v>
      </c>
      <c r="AK91">
        <f t="shared" si="35"/>
        <v>48.461325297541819</v>
      </c>
    </row>
    <row r="92" spans="1:37" x14ac:dyDescent="0.35">
      <c r="A92">
        <v>1939</v>
      </c>
      <c r="B92">
        <v>4624.9679999999998</v>
      </c>
      <c r="C92">
        <v>6933.6379999999999</v>
      </c>
      <c r="D92">
        <v>4194.6530000000002</v>
      </c>
      <c r="E92">
        <v>4111.8180000000002</v>
      </c>
      <c r="F92">
        <v>5099.7719999999999</v>
      </c>
      <c r="G92">
        <v>3004.8780000000002</v>
      </c>
      <c r="H92">
        <v>4624.9679999999998</v>
      </c>
      <c r="I92">
        <v>6933.6379999999999</v>
      </c>
      <c r="J92">
        <v>4194.6530000000002</v>
      </c>
      <c r="K92">
        <v>4720.4660000000003</v>
      </c>
      <c r="L92">
        <v>5881.5720000000001</v>
      </c>
      <c r="M92">
        <v>3263.596</v>
      </c>
      <c r="N92">
        <f>IF(ISBLANK($B92),NA(),IFERROR(SUM($B92:$B$177),NA()))</f>
        <v>783661.77099999983</v>
      </c>
      <c r="O92">
        <f>IF(ISBLANK($C92),NA(),IFERROR(SUM($C92:$C$177),NA()))</f>
        <v>1054029.5830000001</v>
      </c>
      <c r="P92">
        <f>IF(ISBLANK($D92),NA(),IFERROR(SUM($D92:$D$177),NA()))</f>
        <v>1200565.6600000001</v>
      </c>
      <c r="Q92">
        <f t="shared" si="24"/>
        <v>2254595.2430000002</v>
      </c>
      <c r="R92">
        <f t="shared" si="25"/>
        <v>34.758423864908323</v>
      </c>
      <c r="S92">
        <f t="shared" si="26"/>
        <v>46.750279735243808</v>
      </c>
      <c r="T92">
        <f>IF(ISBLANK($E92),NA(),IFERROR(SUM($E92:$E$177),NA()))</f>
        <v>708966.1409999996</v>
      </c>
      <c r="U92">
        <f>IF(ISBLANK($F92),NA(),IFERROR(SUM($F92:$F$177),NA()))</f>
        <v>919282.56899999944</v>
      </c>
      <c r="V92">
        <f>IF(ISBLANK($G92),NA(),IFERROR(SUM($G92:$G$177),NA()))</f>
        <v>916291.1479999997</v>
      </c>
      <c r="W92">
        <f t="shared" si="27"/>
        <v>1835573.7169999992</v>
      </c>
      <c r="X92">
        <f t="shared" si="28"/>
        <v>38.62368121933617</v>
      </c>
      <c r="Y92">
        <f t="shared" si="29"/>
        <v>50.081484632632701</v>
      </c>
      <c r="Z92">
        <f>IF(ISBLANK($H92),NA(),IFERROR(SUM($H92:$H$177),NA()))</f>
        <v>783661.77699999965</v>
      </c>
      <c r="AA92">
        <f>IF(ISBLANK($I92),NA(),IFERROR(SUM($I92:$I$177),NA()))</f>
        <v>1054029.5899999996</v>
      </c>
      <c r="AB92">
        <f>IF(ISBLANK($J92),NA(),IFERROR(SUM($J92:$J$177),NA()))</f>
        <v>1200081.8310000002</v>
      </c>
      <c r="AC92">
        <f t="shared" si="30"/>
        <v>2254111.4210000001</v>
      </c>
      <c r="AD92">
        <f t="shared" si="31"/>
        <v>34.765884671856227</v>
      </c>
      <c r="AE92">
        <f t="shared" si="32"/>
        <v>46.760314515969952</v>
      </c>
      <c r="AF92">
        <f>IF(ISBLANK($K92),NA(),IFERROR(SUM($K92:$K$177),NA()))</f>
        <v>770313.56799999985</v>
      </c>
      <c r="AG92">
        <f>IF(ISBLANK($L92),NA(),IFERROR(SUM($L92:$L$177),NA()))</f>
        <v>1019803.7549999998</v>
      </c>
      <c r="AH92">
        <f>IF(ISBLANK($M92),NA(),IFERROR(SUM($M92:$M$177),NA()))</f>
        <v>1087395.0619999999</v>
      </c>
      <c r="AI92">
        <f t="shared" si="33"/>
        <v>2107198.8169999998</v>
      </c>
      <c r="AJ92">
        <f t="shared" si="34"/>
        <v>36.556283241307455</v>
      </c>
      <c r="AK92">
        <f t="shared" si="35"/>
        <v>48.396181070938773</v>
      </c>
    </row>
    <row r="93" spans="1:37" x14ac:dyDescent="0.35">
      <c r="A93">
        <v>1940</v>
      </c>
      <c r="B93">
        <v>4826.8860000000004</v>
      </c>
      <c r="C93">
        <v>6895.4470000000001</v>
      </c>
      <c r="D93">
        <v>4819.9780000000001</v>
      </c>
      <c r="E93">
        <v>4213.1180000000004</v>
      </c>
      <c r="F93">
        <v>5390.2179999999998</v>
      </c>
      <c r="G93">
        <v>3045.9810000000002</v>
      </c>
      <c r="H93">
        <v>4826.8850000000002</v>
      </c>
      <c r="I93">
        <v>6895.4470000000001</v>
      </c>
      <c r="J93">
        <v>4819.9780000000001</v>
      </c>
      <c r="K93">
        <v>4911.3090000000002</v>
      </c>
      <c r="L93">
        <v>6157.7659999999996</v>
      </c>
      <c r="M93">
        <v>3454.2890000000002</v>
      </c>
      <c r="N93">
        <f>IF(ISBLANK($B93),NA(),IFERROR(SUM($B93:$B$177),NA()))</f>
        <v>779036.80299999984</v>
      </c>
      <c r="O93">
        <f>IF(ISBLANK($C93),NA(),IFERROR(SUM($C93:$C$177),NA()))</f>
        <v>1047095.9450000002</v>
      </c>
      <c r="P93">
        <f>IF(ISBLANK($D93),NA(),IFERROR(SUM($D93:$D$177),NA()))</f>
        <v>1196371.007</v>
      </c>
      <c r="Q93">
        <f t="shared" si="24"/>
        <v>2243466.952</v>
      </c>
      <c r="R93">
        <f t="shared" si="25"/>
        <v>34.724683700176911</v>
      </c>
      <c r="S93">
        <f t="shared" si="26"/>
        <v>46.673116538067916</v>
      </c>
      <c r="T93">
        <f>IF(ISBLANK($E93),NA(),IFERROR(SUM($E93:$E$177),NA()))</f>
        <v>704854.32299999963</v>
      </c>
      <c r="U93">
        <f>IF(ISBLANK($F93),NA(),IFERROR(SUM($F93:$F$177),NA()))</f>
        <v>914182.79699999955</v>
      </c>
      <c r="V93">
        <f>IF(ISBLANK($G93),NA(),IFERROR(SUM($G93:$G$177),NA()))</f>
        <v>913286.2699999999</v>
      </c>
      <c r="W93">
        <f t="shared" si="27"/>
        <v>1827469.0669999993</v>
      </c>
      <c r="X93">
        <f t="shared" si="28"/>
        <v>38.56997285087288</v>
      </c>
      <c r="Y93">
        <f t="shared" si="29"/>
        <v>50.024529197680799</v>
      </c>
      <c r="Z93">
        <f>IF(ISBLANK($H93),NA(),IFERROR(SUM($H93:$H$177),NA()))</f>
        <v>779036.80899999966</v>
      </c>
      <c r="AA93">
        <f>IF(ISBLANK($I93),NA(),IFERROR(SUM($I93:$I$177),NA()))</f>
        <v>1047095.9519999998</v>
      </c>
      <c r="AB93">
        <f>IF(ISBLANK($J93),NA(),IFERROR(SUM($J93:$J$177),NA()))</f>
        <v>1195887.1780000001</v>
      </c>
      <c r="AC93">
        <f t="shared" si="30"/>
        <v>2242983.13</v>
      </c>
      <c r="AD93">
        <f t="shared" si="31"/>
        <v>34.732174245109</v>
      </c>
      <c r="AE93">
        <f t="shared" si="32"/>
        <v>46.6831844606874</v>
      </c>
      <c r="AF93">
        <f>IF(ISBLANK($K93),NA(),IFERROR(SUM($K93:$K$177),NA()))</f>
        <v>765593.10199999984</v>
      </c>
      <c r="AG93">
        <f>IF(ISBLANK($L93),NA(),IFERROR(SUM($L93:$L$177),NA()))</f>
        <v>1013922.1829999997</v>
      </c>
      <c r="AH93">
        <f>IF(ISBLANK($M93),NA(),IFERROR(SUM($M93:$M$177),NA()))</f>
        <v>1084131.4659999998</v>
      </c>
      <c r="AI93">
        <f t="shared" si="33"/>
        <v>2098053.6489999993</v>
      </c>
      <c r="AJ93">
        <f t="shared" si="34"/>
        <v>36.490635135326805</v>
      </c>
      <c r="AK93">
        <f t="shared" si="35"/>
        <v>48.326799626085254</v>
      </c>
    </row>
    <row r="94" spans="1:37" x14ac:dyDescent="0.35">
      <c r="A94">
        <v>1941</v>
      </c>
      <c r="B94">
        <v>5002.6610000000001</v>
      </c>
      <c r="C94">
        <v>6821.4189999999999</v>
      </c>
      <c r="D94">
        <v>5162.6040000000003</v>
      </c>
      <c r="E94">
        <v>4364.7730000000001</v>
      </c>
      <c r="F94">
        <v>5428.4189999999999</v>
      </c>
      <c r="G94">
        <v>3064.386</v>
      </c>
      <c r="H94">
        <v>5002.6610000000001</v>
      </c>
      <c r="I94">
        <v>6821.4189999999999</v>
      </c>
      <c r="J94">
        <v>5162.6040000000003</v>
      </c>
      <c r="K94">
        <v>5075.5280000000002</v>
      </c>
      <c r="L94">
        <v>6230.4080000000004</v>
      </c>
      <c r="M94">
        <v>3648.95</v>
      </c>
      <c r="N94">
        <f>IF(ISBLANK($B94),NA(),IFERROR(SUM($B94:$B$177),NA()))</f>
        <v>774209.9169999999</v>
      </c>
      <c r="O94">
        <f>IF(ISBLANK($C94),NA(),IFERROR(SUM($C94:$C$177),NA()))</f>
        <v>1040200.498</v>
      </c>
      <c r="P94">
        <f>IF(ISBLANK($D94),NA(),IFERROR(SUM($D94:$D$177),NA()))</f>
        <v>1191551.0289999999</v>
      </c>
      <c r="Q94">
        <f t="shared" si="24"/>
        <v>2231751.5269999998</v>
      </c>
      <c r="R94">
        <f t="shared" si="25"/>
        <v>34.690686110595855</v>
      </c>
      <c r="S94">
        <f t="shared" si="26"/>
        <v>46.609153636304427</v>
      </c>
      <c r="T94">
        <f>IF(ISBLANK($E94),NA(),IFERROR(SUM($E94:$E$177),NA()))</f>
        <v>700641.20499999961</v>
      </c>
      <c r="U94">
        <f>IF(ISBLANK($F94),NA(),IFERROR(SUM($F94:$F$177),NA()))</f>
        <v>908792.57899999944</v>
      </c>
      <c r="V94">
        <f>IF(ISBLANK($G94),NA(),IFERROR(SUM($G94:$G$177),NA()))</f>
        <v>910240.28899999976</v>
      </c>
      <c r="W94">
        <f t="shared" si="27"/>
        <v>1819032.8679999993</v>
      </c>
      <c r="X94">
        <f t="shared" si="28"/>
        <v>38.517237226743717</v>
      </c>
      <c r="Y94">
        <f t="shared" si="29"/>
        <v>49.960206601390546</v>
      </c>
      <c r="Z94">
        <f>IF(ISBLANK($H94),NA(),IFERROR(SUM($H94:$H$177),NA()))</f>
        <v>774209.92399999965</v>
      </c>
      <c r="AA94">
        <f>IF(ISBLANK($I94),NA(),IFERROR(SUM($I94:$I$177),NA()))</f>
        <v>1040200.5049999997</v>
      </c>
      <c r="AB94">
        <f>IF(ISBLANK($J94),NA(),IFERROR(SUM($J94:$J$177),NA()))</f>
        <v>1191067.2</v>
      </c>
      <c r="AC94">
        <f t="shared" si="30"/>
        <v>2231267.7049999996</v>
      </c>
      <c r="AD94">
        <f t="shared" si="31"/>
        <v>34.698208658023837</v>
      </c>
      <c r="AE94">
        <f t="shared" si="32"/>
        <v>46.619260551705061</v>
      </c>
      <c r="AF94">
        <f>IF(ISBLANK($K94),NA(),IFERROR(SUM($K94:$K$177),NA()))</f>
        <v>760681.79299999995</v>
      </c>
      <c r="AG94">
        <f>IF(ISBLANK($L94),NA(),IFERROR(SUM($L94:$L$177),NA()))</f>
        <v>1007764.4169999998</v>
      </c>
      <c r="AH94">
        <f>IF(ISBLANK($M94),NA(),IFERROR(SUM($M94:$M$177),NA()))</f>
        <v>1080677.1769999999</v>
      </c>
      <c r="AI94">
        <f t="shared" si="33"/>
        <v>2088441.5939999996</v>
      </c>
      <c r="AJ94">
        <f t="shared" si="34"/>
        <v>36.423417115681147</v>
      </c>
      <c r="AK94">
        <f t="shared" si="35"/>
        <v>48.254373974128001</v>
      </c>
    </row>
    <row r="95" spans="1:37" x14ac:dyDescent="0.35">
      <c r="A95">
        <v>1942</v>
      </c>
      <c r="B95">
        <v>5169.6890000000003</v>
      </c>
      <c r="C95">
        <v>6667.9380000000001</v>
      </c>
      <c r="D95">
        <v>5314.6329999999998</v>
      </c>
      <c r="E95">
        <v>4569.1239999999998</v>
      </c>
      <c r="F95">
        <v>5514.183</v>
      </c>
      <c r="G95">
        <v>3073.5549999999998</v>
      </c>
      <c r="H95">
        <v>5169.6890000000003</v>
      </c>
      <c r="I95">
        <v>6667.9380000000001</v>
      </c>
      <c r="J95">
        <v>5314.6329999999998</v>
      </c>
      <c r="K95">
        <v>5224.2250000000004</v>
      </c>
      <c r="L95">
        <v>6176.9480000000003</v>
      </c>
      <c r="M95">
        <v>3700.4520000000002</v>
      </c>
      <c r="N95">
        <f>IF(ISBLANK($B95),NA(),IFERROR(SUM($B95:$B$177),NA()))</f>
        <v>769207.25599999994</v>
      </c>
      <c r="O95">
        <f>IF(ISBLANK($C95),NA(),IFERROR(SUM($C95:$C$177),NA()))</f>
        <v>1033379.079</v>
      </c>
      <c r="P95">
        <f>IF(ISBLANK($D95),NA(),IFERROR(SUM($D95:$D$177),NA()))</f>
        <v>1186388.4249999998</v>
      </c>
      <c r="Q95">
        <f t="shared" si="24"/>
        <v>2219767.5039999997</v>
      </c>
      <c r="R95">
        <f t="shared" si="25"/>
        <v>34.652604590971613</v>
      </c>
      <c r="S95">
        <f t="shared" si="26"/>
        <v>46.553482611933944</v>
      </c>
      <c r="T95">
        <f>IF(ISBLANK($E95),NA(),IFERROR(SUM($E95:$E$177),NA()))</f>
        <v>696276.43199999956</v>
      </c>
      <c r="U95">
        <f>IF(ISBLANK($F95),NA(),IFERROR(SUM($F95:$F$177),NA()))</f>
        <v>903364.15999999945</v>
      </c>
      <c r="V95">
        <f>IF(ISBLANK($G95),NA(),IFERROR(SUM($G95:$G$177),NA()))</f>
        <v>907175.90299999982</v>
      </c>
      <c r="W95">
        <f t="shared" si="27"/>
        <v>1810540.0629999992</v>
      </c>
      <c r="X95">
        <f t="shared" si="28"/>
        <v>38.456836511327722</v>
      </c>
      <c r="Y95">
        <f t="shared" si="29"/>
        <v>49.894734640842906</v>
      </c>
      <c r="Z95">
        <f>IF(ISBLANK($H95),NA(),IFERROR(SUM($H95:$H$177),NA()))</f>
        <v>769207.26299999969</v>
      </c>
      <c r="AA95">
        <f>IF(ISBLANK($I95),NA(),IFERROR(SUM($I95:$I$177),NA()))</f>
        <v>1033379.0859999997</v>
      </c>
      <c r="AB95">
        <f>IF(ISBLANK($J95),NA(),IFERROR(SUM($J95:$J$177),NA()))</f>
        <v>1185904.5960000001</v>
      </c>
      <c r="AC95">
        <f t="shared" si="30"/>
        <v>2219283.682</v>
      </c>
      <c r="AD95">
        <f t="shared" si="31"/>
        <v>34.660159457703784</v>
      </c>
      <c r="AE95">
        <f t="shared" si="32"/>
        <v>46.563631967443072</v>
      </c>
      <c r="AF95">
        <f>IF(ISBLANK($K95),NA(),IFERROR(SUM($K95:$K$177),NA()))</f>
        <v>755606.26500000001</v>
      </c>
      <c r="AG95">
        <f>IF(ISBLANK($L95),NA(),IFERROR(SUM($L95:$L$177),NA()))</f>
        <v>1001534.0089999997</v>
      </c>
      <c r="AH95">
        <f>IF(ISBLANK($M95),NA(),IFERROR(SUM($M95:$M$177),NA()))</f>
        <v>1077028.2269999997</v>
      </c>
      <c r="AI95">
        <f t="shared" si="33"/>
        <v>2078562.2359999996</v>
      </c>
      <c r="AJ95">
        <f t="shared" si="34"/>
        <v>36.352352213138168</v>
      </c>
      <c r="AK95">
        <f t="shared" si="35"/>
        <v>48.183979851734392</v>
      </c>
    </row>
    <row r="96" spans="1:37" x14ac:dyDescent="0.35">
      <c r="A96">
        <v>1943</v>
      </c>
      <c r="B96">
        <v>5236.4939999999997</v>
      </c>
      <c r="C96">
        <v>6640.0609999999997</v>
      </c>
      <c r="D96">
        <v>5447.549</v>
      </c>
      <c r="E96">
        <v>4568.4409999999998</v>
      </c>
      <c r="F96">
        <v>5589.3059999999996</v>
      </c>
      <c r="G96">
        <v>3160.5259999999998</v>
      </c>
      <c r="H96">
        <v>5236.4939999999997</v>
      </c>
      <c r="I96">
        <v>6640.0609999999997</v>
      </c>
      <c r="J96">
        <v>5447.549</v>
      </c>
      <c r="K96">
        <v>5254.0119999999997</v>
      </c>
      <c r="L96">
        <v>6207.1980000000003</v>
      </c>
      <c r="M96">
        <v>3745.864</v>
      </c>
      <c r="N96">
        <f>IF(ISBLANK($B96),NA(),IFERROR(SUM($B96:$B$177),NA()))</f>
        <v>764037.56699999992</v>
      </c>
      <c r="O96">
        <f>IF(ISBLANK($C96),NA(),IFERROR(SUM($C96:$C$177),NA()))</f>
        <v>1026711.1410000002</v>
      </c>
      <c r="P96">
        <f>IF(ISBLANK($D96),NA(),IFERROR(SUM($D96:$D$177),NA()))</f>
        <v>1181073.7919999999</v>
      </c>
      <c r="Q96">
        <f t="shared" si="24"/>
        <v>2207784.9330000002</v>
      </c>
      <c r="R96">
        <f t="shared" si="25"/>
        <v>34.606521476790959</v>
      </c>
      <c r="S96">
        <f t="shared" si="26"/>
        <v>46.504128443565207</v>
      </c>
      <c r="T96">
        <f>IF(ISBLANK($E96),NA(),IFERROR(SUM($E96:$E$177),NA()))</f>
        <v>691707.30799999961</v>
      </c>
      <c r="U96">
        <f>IF(ISBLANK($F96),NA(),IFERROR(SUM($F96:$F$177),NA()))</f>
        <v>897849.97699999949</v>
      </c>
      <c r="V96">
        <f>IF(ISBLANK($G96),NA(),IFERROR(SUM($G96:$G$177),NA()))</f>
        <v>904102.34799999988</v>
      </c>
      <c r="W96">
        <f t="shared" si="27"/>
        <v>1801952.3249999993</v>
      </c>
      <c r="X96">
        <f t="shared" si="28"/>
        <v>38.386548767321017</v>
      </c>
      <c r="Y96">
        <f t="shared" si="29"/>
        <v>49.826511198069561</v>
      </c>
      <c r="Z96">
        <f>IF(ISBLANK($H96),NA(),IFERROR(SUM($H96:$H$177),NA()))</f>
        <v>764037.57399999967</v>
      </c>
      <c r="AA96">
        <f>IF(ISBLANK($I96),NA(),IFERROR(SUM($I96:$I$177),NA()))</f>
        <v>1026711.1479999996</v>
      </c>
      <c r="AB96">
        <f>IF(ISBLANK($J96),NA(),IFERROR(SUM($J96:$J$177),NA()))</f>
        <v>1180589.963</v>
      </c>
      <c r="AC96">
        <f t="shared" si="30"/>
        <v>2207301.1109999996</v>
      </c>
      <c r="AD96">
        <f t="shared" si="31"/>
        <v>34.614107254893682</v>
      </c>
      <c r="AE96">
        <f t="shared" si="32"/>
        <v>46.514322077917889</v>
      </c>
      <c r="AF96">
        <f>IF(ISBLANK($K96),NA(),IFERROR(SUM($K96:$K$177),NA()))</f>
        <v>750382.03999999992</v>
      </c>
      <c r="AG96">
        <f>IF(ISBLANK($L96),NA(),IFERROR(SUM($L96:$L$177),NA()))</f>
        <v>995357.06099999975</v>
      </c>
      <c r="AH96">
        <f>IF(ISBLANK($M96),NA(),IFERROR(SUM($M96:$M$177),NA()))</f>
        <v>1073327.7749999997</v>
      </c>
      <c r="AI96">
        <f t="shared" si="33"/>
        <v>2068684.8359999994</v>
      </c>
      <c r="AJ96">
        <f t="shared" si="34"/>
        <v>36.273386208550527</v>
      </c>
      <c r="AK96">
        <f t="shared" si="35"/>
        <v>48.115452082329668</v>
      </c>
    </row>
    <row r="97" spans="1:37" x14ac:dyDescent="0.35">
      <c r="A97">
        <v>1944</v>
      </c>
      <c r="B97">
        <v>5230.3090000000002</v>
      </c>
      <c r="C97">
        <v>6547.9790000000003</v>
      </c>
      <c r="D97">
        <v>5547.7269999999999</v>
      </c>
      <c r="E97">
        <v>4510.2889999999998</v>
      </c>
      <c r="F97">
        <v>5461.5630000000001</v>
      </c>
      <c r="G97">
        <v>3255.3470000000002</v>
      </c>
      <c r="H97">
        <v>5230.3090000000002</v>
      </c>
      <c r="I97">
        <v>6547.9790000000003</v>
      </c>
      <c r="J97">
        <v>5547.7269999999999</v>
      </c>
      <c r="K97">
        <v>5249.3609999999999</v>
      </c>
      <c r="L97">
        <v>6229.223</v>
      </c>
      <c r="M97">
        <v>3822.616</v>
      </c>
      <c r="N97">
        <f>IF(ISBLANK($B97),NA(),IFERROR(SUM($B97:$B$177),NA()))</f>
        <v>758801.07299999997</v>
      </c>
      <c r="O97">
        <f>IF(ISBLANK($C97),NA(),IFERROR(SUM($C97:$C$177),NA()))</f>
        <v>1020071.0800000002</v>
      </c>
      <c r="P97">
        <f>IF(ISBLANK($D97),NA(),IFERROR(SUM($D97:$D$177),NA()))</f>
        <v>1175626.243</v>
      </c>
      <c r="Q97">
        <f t="shared" si="24"/>
        <v>2195697.3230000003</v>
      </c>
      <c r="R97">
        <f t="shared" si="25"/>
        <v>34.558546164425039</v>
      </c>
      <c r="S97">
        <f t="shared" si="26"/>
        <v>46.457727543533558</v>
      </c>
      <c r="T97">
        <f>IF(ISBLANK($E97),NA(),IFERROR(SUM($E97:$E$177),NA()))</f>
        <v>687138.86699999962</v>
      </c>
      <c r="U97">
        <f>IF(ISBLANK($F97),NA(),IFERROR(SUM($F97:$F$177),NA()))</f>
        <v>892260.67099999962</v>
      </c>
      <c r="V97">
        <f>IF(ISBLANK($G97),NA(),IFERROR(SUM($G97:$G$177),NA()))</f>
        <v>900941.82199999981</v>
      </c>
      <c r="W97">
        <f t="shared" si="27"/>
        <v>1793202.4929999993</v>
      </c>
      <c r="X97">
        <f t="shared" si="28"/>
        <v>38.319089432584228</v>
      </c>
      <c r="Y97">
        <f t="shared" si="29"/>
        <v>49.757942813656349</v>
      </c>
      <c r="Z97">
        <f>IF(ISBLANK($H97),NA(),IFERROR(SUM($H97:$H$177),NA()))</f>
        <v>758801.07999999961</v>
      </c>
      <c r="AA97">
        <f>IF(ISBLANK($I97),NA(),IFERROR(SUM($I97:$I$177),NA()))</f>
        <v>1020071.0869999996</v>
      </c>
      <c r="AB97">
        <f>IF(ISBLANK($J97),NA(),IFERROR(SUM($J97:$J$177),NA()))</f>
        <v>1175142.4140000001</v>
      </c>
      <c r="AC97">
        <f t="shared" si="30"/>
        <v>2195213.5009999997</v>
      </c>
      <c r="AD97">
        <f t="shared" si="31"/>
        <v>34.566163138771614</v>
      </c>
      <c r="AE97">
        <f t="shared" si="32"/>
        <v>46.467967080893047</v>
      </c>
      <c r="AF97">
        <f>IF(ISBLANK($K97),NA(),IFERROR(SUM($K97:$K$177),NA()))</f>
        <v>745128.02799999982</v>
      </c>
      <c r="AG97">
        <f>IF(ISBLANK($L97),NA(),IFERROR(SUM($L97:$L$177),NA()))</f>
        <v>989149.86299999966</v>
      </c>
      <c r="AH97">
        <f>IF(ISBLANK($M97),NA(),IFERROR(SUM($M97:$M$177),NA()))</f>
        <v>1069581.9109999998</v>
      </c>
      <c r="AI97">
        <f t="shared" si="33"/>
        <v>2058731.7739999995</v>
      </c>
      <c r="AJ97">
        <f t="shared" si="34"/>
        <v>36.193545823225826</v>
      </c>
      <c r="AK97">
        <f t="shared" si="35"/>
        <v>48.046563204206898</v>
      </c>
    </row>
    <row r="98" spans="1:37" x14ac:dyDescent="0.35">
      <c r="A98">
        <v>1945</v>
      </c>
      <c r="B98">
        <v>4554.6130000000003</v>
      </c>
      <c r="C98">
        <v>5646.3580000000002</v>
      </c>
      <c r="D98">
        <v>5594.558</v>
      </c>
      <c r="E98">
        <v>3764.404</v>
      </c>
      <c r="F98">
        <v>4531.5990000000002</v>
      </c>
      <c r="G98">
        <v>3307.1320000000001</v>
      </c>
      <c r="H98">
        <v>4554.6130000000003</v>
      </c>
      <c r="I98">
        <v>5646.3580000000002</v>
      </c>
      <c r="J98">
        <v>5594.558</v>
      </c>
      <c r="K98">
        <v>4558.6840000000002</v>
      </c>
      <c r="L98">
        <v>5418.9040000000005</v>
      </c>
      <c r="M98">
        <v>3831.74</v>
      </c>
      <c r="N98">
        <f>IF(ISBLANK($B98),NA(),IFERROR(SUM($B98:$B$177),NA()))</f>
        <v>753570.76399999997</v>
      </c>
      <c r="O98">
        <f>IF(ISBLANK($C98),NA(),IFERROR(SUM($C98:$C$177),NA()))</f>
        <v>1013523.1009999999</v>
      </c>
      <c r="P98">
        <f>IF(ISBLANK($D98),NA(),IFERROR(SUM($D98:$D$177),NA()))</f>
        <v>1170078.5160000001</v>
      </c>
      <c r="Q98">
        <f t="shared" si="24"/>
        <v>2183601.6170000001</v>
      </c>
      <c r="R98">
        <f t="shared" si="25"/>
        <v>34.510450905202823</v>
      </c>
      <c r="S98">
        <f t="shared" si="26"/>
        <v>46.415201981415272</v>
      </c>
      <c r="T98">
        <f>IF(ISBLANK($E98),NA(),IFERROR(SUM($E98:$E$177),NA()))</f>
        <v>682628.57799999963</v>
      </c>
      <c r="U98">
        <f>IF(ISBLANK($F98),NA(),IFERROR(SUM($F98:$F$177),NA()))</f>
        <v>886799.10799999954</v>
      </c>
      <c r="V98">
        <f>IF(ISBLANK($G98),NA(),IFERROR(SUM($G98:$G$177),NA()))</f>
        <v>897686.47499999998</v>
      </c>
      <c r="W98">
        <f t="shared" si="27"/>
        <v>1784485.5829999996</v>
      </c>
      <c r="X98">
        <f t="shared" si="28"/>
        <v>38.253521603261945</v>
      </c>
      <c r="Y98">
        <f t="shared" si="29"/>
        <v>49.694943822922426</v>
      </c>
      <c r="Z98">
        <f>IF(ISBLANK($H98),NA(),IFERROR(SUM($H98:$H$177),NA()))</f>
        <v>753570.77099999972</v>
      </c>
      <c r="AA98">
        <f>IF(ISBLANK($I98),NA(),IFERROR(SUM($I98:$I$177),NA()))</f>
        <v>1013523.1079999995</v>
      </c>
      <c r="AB98">
        <f>IF(ISBLANK($J98),NA(),IFERROR(SUM($J98:$J$177),NA()))</f>
        <v>1169594.6869999999</v>
      </c>
      <c r="AC98">
        <f t="shared" si="30"/>
        <v>2183117.7949999995</v>
      </c>
      <c r="AD98">
        <f t="shared" si="31"/>
        <v>34.518099423031821</v>
      </c>
      <c r="AE98">
        <f t="shared" si="32"/>
        <v>46.425488827092806</v>
      </c>
      <c r="AF98">
        <f>IF(ISBLANK($K98),NA(),IFERROR(SUM($K98:$K$177),NA()))</f>
        <v>739878.66699999978</v>
      </c>
      <c r="AG98">
        <f>IF(ISBLANK($L98),NA(),IFERROR(SUM($L98:$L$177),NA()))</f>
        <v>982920.63999999966</v>
      </c>
      <c r="AH98">
        <f>IF(ISBLANK($M98),NA(),IFERROR(SUM($M98:$M$177),NA()))</f>
        <v>1065759.2949999997</v>
      </c>
      <c r="AI98">
        <f t="shared" si="33"/>
        <v>2048679.9349999994</v>
      </c>
      <c r="AJ98">
        <f t="shared" si="34"/>
        <v>36.114897908637936</v>
      </c>
      <c r="AK98">
        <f t="shared" si="35"/>
        <v>47.97824312171047</v>
      </c>
    </row>
    <row r="99" spans="1:37" x14ac:dyDescent="0.35">
      <c r="A99">
        <v>1946</v>
      </c>
      <c r="B99">
        <v>4749.0910000000003</v>
      </c>
      <c r="C99">
        <v>5827.1819999999998</v>
      </c>
      <c r="D99">
        <v>5679.6980000000003</v>
      </c>
      <c r="E99">
        <v>4003.518</v>
      </c>
      <c r="F99">
        <v>4862.2920000000004</v>
      </c>
      <c r="G99">
        <v>3739.03</v>
      </c>
      <c r="H99">
        <v>4749.0910000000003</v>
      </c>
      <c r="I99">
        <v>5827.1819999999998</v>
      </c>
      <c r="J99">
        <v>5679.6980000000003</v>
      </c>
      <c r="K99">
        <v>4749.1549999999997</v>
      </c>
      <c r="L99">
        <v>5688.6279999999997</v>
      </c>
      <c r="M99">
        <v>3887.2640000000001</v>
      </c>
      <c r="N99">
        <f>IF(ISBLANK($B99),NA(),IFERROR(SUM($B99:$B$177),NA()))</f>
        <v>749016.15100000007</v>
      </c>
      <c r="O99">
        <f>IF(ISBLANK($C99),NA(),IFERROR(SUM($C99:$C$177),NA()))</f>
        <v>1007876.7429999999</v>
      </c>
      <c r="P99">
        <f>IF(ISBLANK($D99),NA(),IFERROR(SUM($D99:$D$177),NA()))</f>
        <v>1164483.9579999999</v>
      </c>
      <c r="Q99">
        <f t="shared" ref="Q99:Q130" si="36">IFERROR(O99+P99,"")</f>
        <v>2172360.7009999999</v>
      </c>
      <c r="R99">
        <f t="shared" ref="R99:R130" si="37">IFERROR(N99/Q99*100,NA())</f>
        <v>34.479363885344014</v>
      </c>
      <c r="S99">
        <f t="shared" ref="S99:S130" si="38">IFERROR(O99/Q99*100,NA())</f>
        <v>46.395460134039681</v>
      </c>
      <c r="T99">
        <f>IF(ISBLANK($E99),NA(),IFERROR(SUM($E99:$E$177),NA()))</f>
        <v>678864.17399999965</v>
      </c>
      <c r="U99">
        <f>IF(ISBLANK($F99),NA(),IFERROR(SUM($F99:$F$177),NA()))</f>
        <v>882267.50899999961</v>
      </c>
      <c r="V99">
        <f>IF(ISBLANK($G99),NA(),IFERROR(SUM($G99:$G$177),NA()))</f>
        <v>894379.34299999999</v>
      </c>
      <c r="W99">
        <f t="shared" ref="W99:W130" si="39">IFERROR(U99+V99,"")</f>
        <v>1776646.8519999995</v>
      </c>
      <c r="X99">
        <f t="shared" ref="X99:X130" si="40">IFERROR(T99/W99*100,NA())</f>
        <v>38.210417181996043</v>
      </c>
      <c r="Y99">
        <f t="shared" ref="Y99:Y130" si="41">IFERROR(U99/W99*100,NA())</f>
        <v>49.659137830729676</v>
      </c>
      <c r="Z99">
        <f>IF(ISBLANK($H99),NA(),IFERROR(SUM($H99:$H$177),NA()))</f>
        <v>749016.1579999997</v>
      </c>
      <c r="AA99">
        <f>IF(ISBLANK($I99),NA(),IFERROR(SUM($I99:$I$177),NA()))</f>
        <v>1007876.7499999995</v>
      </c>
      <c r="AB99">
        <f>IF(ISBLANK($J99),NA(),IFERROR(SUM($J99:$J$177),NA()))</f>
        <v>1164000.1290000002</v>
      </c>
      <c r="AC99">
        <f t="shared" ref="AC99:AC130" si="42">IFERROR(AA99+AB99,"")</f>
        <v>2171876.8789999997</v>
      </c>
      <c r="AD99">
        <f t="shared" ref="AD99:AD130" si="43">IFERROR(Z99/AC99*100,NA())</f>
        <v>34.48704506421516</v>
      </c>
      <c r="AE99">
        <f t="shared" ref="AE99:AE130" si="44">IFERROR(AA99/AC99*100,NA())</f>
        <v>46.405795823198673</v>
      </c>
      <c r="AF99">
        <f>IF(ISBLANK($K99),NA(),IFERROR(SUM($K99:$K$177),NA()))</f>
        <v>735319.98299999989</v>
      </c>
      <c r="AG99">
        <f>IF(ISBLANK($L99),NA(),IFERROR(SUM($L99:$L$177),NA()))</f>
        <v>977501.73599999968</v>
      </c>
      <c r="AH99">
        <f>IF(ISBLANK($M99),NA(),IFERROR(SUM($M99:$M$177),NA()))</f>
        <v>1061927.5549999999</v>
      </c>
      <c r="AI99">
        <f t="shared" ref="AI99:AI130" si="45">IFERROR(AG99+AH99,"")</f>
        <v>2039429.2909999997</v>
      </c>
      <c r="AJ99">
        <f t="shared" ref="AJ99:AJ130" si="46">IFERROR(AF99/AI99*100,NA())</f>
        <v>36.055183979408682</v>
      </c>
      <c r="AK99">
        <f t="shared" ref="AK99:AK130" si="47">IFERROR(AG99/AI99*100,NA())</f>
        <v>47.930160673562661</v>
      </c>
    </row>
    <row r="100" spans="1:37" x14ac:dyDescent="0.35">
      <c r="A100">
        <v>1947</v>
      </c>
      <c r="B100">
        <v>5163.2380000000003</v>
      </c>
      <c r="C100">
        <v>6203.576</v>
      </c>
      <c r="D100">
        <v>5781.482</v>
      </c>
      <c r="E100">
        <v>4518.5309999999999</v>
      </c>
      <c r="F100">
        <v>5445.9380000000001</v>
      </c>
      <c r="G100">
        <v>3860.395</v>
      </c>
      <c r="H100">
        <v>5163.2380000000003</v>
      </c>
      <c r="I100">
        <v>6203.576</v>
      </c>
      <c r="J100">
        <v>5781.482</v>
      </c>
      <c r="K100">
        <v>5162.2510000000002</v>
      </c>
      <c r="L100">
        <v>6144.1109999999999</v>
      </c>
      <c r="M100">
        <v>3986.2080000000001</v>
      </c>
      <c r="N100">
        <f>IF(ISBLANK($B100),NA(),IFERROR(SUM($B100:$B$177),NA()))</f>
        <v>744267.06</v>
      </c>
      <c r="O100">
        <f>IF(ISBLANK($C100),NA(),IFERROR(SUM($C100:$C$177),NA()))</f>
        <v>1002049.5610000001</v>
      </c>
      <c r="P100">
        <f>IF(ISBLANK($D100),NA(),IFERROR(SUM($D100:$D$177),NA()))</f>
        <v>1158804.26</v>
      </c>
      <c r="Q100">
        <f t="shared" si="36"/>
        <v>2160853.821</v>
      </c>
      <c r="R100">
        <f t="shared" si="37"/>
        <v>34.443193369534278</v>
      </c>
      <c r="S100">
        <f t="shared" si="38"/>
        <v>46.372852770590079</v>
      </c>
      <c r="T100">
        <f>IF(ISBLANK($E100),NA(),IFERROR(SUM($E100:$E$177),NA()))</f>
        <v>674860.65599999961</v>
      </c>
      <c r="U100">
        <f>IF(ISBLANK($F100),NA(),IFERROR(SUM($F100:$F$177),NA()))</f>
        <v>877405.21699999948</v>
      </c>
      <c r="V100">
        <f>IF(ISBLANK($G100),NA(),IFERROR(SUM($G100:$G$177),NA()))</f>
        <v>890640.31299999997</v>
      </c>
      <c r="W100">
        <f t="shared" si="39"/>
        <v>1768045.5299999993</v>
      </c>
      <c r="X100">
        <f t="shared" si="40"/>
        <v>38.169868623236184</v>
      </c>
      <c r="Y100">
        <f t="shared" si="41"/>
        <v>49.625713937355435</v>
      </c>
      <c r="Z100">
        <f>IF(ISBLANK($H100),NA(),IFERROR(SUM($H100:$H$177),NA()))</f>
        <v>744267.06699999969</v>
      </c>
      <c r="AA100">
        <f>IF(ISBLANK($I100),NA(),IFERROR(SUM($I100:$I$177),NA()))</f>
        <v>1002049.5679999997</v>
      </c>
      <c r="AB100">
        <f>IF(ISBLANK($J100),NA(),IFERROR(SUM($J100:$J$177),NA()))</f>
        <v>1158320.4309999999</v>
      </c>
      <c r="AC100">
        <f t="shared" si="42"/>
        <v>2160369.9989999998</v>
      </c>
      <c r="AD100">
        <f t="shared" si="43"/>
        <v>34.450907360521988</v>
      </c>
      <c r="AE100">
        <f t="shared" si="44"/>
        <v>46.383238448221007</v>
      </c>
      <c r="AF100">
        <f>IF(ISBLANK($K100),NA(),IFERROR(SUM($K100:$K$177),NA()))</f>
        <v>730570.82799999963</v>
      </c>
      <c r="AG100">
        <f>IF(ISBLANK($L100),NA(),IFERROR(SUM($L100:$L$177),NA()))</f>
        <v>971813.10799999977</v>
      </c>
      <c r="AH100">
        <f>IF(ISBLANK($M100),NA(),IFERROR(SUM($M100:$M$177),NA()))</f>
        <v>1058040.2909999997</v>
      </c>
      <c r="AI100">
        <f t="shared" si="45"/>
        <v>2029853.3989999995</v>
      </c>
      <c r="AJ100">
        <f t="shared" si="46"/>
        <v>35.991309932033168</v>
      </c>
      <c r="AK100">
        <f t="shared" si="47"/>
        <v>47.876024370960003</v>
      </c>
    </row>
    <row r="101" spans="1:37" x14ac:dyDescent="0.35">
      <c r="A101">
        <v>1948</v>
      </c>
      <c r="B101">
        <v>5399.558</v>
      </c>
      <c r="C101">
        <v>6385.4809999999998</v>
      </c>
      <c r="D101">
        <v>5818.54</v>
      </c>
      <c r="E101">
        <v>4741.5590000000002</v>
      </c>
      <c r="F101">
        <v>5704.1710000000003</v>
      </c>
      <c r="G101">
        <v>3937.21</v>
      </c>
      <c r="H101">
        <v>5399.558</v>
      </c>
      <c r="I101">
        <v>6385.4809999999998</v>
      </c>
      <c r="J101">
        <v>5818.5410000000002</v>
      </c>
      <c r="K101">
        <v>5387.7780000000002</v>
      </c>
      <c r="L101">
        <v>6379.9120000000003</v>
      </c>
      <c r="M101">
        <v>4009.4720000000002</v>
      </c>
      <c r="N101">
        <f>IF(ISBLANK($B101),NA(),IFERROR(SUM($B101:$B$177),NA()))</f>
        <v>739103.82199999993</v>
      </c>
      <c r="O101">
        <f>IF(ISBLANK($C101),NA(),IFERROR(SUM($C101:$C$177),NA()))</f>
        <v>995845.98499999999</v>
      </c>
      <c r="P101">
        <f>IF(ISBLANK($D101),NA(),IFERROR(SUM($D101:$D$177),NA()))</f>
        <v>1153022.7779999999</v>
      </c>
      <c r="Q101">
        <f t="shared" si="36"/>
        <v>2148868.7629999998</v>
      </c>
      <c r="R101">
        <f t="shared" si="37"/>
        <v>34.395019124767281</v>
      </c>
      <c r="S101">
        <f t="shared" si="38"/>
        <v>46.342801484522305</v>
      </c>
      <c r="T101">
        <f>IF(ISBLANK($E101),NA(),IFERROR(SUM($E101:$E$177),NA()))</f>
        <v>670342.12499999965</v>
      </c>
      <c r="U101">
        <f>IF(ISBLANK($F101),NA(),IFERROR(SUM($F101:$F$177),NA()))</f>
        <v>871959.27899999963</v>
      </c>
      <c r="V101">
        <f>IF(ISBLANK($G101),NA(),IFERROR(SUM($G101:$G$177),NA()))</f>
        <v>886779.91799999995</v>
      </c>
      <c r="W101">
        <f t="shared" si="39"/>
        <v>1758739.1969999997</v>
      </c>
      <c r="X101">
        <f t="shared" si="40"/>
        <v>38.114924949841765</v>
      </c>
      <c r="Y101">
        <f t="shared" si="41"/>
        <v>49.578657283999782</v>
      </c>
      <c r="Z101">
        <f>IF(ISBLANK($H101),NA(),IFERROR(SUM($H101:$H$177),NA()))</f>
        <v>739103.82899999968</v>
      </c>
      <c r="AA101">
        <f>IF(ISBLANK($I101),NA(),IFERROR(SUM($I101:$I$177),NA()))</f>
        <v>995845.99199999962</v>
      </c>
      <c r="AB101">
        <f>IF(ISBLANK($J101),NA(),IFERROR(SUM($J101:$J$177),NA()))</f>
        <v>1152538.949</v>
      </c>
      <c r="AC101">
        <f t="shared" si="42"/>
        <v>2148384.9409999996</v>
      </c>
      <c r="AD101">
        <f t="shared" si="43"/>
        <v>34.402765300336362</v>
      </c>
      <c r="AE101">
        <f t="shared" si="44"/>
        <v>46.353238332440903</v>
      </c>
      <c r="AF101">
        <f>IF(ISBLANK($K101),NA(),IFERROR(SUM($K101:$K$177),NA()))</f>
        <v>725408.5769999997</v>
      </c>
      <c r="AG101">
        <f>IF(ISBLANK($L101),NA(),IFERROR(SUM($L101:$L$177),NA()))</f>
        <v>965668.99699999974</v>
      </c>
      <c r="AH101">
        <f>IF(ISBLANK($M101),NA(),IFERROR(SUM($M101:$M$177),NA()))</f>
        <v>1054054.0829999999</v>
      </c>
      <c r="AI101">
        <f t="shared" si="45"/>
        <v>2019723.0799999996</v>
      </c>
      <c r="AJ101">
        <f t="shared" si="46"/>
        <v>35.91623941832659</v>
      </c>
      <c r="AK101">
        <f t="shared" si="47"/>
        <v>47.811950388763194</v>
      </c>
    </row>
    <row r="102" spans="1:37" x14ac:dyDescent="0.35">
      <c r="A102">
        <v>1949</v>
      </c>
      <c r="B102">
        <v>5022.1480000000001</v>
      </c>
      <c r="C102">
        <v>5987.1769999999997</v>
      </c>
      <c r="D102">
        <v>5883.9319999999998</v>
      </c>
      <c r="E102">
        <v>4384.4589999999998</v>
      </c>
      <c r="F102">
        <v>5433.7269999999999</v>
      </c>
      <c r="G102">
        <v>4047.145</v>
      </c>
      <c r="H102">
        <v>5022.1490000000003</v>
      </c>
      <c r="I102">
        <v>5987.1769999999997</v>
      </c>
      <c r="J102">
        <v>5883.9319999999998</v>
      </c>
      <c r="K102">
        <v>5053.8230000000003</v>
      </c>
      <c r="L102">
        <v>6102.5630000000001</v>
      </c>
      <c r="M102">
        <v>4068.4780000000001</v>
      </c>
      <c r="N102">
        <f>IF(ISBLANK($B102),NA(),IFERROR(SUM($B102:$B$177),NA()))</f>
        <v>733704.26399999997</v>
      </c>
      <c r="O102">
        <f>IF(ISBLANK($C102),NA(),IFERROR(SUM($C102:$C$177),NA()))</f>
        <v>989460.50400000007</v>
      </c>
      <c r="P102">
        <f>IF(ISBLANK($D102),NA(),IFERROR(SUM($D102:$D$177),NA()))</f>
        <v>1147204.2380000001</v>
      </c>
      <c r="Q102">
        <f t="shared" si="36"/>
        <v>2136664.7420000001</v>
      </c>
      <c r="R102">
        <f t="shared" si="37"/>
        <v>34.338764036197119</v>
      </c>
      <c r="S102">
        <f t="shared" si="38"/>
        <v>46.308645645260526</v>
      </c>
      <c r="T102">
        <f>IF(ISBLANK($E102),NA(),IFERROR(SUM($E102:$E$177),NA()))</f>
        <v>665600.56599999976</v>
      </c>
      <c r="U102">
        <f>IF(ISBLANK($F102),NA(),IFERROR(SUM($F102:$F$177),NA()))</f>
        <v>866255.10799999977</v>
      </c>
      <c r="V102">
        <f>IF(ISBLANK($G102),NA(),IFERROR(SUM($G102:$G$177),NA()))</f>
        <v>882842.70799999998</v>
      </c>
      <c r="W102">
        <f t="shared" si="39"/>
        <v>1749097.8159999996</v>
      </c>
      <c r="X102">
        <f t="shared" si="40"/>
        <v>38.053936144186459</v>
      </c>
      <c r="Y102">
        <f t="shared" si="41"/>
        <v>49.525824117774782</v>
      </c>
      <c r="Z102">
        <f>IF(ISBLANK($H102),NA(),IFERROR(SUM($H102:$H$177),NA()))</f>
        <v>733704.2709999996</v>
      </c>
      <c r="AA102">
        <f>IF(ISBLANK($I102),NA(),IFERROR(SUM($I102:$I$177),NA()))</f>
        <v>989460.51099999971</v>
      </c>
      <c r="AB102">
        <f>IF(ISBLANK($J102),NA(),IFERROR(SUM($J102:$J$177),NA()))</f>
        <v>1146720.4080000001</v>
      </c>
      <c r="AC102">
        <f t="shared" si="42"/>
        <v>2136180.9189999998</v>
      </c>
      <c r="AD102">
        <f t="shared" si="43"/>
        <v>34.34654174064363</v>
      </c>
      <c r="AE102">
        <f t="shared" si="44"/>
        <v>46.319134404739046</v>
      </c>
      <c r="AF102">
        <f>IF(ISBLANK($K102),NA(),IFERROR(SUM($K102:$K$177),NA()))</f>
        <v>720020.79899999977</v>
      </c>
      <c r="AG102">
        <f>IF(ISBLANK($L102),NA(),IFERROR(SUM($L102:$L$177),NA()))</f>
        <v>959289.08499999973</v>
      </c>
      <c r="AH102">
        <f>IF(ISBLANK($M102),NA(),IFERROR(SUM($M102:$M$177),NA()))</f>
        <v>1050044.6109999998</v>
      </c>
      <c r="AI102">
        <f t="shared" si="45"/>
        <v>2009333.6959999995</v>
      </c>
      <c r="AJ102">
        <f t="shared" si="46"/>
        <v>35.833809010088878</v>
      </c>
      <c r="AK102">
        <f t="shared" si="47"/>
        <v>47.741651220484982</v>
      </c>
    </row>
    <row r="103" spans="1:37" x14ac:dyDescent="0.35">
      <c r="A103">
        <v>1950</v>
      </c>
      <c r="B103">
        <v>5492.5370000000003</v>
      </c>
      <c r="C103">
        <v>6805.2370000000001</v>
      </c>
      <c r="D103">
        <v>6960.777</v>
      </c>
      <c r="E103">
        <v>4852.4369999999999</v>
      </c>
      <c r="F103">
        <v>5975.0420000000004</v>
      </c>
      <c r="G103">
        <v>3996.7919999999999</v>
      </c>
      <c r="H103">
        <v>5492.5370000000003</v>
      </c>
      <c r="I103">
        <v>6805.2370000000001</v>
      </c>
      <c r="J103">
        <v>6960.777</v>
      </c>
      <c r="K103">
        <v>5519.2219999999998</v>
      </c>
      <c r="L103">
        <v>6753.3639999999996</v>
      </c>
      <c r="M103">
        <v>4589.8249999999998</v>
      </c>
      <c r="N103">
        <f>IF(ISBLANK($B103),NA(),IFERROR(SUM($B103:$B$177),NA()))</f>
        <v>728682.11599999992</v>
      </c>
      <c r="O103">
        <f>IF(ISBLANK($C103),NA(),IFERROR(SUM($C103:$C$177),NA()))</f>
        <v>983473.32699999993</v>
      </c>
      <c r="P103">
        <f>IF(ISBLANK($D103),NA(),IFERROR(SUM($D103:$D$177),NA()))</f>
        <v>1141320.3060000001</v>
      </c>
      <c r="Q103">
        <f t="shared" si="36"/>
        <v>2124793.6329999999</v>
      </c>
      <c r="R103">
        <f t="shared" si="37"/>
        <v>34.294253553987375</v>
      </c>
      <c r="S103">
        <f t="shared" si="38"/>
        <v>46.285592714782013</v>
      </c>
      <c r="T103">
        <f>IF(ISBLANK($E103),NA(),IFERROR(SUM($E103:$E$177),NA()))</f>
        <v>661216.10699999973</v>
      </c>
      <c r="U103">
        <f>IF(ISBLANK($F103),NA(),IFERROR(SUM($F103:$F$177),NA()))</f>
        <v>860821.38099999959</v>
      </c>
      <c r="V103">
        <f>IF(ISBLANK($G103),NA(),IFERROR(SUM($G103:$G$177),NA()))</f>
        <v>878795.56299999997</v>
      </c>
      <c r="W103">
        <f t="shared" si="39"/>
        <v>1739616.9439999997</v>
      </c>
      <c r="X103">
        <f t="shared" si="40"/>
        <v>38.009293326358858</v>
      </c>
      <c r="Y103">
        <f t="shared" si="41"/>
        <v>49.483386786326896</v>
      </c>
      <c r="Z103">
        <f>IF(ISBLANK($H103),NA(),IFERROR(SUM($H103:$H$177),NA()))</f>
        <v>728682.12199999962</v>
      </c>
      <c r="AA103">
        <f>IF(ISBLANK($I103),NA(),IFERROR(SUM($I103:$I$177),NA()))</f>
        <v>983473.3339999998</v>
      </c>
      <c r="AB103">
        <f>IF(ISBLANK($J103),NA(),IFERROR(SUM($J103:$J$177),NA()))</f>
        <v>1140836.476</v>
      </c>
      <c r="AC103">
        <f t="shared" si="42"/>
        <v>2124309.8099999996</v>
      </c>
      <c r="AD103">
        <f t="shared" si="43"/>
        <v>34.302064537375543</v>
      </c>
      <c r="AE103">
        <f t="shared" si="44"/>
        <v>46.296134837319229</v>
      </c>
      <c r="AF103">
        <f>IF(ISBLANK($K103),NA(),IFERROR(SUM($K103:$K$177),NA()))</f>
        <v>714966.97599999967</v>
      </c>
      <c r="AG103">
        <f>IF(ISBLANK($L103),NA(),IFERROR(SUM($L103:$L$177),NA()))</f>
        <v>953186.52199999976</v>
      </c>
      <c r="AH103">
        <f>IF(ISBLANK($M103),NA(),IFERROR(SUM($M103:$M$177),NA()))</f>
        <v>1045976.1329999998</v>
      </c>
      <c r="AI103">
        <f t="shared" si="45"/>
        <v>1999162.6549999996</v>
      </c>
      <c r="AJ103">
        <f t="shared" si="46"/>
        <v>35.76332191939629</v>
      </c>
      <c r="AK103">
        <f t="shared" si="47"/>
        <v>47.679288106749873</v>
      </c>
    </row>
    <row r="104" spans="1:37" x14ac:dyDescent="0.35">
      <c r="A104">
        <v>1951</v>
      </c>
      <c r="B104">
        <v>5733.6329999999998</v>
      </c>
      <c r="C104">
        <v>7274.5789999999997</v>
      </c>
      <c r="D104">
        <v>7605.7849999999999</v>
      </c>
      <c r="E104">
        <v>5325.7030000000004</v>
      </c>
      <c r="F104">
        <v>6893.1419999999998</v>
      </c>
      <c r="G104">
        <v>4369.5770000000002</v>
      </c>
      <c r="H104">
        <v>5733.6329999999998</v>
      </c>
      <c r="I104">
        <v>7274.5789999999997</v>
      </c>
      <c r="J104">
        <v>7605.7849999999999</v>
      </c>
      <c r="K104">
        <v>5769.0259999999998</v>
      </c>
      <c r="L104">
        <v>7141.6260000000002</v>
      </c>
      <c r="M104">
        <v>5049.1779999999999</v>
      </c>
      <c r="N104">
        <f>IF(ISBLANK($B104),NA(),IFERROR(SUM($B104:$B$177),NA()))</f>
        <v>723189.57899999991</v>
      </c>
      <c r="O104">
        <f>IF(ISBLANK($C104),NA(),IFERROR(SUM($C104:$C$177),NA()))</f>
        <v>976668.09</v>
      </c>
      <c r="P104">
        <f>IF(ISBLANK($D104),NA(),IFERROR(SUM($D104:$D$177),NA()))</f>
        <v>1134359.5290000001</v>
      </c>
      <c r="Q104">
        <f t="shared" si="36"/>
        <v>2111027.6189999999</v>
      </c>
      <c r="R104">
        <f t="shared" si="37"/>
        <v>34.257703333250419</v>
      </c>
      <c r="S104">
        <f t="shared" si="38"/>
        <v>46.265055047581541</v>
      </c>
      <c r="T104">
        <f>IF(ISBLANK($E104),NA(),IFERROR(SUM($E104:$E$177),NA()))</f>
        <v>656363.66999999969</v>
      </c>
      <c r="U104">
        <f>IF(ISBLANK($F104),NA(),IFERROR(SUM($F104:$F$177),NA()))</f>
        <v>854846.33899999969</v>
      </c>
      <c r="V104">
        <f>IF(ISBLANK($G104),NA(),IFERROR(SUM($G104:$G$177),NA()))</f>
        <v>874798.77100000007</v>
      </c>
      <c r="W104">
        <f t="shared" si="39"/>
        <v>1729645.1099999999</v>
      </c>
      <c r="X104">
        <f t="shared" si="40"/>
        <v>37.947881111865762</v>
      </c>
      <c r="Y104">
        <f t="shared" si="41"/>
        <v>49.423221796059643</v>
      </c>
      <c r="Z104">
        <f>IF(ISBLANK($H104),NA(),IFERROR(SUM($H104:$H$177),NA()))</f>
        <v>723189.58499999961</v>
      </c>
      <c r="AA104">
        <f>IF(ISBLANK($I104),NA(),IFERROR(SUM($I104:$I$177),NA()))</f>
        <v>976668.09699999983</v>
      </c>
      <c r="AB104">
        <f>IF(ISBLANK($J104),NA(),IFERROR(SUM($J104:$J$177),NA()))</f>
        <v>1133875.699</v>
      </c>
      <c r="AC104">
        <f t="shared" si="42"/>
        <v>2110543.7960000001</v>
      </c>
      <c r="AD104">
        <f t="shared" si="43"/>
        <v>34.265556884942256</v>
      </c>
      <c r="AE104">
        <f t="shared" si="44"/>
        <v>46.275661222999794</v>
      </c>
      <c r="AF104">
        <f>IF(ISBLANK($K104),NA(),IFERROR(SUM($K104:$K$177),NA()))</f>
        <v>709447.75399999984</v>
      </c>
      <c r="AG104">
        <f>IF(ISBLANK($L104),NA(),IFERROR(SUM($L104:$L$177),NA()))</f>
        <v>946433.1579999997</v>
      </c>
      <c r="AH104">
        <f>IF(ISBLANK($M104),NA(),IFERROR(SUM($M104:$M$177),NA()))</f>
        <v>1041386.3079999998</v>
      </c>
      <c r="AI104">
        <f t="shared" si="45"/>
        <v>1987819.4659999995</v>
      </c>
      <c r="AJ104">
        <f t="shared" si="46"/>
        <v>35.68974779322339</v>
      </c>
      <c r="AK104">
        <f t="shared" si="47"/>
        <v>47.611625411057318</v>
      </c>
    </row>
    <row r="105" spans="1:37" x14ac:dyDescent="0.35">
      <c r="A105">
        <v>1952</v>
      </c>
      <c r="B105">
        <v>5717.7129999999997</v>
      </c>
      <c r="C105">
        <v>7405.5720000000001</v>
      </c>
      <c r="D105">
        <v>7653.7259999999997</v>
      </c>
      <c r="E105">
        <v>5145.6679999999997</v>
      </c>
      <c r="F105">
        <v>6861.7830000000004</v>
      </c>
      <c r="G105">
        <v>4593.3459999999995</v>
      </c>
      <c r="H105">
        <v>5717.7129999999997</v>
      </c>
      <c r="I105">
        <v>7405.5720000000001</v>
      </c>
      <c r="J105">
        <v>7653.7259999999997</v>
      </c>
      <c r="K105">
        <v>5722.5789999999997</v>
      </c>
      <c r="L105">
        <v>7182.06</v>
      </c>
      <c r="M105">
        <v>5146.4229999999998</v>
      </c>
      <c r="N105">
        <f>IF(ISBLANK($B105),NA(),IFERROR(SUM($B105:$B$177),NA()))</f>
        <v>717455.94599999988</v>
      </c>
      <c r="O105">
        <f>IF(ISBLANK($C105),NA(),IFERROR(SUM($C105:$C$177),NA()))</f>
        <v>969393.51100000006</v>
      </c>
      <c r="P105">
        <f>IF(ISBLANK($D105),NA(),IFERROR(SUM($D105:$D$177),NA()))</f>
        <v>1126753.7439999999</v>
      </c>
      <c r="Q105">
        <f t="shared" si="36"/>
        <v>2096147.2549999999</v>
      </c>
      <c r="R105">
        <f t="shared" si="37"/>
        <v>34.22736376409776</v>
      </c>
      <c r="S105">
        <f t="shared" si="38"/>
        <v>46.246441355094589</v>
      </c>
      <c r="T105">
        <f>IF(ISBLANK($E105),NA(),IFERROR(SUM($E105:$E$177),NA()))</f>
        <v>651037.96699999971</v>
      </c>
      <c r="U105">
        <f>IF(ISBLANK($F105),NA(),IFERROR(SUM($F105:$F$177),NA()))</f>
        <v>847953.19699999969</v>
      </c>
      <c r="V105">
        <f>IF(ISBLANK($G105),NA(),IFERROR(SUM($G105:$G$177),NA()))</f>
        <v>870429.19400000002</v>
      </c>
      <c r="W105">
        <f t="shared" si="39"/>
        <v>1718382.3909999998</v>
      </c>
      <c r="X105">
        <f t="shared" si="40"/>
        <v>37.886675888312205</v>
      </c>
      <c r="Y105">
        <f t="shared" si="41"/>
        <v>49.346012938746405</v>
      </c>
      <c r="Z105">
        <f>IF(ISBLANK($H105),NA(),IFERROR(SUM($H105:$H$177),NA()))</f>
        <v>717455.95199999958</v>
      </c>
      <c r="AA105">
        <f>IF(ISBLANK($I105),NA(),IFERROR(SUM($I105:$I$177),NA()))</f>
        <v>969393.51799999969</v>
      </c>
      <c r="AB105">
        <f>IF(ISBLANK($J105),NA(),IFERROR(SUM($J105:$J$177),NA()))</f>
        <v>1126269.9140000001</v>
      </c>
      <c r="AC105">
        <f t="shared" si="42"/>
        <v>2095663.4319999998</v>
      </c>
      <c r="AD105">
        <f t="shared" si="43"/>
        <v>34.235266075874328</v>
      </c>
      <c r="AE105">
        <f t="shared" si="44"/>
        <v>46.257118542878686</v>
      </c>
      <c r="AF105">
        <f>IF(ISBLANK($K105),NA(),IFERROR(SUM($K105:$K$177),NA()))</f>
        <v>703678.72799999977</v>
      </c>
      <c r="AG105">
        <f>IF(ISBLANK($L105),NA(),IFERROR(SUM($L105:$L$177),NA()))</f>
        <v>939291.53199999977</v>
      </c>
      <c r="AH105">
        <f>IF(ISBLANK($M105),NA(),IFERROR(SUM($M105:$M$177),NA()))</f>
        <v>1036337.1299999998</v>
      </c>
      <c r="AI105">
        <f t="shared" si="45"/>
        <v>1975628.6619999995</v>
      </c>
      <c r="AJ105">
        <f t="shared" si="46"/>
        <v>35.617965133571239</v>
      </c>
      <c r="AK105">
        <f t="shared" si="47"/>
        <v>47.543931208667594</v>
      </c>
    </row>
    <row r="106" spans="1:37" x14ac:dyDescent="0.35">
      <c r="A106">
        <v>1953</v>
      </c>
      <c r="B106">
        <v>5799.8230000000003</v>
      </c>
      <c r="C106">
        <v>7648.0439999999999</v>
      </c>
      <c r="D106">
        <v>7778.7089999999998</v>
      </c>
      <c r="E106">
        <v>5179.4750000000004</v>
      </c>
      <c r="F106">
        <v>7040.2330000000002</v>
      </c>
      <c r="G106">
        <v>4606.5050000000001</v>
      </c>
      <c r="H106">
        <v>5799.8230000000003</v>
      </c>
      <c r="I106">
        <v>7648.0439999999999</v>
      </c>
      <c r="J106">
        <v>7778.7089999999998</v>
      </c>
      <c r="K106">
        <v>5782.7640000000001</v>
      </c>
      <c r="L106">
        <v>7306.0839999999998</v>
      </c>
      <c r="M106">
        <v>5222.1270000000004</v>
      </c>
      <c r="N106">
        <f>IF(ISBLANK($B106),NA(),IFERROR(SUM($B106:$B$177),NA()))</f>
        <v>711738.23299999989</v>
      </c>
      <c r="O106">
        <f>IF(ISBLANK($C106),NA(),IFERROR(SUM($C106:$C$177),NA()))</f>
        <v>961987.93900000013</v>
      </c>
      <c r="P106">
        <f>IF(ISBLANK($D106),NA(),IFERROR(SUM($D106:$D$177),NA()))</f>
        <v>1119100.0179999999</v>
      </c>
      <c r="Q106">
        <f t="shared" si="36"/>
        <v>2081087.9569999999</v>
      </c>
      <c r="R106">
        <f t="shared" si="37"/>
        <v>34.200295600480466</v>
      </c>
      <c r="S106">
        <f t="shared" si="38"/>
        <v>46.225241742629535</v>
      </c>
      <c r="T106">
        <f>IF(ISBLANK($E106),NA(),IFERROR(SUM($E106:$E$177),NA()))</f>
        <v>645892.29899999977</v>
      </c>
      <c r="U106">
        <f>IF(ISBLANK($F106),NA(),IFERROR(SUM($F106:$F$177),NA()))</f>
        <v>841091.41399999964</v>
      </c>
      <c r="V106">
        <f>IF(ISBLANK($G106),NA(),IFERROR(SUM($G106:$G$177),NA()))</f>
        <v>865835.84800000011</v>
      </c>
      <c r="W106">
        <f t="shared" si="39"/>
        <v>1706927.2619999996</v>
      </c>
      <c r="X106">
        <f t="shared" si="40"/>
        <v>37.839474087677907</v>
      </c>
      <c r="Y106">
        <f t="shared" si="41"/>
        <v>49.275176085388452</v>
      </c>
      <c r="Z106">
        <f>IF(ISBLANK($H106),NA(),IFERROR(SUM($H106:$H$177),NA()))</f>
        <v>711738.23899999959</v>
      </c>
      <c r="AA106">
        <f>IF(ISBLANK($I106),NA(),IFERROR(SUM($I106:$I$177),NA()))</f>
        <v>961987.94599999976</v>
      </c>
      <c r="AB106">
        <f>IF(ISBLANK($J106),NA(),IFERROR(SUM($J106:$J$177),NA()))</f>
        <v>1118616.1879999998</v>
      </c>
      <c r="AC106">
        <f t="shared" si="42"/>
        <v>2080604.1339999996</v>
      </c>
      <c r="AD106">
        <f t="shared" si="43"/>
        <v>34.208248814332102</v>
      </c>
      <c r="AE106">
        <f t="shared" si="44"/>
        <v>46.235991281559187</v>
      </c>
      <c r="AF106">
        <f>IF(ISBLANK($K106),NA(),IFERROR(SUM($K106:$K$177),NA()))</f>
        <v>697956.14899999963</v>
      </c>
      <c r="AG106">
        <f>IF(ISBLANK($L106),NA(),IFERROR(SUM($L106:$L$177),NA()))</f>
        <v>932109.47199999972</v>
      </c>
      <c r="AH106">
        <f>IF(ISBLANK($M106),NA(),IFERROR(SUM($M106:$M$177),NA()))</f>
        <v>1031190.7069999998</v>
      </c>
      <c r="AI106">
        <f t="shared" si="45"/>
        <v>1963300.1789999995</v>
      </c>
      <c r="AJ106">
        <f t="shared" si="46"/>
        <v>35.550149511803198</v>
      </c>
      <c r="AK106">
        <f t="shared" si="47"/>
        <v>47.476666175152424</v>
      </c>
    </row>
    <row r="107" spans="1:37" x14ac:dyDescent="0.35">
      <c r="A107">
        <v>1954</v>
      </c>
      <c r="B107">
        <v>5768.7479999999996</v>
      </c>
      <c r="C107">
        <v>7796.2860000000001</v>
      </c>
      <c r="D107">
        <v>8369.1759999999995</v>
      </c>
      <c r="E107">
        <v>5176.72</v>
      </c>
      <c r="F107">
        <v>7205.473</v>
      </c>
      <c r="G107">
        <v>4821.1490000000003</v>
      </c>
      <c r="H107">
        <v>5768.7479999999996</v>
      </c>
      <c r="I107">
        <v>7796.2860000000001</v>
      </c>
      <c r="J107">
        <v>8369.1759999999995</v>
      </c>
      <c r="K107">
        <v>5733.2359999999999</v>
      </c>
      <c r="L107">
        <v>7385.9359999999997</v>
      </c>
      <c r="M107">
        <v>5475.482</v>
      </c>
      <c r="N107">
        <f>IF(ISBLANK($B107),NA(),IFERROR(SUM($B107:$B$177),NA()))</f>
        <v>705938.40999999992</v>
      </c>
      <c r="O107">
        <f>IF(ISBLANK($C107),NA(),IFERROR(SUM($C107:$C$177),NA()))</f>
        <v>954339.89500000014</v>
      </c>
      <c r="P107">
        <f>IF(ISBLANK($D107),NA(),IFERROR(SUM($D107:$D$177),NA()))</f>
        <v>1111321.3089999999</v>
      </c>
      <c r="Q107">
        <f t="shared" si="36"/>
        <v>2065661.2039999999</v>
      </c>
      <c r="R107">
        <f t="shared" si="37"/>
        <v>34.17493675308431</v>
      </c>
      <c r="S107">
        <f t="shared" si="38"/>
        <v>46.200213914653169</v>
      </c>
      <c r="T107">
        <f>IF(ISBLANK($E107),NA(),IFERROR(SUM($E107:$E$177),NA()))</f>
        <v>640712.82399999967</v>
      </c>
      <c r="U107">
        <f>IF(ISBLANK($F107),NA(),IFERROR(SUM($F107:$F$177),NA()))</f>
        <v>834051.18099999963</v>
      </c>
      <c r="V107">
        <f>IF(ISBLANK($G107),NA(),IFERROR(SUM($G107:$G$177),NA()))</f>
        <v>861229.34299999999</v>
      </c>
      <c r="W107">
        <f t="shared" si="39"/>
        <v>1695280.5239999997</v>
      </c>
      <c r="X107">
        <f t="shared" si="40"/>
        <v>37.793911681840321</v>
      </c>
      <c r="Y107">
        <f t="shared" si="41"/>
        <v>49.198416969485564</v>
      </c>
      <c r="Z107">
        <f>IF(ISBLANK($H107),NA(),IFERROR(SUM($H107:$H$177),NA()))</f>
        <v>705938.4159999995</v>
      </c>
      <c r="AA107">
        <f>IF(ISBLANK($I107),NA(),IFERROR(SUM($I107:$I$177),NA()))</f>
        <v>954339.90199999977</v>
      </c>
      <c r="AB107">
        <f>IF(ISBLANK($J107),NA(),IFERROR(SUM($J107:$J$177),NA()))</f>
        <v>1110837.4790000001</v>
      </c>
      <c r="AC107">
        <f t="shared" si="42"/>
        <v>2065177.3809999998</v>
      </c>
      <c r="AD107">
        <f t="shared" si="43"/>
        <v>34.182943435985635</v>
      </c>
      <c r="AE107">
        <f t="shared" si="44"/>
        <v>46.211037888565748</v>
      </c>
      <c r="AF107">
        <f>IF(ISBLANK($K107),NA(),IFERROR(SUM($K107:$K$177),NA()))</f>
        <v>692173.38499999966</v>
      </c>
      <c r="AG107">
        <f>IF(ISBLANK($L107),NA(),IFERROR(SUM($L107:$L$177),NA()))</f>
        <v>924803.38799999969</v>
      </c>
      <c r="AH107">
        <f>IF(ISBLANK($M107),NA(),IFERROR(SUM($M107:$M$177),NA()))</f>
        <v>1025968.5799999998</v>
      </c>
      <c r="AI107">
        <f t="shared" si="45"/>
        <v>1950771.9679999994</v>
      </c>
      <c r="AJ107">
        <f t="shared" si="46"/>
        <v>35.482024365443408</v>
      </c>
      <c r="AK107">
        <f t="shared" si="47"/>
        <v>47.407047218755196</v>
      </c>
    </row>
    <row r="108" spans="1:37" x14ac:dyDescent="0.35">
      <c r="A108">
        <v>1955</v>
      </c>
      <c r="B108">
        <v>6162.9690000000001</v>
      </c>
      <c r="C108">
        <v>8389.2520000000004</v>
      </c>
      <c r="D108">
        <v>8619.0750000000007</v>
      </c>
      <c r="E108">
        <v>5563.9030000000002</v>
      </c>
      <c r="F108">
        <v>7800.3379999999997</v>
      </c>
      <c r="G108">
        <v>5072.0410000000002</v>
      </c>
      <c r="H108">
        <v>6162.9690000000001</v>
      </c>
      <c r="I108">
        <v>8389.2520000000004</v>
      </c>
      <c r="J108">
        <v>8619.0640000000003</v>
      </c>
      <c r="K108">
        <v>6102.7089999999998</v>
      </c>
      <c r="L108">
        <v>7899.8959999999997</v>
      </c>
      <c r="M108">
        <v>5762.7950000000001</v>
      </c>
      <c r="N108">
        <f>IF(ISBLANK($B108),NA(),IFERROR(SUM($B108:$B$177),NA()))</f>
        <v>700169.66199999978</v>
      </c>
      <c r="O108">
        <f>IF(ISBLANK($C108),NA(),IFERROR(SUM($C108:$C$177),NA()))</f>
        <v>946543.60900000005</v>
      </c>
      <c r="P108">
        <f>IF(ISBLANK($D108),NA(),IFERROR(SUM($D108:$D$177),NA()))</f>
        <v>1102952.1330000001</v>
      </c>
      <c r="Q108">
        <f t="shared" si="36"/>
        <v>2049495.7420000001</v>
      </c>
      <c r="R108">
        <f t="shared" si="37"/>
        <v>34.163021061792463</v>
      </c>
      <c r="S108">
        <f t="shared" si="38"/>
        <v>46.184219347355935</v>
      </c>
      <c r="T108">
        <f>IF(ISBLANK($E108),NA(),IFERROR(SUM($E108:$E$177),NA()))</f>
        <v>635536.1039999997</v>
      </c>
      <c r="U108">
        <f>IF(ISBLANK($F108),NA(),IFERROR(SUM($F108:$F$177),NA()))</f>
        <v>826845.70799999963</v>
      </c>
      <c r="V108">
        <f>IF(ISBLANK($G108),NA(),IFERROR(SUM($G108:$G$177),NA()))</f>
        <v>856408.19400000002</v>
      </c>
      <c r="W108">
        <f t="shared" si="39"/>
        <v>1683253.9019999998</v>
      </c>
      <c r="X108">
        <f t="shared" si="40"/>
        <v>37.756401648311744</v>
      </c>
      <c r="Y108">
        <f t="shared" si="41"/>
        <v>49.121864919936463</v>
      </c>
      <c r="Z108">
        <f>IF(ISBLANK($H108),NA(),IFERROR(SUM($H108:$H$177),NA()))</f>
        <v>700169.66799999948</v>
      </c>
      <c r="AA108">
        <f>IF(ISBLANK($I108),NA(),IFERROR(SUM($I108:$I$177),NA()))</f>
        <v>946543.61599999969</v>
      </c>
      <c r="AB108">
        <f>IF(ISBLANK($J108),NA(),IFERROR(SUM($J108:$J$177),NA()))</f>
        <v>1102468.3030000003</v>
      </c>
      <c r="AC108">
        <f t="shared" si="42"/>
        <v>2049011.919</v>
      </c>
      <c r="AD108">
        <f t="shared" si="43"/>
        <v>34.171088098975552</v>
      </c>
      <c r="AE108">
        <f t="shared" si="44"/>
        <v>46.195124939143881</v>
      </c>
      <c r="AF108">
        <f>IF(ISBLANK($K108),NA(),IFERROR(SUM($K108:$K$177),NA()))</f>
        <v>686440.14899999963</v>
      </c>
      <c r="AG108">
        <f>IF(ISBLANK($L108),NA(),IFERROR(SUM($L108:$L$177),NA()))</f>
        <v>917417.4519999997</v>
      </c>
      <c r="AH108">
        <f>IF(ISBLANK($M108),NA(),IFERROR(SUM($M108:$M$177),NA()))</f>
        <v>1020493.0979999999</v>
      </c>
      <c r="AI108">
        <f t="shared" si="45"/>
        <v>1937910.5499999996</v>
      </c>
      <c r="AJ108">
        <f t="shared" si="46"/>
        <v>35.421663244467076</v>
      </c>
      <c r="AK108">
        <f t="shared" si="47"/>
        <v>47.340546858574037</v>
      </c>
    </row>
    <row r="109" spans="1:37" x14ac:dyDescent="0.35">
      <c r="A109">
        <v>1956</v>
      </c>
      <c r="B109">
        <v>6419.9809999999998</v>
      </c>
      <c r="C109">
        <v>8805.4500000000007</v>
      </c>
      <c r="D109">
        <v>8744.6059999999998</v>
      </c>
      <c r="E109">
        <v>5892.4530000000004</v>
      </c>
      <c r="F109">
        <v>8329.3310000000001</v>
      </c>
      <c r="G109">
        <v>5277.2969999999996</v>
      </c>
      <c r="H109">
        <v>6419.9809999999998</v>
      </c>
      <c r="I109">
        <v>8805.4500000000007</v>
      </c>
      <c r="J109">
        <v>8744.5949999999993</v>
      </c>
      <c r="K109">
        <v>6344.9489999999996</v>
      </c>
      <c r="L109">
        <v>8256.3880000000008</v>
      </c>
      <c r="M109">
        <v>5932.6030000000001</v>
      </c>
      <c r="N109">
        <f>IF(ISBLANK($B109),NA(),IFERROR(SUM($B109:$B$177),NA()))</f>
        <v>694006.69299999985</v>
      </c>
      <c r="O109">
        <f>IF(ISBLANK($C109),NA(),IFERROR(SUM($C109:$C$177),NA()))</f>
        <v>938154.35699999996</v>
      </c>
      <c r="P109">
        <f>IF(ISBLANK($D109),NA(),IFERROR(SUM($D109:$D$177),NA()))</f>
        <v>1094333.0580000002</v>
      </c>
      <c r="Q109">
        <f t="shared" si="36"/>
        <v>2032487.415</v>
      </c>
      <c r="R109">
        <f t="shared" si="37"/>
        <v>34.145682176339569</v>
      </c>
      <c r="S109">
        <f t="shared" si="38"/>
        <v>46.157941745484308</v>
      </c>
      <c r="T109">
        <f>IF(ISBLANK($E109),NA(),IFERROR(SUM($E109:$E$177),NA()))</f>
        <v>629972.20099999977</v>
      </c>
      <c r="U109">
        <f>IF(ISBLANK($F109),NA(),IFERROR(SUM($F109:$F$177),NA()))</f>
        <v>819045.36999999988</v>
      </c>
      <c r="V109">
        <f>IF(ISBLANK($G109),NA(),IFERROR(SUM($G109:$G$177),NA()))</f>
        <v>851336.15300000005</v>
      </c>
      <c r="W109">
        <f t="shared" si="39"/>
        <v>1670381.523</v>
      </c>
      <c r="X109">
        <f t="shared" si="40"/>
        <v>37.714270202688283</v>
      </c>
      <c r="Y109">
        <f t="shared" si="41"/>
        <v>49.033430909185164</v>
      </c>
      <c r="Z109">
        <f>IF(ISBLANK($H109),NA(),IFERROR(SUM($H109:$H$177),NA()))</f>
        <v>694006.69899999956</v>
      </c>
      <c r="AA109">
        <f>IF(ISBLANK($I109),NA(),IFERROR(SUM($I109:$I$177),NA()))</f>
        <v>938154.36399999959</v>
      </c>
      <c r="AB109">
        <f>IF(ISBLANK($J109),NA(),IFERROR(SUM($J109:$J$177),NA()))</f>
        <v>1093849.2390000003</v>
      </c>
      <c r="AC109">
        <f t="shared" si="42"/>
        <v>2032003.6029999999</v>
      </c>
      <c r="AD109">
        <f t="shared" si="43"/>
        <v>34.153812423136714</v>
      </c>
      <c r="AE109">
        <f t="shared" si="44"/>
        <v>46.168932112862976</v>
      </c>
      <c r="AF109">
        <f>IF(ISBLANK($K109),NA(),IFERROR(SUM($K109:$K$177),NA()))</f>
        <v>680337.43999999983</v>
      </c>
      <c r="AG109">
        <f>IF(ISBLANK($L109),NA(),IFERROR(SUM($L109:$L$177),NA()))</f>
        <v>909517.55599999975</v>
      </c>
      <c r="AH109">
        <f>IF(ISBLANK($M109),NA(),IFERROR(SUM($M109:$M$177),NA()))</f>
        <v>1014730.3029999998</v>
      </c>
      <c r="AI109">
        <f t="shared" si="45"/>
        <v>1924247.8589999997</v>
      </c>
      <c r="AJ109">
        <f t="shared" si="46"/>
        <v>35.356019070929882</v>
      </c>
      <c r="AK109">
        <f t="shared" si="47"/>
        <v>47.266133193083618</v>
      </c>
    </row>
    <row r="110" spans="1:37" x14ac:dyDescent="0.35">
      <c r="A110">
        <v>1957</v>
      </c>
      <c r="B110">
        <v>6459.7420000000002</v>
      </c>
      <c r="C110">
        <v>9017.8979999999992</v>
      </c>
      <c r="D110">
        <v>9057.3379999999997</v>
      </c>
      <c r="E110">
        <v>5912.0990000000002</v>
      </c>
      <c r="F110">
        <v>8564.2430000000004</v>
      </c>
      <c r="G110">
        <v>5443.2849999999999</v>
      </c>
      <c r="H110">
        <v>6459.7420000000002</v>
      </c>
      <c r="I110">
        <v>9017.8979999999992</v>
      </c>
      <c r="J110">
        <v>9057.3230000000003</v>
      </c>
      <c r="K110">
        <v>6338.1570000000002</v>
      </c>
      <c r="L110">
        <v>8364.1319999999996</v>
      </c>
      <c r="M110">
        <v>6146.9960000000001</v>
      </c>
      <c r="N110">
        <f>IF(ISBLANK($B110),NA(),IFERROR(SUM($B110:$B$177),NA()))</f>
        <v>687586.71199999982</v>
      </c>
      <c r="O110">
        <f>IF(ISBLANK($C110),NA(),IFERROR(SUM($C110:$C$177),NA()))</f>
        <v>929348.90700000001</v>
      </c>
      <c r="P110">
        <f>IF(ISBLANK($D110),NA(),IFERROR(SUM($D110:$D$177),NA()))</f>
        <v>1085588.4520000003</v>
      </c>
      <c r="Q110">
        <f t="shared" si="36"/>
        <v>2014937.3590000002</v>
      </c>
      <c r="R110">
        <f t="shared" si="37"/>
        <v>34.124470864009616</v>
      </c>
      <c r="S110">
        <f t="shared" si="38"/>
        <v>46.122967686758734</v>
      </c>
      <c r="T110">
        <f>IF(ISBLANK($E110),NA(),IFERROR(SUM($E110:$E$177),NA()))</f>
        <v>624079.74799999979</v>
      </c>
      <c r="U110">
        <f>IF(ISBLANK($F110),NA(),IFERROR(SUM($F110:$F$177),NA()))</f>
        <v>810716.03899999987</v>
      </c>
      <c r="V110">
        <f>IF(ISBLANK($G110),NA(),IFERROR(SUM($G110:$G$177),NA()))</f>
        <v>846058.85600000003</v>
      </c>
      <c r="W110">
        <f t="shared" si="39"/>
        <v>1656774.895</v>
      </c>
      <c r="X110">
        <f t="shared" si="40"/>
        <v>37.668348903850315</v>
      </c>
      <c r="Y110">
        <f t="shared" si="41"/>
        <v>48.933385063153061</v>
      </c>
      <c r="Z110">
        <f>IF(ISBLANK($H110),NA(),IFERROR(SUM($H110:$H$177),NA()))</f>
        <v>687586.71799999953</v>
      </c>
      <c r="AA110">
        <f>IF(ISBLANK($I110),NA(),IFERROR(SUM($I110:$I$177),NA()))</f>
        <v>929348.91399999964</v>
      </c>
      <c r="AB110">
        <f>IF(ISBLANK($J110),NA(),IFERROR(SUM($J110:$J$177),NA()))</f>
        <v>1085104.6440000003</v>
      </c>
      <c r="AC110">
        <f t="shared" si="42"/>
        <v>2014453.558</v>
      </c>
      <c r="AD110">
        <f t="shared" si="43"/>
        <v>34.132666661357675</v>
      </c>
      <c r="AE110">
        <f t="shared" si="44"/>
        <v>46.134045151315405</v>
      </c>
      <c r="AF110">
        <f>IF(ISBLANK($K110),NA(),IFERROR(SUM($K110:$K$177),NA()))</f>
        <v>673992.49099999981</v>
      </c>
      <c r="AG110">
        <f>IF(ISBLANK($L110),NA(),IFERROR(SUM($L110:$L$177),NA()))</f>
        <v>901261.16799999983</v>
      </c>
      <c r="AH110">
        <f>IF(ISBLANK($M110),NA(),IFERROR(SUM($M110:$M$177),NA()))</f>
        <v>1008797.6999999998</v>
      </c>
      <c r="AI110">
        <f t="shared" si="45"/>
        <v>1910058.8679999998</v>
      </c>
      <c r="AJ110">
        <f t="shared" si="46"/>
        <v>35.286477411333891</v>
      </c>
      <c r="AK110">
        <f t="shared" si="47"/>
        <v>47.184994300395559</v>
      </c>
    </row>
    <row r="111" spans="1:37" x14ac:dyDescent="0.35">
      <c r="A111">
        <v>1958</v>
      </c>
      <c r="B111">
        <v>6281.3149999999996</v>
      </c>
      <c r="C111">
        <v>8960.5360000000001</v>
      </c>
      <c r="D111">
        <v>9256.8140000000003</v>
      </c>
      <c r="E111">
        <v>5896.34</v>
      </c>
      <c r="F111">
        <v>8721.8070000000007</v>
      </c>
      <c r="G111">
        <v>5769.0479999999998</v>
      </c>
      <c r="H111">
        <v>6281.3149999999996</v>
      </c>
      <c r="I111">
        <v>8960.5360000000001</v>
      </c>
      <c r="J111">
        <v>9256.7999999999993</v>
      </c>
      <c r="K111">
        <v>6148.5990000000002</v>
      </c>
      <c r="L111">
        <v>8293.6769999999997</v>
      </c>
      <c r="M111">
        <v>6485.1589999999997</v>
      </c>
      <c r="N111">
        <f>IF(ISBLANK($B111),NA(),IFERROR(SUM($B111:$B$177),NA()))</f>
        <v>681126.96999999986</v>
      </c>
      <c r="O111">
        <f>IF(ISBLANK($C111),NA(),IFERROR(SUM($C111:$C$177),NA()))</f>
        <v>920331.00899999996</v>
      </c>
      <c r="P111">
        <f>IF(ISBLANK($D111),NA(),IFERROR(SUM($D111:$D$177),NA()))</f>
        <v>1076531.1140000001</v>
      </c>
      <c r="Q111">
        <f t="shared" si="36"/>
        <v>1996862.1230000001</v>
      </c>
      <c r="R111">
        <f t="shared" si="37"/>
        <v>34.109864780083257</v>
      </c>
      <c r="S111">
        <f t="shared" si="38"/>
        <v>46.088861038504454</v>
      </c>
      <c r="T111">
        <f>IF(ISBLANK($E111),NA(),IFERROR(SUM($E111:$E$177),NA()))</f>
        <v>618167.64899999974</v>
      </c>
      <c r="U111">
        <f>IF(ISBLANK($F111),NA(),IFERROR(SUM($F111:$F$177),NA()))</f>
        <v>802151.79599999986</v>
      </c>
      <c r="V111">
        <f>IF(ISBLANK($G111),NA(),IFERROR(SUM($G111:$G$177),NA()))</f>
        <v>840615.57100000011</v>
      </c>
      <c r="W111">
        <f t="shared" si="39"/>
        <v>1642767.3670000001</v>
      </c>
      <c r="X111">
        <f t="shared" si="40"/>
        <v>37.629652342613142</v>
      </c>
      <c r="Y111">
        <f t="shared" si="41"/>
        <v>48.829299395256356</v>
      </c>
      <c r="Z111">
        <f>IF(ISBLANK($H111),NA(),IFERROR(SUM($H111:$H$177),NA()))</f>
        <v>681126.97599999967</v>
      </c>
      <c r="AA111">
        <f>IF(ISBLANK($I111),NA(),IFERROR(SUM($I111:$I$177),NA()))</f>
        <v>920331.0159999996</v>
      </c>
      <c r="AB111">
        <f>IF(ISBLANK($J111),NA(),IFERROR(SUM($J111:$J$177),NA()))</f>
        <v>1076047.321</v>
      </c>
      <c r="AC111">
        <f t="shared" si="42"/>
        <v>1996378.3369999996</v>
      </c>
      <c r="AD111">
        <f t="shared" si="43"/>
        <v>34.11813098631113</v>
      </c>
      <c r="AE111">
        <f t="shared" si="44"/>
        <v>46.100030186813221</v>
      </c>
      <c r="AF111">
        <f>IF(ISBLANK($K111),NA(),IFERROR(SUM($K111:$K$177),NA()))</f>
        <v>667654.33399999968</v>
      </c>
      <c r="AG111">
        <f>IF(ISBLANK($L111),NA(),IFERROR(SUM($L111:$L$177),NA()))</f>
        <v>892897.03599999973</v>
      </c>
      <c r="AH111">
        <f>IF(ISBLANK($M111),NA(),IFERROR(SUM($M111:$M$177),NA()))</f>
        <v>1002650.7039999999</v>
      </c>
      <c r="AI111">
        <f t="shared" si="45"/>
        <v>1895547.7399999998</v>
      </c>
      <c r="AJ111">
        <f t="shared" si="46"/>
        <v>35.222237874103861</v>
      </c>
      <c r="AK111">
        <f t="shared" si="47"/>
        <v>47.104961650820769</v>
      </c>
    </row>
    <row r="112" spans="1:37" x14ac:dyDescent="0.35">
      <c r="A112">
        <v>1959</v>
      </c>
      <c r="B112">
        <v>6311.1490000000003</v>
      </c>
      <c r="C112">
        <v>9571.6270000000004</v>
      </c>
      <c r="D112">
        <v>9715.3559999999998</v>
      </c>
      <c r="E112">
        <v>5873.7150000000001</v>
      </c>
      <c r="F112">
        <v>8551.1569999999992</v>
      </c>
      <c r="G112">
        <v>5975.0259999999998</v>
      </c>
      <c r="H112">
        <v>6311.1490000000003</v>
      </c>
      <c r="I112">
        <v>9571.6270000000004</v>
      </c>
      <c r="J112">
        <v>9715.3420000000006</v>
      </c>
      <c r="K112">
        <v>6216.3829999999998</v>
      </c>
      <c r="L112">
        <v>8495.2780000000002</v>
      </c>
      <c r="M112">
        <v>6927.4380000000001</v>
      </c>
      <c r="N112">
        <f>IF(ISBLANK($B112),NA(),IFERROR(SUM($B112:$B$177),NA()))</f>
        <v>674845.65499999991</v>
      </c>
      <c r="O112">
        <f>IF(ISBLANK($C112),NA(),IFERROR(SUM($C112:$C$177),NA()))</f>
        <v>911370.47299999988</v>
      </c>
      <c r="P112">
        <f>IF(ISBLANK($D112),NA(),IFERROR(SUM($D112:$D$177),NA()))</f>
        <v>1067274.3</v>
      </c>
      <c r="Q112">
        <f t="shared" si="36"/>
        <v>1978644.773</v>
      </c>
      <c r="R112">
        <f t="shared" si="37"/>
        <v>34.106458329900526</v>
      </c>
      <c r="S112">
        <f t="shared" si="38"/>
        <v>46.06033813832029</v>
      </c>
      <c r="T112">
        <f>IF(ISBLANK($E112),NA(),IFERROR(SUM($E112:$E$177),NA()))</f>
        <v>612271.30899999989</v>
      </c>
      <c r="U112">
        <f>IF(ISBLANK($F112),NA(),IFERROR(SUM($F112:$F$177),NA()))</f>
        <v>793429.98899999959</v>
      </c>
      <c r="V112">
        <f>IF(ISBLANK($G112),NA(),IFERROR(SUM($G112:$G$177),NA()))</f>
        <v>834846.52300000016</v>
      </c>
      <c r="W112">
        <f t="shared" si="39"/>
        <v>1628276.5119999996</v>
      </c>
      <c r="X112">
        <f t="shared" si="40"/>
        <v>37.602416081526087</v>
      </c>
      <c r="Y112">
        <f t="shared" si="41"/>
        <v>48.728209438176783</v>
      </c>
      <c r="Z112">
        <f>IF(ISBLANK($H112),NA(),IFERROR(SUM($H112:$H$177),NA()))</f>
        <v>674845.66099999961</v>
      </c>
      <c r="AA112">
        <f>IF(ISBLANK($I112),NA(),IFERROR(SUM($I112:$I$177),NA()))</f>
        <v>911370.47999999975</v>
      </c>
      <c r="AB112">
        <f>IF(ISBLANK($J112),NA(),IFERROR(SUM($J112:$J$177),NA()))</f>
        <v>1066790.5209999999</v>
      </c>
      <c r="AC112">
        <f t="shared" si="42"/>
        <v>1978161.0009999997</v>
      </c>
      <c r="AD112">
        <f t="shared" si="43"/>
        <v>34.114799587033197</v>
      </c>
      <c r="AE112">
        <f t="shared" si="44"/>
        <v>46.071602844221673</v>
      </c>
      <c r="AF112">
        <f>IF(ISBLANK($K112),NA(),IFERROR(SUM($K112:$K$177),NA()))</f>
        <v>661505.73499999987</v>
      </c>
      <c r="AG112">
        <f>IF(ISBLANK($L112),NA(),IFERROR(SUM($L112:$L$177),NA()))</f>
        <v>884603.35899999971</v>
      </c>
      <c r="AH112">
        <f>IF(ISBLANK($M112),NA(),IFERROR(SUM($M112:$M$177),NA()))</f>
        <v>996165.54499999993</v>
      </c>
      <c r="AI112">
        <f t="shared" si="45"/>
        <v>1880768.9039999996</v>
      </c>
      <c r="AJ112">
        <f t="shared" si="46"/>
        <v>35.172090180410599</v>
      </c>
      <c r="AK112">
        <f t="shared" si="47"/>
        <v>47.034133599222876</v>
      </c>
    </row>
    <row r="113" spans="1:37" x14ac:dyDescent="0.35">
      <c r="A113">
        <v>1960</v>
      </c>
      <c r="B113">
        <v>6503.223</v>
      </c>
      <c r="C113">
        <v>9374.0429999999997</v>
      </c>
      <c r="D113">
        <v>8730.5589999999993</v>
      </c>
      <c r="E113">
        <v>6152.9290000000001</v>
      </c>
      <c r="F113">
        <v>8927.1309999999994</v>
      </c>
      <c r="G113">
        <v>6093.3789999999999</v>
      </c>
      <c r="H113">
        <v>6503.223</v>
      </c>
      <c r="I113">
        <v>9374.0429999999997</v>
      </c>
      <c r="J113">
        <v>8730.5439999999999</v>
      </c>
      <c r="K113">
        <v>6418.741</v>
      </c>
      <c r="L113">
        <v>8782.4760000000006</v>
      </c>
      <c r="M113">
        <v>6839.0640000000003</v>
      </c>
      <c r="N113">
        <f>IF(ISBLANK($B113),NA(),IFERROR(SUM($B113:$B$177),NA()))</f>
        <v>668534.50599999994</v>
      </c>
      <c r="O113">
        <f>IF(ISBLANK($C113),NA(),IFERROR(SUM($C113:$C$177),NA()))</f>
        <v>901798.84600000002</v>
      </c>
      <c r="P113">
        <f>IF(ISBLANK($D113),NA(),IFERROR(SUM($D113:$D$177),NA()))</f>
        <v>1057558.9439999999</v>
      </c>
      <c r="Q113">
        <f t="shared" si="36"/>
        <v>1959357.79</v>
      </c>
      <c r="R113">
        <f t="shared" si="37"/>
        <v>34.120083091103027</v>
      </c>
      <c r="S113">
        <f t="shared" si="38"/>
        <v>46.025225745013117</v>
      </c>
      <c r="T113">
        <f>IF(ISBLANK($E113),NA(),IFERROR(SUM($E113:$E$177),NA()))</f>
        <v>606397.59399999981</v>
      </c>
      <c r="U113">
        <f>IF(ISBLANK($F113),NA(),IFERROR(SUM($F113:$F$177),NA()))</f>
        <v>784878.8319999997</v>
      </c>
      <c r="V113">
        <f>IF(ISBLANK($G113),NA(),IFERROR(SUM($G113:$G$177),NA()))</f>
        <v>828871.49700000032</v>
      </c>
      <c r="W113">
        <f t="shared" si="39"/>
        <v>1613750.3289999999</v>
      </c>
      <c r="X113">
        <f t="shared" si="40"/>
        <v>37.576915282537477</v>
      </c>
      <c r="Y113">
        <f t="shared" si="41"/>
        <v>48.636943267820691</v>
      </c>
      <c r="Z113">
        <f>IF(ISBLANK($H113),NA(),IFERROR(SUM($H113:$H$177),NA()))</f>
        <v>668534.51199999964</v>
      </c>
      <c r="AA113">
        <f>IF(ISBLANK($I113),NA(),IFERROR(SUM($I113:$I$177),NA()))</f>
        <v>901798.85299999965</v>
      </c>
      <c r="AB113">
        <f>IF(ISBLANK($J113),NA(),IFERROR(SUM($J113:$J$177),NA()))</f>
        <v>1057075.179</v>
      </c>
      <c r="AC113">
        <f t="shared" si="42"/>
        <v>1958874.0319999997</v>
      </c>
      <c r="AD113">
        <f t="shared" si="43"/>
        <v>34.128509596782472</v>
      </c>
      <c r="AE113">
        <f t="shared" si="44"/>
        <v>46.036592362157556</v>
      </c>
      <c r="AF113">
        <f>IF(ISBLANK($K113),NA(),IFERROR(SUM($K113:$K$177),NA()))</f>
        <v>655289.35199999984</v>
      </c>
      <c r="AG113">
        <f>IF(ISBLANK($L113),NA(),IFERROR(SUM($L113:$L$177),NA()))</f>
        <v>876108.08099999977</v>
      </c>
      <c r="AH113">
        <f>IF(ISBLANK($M113),NA(),IFERROR(SUM($M113:$M$177),NA()))</f>
        <v>989238.10699999996</v>
      </c>
      <c r="AI113">
        <f t="shared" si="45"/>
        <v>1865346.1879999996</v>
      </c>
      <c r="AJ113">
        <f t="shared" si="46"/>
        <v>35.129637394686114</v>
      </c>
      <c r="AK113">
        <f t="shared" si="47"/>
        <v>46.967586319156752</v>
      </c>
    </row>
    <row r="114" spans="1:37" x14ac:dyDescent="0.35">
      <c r="A114">
        <v>1961</v>
      </c>
      <c r="B114">
        <v>6494.9219999999996</v>
      </c>
      <c r="C114">
        <v>9457.9249999999993</v>
      </c>
      <c r="D114">
        <v>8746.9789999999994</v>
      </c>
      <c r="E114">
        <v>6222.8149999999996</v>
      </c>
      <c r="F114">
        <v>9049.2569999999996</v>
      </c>
      <c r="G114">
        <v>6284.4930000000004</v>
      </c>
      <c r="H114">
        <v>6494.9219999999996</v>
      </c>
      <c r="I114">
        <v>9457.9249999999993</v>
      </c>
      <c r="J114">
        <v>8746.9279999999999</v>
      </c>
      <c r="K114">
        <v>6473.9560000000001</v>
      </c>
      <c r="L114">
        <v>8871.6579999999994</v>
      </c>
      <c r="M114">
        <v>6668.1639999999998</v>
      </c>
      <c r="N114">
        <f>IF(ISBLANK($B114),NA(),IFERROR(SUM($B114:$B$177),NA()))</f>
        <v>662031.28299999994</v>
      </c>
      <c r="O114">
        <f>IF(ISBLANK($C114),NA(),IFERROR(SUM($C114:$C$177),NA()))</f>
        <v>892424.80299999996</v>
      </c>
      <c r="P114">
        <f>IF(ISBLANK($D114),NA(),IFERROR(SUM($D114:$D$177),NA()))</f>
        <v>1048828.3849999998</v>
      </c>
      <c r="Q114">
        <f t="shared" si="36"/>
        <v>1941253.1879999996</v>
      </c>
      <c r="R114">
        <f t="shared" si="37"/>
        <v>34.103294052130622</v>
      </c>
      <c r="S114">
        <f t="shared" si="38"/>
        <v>45.971582095349021</v>
      </c>
      <c r="T114">
        <f>IF(ISBLANK($E114),NA(),IFERROR(SUM($E114:$E$177),NA()))</f>
        <v>600244.66499999992</v>
      </c>
      <c r="U114">
        <f>IF(ISBLANK($F114),NA(),IFERROR(SUM($F114:$F$177),NA()))</f>
        <v>775951.70099999965</v>
      </c>
      <c r="V114">
        <f>IF(ISBLANK($G114),NA(),IFERROR(SUM($G114:$G$177),NA()))</f>
        <v>822778.11800000013</v>
      </c>
      <c r="W114">
        <f t="shared" si="39"/>
        <v>1598729.8189999997</v>
      </c>
      <c r="X114">
        <f t="shared" si="40"/>
        <v>37.54509723071601</v>
      </c>
      <c r="Y114">
        <f t="shared" si="41"/>
        <v>48.535511865623107</v>
      </c>
      <c r="Z114">
        <f>IF(ISBLANK($H114),NA(),IFERROR(SUM($H114:$H$177),NA()))</f>
        <v>662031.28899999976</v>
      </c>
      <c r="AA114">
        <f>IF(ISBLANK($I114),NA(),IFERROR(SUM($I114:$I$177),NA()))</f>
        <v>892424.80999999982</v>
      </c>
      <c r="AB114">
        <f>IF(ISBLANK($J114),NA(),IFERROR(SUM($J114:$J$177),NA()))</f>
        <v>1048344.635</v>
      </c>
      <c r="AC114">
        <f t="shared" si="42"/>
        <v>1940769.4449999998</v>
      </c>
      <c r="AD114">
        <f t="shared" si="43"/>
        <v>34.11179471655376</v>
      </c>
      <c r="AE114">
        <f t="shared" si="44"/>
        <v>45.983041020104267</v>
      </c>
      <c r="AF114">
        <f>IF(ISBLANK($K114),NA(),IFERROR(SUM($K114:$K$177),NA()))</f>
        <v>648870.6109999998</v>
      </c>
      <c r="AG114">
        <f>IF(ISBLANK($L114),NA(),IFERROR(SUM($L114:$L$177),NA()))</f>
        <v>867325.60499999975</v>
      </c>
      <c r="AH114">
        <f>IF(ISBLANK($M114),NA(),IFERROR(SUM($M114:$M$177),NA()))</f>
        <v>982399.04300000006</v>
      </c>
      <c r="AI114">
        <f t="shared" si="45"/>
        <v>1849724.6479999998</v>
      </c>
      <c r="AJ114">
        <f t="shared" si="46"/>
        <v>35.079308247397037</v>
      </c>
      <c r="AK114">
        <f t="shared" si="47"/>
        <v>46.88944410930506</v>
      </c>
    </row>
    <row r="115" spans="1:37" x14ac:dyDescent="0.35">
      <c r="A115">
        <v>1962</v>
      </c>
      <c r="B115">
        <v>6785.027</v>
      </c>
      <c r="C115">
        <v>9496.4279999999999</v>
      </c>
      <c r="D115">
        <v>8416.8240000000005</v>
      </c>
      <c r="E115">
        <v>6525.5330000000004</v>
      </c>
      <c r="F115">
        <v>9452.6460000000006</v>
      </c>
      <c r="G115">
        <v>6246.91</v>
      </c>
      <c r="H115">
        <v>6785.027</v>
      </c>
      <c r="I115">
        <v>9496.4279999999999</v>
      </c>
      <c r="J115">
        <v>8416.7729999999992</v>
      </c>
      <c r="K115">
        <v>6706.9549999999999</v>
      </c>
      <c r="L115">
        <v>8986.1370000000006</v>
      </c>
      <c r="M115">
        <v>6514.5720000000001</v>
      </c>
      <c r="N115">
        <f>IF(ISBLANK($B115),NA(),IFERROR(SUM($B115:$B$177),NA()))</f>
        <v>655536.36100000003</v>
      </c>
      <c r="O115">
        <f>IF(ISBLANK($C115),NA(),IFERROR(SUM($C115:$C$177),NA()))</f>
        <v>882966.87799999991</v>
      </c>
      <c r="P115">
        <f>IF(ISBLANK($D115),NA(),IFERROR(SUM($D115:$D$177),NA()))</f>
        <v>1040081.406</v>
      </c>
      <c r="Q115">
        <f t="shared" si="36"/>
        <v>1923048.284</v>
      </c>
      <c r="R115">
        <f t="shared" si="37"/>
        <v>34.088398427337665</v>
      </c>
      <c r="S115">
        <f t="shared" si="38"/>
        <v>45.914961436298491</v>
      </c>
      <c r="T115">
        <f>IF(ISBLANK($E115),NA(),IFERROR(SUM($E115:$E$177),NA()))</f>
        <v>594021.84999999986</v>
      </c>
      <c r="U115">
        <f>IF(ISBLANK($F115),NA(),IFERROR(SUM($F115:$F$177),NA()))</f>
        <v>766902.4439999999</v>
      </c>
      <c r="V115">
        <f>IF(ISBLANK($G115),NA(),IFERROR(SUM($G115:$G$177),NA()))</f>
        <v>816493.62500000012</v>
      </c>
      <c r="W115">
        <f t="shared" si="39"/>
        <v>1583396.0690000001</v>
      </c>
      <c r="X115">
        <f t="shared" si="40"/>
        <v>37.515683007546983</v>
      </c>
      <c r="Y115">
        <f t="shared" si="41"/>
        <v>48.434024753158575</v>
      </c>
      <c r="Z115">
        <f>IF(ISBLANK($H115),NA(),IFERROR(SUM($H115:$H$177),NA()))</f>
        <v>655536.36699999974</v>
      </c>
      <c r="AA115">
        <f>IF(ISBLANK($I115),NA(),IFERROR(SUM($I115:$I$177),NA()))</f>
        <v>882966.88499999978</v>
      </c>
      <c r="AB115">
        <f>IF(ISBLANK($J115),NA(),IFERROR(SUM($J115:$J$177),NA()))</f>
        <v>1039597.7069999999</v>
      </c>
      <c r="AC115">
        <f t="shared" si="42"/>
        <v>1922564.5919999997</v>
      </c>
      <c r="AD115">
        <f t="shared" si="43"/>
        <v>34.09697493274129</v>
      </c>
      <c r="AE115">
        <f t="shared" si="44"/>
        <v>45.926513401636591</v>
      </c>
      <c r="AF115">
        <f>IF(ISBLANK($K115),NA(),IFERROR(SUM($K115:$K$177),NA()))</f>
        <v>642396.6549999998</v>
      </c>
      <c r="AG115">
        <f>IF(ISBLANK($L115),NA(),IFERROR(SUM($L115:$L$177),NA()))</f>
        <v>858453.94699999981</v>
      </c>
      <c r="AH115">
        <f>IF(ISBLANK($M115),NA(),IFERROR(SUM($M115:$M$177),NA()))</f>
        <v>975730.87899999996</v>
      </c>
      <c r="AI115">
        <f t="shared" si="45"/>
        <v>1834184.8259999999</v>
      </c>
      <c r="AJ115">
        <f t="shared" si="46"/>
        <v>35.023550838163999</v>
      </c>
      <c r="AK115">
        <f t="shared" si="47"/>
        <v>46.803023055867321</v>
      </c>
    </row>
    <row r="116" spans="1:37" x14ac:dyDescent="0.35">
      <c r="A116">
        <v>1963</v>
      </c>
      <c r="B116">
        <v>6991.5550000000003</v>
      </c>
      <c r="C116">
        <v>9775.7189999999991</v>
      </c>
      <c r="D116">
        <v>8397.1839999999993</v>
      </c>
      <c r="E116">
        <v>6879.4530000000004</v>
      </c>
      <c r="F116">
        <v>9950.4590000000007</v>
      </c>
      <c r="G116">
        <v>6418.6660000000002</v>
      </c>
      <c r="H116">
        <v>6991.5550000000003</v>
      </c>
      <c r="I116">
        <v>9775.7189999999991</v>
      </c>
      <c r="J116">
        <v>8397.1290000000008</v>
      </c>
      <c r="K116">
        <v>6939.7240000000002</v>
      </c>
      <c r="L116">
        <v>9376.3809999999994</v>
      </c>
      <c r="M116">
        <v>6570.5159999999996</v>
      </c>
      <c r="N116">
        <f>IF(ISBLANK($B116),NA(),IFERROR(SUM($B116:$B$177),NA()))</f>
        <v>648751.33400000003</v>
      </c>
      <c r="O116">
        <f>IF(ISBLANK($C116),NA(),IFERROR(SUM($C116:$C$177),NA()))</f>
        <v>873470.45000000007</v>
      </c>
      <c r="P116">
        <f>IF(ISBLANK($D116),NA(),IFERROR(SUM($D116:$D$177),NA()))</f>
        <v>1031664.5819999999</v>
      </c>
      <c r="Q116">
        <f t="shared" si="36"/>
        <v>1905135.0320000001</v>
      </c>
      <c r="R116">
        <f t="shared" si="37"/>
        <v>34.05277437573254</v>
      </c>
      <c r="S116">
        <f t="shared" si="38"/>
        <v>45.84821733517942</v>
      </c>
      <c r="T116">
        <f>IF(ISBLANK($E116),NA(),IFERROR(SUM($E116:$E$177),NA()))</f>
        <v>587496.31699999992</v>
      </c>
      <c r="U116">
        <f>IF(ISBLANK($F116),NA(),IFERROR(SUM($F116:$F$177),NA()))</f>
        <v>757449.79799999995</v>
      </c>
      <c r="V116">
        <f>IF(ISBLANK($G116),NA(),IFERROR(SUM($G116:$G$177),NA()))</f>
        <v>810246.7150000002</v>
      </c>
      <c r="W116">
        <f t="shared" si="39"/>
        <v>1567696.5130000003</v>
      </c>
      <c r="X116">
        <f t="shared" si="40"/>
        <v>37.475130685578037</v>
      </c>
      <c r="Y116">
        <f t="shared" si="41"/>
        <v>48.316098920862999</v>
      </c>
      <c r="Z116">
        <f>IF(ISBLANK($H116),NA(),IFERROR(SUM($H116:$H$177),NA()))</f>
        <v>648751.33999999973</v>
      </c>
      <c r="AA116">
        <f>IF(ISBLANK($I116),NA(),IFERROR(SUM($I116:$I$177),NA()))</f>
        <v>873470.4569999997</v>
      </c>
      <c r="AB116">
        <f>IF(ISBLANK($J116),NA(),IFERROR(SUM($J116:$J$177),NA()))</f>
        <v>1031180.9339999999</v>
      </c>
      <c r="AC116">
        <f t="shared" si="42"/>
        <v>1904651.3909999996</v>
      </c>
      <c r="AD116">
        <f t="shared" si="43"/>
        <v>34.061421584313422</v>
      </c>
      <c r="AE116">
        <f t="shared" si="44"/>
        <v>45.859859768952326</v>
      </c>
      <c r="AF116">
        <f>IF(ISBLANK($K116),NA(),IFERROR(SUM($K116:$K$177),NA()))</f>
        <v>635689.69999999984</v>
      </c>
      <c r="AG116">
        <f>IF(ISBLANK($L116),NA(),IFERROR(SUM($L116:$L$177),NA()))</f>
        <v>849467.80999999982</v>
      </c>
      <c r="AH116">
        <f>IF(ISBLANK($M116),NA(),IFERROR(SUM($M116:$M$177),NA()))</f>
        <v>969216.30700000003</v>
      </c>
      <c r="AI116">
        <f t="shared" si="45"/>
        <v>1818684.1169999999</v>
      </c>
      <c r="AJ116">
        <f t="shared" si="46"/>
        <v>34.95327715560623</v>
      </c>
      <c r="AK116">
        <f t="shared" si="47"/>
        <v>46.707825842853609</v>
      </c>
    </row>
    <row r="117" spans="1:37" x14ac:dyDescent="0.35">
      <c r="A117">
        <v>1964</v>
      </c>
      <c r="B117">
        <v>7293.1</v>
      </c>
      <c r="C117">
        <v>10122.742</v>
      </c>
      <c r="D117">
        <v>8132.0739999999996</v>
      </c>
      <c r="E117">
        <v>7181.8450000000003</v>
      </c>
      <c r="F117">
        <v>10393.64</v>
      </c>
      <c r="G117">
        <v>6576.9830000000002</v>
      </c>
      <c r="H117">
        <v>7293.1</v>
      </c>
      <c r="I117">
        <v>10122.742</v>
      </c>
      <c r="J117">
        <v>8132.0159999999996</v>
      </c>
      <c r="K117">
        <v>7187.9340000000002</v>
      </c>
      <c r="L117">
        <v>9709.9760000000006</v>
      </c>
      <c r="M117">
        <v>6592.32</v>
      </c>
      <c r="N117">
        <f>IF(ISBLANK($B117),NA(),IFERROR(SUM($B117:$B$177),NA()))</f>
        <v>641759.77899999998</v>
      </c>
      <c r="O117">
        <f>IF(ISBLANK($C117),NA(),IFERROR(SUM($C117:$C$177),NA()))</f>
        <v>863694.73100000003</v>
      </c>
      <c r="P117">
        <f>IF(ISBLANK($D117),NA(),IFERROR(SUM($D117:$D$177),NA()))</f>
        <v>1023267.398</v>
      </c>
      <c r="Q117">
        <f t="shared" si="36"/>
        <v>1886962.1290000002</v>
      </c>
      <c r="R117">
        <f t="shared" si="37"/>
        <v>34.010209804268939</v>
      </c>
      <c r="S117">
        <f t="shared" si="38"/>
        <v>45.771704568216052</v>
      </c>
      <c r="T117">
        <f>IF(ISBLANK($E117),NA(),IFERROR(SUM($E117:$E$177),NA()))</f>
        <v>580616.86399999983</v>
      </c>
      <c r="U117">
        <f>IF(ISBLANK($F117),NA(),IFERROR(SUM($F117:$F$177),NA()))</f>
        <v>747499.33899999992</v>
      </c>
      <c r="V117">
        <f>IF(ISBLANK($G117),NA(),IFERROR(SUM($G117:$G$177),NA()))</f>
        <v>803828.04900000023</v>
      </c>
      <c r="W117">
        <f t="shared" si="39"/>
        <v>1551327.3880000003</v>
      </c>
      <c r="X117">
        <f t="shared" si="40"/>
        <v>37.427100719761142</v>
      </c>
      <c r="Y117">
        <f t="shared" si="41"/>
        <v>48.184499595774547</v>
      </c>
      <c r="Z117">
        <f>IF(ISBLANK($H117),NA(),IFERROR(SUM($H117:$H$177),NA()))</f>
        <v>641759.7849999998</v>
      </c>
      <c r="AA117">
        <f>IF(ISBLANK($I117),NA(),IFERROR(SUM($I117:$I$177),NA()))</f>
        <v>863694.73799999966</v>
      </c>
      <c r="AB117">
        <f>IF(ISBLANK($J117),NA(),IFERROR(SUM($J117:$J$177),NA()))</f>
        <v>1022783.8049999999</v>
      </c>
      <c r="AC117">
        <f t="shared" si="42"/>
        <v>1886478.5429999996</v>
      </c>
      <c r="AD117">
        <f t="shared" si="43"/>
        <v>34.018928409301289</v>
      </c>
      <c r="AE117">
        <f t="shared" si="44"/>
        <v>45.78343820579569</v>
      </c>
      <c r="AF117">
        <f>IF(ISBLANK($K117),NA(),IFERROR(SUM($K117:$K$177),NA()))</f>
        <v>628749.97599999979</v>
      </c>
      <c r="AG117">
        <f>IF(ISBLANK($L117),NA(),IFERROR(SUM($L117:$L$177),NA()))</f>
        <v>840091.42899999977</v>
      </c>
      <c r="AH117">
        <f>IF(ISBLANK($M117),NA(),IFERROR(SUM($M117:$M$177),NA()))</f>
        <v>962645.79100000008</v>
      </c>
      <c r="AI117">
        <f t="shared" si="45"/>
        <v>1802737.2199999997</v>
      </c>
      <c r="AJ117">
        <f t="shared" si="46"/>
        <v>34.877516757544946</v>
      </c>
      <c r="AK117">
        <f t="shared" si="47"/>
        <v>46.600881131194477</v>
      </c>
    </row>
    <row r="118" spans="1:37" x14ac:dyDescent="0.35">
      <c r="A118">
        <v>1965</v>
      </c>
      <c r="B118">
        <v>7515.8829999999998</v>
      </c>
      <c r="C118">
        <v>10389.843000000001</v>
      </c>
      <c r="D118">
        <v>8014.1809999999996</v>
      </c>
      <c r="E118">
        <v>7429.9930000000004</v>
      </c>
      <c r="F118">
        <v>10752.707</v>
      </c>
      <c r="G118">
        <v>6822.348</v>
      </c>
      <c r="H118">
        <v>7515.8829999999998</v>
      </c>
      <c r="I118">
        <v>10389.843000000001</v>
      </c>
      <c r="J118">
        <v>8014.1149999999998</v>
      </c>
      <c r="K118">
        <v>7404.866</v>
      </c>
      <c r="L118">
        <v>10021.314</v>
      </c>
      <c r="M118">
        <v>6537.0129999999999</v>
      </c>
      <c r="N118">
        <f>IF(ISBLANK($B118),NA(),IFERROR(SUM($B118:$B$177),NA()))</f>
        <v>634466.679</v>
      </c>
      <c r="O118">
        <f>IF(ISBLANK($C118),NA(),IFERROR(SUM($C118:$C$177),NA()))</f>
        <v>853571.98900000018</v>
      </c>
      <c r="P118">
        <f>IF(ISBLANK($D118),NA(),IFERROR(SUM($D118:$D$177),NA()))</f>
        <v>1015135.324</v>
      </c>
      <c r="Q118">
        <f t="shared" si="36"/>
        <v>1868707.3130000001</v>
      </c>
      <c r="R118">
        <f t="shared" si="37"/>
        <v>33.952169747836805</v>
      </c>
      <c r="S118">
        <f t="shared" si="38"/>
        <v>45.677136438754879</v>
      </c>
      <c r="T118">
        <f>IF(ISBLANK($E118),NA(),IFERROR(SUM($E118:$E$177),NA()))</f>
        <v>573435.01899999985</v>
      </c>
      <c r="U118">
        <f>IF(ISBLANK($F118),NA(),IFERROR(SUM($F118:$F$177),NA()))</f>
        <v>737105.69899999991</v>
      </c>
      <c r="V118">
        <f>IF(ISBLANK($G118),NA(),IFERROR(SUM($G118:$G$177),NA()))</f>
        <v>797251.06599999999</v>
      </c>
      <c r="W118">
        <f t="shared" si="39"/>
        <v>1534356.7649999999</v>
      </c>
      <c r="X118">
        <f t="shared" si="40"/>
        <v>37.372991215638166</v>
      </c>
      <c r="Y118">
        <f t="shared" si="41"/>
        <v>48.040046214414808</v>
      </c>
      <c r="Z118">
        <f>IF(ISBLANK($H118),NA(),IFERROR(SUM($H118:$H$177),NA()))</f>
        <v>634466.68499999971</v>
      </c>
      <c r="AA118">
        <f>IF(ISBLANK($I118),NA(),IFERROR(SUM($I118:$I$177),NA()))</f>
        <v>853571.99599999981</v>
      </c>
      <c r="AB118">
        <f>IF(ISBLANK($J118),NA(),IFERROR(SUM($J118:$J$177),NA()))</f>
        <v>1014651.7889999999</v>
      </c>
      <c r="AC118">
        <f t="shared" si="42"/>
        <v>1868223.7849999997</v>
      </c>
      <c r="AD118">
        <f t="shared" si="43"/>
        <v>33.960957466345491</v>
      </c>
      <c r="AE118">
        <f t="shared" si="44"/>
        <v>45.688958831021409</v>
      </c>
      <c r="AF118">
        <f>IF(ISBLANK($K118),NA(),IFERROR(SUM($K118:$K$177),NA()))</f>
        <v>621562.0419999999</v>
      </c>
      <c r="AG118">
        <f>IF(ISBLANK($L118),NA(),IFERROR(SUM($L118:$L$177),NA()))</f>
        <v>830381.45299999986</v>
      </c>
      <c r="AH118">
        <f>IF(ISBLANK($M118),NA(),IFERROR(SUM($M118:$M$177),NA()))</f>
        <v>956053.47100000002</v>
      </c>
      <c r="AI118">
        <f t="shared" si="45"/>
        <v>1786434.9239999999</v>
      </c>
      <c r="AJ118">
        <f t="shared" si="46"/>
        <v>34.793433203167716</v>
      </c>
      <c r="AK118">
        <f t="shared" si="47"/>
        <v>46.482602967741798</v>
      </c>
    </row>
    <row r="119" spans="1:37" x14ac:dyDescent="0.35">
      <c r="A119">
        <v>1966</v>
      </c>
      <c r="B119">
        <v>7678.7359999999999</v>
      </c>
      <c r="C119">
        <v>10580.45</v>
      </c>
      <c r="D119">
        <v>7753.6049999999996</v>
      </c>
      <c r="E119">
        <v>7822.1580000000004</v>
      </c>
      <c r="F119">
        <v>11237.061</v>
      </c>
      <c r="G119">
        <v>7039.0529999999999</v>
      </c>
      <c r="H119">
        <v>7678.7359999999999</v>
      </c>
      <c r="I119">
        <v>10580.450999999999</v>
      </c>
      <c r="J119">
        <v>7753.5389999999998</v>
      </c>
      <c r="K119">
        <v>7622.8980000000001</v>
      </c>
      <c r="L119">
        <v>10296.329</v>
      </c>
      <c r="M119">
        <v>6494.78</v>
      </c>
      <c r="N119">
        <f>IF(ISBLANK($B119),NA(),IFERROR(SUM($B119:$B$177),NA()))</f>
        <v>626950.79599999997</v>
      </c>
      <c r="O119">
        <f>IF(ISBLANK($C119),NA(),IFERROR(SUM($C119:$C$177),NA()))</f>
        <v>843182.14600000007</v>
      </c>
      <c r="P119">
        <f>IF(ISBLANK($D119),NA(),IFERROR(SUM($D119:$D$177),NA()))</f>
        <v>1007121.1429999999</v>
      </c>
      <c r="Q119">
        <f t="shared" si="36"/>
        <v>1850303.2889999999</v>
      </c>
      <c r="R119">
        <f t="shared" si="37"/>
        <v>33.883677326155365</v>
      </c>
      <c r="S119">
        <f t="shared" si="38"/>
        <v>45.569942560913866</v>
      </c>
      <c r="T119">
        <f>IF(ISBLANK($E119),NA(),IFERROR(SUM($E119:$E$177),NA()))</f>
        <v>566005.02599999984</v>
      </c>
      <c r="U119">
        <f>IF(ISBLANK($F119),NA(),IFERROR(SUM($F119:$F$177),NA()))</f>
        <v>726352.99199999985</v>
      </c>
      <c r="V119">
        <f>IF(ISBLANK($G119),NA(),IFERROR(SUM($G119:$G$177),NA()))</f>
        <v>790428.71799999999</v>
      </c>
      <c r="W119">
        <f t="shared" si="39"/>
        <v>1516781.71</v>
      </c>
      <c r="X119">
        <f t="shared" si="40"/>
        <v>37.316182168362239</v>
      </c>
      <c r="Y119">
        <f t="shared" si="41"/>
        <v>47.887773646743135</v>
      </c>
      <c r="Z119">
        <f>IF(ISBLANK($H119),NA(),IFERROR(SUM($H119:$H$177),NA()))</f>
        <v>626950.80199999979</v>
      </c>
      <c r="AA119">
        <f>IF(ISBLANK($I119),NA(),IFERROR(SUM($I119:$I$177),NA()))</f>
        <v>843182.1529999997</v>
      </c>
      <c r="AB119">
        <f>IF(ISBLANK($J119),NA(),IFERROR(SUM($J119:$J$177),NA()))</f>
        <v>1006637.6739999999</v>
      </c>
      <c r="AC119">
        <f t="shared" si="42"/>
        <v>1849819.8269999996</v>
      </c>
      <c r="AD119">
        <f t="shared" si="43"/>
        <v>33.892533361845082</v>
      </c>
      <c r="AE119">
        <f t="shared" si="44"/>
        <v>45.581852929290712</v>
      </c>
      <c r="AF119">
        <f>IF(ISBLANK($K119),NA(),IFERROR(SUM($K119:$K$177),NA()))</f>
        <v>614157.17599999986</v>
      </c>
      <c r="AG119">
        <f>IF(ISBLANK($L119),NA(),IFERROR(SUM($L119:$L$177),NA()))</f>
        <v>820360.13899999985</v>
      </c>
      <c r="AH119">
        <f>IF(ISBLANK($M119),NA(),IFERROR(SUM($M119:$M$177),NA()))</f>
        <v>949516.4580000001</v>
      </c>
      <c r="AI119">
        <f t="shared" si="45"/>
        <v>1769876.5970000001</v>
      </c>
      <c r="AJ119">
        <f t="shared" si="46"/>
        <v>34.700564832656511</v>
      </c>
      <c r="AK119">
        <f t="shared" si="47"/>
        <v>46.351262025303782</v>
      </c>
    </row>
    <row r="120" spans="1:37" x14ac:dyDescent="0.35">
      <c r="A120">
        <v>1967</v>
      </c>
      <c r="B120">
        <v>8591.1450000000004</v>
      </c>
      <c r="C120">
        <v>11633.066000000001</v>
      </c>
      <c r="D120">
        <v>7545.9440000000004</v>
      </c>
      <c r="E120">
        <v>8100.4719999999998</v>
      </c>
      <c r="F120">
        <v>11588.177</v>
      </c>
      <c r="G120">
        <v>7061.2430000000004</v>
      </c>
      <c r="H120">
        <v>8591.1450000000004</v>
      </c>
      <c r="I120">
        <v>11633.066000000001</v>
      </c>
      <c r="J120">
        <v>7545.87</v>
      </c>
      <c r="K120">
        <v>7988.3320000000003</v>
      </c>
      <c r="L120">
        <v>10755.858</v>
      </c>
      <c r="M120">
        <v>6375.92</v>
      </c>
      <c r="N120">
        <f>IF(ISBLANK($B120),NA(),IFERROR(SUM($B120:$B$177),NA()))</f>
        <v>619272.05999999994</v>
      </c>
      <c r="O120">
        <f>IF(ISBLANK($C120),NA(),IFERROR(SUM($C120:$C$177),NA()))</f>
        <v>832601.69599999988</v>
      </c>
      <c r="P120">
        <f>IF(ISBLANK($D120),NA(),IFERROR(SUM($D120:$D$177),NA()))</f>
        <v>999367.53799999994</v>
      </c>
      <c r="Q120">
        <f t="shared" si="36"/>
        <v>1831969.2339999997</v>
      </c>
      <c r="R120">
        <f t="shared" si="37"/>
        <v>33.80362773057356</v>
      </c>
      <c r="S120">
        <f t="shared" si="38"/>
        <v>45.448454075948746</v>
      </c>
      <c r="T120">
        <f>IF(ISBLANK($E120),NA(),IFERROR(SUM($E120:$E$177),NA()))</f>
        <v>558182.8679999999</v>
      </c>
      <c r="U120">
        <f>IF(ISBLANK($F120),NA(),IFERROR(SUM($F120:$F$177),NA()))</f>
        <v>715115.93099999987</v>
      </c>
      <c r="V120">
        <f>IF(ISBLANK($G120),NA(),IFERROR(SUM($G120:$G$177),NA()))</f>
        <v>783389.66499999992</v>
      </c>
      <c r="W120">
        <f t="shared" si="39"/>
        <v>1498505.5959999999</v>
      </c>
      <c r="X120">
        <f t="shared" si="40"/>
        <v>37.249301536809206</v>
      </c>
      <c r="Y120">
        <f t="shared" si="41"/>
        <v>47.721939304656416</v>
      </c>
      <c r="Z120">
        <f>IF(ISBLANK($H120),NA(),IFERROR(SUM($H120:$H$177),NA()))</f>
        <v>619272.06599999976</v>
      </c>
      <c r="AA120">
        <f>IF(ISBLANK($I120),NA(),IFERROR(SUM($I120:$I$177),NA()))</f>
        <v>832601.7019999997</v>
      </c>
      <c r="AB120">
        <f>IF(ISBLANK($J120),NA(),IFERROR(SUM($J120:$J$177),NA()))</f>
        <v>998884.13500000001</v>
      </c>
      <c r="AC120">
        <f t="shared" si="42"/>
        <v>1831485.8369999998</v>
      </c>
      <c r="AD120">
        <f t="shared" si="43"/>
        <v>33.812550088532291</v>
      </c>
      <c r="AE120">
        <f t="shared" si="44"/>
        <v>45.46044993521835</v>
      </c>
      <c r="AF120">
        <f>IF(ISBLANK($K120),NA(),IFERROR(SUM($K120:$K$177),NA()))</f>
        <v>606534.27799999993</v>
      </c>
      <c r="AG120">
        <f>IF(ISBLANK($L120),NA(),IFERROR(SUM($L120:$L$177),NA()))</f>
        <v>810063.80999999982</v>
      </c>
      <c r="AH120">
        <f>IF(ISBLANK($M120),NA(),IFERROR(SUM($M120:$M$177),NA()))</f>
        <v>943021.67800000007</v>
      </c>
      <c r="AI120">
        <f t="shared" si="45"/>
        <v>1753085.4879999999</v>
      </c>
      <c r="AJ120">
        <f t="shared" si="46"/>
        <v>34.598100443576314</v>
      </c>
      <c r="AK120">
        <f t="shared" si="47"/>
        <v>46.20788977747786</v>
      </c>
    </row>
    <row r="121" spans="1:37" x14ac:dyDescent="0.35">
      <c r="A121">
        <v>1968</v>
      </c>
      <c r="B121">
        <v>9102.7790000000005</v>
      </c>
      <c r="C121">
        <v>12351</v>
      </c>
      <c r="D121">
        <v>7502.7079999999996</v>
      </c>
      <c r="E121">
        <v>8510.1360000000004</v>
      </c>
      <c r="F121">
        <v>12062.055</v>
      </c>
      <c r="G121">
        <v>7047.9269999999997</v>
      </c>
      <c r="H121">
        <v>9102.7790000000005</v>
      </c>
      <c r="I121">
        <v>12351</v>
      </c>
      <c r="J121">
        <v>7502.6310000000003</v>
      </c>
      <c r="K121">
        <v>8421.5840000000007</v>
      </c>
      <c r="L121">
        <v>11325.777</v>
      </c>
      <c r="M121">
        <v>6510.451</v>
      </c>
      <c r="N121">
        <f>IF(ISBLANK($B121),NA(),IFERROR(SUM($B121:$B$177),NA()))</f>
        <v>610680.91500000004</v>
      </c>
      <c r="O121">
        <f>IF(ISBLANK($C121),NA(),IFERROR(SUM($C121:$C$177),NA()))</f>
        <v>820968.63</v>
      </c>
      <c r="P121">
        <f>IF(ISBLANK($D121),NA(),IFERROR(SUM($D121:$D$177),NA()))</f>
        <v>991821.59400000004</v>
      </c>
      <c r="Q121">
        <f t="shared" si="36"/>
        <v>1812790.2239999999</v>
      </c>
      <c r="R121">
        <f t="shared" si="37"/>
        <v>33.687345999279842</v>
      </c>
      <c r="S121">
        <f t="shared" si="38"/>
        <v>45.287569357501127</v>
      </c>
      <c r="T121">
        <f>IF(ISBLANK($E121),NA(),IFERROR(SUM($E121:$E$177),NA()))</f>
        <v>550082.39599999995</v>
      </c>
      <c r="U121">
        <f>IF(ISBLANK($F121),NA(),IFERROR(SUM($F121:$F$177),NA()))</f>
        <v>703527.75399999984</v>
      </c>
      <c r="V121">
        <f>IF(ISBLANK($G121),NA(),IFERROR(SUM($G121:$G$177),NA()))</f>
        <v>776328.4219999999</v>
      </c>
      <c r="W121">
        <f t="shared" si="39"/>
        <v>1479856.1759999997</v>
      </c>
      <c r="X121">
        <f t="shared" si="40"/>
        <v>37.171341710169003</v>
      </c>
      <c r="Y121">
        <f t="shared" si="41"/>
        <v>47.540278941269221</v>
      </c>
      <c r="Z121">
        <f>IF(ISBLANK($H121),NA(),IFERROR(SUM($H121:$H$177),NA()))</f>
        <v>610680.92099999986</v>
      </c>
      <c r="AA121">
        <f>IF(ISBLANK($I121),NA(),IFERROR(SUM($I121:$I$177),NA()))</f>
        <v>820968.63599999971</v>
      </c>
      <c r="AB121">
        <f>IF(ISBLANK($J121),NA(),IFERROR(SUM($J121:$J$177),NA()))</f>
        <v>991338.2649999999</v>
      </c>
      <c r="AC121">
        <f t="shared" si="42"/>
        <v>1812306.9009999996</v>
      </c>
      <c r="AD121">
        <f t="shared" si="43"/>
        <v>33.696330387697401</v>
      </c>
      <c r="AE121">
        <f t="shared" si="44"/>
        <v>45.299647402269642</v>
      </c>
      <c r="AF121">
        <f>IF(ISBLANK($K121),NA(),IFERROR(SUM($K121:$K$177),NA()))</f>
        <v>598545.94599999988</v>
      </c>
      <c r="AG121">
        <f>IF(ISBLANK($L121),NA(),IFERROR(SUM($L121:$L$177),NA()))</f>
        <v>799307.95199999982</v>
      </c>
      <c r="AH121">
        <f>IF(ISBLANK($M121),NA(),IFERROR(SUM($M121:$M$177),NA()))</f>
        <v>936645.75800000003</v>
      </c>
      <c r="AI121">
        <f t="shared" si="45"/>
        <v>1735953.71</v>
      </c>
      <c r="AJ121">
        <f t="shared" si="46"/>
        <v>34.47937249432762</v>
      </c>
      <c r="AK121">
        <f t="shared" si="47"/>
        <v>46.044312552550714</v>
      </c>
    </row>
    <row r="122" spans="1:37" x14ac:dyDescent="0.35">
      <c r="A122">
        <v>1969</v>
      </c>
      <c r="B122">
        <v>9073.2340000000004</v>
      </c>
      <c r="C122">
        <v>12355.328</v>
      </c>
      <c r="D122">
        <v>9065.7819999999992</v>
      </c>
      <c r="E122">
        <v>9053.7610000000004</v>
      </c>
      <c r="F122">
        <v>12712.767</v>
      </c>
      <c r="G122">
        <v>7318.6940000000004</v>
      </c>
      <c r="H122">
        <v>9073.2340000000004</v>
      </c>
      <c r="I122">
        <v>12355.328</v>
      </c>
      <c r="J122">
        <v>9065.65</v>
      </c>
      <c r="K122">
        <v>8836.4179999999997</v>
      </c>
      <c r="L122">
        <v>11886.53</v>
      </c>
      <c r="M122">
        <v>7118.9629999999997</v>
      </c>
      <c r="N122">
        <f>IF(ISBLANK($B122),NA(),IFERROR(SUM($B122:$B$177),NA()))</f>
        <v>601578.13599999994</v>
      </c>
      <c r="O122">
        <f>IF(ISBLANK($C122),NA(),IFERROR(SUM($C122:$C$177),NA()))</f>
        <v>808617.62999999977</v>
      </c>
      <c r="P122">
        <f>IF(ISBLANK($D122),NA(),IFERROR(SUM($D122:$D$177),NA()))</f>
        <v>984318.88599999994</v>
      </c>
      <c r="Q122">
        <f t="shared" si="36"/>
        <v>1792936.5159999998</v>
      </c>
      <c r="R122">
        <f t="shared" si="37"/>
        <v>33.552673540394338</v>
      </c>
      <c r="S122">
        <f t="shared" si="38"/>
        <v>45.100181896233963</v>
      </c>
      <c r="T122">
        <f>IF(ISBLANK($E122),NA(),IFERROR(SUM($E122:$E$177),NA()))</f>
        <v>541572.26</v>
      </c>
      <c r="U122">
        <f>IF(ISBLANK($F122),NA(),IFERROR(SUM($F122:$F$177),NA()))</f>
        <v>691465.69899999991</v>
      </c>
      <c r="V122">
        <f>IF(ISBLANK($G122),NA(),IFERROR(SUM($G122:$G$177),NA()))</f>
        <v>769280.495</v>
      </c>
      <c r="W122">
        <f t="shared" si="39"/>
        <v>1460746.1939999999</v>
      </c>
      <c r="X122">
        <f t="shared" si="40"/>
        <v>37.075041661891881</v>
      </c>
      <c r="Y122">
        <f t="shared" si="41"/>
        <v>47.336471033790005</v>
      </c>
      <c r="Z122">
        <f>IF(ISBLANK($H122),NA(),IFERROR(SUM($H122:$H$177),NA()))</f>
        <v>601578.14199999988</v>
      </c>
      <c r="AA122">
        <f>IF(ISBLANK($I122),NA(),IFERROR(SUM($I122:$I$177),NA()))</f>
        <v>808617.63599999971</v>
      </c>
      <c r="AB122">
        <f>IF(ISBLANK($J122),NA(),IFERROR(SUM($J122:$J$177),NA()))</f>
        <v>983835.63399999985</v>
      </c>
      <c r="AC122">
        <f t="shared" si="42"/>
        <v>1792453.2699999996</v>
      </c>
      <c r="AD122">
        <f t="shared" si="43"/>
        <v>33.561719687119094</v>
      </c>
      <c r="AE122">
        <f t="shared" si="44"/>
        <v>45.112341255066582</v>
      </c>
      <c r="AF122">
        <f>IF(ISBLANK($K122),NA(),IFERROR(SUM($K122:$K$177),NA()))</f>
        <v>590124.36199999996</v>
      </c>
      <c r="AG122">
        <f>IF(ISBLANK($L122),NA(),IFERROR(SUM($L122:$L$177),NA()))</f>
        <v>787982.17499999981</v>
      </c>
      <c r="AH122">
        <f>IF(ISBLANK($M122),NA(),IFERROR(SUM($M122:$M$177),NA()))</f>
        <v>930135.30700000003</v>
      </c>
      <c r="AI122">
        <f t="shared" si="45"/>
        <v>1718117.4819999998</v>
      </c>
      <c r="AJ122">
        <f t="shared" si="46"/>
        <v>34.347148444881491</v>
      </c>
      <c r="AK122">
        <f t="shared" si="47"/>
        <v>45.863113742532761</v>
      </c>
    </row>
    <row r="123" spans="1:37" x14ac:dyDescent="0.35">
      <c r="A123">
        <v>1970</v>
      </c>
      <c r="B123">
        <v>9433.9230000000007</v>
      </c>
      <c r="C123">
        <v>13011.2</v>
      </c>
      <c r="D123">
        <v>9052.8060000000005</v>
      </c>
      <c r="E123">
        <v>9607.9339999999993</v>
      </c>
      <c r="F123">
        <v>13309.056</v>
      </c>
      <c r="G123">
        <v>7699.2740000000003</v>
      </c>
      <c r="H123">
        <v>9433.9230000000007</v>
      </c>
      <c r="I123">
        <v>13011.2</v>
      </c>
      <c r="J123">
        <v>9052.6010000000006</v>
      </c>
      <c r="K123">
        <v>9322.4480000000003</v>
      </c>
      <c r="L123">
        <v>12596.103999999999</v>
      </c>
      <c r="M123">
        <v>7776.6030000000001</v>
      </c>
      <c r="N123">
        <f>IF(ISBLANK($B123),NA(),IFERROR(SUM($B123:$B$177),NA()))</f>
        <v>592504.902</v>
      </c>
      <c r="O123">
        <f>IF(ISBLANK($C123),NA(),IFERROR(SUM($C123:$C$177),NA()))</f>
        <v>796262.30199999979</v>
      </c>
      <c r="P123">
        <f>IF(ISBLANK($D123),NA(),IFERROR(SUM($D123:$D$177),NA()))</f>
        <v>975253.10400000005</v>
      </c>
      <c r="Q123">
        <f t="shared" si="36"/>
        <v>1771515.406</v>
      </c>
      <c r="R123">
        <f t="shared" si="37"/>
        <v>33.44621785355222</v>
      </c>
      <c r="S123">
        <f t="shared" si="38"/>
        <v>44.948087908415282</v>
      </c>
      <c r="T123">
        <f>IF(ISBLANK($E123),NA(),IFERROR(SUM($E123:$E$177),NA()))</f>
        <v>532518.49900000007</v>
      </c>
      <c r="U123">
        <f>IF(ISBLANK($F123),NA(),IFERROR(SUM($F123:$F$177),NA()))</f>
        <v>678752.9319999998</v>
      </c>
      <c r="V123">
        <f>IF(ISBLANK($G123),NA(),IFERROR(SUM($G123:$G$177),NA()))</f>
        <v>761961.80099999998</v>
      </c>
      <c r="W123">
        <f t="shared" si="39"/>
        <v>1440714.7329999998</v>
      </c>
      <c r="X123">
        <f t="shared" si="40"/>
        <v>36.962105460748433</v>
      </c>
      <c r="Y123">
        <f t="shared" si="41"/>
        <v>47.112236479086519</v>
      </c>
      <c r="Z123">
        <f>IF(ISBLANK($H123),NA(),IFERROR(SUM($H123:$H$177),NA()))</f>
        <v>592504.90799999994</v>
      </c>
      <c r="AA123">
        <f>IF(ISBLANK($I123),NA(),IFERROR(SUM($I123:$I$177),NA()))</f>
        <v>796262.30799999961</v>
      </c>
      <c r="AB123">
        <f>IF(ISBLANK($J123),NA(),IFERROR(SUM($J123:$J$177),NA()))</f>
        <v>974769.98399999994</v>
      </c>
      <c r="AC123">
        <f t="shared" si="42"/>
        <v>1771032.2919999994</v>
      </c>
      <c r="AD123">
        <f t="shared" si="43"/>
        <v>33.455341874703663</v>
      </c>
      <c r="AE123">
        <f t="shared" si="44"/>
        <v>44.960349486388687</v>
      </c>
      <c r="AF123">
        <f>IF(ISBLANK($K123),NA(),IFERROR(SUM($K123:$K$177),NA()))</f>
        <v>581287.9439999999</v>
      </c>
      <c r="AG123">
        <f>IF(ISBLANK($L123),NA(),IFERROR(SUM($L123:$L$177),NA()))</f>
        <v>776095.64499999979</v>
      </c>
      <c r="AH123">
        <f>IF(ISBLANK($M123),NA(),IFERROR(SUM($M123:$M$177),NA()))</f>
        <v>923016.34400000004</v>
      </c>
      <c r="AI123">
        <f t="shared" si="45"/>
        <v>1699111.9889999998</v>
      </c>
      <c r="AJ123">
        <f t="shared" si="46"/>
        <v>34.211279054190697</v>
      </c>
      <c r="AK123">
        <f t="shared" si="47"/>
        <v>45.676544572954562</v>
      </c>
    </row>
    <row r="124" spans="1:37" x14ac:dyDescent="0.35">
      <c r="A124">
        <v>1971</v>
      </c>
      <c r="B124">
        <v>9527.5859999999993</v>
      </c>
      <c r="C124">
        <v>13090.857</v>
      </c>
      <c r="D124">
        <v>8992.7759999999998</v>
      </c>
      <c r="E124">
        <v>9472.6730000000007</v>
      </c>
      <c r="F124">
        <v>13244.295</v>
      </c>
      <c r="G124">
        <v>7733.7280000000001</v>
      </c>
      <c r="H124">
        <v>9527.5869999999995</v>
      </c>
      <c r="I124">
        <v>13090.857</v>
      </c>
      <c r="J124">
        <v>8992.527</v>
      </c>
      <c r="K124">
        <v>9479.1910000000007</v>
      </c>
      <c r="L124">
        <v>12748.281999999999</v>
      </c>
      <c r="M124">
        <v>7772.3620000000001</v>
      </c>
      <c r="N124">
        <f>IF(ISBLANK($B124),NA(),IFERROR(SUM($B124:$B$177),NA()))</f>
        <v>583070.97899999993</v>
      </c>
      <c r="O124">
        <f>IF(ISBLANK($C124),NA(),IFERROR(SUM($C124:$C$177),NA()))</f>
        <v>783251.10199999984</v>
      </c>
      <c r="P124">
        <f>IF(ISBLANK($D124),NA(),IFERROR(SUM($D124:$D$177),NA()))</f>
        <v>966200.29800000018</v>
      </c>
      <c r="Q124">
        <f t="shared" si="36"/>
        <v>1749451.4</v>
      </c>
      <c r="R124">
        <f t="shared" si="37"/>
        <v>33.328789756605978</v>
      </c>
      <c r="S124">
        <f t="shared" si="38"/>
        <v>44.771240973027311</v>
      </c>
      <c r="T124">
        <f>IF(ISBLANK($E124),NA(),IFERROR(SUM($E124:$E$177),NA()))</f>
        <v>522910.56500000006</v>
      </c>
      <c r="U124">
        <f>IF(ISBLANK($F124),NA(),IFERROR(SUM($F124:$F$177),NA()))</f>
        <v>665443.87599999981</v>
      </c>
      <c r="V124">
        <f>IF(ISBLANK($G124),NA(),IFERROR(SUM($G124:$G$177),NA()))</f>
        <v>754262.527</v>
      </c>
      <c r="W124">
        <f t="shared" si="39"/>
        <v>1419706.4029999999</v>
      </c>
      <c r="X124">
        <f t="shared" si="40"/>
        <v>36.832303065974131</v>
      </c>
      <c r="Y124">
        <f t="shared" si="41"/>
        <v>46.871935957592484</v>
      </c>
      <c r="Z124">
        <f>IF(ISBLANK($H124),NA(),IFERROR(SUM($H124:$H$177),NA()))</f>
        <v>583070.98499999987</v>
      </c>
      <c r="AA124">
        <f>IF(ISBLANK($I124),NA(),IFERROR(SUM($I124:$I$177),NA()))</f>
        <v>783251.10799999966</v>
      </c>
      <c r="AB124">
        <f>IF(ISBLANK($J124),NA(),IFERROR(SUM($J124:$J$177),NA()))</f>
        <v>965717.38299999991</v>
      </c>
      <c r="AC124">
        <f t="shared" si="42"/>
        <v>1748968.4909999995</v>
      </c>
      <c r="AD124">
        <f t="shared" si="43"/>
        <v>33.337992536767779</v>
      </c>
      <c r="AE124">
        <f t="shared" si="44"/>
        <v>44.783603136964686</v>
      </c>
      <c r="AF124">
        <f>IF(ISBLANK($K124),NA(),IFERROR(SUM($K124:$K$177),NA()))</f>
        <v>571965.49599999993</v>
      </c>
      <c r="AG124">
        <f>IF(ISBLANK($L124),NA(),IFERROR(SUM($L124:$L$177),NA()))</f>
        <v>763499.54099999985</v>
      </c>
      <c r="AH124">
        <f>IF(ISBLANK($M124),NA(),IFERROR(SUM($M124:$M$177),NA()))</f>
        <v>915239.74100000004</v>
      </c>
      <c r="AI124">
        <f t="shared" si="45"/>
        <v>1678739.2819999999</v>
      </c>
      <c r="AJ124">
        <f t="shared" si="46"/>
        <v>34.071133149310548</v>
      </c>
      <c r="AK124">
        <f t="shared" si="47"/>
        <v>45.480531085827053</v>
      </c>
    </row>
    <row r="125" spans="1:37" x14ac:dyDescent="0.35">
      <c r="A125">
        <v>1972</v>
      </c>
      <c r="B125">
        <v>9744.6219999999994</v>
      </c>
      <c r="C125">
        <v>13402.102999999999</v>
      </c>
      <c r="D125">
        <v>9971.9459999999999</v>
      </c>
      <c r="E125">
        <v>9880.2450000000008</v>
      </c>
      <c r="F125">
        <v>13769.956</v>
      </c>
      <c r="G125">
        <v>7850.1369999999997</v>
      </c>
      <c r="H125">
        <v>9744.6219999999994</v>
      </c>
      <c r="I125">
        <v>13402.103999999999</v>
      </c>
      <c r="J125">
        <v>9971.69</v>
      </c>
      <c r="K125">
        <v>9776.3700000000008</v>
      </c>
      <c r="L125">
        <v>13182.870999999999</v>
      </c>
      <c r="M125">
        <v>7952.183</v>
      </c>
      <c r="N125">
        <f>IF(ISBLANK($B125),NA(),IFERROR(SUM($B125:$B$177),NA()))</f>
        <v>573543.39299999992</v>
      </c>
      <c r="O125">
        <f>IF(ISBLANK($C125),NA(),IFERROR(SUM($C125:$C$177),NA()))</f>
        <v>770160.245</v>
      </c>
      <c r="P125">
        <f>IF(ISBLANK($D125),NA(),IFERROR(SUM($D125:$D$177),NA()))</f>
        <v>957207.52200000011</v>
      </c>
      <c r="Q125">
        <f t="shared" si="36"/>
        <v>1727367.767</v>
      </c>
      <c r="R125">
        <f t="shared" si="37"/>
        <v>33.203316859159607</v>
      </c>
      <c r="S125">
        <f t="shared" si="38"/>
        <v>44.585771467622855</v>
      </c>
      <c r="T125">
        <f>IF(ISBLANK($E125),NA(),IFERROR(SUM($E125:$E$177),NA()))</f>
        <v>513437.89200000005</v>
      </c>
      <c r="U125">
        <f>IF(ISBLANK($F125),NA(),IFERROR(SUM($F125:$F$177),NA()))</f>
        <v>652199.58099999977</v>
      </c>
      <c r="V125">
        <f>IF(ISBLANK($G125),NA(),IFERROR(SUM($G125:$G$177),NA()))</f>
        <v>746528.799</v>
      </c>
      <c r="W125">
        <f t="shared" si="39"/>
        <v>1398728.38</v>
      </c>
      <c r="X125">
        <f t="shared" si="40"/>
        <v>36.707476543801889</v>
      </c>
      <c r="Y125">
        <f t="shared" si="41"/>
        <v>46.628036602789159</v>
      </c>
      <c r="Z125">
        <f>IF(ISBLANK($H125),NA(),IFERROR(SUM($H125:$H$177),NA()))</f>
        <v>573543.39799999993</v>
      </c>
      <c r="AA125">
        <f>IF(ISBLANK($I125),NA(),IFERROR(SUM($I125:$I$177),NA()))</f>
        <v>770160.2509999997</v>
      </c>
      <c r="AB125">
        <f>IF(ISBLANK($J125),NA(),IFERROR(SUM($J125:$J$177),NA()))</f>
        <v>956724.85599999991</v>
      </c>
      <c r="AC125">
        <f t="shared" si="42"/>
        <v>1726885.1069999996</v>
      </c>
      <c r="AD125">
        <f t="shared" si="43"/>
        <v>33.21259739140249</v>
      </c>
      <c r="AE125">
        <f t="shared" si="44"/>
        <v>44.598233424917701</v>
      </c>
      <c r="AF125">
        <f>IF(ISBLANK($K125),NA(),IFERROR(SUM($K125:$K$177),NA()))</f>
        <v>562486.30499999993</v>
      </c>
      <c r="AG125">
        <f>IF(ISBLANK($L125),NA(),IFERROR(SUM($L125:$L$177),NA()))</f>
        <v>750751.25899999985</v>
      </c>
      <c r="AH125">
        <f>IF(ISBLANK($M125),NA(),IFERROR(SUM($M125:$M$177),NA()))</f>
        <v>907467.37900000007</v>
      </c>
      <c r="AI125">
        <f t="shared" si="45"/>
        <v>1658218.6379999998</v>
      </c>
      <c r="AJ125">
        <f t="shared" si="46"/>
        <v>33.921118247616754</v>
      </c>
      <c r="AK125">
        <f t="shared" si="47"/>
        <v>45.274564028872042</v>
      </c>
    </row>
    <row r="126" spans="1:37" x14ac:dyDescent="0.35">
      <c r="A126">
        <v>1973</v>
      </c>
      <c r="B126">
        <v>10142.714</v>
      </c>
      <c r="C126">
        <v>13968.674000000001</v>
      </c>
      <c r="D126">
        <v>9881.3320000000003</v>
      </c>
      <c r="E126">
        <v>10276.799999999999</v>
      </c>
      <c r="F126">
        <v>14263.343999999999</v>
      </c>
      <c r="G126">
        <v>8182.0119999999997</v>
      </c>
      <c r="H126">
        <v>10142.714</v>
      </c>
      <c r="I126">
        <v>13968.674000000001</v>
      </c>
      <c r="J126">
        <v>9881.0869999999995</v>
      </c>
      <c r="K126">
        <v>10176.486000000001</v>
      </c>
      <c r="L126">
        <v>13724.166999999999</v>
      </c>
      <c r="M126">
        <v>8248.6129999999994</v>
      </c>
      <c r="N126">
        <f>IF(ISBLANK($B126),NA(),IFERROR(SUM($B126:$B$177),NA()))</f>
        <v>563798.77099999983</v>
      </c>
      <c r="O126">
        <f>IF(ISBLANK($C126),NA(),IFERROR(SUM($C126:$C$177),NA()))</f>
        <v>756758.14199999988</v>
      </c>
      <c r="P126">
        <f>IF(ISBLANK($D126),NA(),IFERROR(SUM($D126:$D$177),NA()))</f>
        <v>947235.57600000012</v>
      </c>
      <c r="Q126">
        <f t="shared" si="36"/>
        <v>1703993.7179999999</v>
      </c>
      <c r="R126">
        <f t="shared" si="37"/>
        <v>33.086904314514612</v>
      </c>
      <c r="S126">
        <f t="shared" si="38"/>
        <v>44.410852810432715</v>
      </c>
      <c r="T126">
        <f>IF(ISBLANK($E126),NA(),IFERROR(SUM($E126:$E$177),NA()))</f>
        <v>503557.64700000011</v>
      </c>
      <c r="U126">
        <f>IF(ISBLANK($F126),NA(),IFERROR(SUM($F126:$F$177),NA()))</f>
        <v>638429.62499999988</v>
      </c>
      <c r="V126">
        <f>IF(ISBLANK($G126),NA(),IFERROR(SUM($G126:$G$177),NA()))</f>
        <v>738678.66200000001</v>
      </c>
      <c r="W126">
        <f t="shared" si="39"/>
        <v>1377108.287</v>
      </c>
      <c r="X126">
        <f t="shared" si="40"/>
        <v>36.566307221706538</v>
      </c>
      <c r="Y126">
        <f t="shared" si="41"/>
        <v>46.360161435874062</v>
      </c>
      <c r="Z126">
        <f>IF(ISBLANK($H126),NA(),IFERROR(SUM($H126:$H$177),NA()))</f>
        <v>563798.77599999995</v>
      </c>
      <c r="AA126">
        <f>IF(ISBLANK($I126),NA(),IFERROR(SUM($I126:$I$177),NA()))</f>
        <v>756758.14699999965</v>
      </c>
      <c r="AB126">
        <f>IF(ISBLANK($J126),NA(),IFERROR(SUM($J126:$J$177),NA()))</f>
        <v>946753.16599999997</v>
      </c>
      <c r="AC126">
        <f t="shared" si="42"/>
        <v>1703511.3129999996</v>
      </c>
      <c r="AD126">
        <f t="shared" si="43"/>
        <v>33.096274248223914</v>
      </c>
      <c r="AE126">
        <f t="shared" si="44"/>
        <v>44.423429490896474</v>
      </c>
      <c r="AF126">
        <f>IF(ISBLANK($K126),NA(),IFERROR(SUM($K126:$K$177),NA()))</f>
        <v>552709.93500000006</v>
      </c>
      <c r="AG126">
        <f>IF(ISBLANK($L126),NA(),IFERROR(SUM($L126:$L$177),NA()))</f>
        <v>737568.3879999998</v>
      </c>
      <c r="AH126">
        <f>IF(ISBLANK($M126),NA(),IFERROR(SUM($M126:$M$177),NA()))</f>
        <v>899515.196</v>
      </c>
      <c r="AI126">
        <f t="shared" si="45"/>
        <v>1637083.5839999998</v>
      </c>
      <c r="AJ126">
        <f t="shared" si="46"/>
        <v>33.761864110171189</v>
      </c>
      <c r="AK126">
        <f t="shared" si="47"/>
        <v>45.05380148018147</v>
      </c>
    </row>
    <row r="127" spans="1:37" x14ac:dyDescent="0.35">
      <c r="A127">
        <v>1974</v>
      </c>
      <c r="B127">
        <v>9893.0640000000003</v>
      </c>
      <c r="C127">
        <v>13806.355</v>
      </c>
      <c r="D127">
        <v>9971.0640000000003</v>
      </c>
      <c r="E127">
        <v>9964.0149999999994</v>
      </c>
      <c r="F127">
        <v>14012.093999999999</v>
      </c>
      <c r="G127">
        <v>8341.5689999999995</v>
      </c>
      <c r="H127">
        <v>9893.0640000000003</v>
      </c>
      <c r="I127">
        <v>13806.355</v>
      </c>
      <c r="J127">
        <v>9970.7450000000008</v>
      </c>
      <c r="K127">
        <v>9954.2870000000003</v>
      </c>
      <c r="L127">
        <v>13642.659</v>
      </c>
      <c r="M127">
        <v>8429.19</v>
      </c>
      <c r="N127">
        <f>IF(ISBLANK($B127),NA(),IFERROR(SUM($B127:$B$177),NA()))</f>
        <v>553656.05699999991</v>
      </c>
      <c r="O127">
        <f>IF(ISBLANK($C127),NA(),IFERROR(SUM($C127:$C$177),NA()))</f>
        <v>742789.46799999999</v>
      </c>
      <c r="P127">
        <f>IF(ISBLANK($D127),NA(),IFERROR(SUM($D127:$D$177),NA()))</f>
        <v>937354.24399999995</v>
      </c>
      <c r="Q127">
        <f t="shared" si="36"/>
        <v>1680143.7119999998</v>
      </c>
      <c r="R127">
        <f t="shared" si="37"/>
        <v>32.9528987934575</v>
      </c>
      <c r="S127">
        <f t="shared" si="38"/>
        <v>44.209876970333838</v>
      </c>
      <c r="T127">
        <f>IF(ISBLANK($E127),NA(),IFERROR(SUM($E127:$E$177),NA()))</f>
        <v>493280.84700000013</v>
      </c>
      <c r="U127">
        <f>IF(ISBLANK($F127),NA(),IFERROR(SUM($F127:$F$177),NA()))</f>
        <v>624166.28099999996</v>
      </c>
      <c r="V127">
        <f>IF(ISBLANK($G127),NA(),IFERROR(SUM($G127:$G$177),NA()))</f>
        <v>730496.64999999991</v>
      </c>
      <c r="W127">
        <f t="shared" si="39"/>
        <v>1354662.9309999999</v>
      </c>
      <c r="X127">
        <f t="shared" si="40"/>
        <v>36.413548766397902</v>
      </c>
      <c r="Y127">
        <f t="shared" si="41"/>
        <v>46.075393864896419</v>
      </c>
      <c r="Z127">
        <f>IF(ISBLANK($H127),NA(),IFERROR(SUM($H127:$H$177),NA()))</f>
        <v>553656.06199999992</v>
      </c>
      <c r="AA127">
        <f>IF(ISBLANK($I127),NA(),IFERROR(SUM($I127:$I$177),NA()))</f>
        <v>742789.47299999977</v>
      </c>
      <c r="AB127">
        <f>IF(ISBLANK($J127),NA(),IFERROR(SUM($J127:$J$177),NA()))</f>
        <v>936872.07899999991</v>
      </c>
      <c r="AC127">
        <f t="shared" si="42"/>
        <v>1679661.5519999997</v>
      </c>
      <c r="AD127">
        <f t="shared" si="43"/>
        <v>32.96235847875144</v>
      </c>
      <c r="AE127">
        <f t="shared" si="44"/>
        <v>44.222568059353897</v>
      </c>
      <c r="AF127">
        <f>IF(ISBLANK($K127),NA(),IFERROR(SUM($K127:$K$177),NA()))</f>
        <v>542533.44900000002</v>
      </c>
      <c r="AG127">
        <f>IF(ISBLANK($L127),NA(),IFERROR(SUM($L127:$L$177),NA()))</f>
        <v>723844.22099999979</v>
      </c>
      <c r="AH127">
        <f>IF(ISBLANK($M127),NA(),IFERROR(SUM($M127:$M$177),NA()))</f>
        <v>891266.58299999998</v>
      </c>
      <c r="AI127">
        <f t="shared" si="45"/>
        <v>1615110.8039999998</v>
      </c>
      <c r="AJ127">
        <f t="shared" si="46"/>
        <v>33.591097753563169</v>
      </c>
      <c r="AK127">
        <f t="shared" si="47"/>
        <v>44.817000741207345</v>
      </c>
    </row>
    <row r="128" spans="1:37" x14ac:dyDescent="0.35">
      <c r="A128">
        <v>1975</v>
      </c>
      <c r="B128">
        <v>9563.8349999999991</v>
      </c>
      <c r="C128">
        <v>13634.519</v>
      </c>
      <c r="D128">
        <v>9894.8150000000005</v>
      </c>
      <c r="E128">
        <v>9534.3209999999999</v>
      </c>
      <c r="F128">
        <v>13729.491</v>
      </c>
      <c r="G128">
        <v>8526.8880000000008</v>
      </c>
      <c r="H128">
        <v>9563.8349999999991</v>
      </c>
      <c r="I128">
        <v>13634.519</v>
      </c>
      <c r="J128">
        <v>9894.4850000000006</v>
      </c>
      <c r="K128">
        <v>9567.0380000000005</v>
      </c>
      <c r="L128">
        <v>13363.592000000001</v>
      </c>
      <c r="M128">
        <v>8634.35</v>
      </c>
      <c r="N128">
        <f>IF(ISBLANK($B128),NA(),IFERROR(SUM($B128:$B$177),NA()))</f>
        <v>543762.99300000002</v>
      </c>
      <c r="O128">
        <f>IF(ISBLANK($C128),NA(),IFERROR(SUM($C128:$C$177),NA()))</f>
        <v>728983.11299999978</v>
      </c>
      <c r="P128">
        <f>IF(ISBLANK($D128),NA(),IFERROR(SUM($D128:$D$177),NA()))</f>
        <v>927383.17999999993</v>
      </c>
      <c r="Q128">
        <f t="shared" si="36"/>
        <v>1656366.2929999996</v>
      </c>
      <c r="R128">
        <f t="shared" si="37"/>
        <v>32.828668109101649</v>
      </c>
      <c r="S128">
        <f t="shared" si="38"/>
        <v>44.010984531668441</v>
      </c>
      <c r="T128">
        <f>IF(ISBLANK($E128),NA(),IFERROR(SUM($E128:$E$177),NA()))</f>
        <v>483316.83200000011</v>
      </c>
      <c r="U128">
        <f>IF(ISBLANK($F128),NA(),IFERROR(SUM($F128:$F$177),NA()))</f>
        <v>610154.18700000003</v>
      </c>
      <c r="V128">
        <f>IF(ISBLANK($G128),NA(),IFERROR(SUM($G128:$G$177),NA()))</f>
        <v>722155.08099999989</v>
      </c>
      <c r="W128">
        <f t="shared" si="39"/>
        <v>1332309.2679999999</v>
      </c>
      <c r="X128">
        <f t="shared" si="40"/>
        <v>36.276624625266827</v>
      </c>
      <c r="Y128">
        <f t="shared" si="41"/>
        <v>45.796738163950089</v>
      </c>
      <c r="Z128">
        <f>IF(ISBLANK($H128),NA(),IFERROR(SUM($H128:$H$177),NA()))</f>
        <v>543762.99800000002</v>
      </c>
      <c r="AA128">
        <f>IF(ISBLANK($I128),NA(),IFERROR(SUM($I128:$I$177),NA()))</f>
        <v>728983.11799999978</v>
      </c>
      <c r="AB128">
        <f>IF(ISBLANK($J128),NA(),IFERROR(SUM($J128:$J$177),NA()))</f>
        <v>926901.33400000003</v>
      </c>
      <c r="AC128">
        <f t="shared" si="42"/>
        <v>1655884.4519999998</v>
      </c>
      <c r="AD128">
        <f t="shared" si="43"/>
        <v>32.838221129695114</v>
      </c>
      <c r="AE128">
        <f t="shared" si="44"/>
        <v>44.023791461990243</v>
      </c>
      <c r="AF128">
        <f>IF(ISBLANK($K128),NA(),IFERROR(SUM($K128:$K$177),NA()))</f>
        <v>532579.16200000001</v>
      </c>
      <c r="AG128">
        <f>IF(ISBLANK($L128),NA(),IFERROR(SUM($L128:$L$177),NA()))</f>
        <v>710201.5619999998</v>
      </c>
      <c r="AH128">
        <f>IF(ISBLANK($M128),NA(),IFERROR(SUM($M128:$M$177),NA()))</f>
        <v>882837.39300000004</v>
      </c>
      <c r="AI128">
        <f t="shared" si="45"/>
        <v>1593038.9549999998</v>
      </c>
      <c r="AJ128">
        <f t="shared" si="46"/>
        <v>33.431647125038452</v>
      </c>
      <c r="AK128">
        <f t="shared" si="47"/>
        <v>44.581556513161338</v>
      </c>
    </row>
    <row r="129" spans="1:37" x14ac:dyDescent="0.35">
      <c r="A129">
        <v>1976</v>
      </c>
      <c r="B129">
        <v>10041.337</v>
      </c>
      <c r="C129">
        <v>14289.133</v>
      </c>
      <c r="D129">
        <v>9948.3700000000008</v>
      </c>
      <c r="E129">
        <v>10109.978999999999</v>
      </c>
      <c r="F129">
        <v>14459.647999999999</v>
      </c>
      <c r="G129">
        <v>8976.2690000000002</v>
      </c>
      <c r="H129">
        <v>10041.337</v>
      </c>
      <c r="I129">
        <v>14289.133</v>
      </c>
      <c r="J129">
        <v>9948.1319999999996</v>
      </c>
      <c r="K129">
        <v>10010.825999999999</v>
      </c>
      <c r="L129">
        <v>14007.681</v>
      </c>
      <c r="M129">
        <v>8889.107</v>
      </c>
      <c r="N129">
        <f>IF(ISBLANK($B129),NA(),IFERROR(SUM($B129:$B$177),NA()))</f>
        <v>534199.15800000005</v>
      </c>
      <c r="O129">
        <f>IF(ISBLANK($C129),NA(),IFERROR(SUM($C129:$C$177),NA()))</f>
        <v>715348.59399999992</v>
      </c>
      <c r="P129">
        <f>IF(ISBLANK($D129),NA(),IFERROR(SUM($D129:$D$177),NA()))</f>
        <v>917488.36499999999</v>
      </c>
      <c r="Q129">
        <f t="shared" si="36"/>
        <v>1632836.9589999998</v>
      </c>
      <c r="R129">
        <f t="shared" si="37"/>
        <v>32.716013381223327</v>
      </c>
      <c r="S129">
        <f t="shared" si="38"/>
        <v>43.810166719774749</v>
      </c>
      <c r="T129">
        <f>IF(ISBLANK($E129),NA(),IFERROR(SUM($E129:$E$177),NA()))</f>
        <v>473782.51100000017</v>
      </c>
      <c r="U129">
        <f>IF(ISBLANK($F129),NA(),IFERROR(SUM($F129:$F$177),NA()))</f>
        <v>596424.696</v>
      </c>
      <c r="V129">
        <f>IF(ISBLANK($G129),NA(),IFERROR(SUM($G129:$G$177),NA()))</f>
        <v>713628.19299999985</v>
      </c>
      <c r="W129">
        <f t="shared" si="39"/>
        <v>1310052.889</v>
      </c>
      <c r="X129">
        <f t="shared" si="40"/>
        <v>36.165143787565071</v>
      </c>
      <c r="Y129">
        <f t="shared" si="41"/>
        <v>45.526764683162348</v>
      </c>
      <c r="Z129">
        <f>IF(ISBLANK($H129),NA(),IFERROR(SUM($H129:$H$177),NA()))</f>
        <v>534199.16300000006</v>
      </c>
      <c r="AA129">
        <f>IF(ISBLANK($I129),NA(),IFERROR(SUM($I129:$I$177),NA()))</f>
        <v>715348.5989999997</v>
      </c>
      <c r="AB129">
        <f>IF(ISBLANK($J129),NA(),IFERROR(SUM($J129:$J$177),NA()))</f>
        <v>917006.84899999993</v>
      </c>
      <c r="AC129">
        <f t="shared" si="42"/>
        <v>1632355.4479999996</v>
      </c>
      <c r="AD129">
        <f t="shared" si="43"/>
        <v>32.725664232904265</v>
      </c>
      <c r="AE129">
        <f t="shared" si="44"/>
        <v>43.823090116583472</v>
      </c>
      <c r="AF129">
        <f>IF(ISBLANK($K129),NA(),IFERROR(SUM($K129:$K$177),NA()))</f>
        <v>523012.12400000001</v>
      </c>
      <c r="AG129">
        <f>IF(ISBLANK($L129),NA(),IFERROR(SUM($L129:$L$177),NA()))</f>
        <v>696837.96999999986</v>
      </c>
      <c r="AH129">
        <f>IF(ISBLANK($M129),NA(),IFERROR(SUM($M129:$M$177),NA()))</f>
        <v>874203.04300000006</v>
      </c>
      <c r="AI129">
        <f t="shared" si="45"/>
        <v>1571041.0129999998</v>
      </c>
      <c r="AJ129">
        <f t="shared" si="46"/>
        <v>33.290800155578118</v>
      </c>
      <c r="AK129">
        <f t="shared" si="47"/>
        <v>44.355173686353652</v>
      </c>
    </row>
    <row r="130" spans="1:37" x14ac:dyDescent="0.35">
      <c r="A130">
        <v>1977</v>
      </c>
      <c r="B130">
        <v>10419.695</v>
      </c>
      <c r="C130">
        <v>14771.84</v>
      </c>
      <c r="D130">
        <v>10898.955</v>
      </c>
      <c r="E130">
        <v>10198.146000000001</v>
      </c>
      <c r="F130">
        <v>14647.776</v>
      </c>
      <c r="G130">
        <v>9241.6409999999996</v>
      </c>
      <c r="H130">
        <v>10419.695</v>
      </c>
      <c r="I130">
        <v>14771.84</v>
      </c>
      <c r="J130">
        <v>10898.68</v>
      </c>
      <c r="K130">
        <v>10108.224</v>
      </c>
      <c r="L130">
        <v>14222.630999999999</v>
      </c>
      <c r="M130">
        <v>9217.0759999999991</v>
      </c>
      <c r="N130">
        <f>IF(ISBLANK($B130),NA(),IFERROR(SUM($B130:$B$177),NA()))</f>
        <v>524157.82099999994</v>
      </c>
      <c r="O130">
        <f>IF(ISBLANK($C130),NA(),IFERROR(SUM($C130:$C$177),NA()))</f>
        <v>701059.46100000001</v>
      </c>
      <c r="P130">
        <f>IF(ISBLANK($D130),NA(),IFERROR(SUM($D130:$D$177),NA()))</f>
        <v>907539.99499999988</v>
      </c>
      <c r="Q130">
        <f t="shared" si="36"/>
        <v>1608599.4559999998</v>
      </c>
      <c r="R130">
        <f t="shared" si="37"/>
        <v>32.584731957039779</v>
      </c>
      <c r="S130">
        <f t="shared" si="38"/>
        <v>43.581977998629888</v>
      </c>
      <c r="T130">
        <f>IF(ISBLANK($E130),NA(),IFERROR(SUM($E130:$E$177),NA()))</f>
        <v>463672.53200000012</v>
      </c>
      <c r="U130">
        <f>IF(ISBLANK($F130),NA(),IFERROR(SUM($F130:$F$177),NA()))</f>
        <v>581965.04800000007</v>
      </c>
      <c r="V130">
        <f>IF(ISBLANK($G130),NA(),IFERROR(SUM($G130:$G$177),NA()))</f>
        <v>704651.924</v>
      </c>
      <c r="W130">
        <f t="shared" si="39"/>
        <v>1286616.9720000001</v>
      </c>
      <c r="X130">
        <f t="shared" si="40"/>
        <v>36.03811717789155</v>
      </c>
      <c r="Y130">
        <f t="shared" si="41"/>
        <v>45.232191138855896</v>
      </c>
      <c r="Z130">
        <f>IF(ISBLANK($H130),NA(),IFERROR(SUM($H130:$H$177),NA()))</f>
        <v>524157.82600000006</v>
      </c>
      <c r="AA130">
        <f>IF(ISBLANK($I130),NA(),IFERROR(SUM($I130:$I$177),NA()))</f>
        <v>701059.4659999999</v>
      </c>
      <c r="AB130">
        <f>IF(ISBLANK($J130),NA(),IFERROR(SUM($J130:$J$177),NA()))</f>
        <v>907058.71699999995</v>
      </c>
      <c r="AC130">
        <f t="shared" si="42"/>
        <v>1608118.1829999997</v>
      </c>
      <c r="AD130">
        <f t="shared" si="43"/>
        <v>32.594484133135396</v>
      </c>
      <c r="AE130">
        <f t="shared" si="44"/>
        <v>43.595021398996266</v>
      </c>
      <c r="AF130">
        <f>IF(ISBLANK($K130),NA(),IFERROR(SUM($K130:$K$177),NA()))</f>
        <v>513001.29800000001</v>
      </c>
      <c r="AG130">
        <f>IF(ISBLANK($L130),NA(),IFERROR(SUM($L130:$L$177),NA()))</f>
        <v>682830.28899999987</v>
      </c>
      <c r="AH130">
        <f>IF(ISBLANK($M130),NA(),IFERROR(SUM($M130:$M$177),NA()))</f>
        <v>865313.9360000001</v>
      </c>
      <c r="AI130">
        <f t="shared" si="45"/>
        <v>1548144.2250000001</v>
      </c>
      <c r="AJ130">
        <f t="shared" si="46"/>
        <v>33.136531449452008</v>
      </c>
      <c r="AK130">
        <f t="shared" si="47"/>
        <v>44.106374456165405</v>
      </c>
    </row>
    <row r="131" spans="1:37" x14ac:dyDescent="0.35">
      <c r="A131">
        <v>1978</v>
      </c>
      <c r="B131">
        <v>10499.709000000001</v>
      </c>
      <c r="C131">
        <v>15014.12</v>
      </c>
      <c r="D131">
        <v>11212.773999999999</v>
      </c>
      <c r="E131">
        <v>10455.737999999999</v>
      </c>
      <c r="F131">
        <v>15020.124</v>
      </c>
      <c r="G131">
        <v>9533.3089999999993</v>
      </c>
      <c r="H131">
        <v>10499.71</v>
      </c>
      <c r="I131">
        <v>15014.12</v>
      </c>
      <c r="J131">
        <v>11212.572</v>
      </c>
      <c r="K131">
        <v>10287.269</v>
      </c>
      <c r="L131">
        <v>14520.813</v>
      </c>
      <c r="M131">
        <v>9598.1959999999999</v>
      </c>
      <c r="N131">
        <f>IF(ISBLANK($B131),NA(),IFERROR(SUM($B131:$B$177),NA()))</f>
        <v>513738.12599999999</v>
      </c>
      <c r="O131">
        <f>IF(ISBLANK($C131),NA(),IFERROR(SUM($C131:$C$177),NA()))</f>
        <v>686287.62099999993</v>
      </c>
      <c r="P131">
        <f>IF(ISBLANK($D131),NA(),IFERROR(SUM($D131:$D$177),NA()))</f>
        <v>896641.04</v>
      </c>
      <c r="Q131">
        <f t="shared" ref="Q131:Q162" si="48">IFERROR(O131+P131,"")</f>
        <v>1582928.6609999998</v>
      </c>
      <c r="R131">
        <f t="shared" ref="R131:R162" si="49">IFERROR(N131/Q131*100,NA())</f>
        <v>32.454913392966859</v>
      </c>
      <c r="S131">
        <f t="shared" ref="S131:S162" si="50">IFERROR(O131/Q131*100,NA())</f>
        <v>43.355562250445601</v>
      </c>
      <c r="T131">
        <f>IF(ISBLANK($E131),NA(),IFERROR(SUM($E131:$E$177),NA()))</f>
        <v>453474.38600000012</v>
      </c>
      <c r="U131">
        <f>IF(ISBLANK($F131),NA(),IFERROR(SUM($F131:$F$177),NA()))</f>
        <v>567317.27200000011</v>
      </c>
      <c r="V131">
        <f>IF(ISBLANK($G131),NA(),IFERROR(SUM($G131:$G$177),NA()))</f>
        <v>695410.28299999994</v>
      </c>
      <c r="W131">
        <f t="shared" ref="W131:W162" si="51">IFERROR(U131+V131,"")</f>
        <v>1262727.5550000002</v>
      </c>
      <c r="X131">
        <f t="shared" ref="X131:X162" si="52">IFERROR(T131/W131*100,NA())</f>
        <v>35.912290359419622</v>
      </c>
      <c r="Y131">
        <f t="shared" ref="Y131:Y162" si="53">IFERROR(U131/W131*100,NA())</f>
        <v>44.927923664420234</v>
      </c>
      <c r="Z131">
        <f>IF(ISBLANK($H131),NA(),IFERROR(SUM($H131:$H$177),NA()))</f>
        <v>513738.13099999999</v>
      </c>
      <c r="AA131">
        <f>IF(ISBLANK($I131),NA(),IFERROR(SUM($I131:$I$177),NA()))</f>
        <v>686287.62599999981</v>
      </c>
      <c r="AB131">
        <f>IF(ISBLANK($J131),NA(),IFERROR(SUM($J131:$J$177),NA()))</f>
        <v>896160.03700000001</v>
      </c>
      <c r="AC131">
        <f t="shared" ref="AC131:AC162" si="54">IFERROR(AA131+AB131,"")</f>
        <v>1582447.6629999997</v>
      </c>
      <c r="AD131">
        <f t="shared" ref="AD131:AD162" si="55">IFERROR(Z131/AC131*100,NA())</f>
        <v>32.464778647153281</v>
      </c>
      <c r="AE131">
        <f t="shared" ref="AE131:AE162" si="56">IFERROR(AA131/AC131*100,NA())</f>
        <v>43.368740846628548</v>
      </c>
      <c r="AF131">
        <f>IF(ISBLANK($K131),NA(),IFERROR(SUM($K131:$K$177),NA()))</f>
        <v>502893.07399999996</v>
      </c>
      <c r="AG131">
        <f>IF(ISBLANK($L131),NA(),IFERROR(SUM($L131:$L$177),NA()))</f>
        <v>668607.6579999997</v>
      </c>
      <c r="AH131">
        <f>IF(ISBLANK($M131),NA(),IFERROR(SUM($M131:$M$177),NA()))</f>
        <v>856096.8600000001</v>
      </c>
      <c r="AI131">
        <f t="shared" ref="AI131:AI162" si="57">IFERROR(AG131+AH131,"")</f>
        <v>1524704.5179999997</v>
      </c>
      <c r="AJ131">
        <f t="shared" ref="AJ131:AJ162" si="58">IFERROR(AF131/AI131*100,NA())</f>
        <v>32.982985756457246</v>
      </c>
      <c r="AK131">
        <f t="shared" ref="AK131:AK162" si="59">IFERROR(AG131/AI131*100,NA())</f>
        <v>43.851621747473558</v>
      </c>
    </row>
    <row r="132" spans="1:37" x14ac:dyDescent="0.35">
      <c r="A132">
        <v>1979</v>
      </c>
      <c r="B132">
        <v>10722.335999999999</v>
      </c>
      <c r="C132">
        <v>15188.069</v>
      </c>
      <c r="D132">
        <v>10500.963</v>
      </c>
      <c r="E132">
        <v>10720.686</v>
      </c>
      <c r="F132">
        <v>15299.467000000001</v>
      </c>
      <c r="G132">
        <v>9682.7980000000007</v>
      </c>
      <c r="H132">
        <v>10722.335999999999</v>
      </c>
      <c r="I132">
        <v>15188.069</v>
      </c>
      <c r="J132">
        <v>10500.739</v>
      </c>
      <c r="K132">
        <v>10514.467000000001</v>
      </c>
      <c r="L132">
        <v>14742.777</v>
      </c>
      <c r="M132">
        <v>9545.2309999999998</v>
      </c>
      <c r="N132">
        <f>IF(ISBLANK($B132),NA(),IFERROR(SUM($B132:$B$177),NA()))</f>
        <v>503238.41699999996</v>
      </c>
      <c r="O132">
        <f>IF(ISBLANK($C132),NA(),IFERROR(SUM($C132:$C$177),NA()))</f>
        <v>671273.50100000005</v>
      </c>
      <c r="P132">
        <f>IF(ISBLANK($D132),NA(),IFERROR(SUM($D132:$D$177),NA()))</f>
        <v>885428.26600000006</v>
      </c>
      <c r="Q132">
        <f t="shared" si="48"/>
        <v>1556701.767</v>
      </c>
      <c r="R132">
        <f t="shared" si="49"/>
        <v>32.327220773303075</v>
      </c>
      <c r="S132">
        <f t="shared" si="50"/>
        <v>43.121522389843861</v>
      </c>
      <c r="T132">
        <f>IF(ISBLANK($E132),NA(),IFERROR(SUM($E132:$E$177),NA()))</f>
        <v>443018.64800000016</v>
      </c>
      <c r="U132">
        <f>IF(ISBLANK($F132),NA(),IFERROR(SUM($F132:$F$177),NA()))</f>
        <v>552297.14800000004</v>
      </c>
      <c r="V132">
        <f>IF(ISBLANK($G132),NA(),IFERROR(SUM($G132:$G$177),NA()))</f>
        <v>685876.97399999993</v>
      </c>
      <c r="W132">
        <f t="shared" si="51"/>
        <v>1238174.122</v>
      </c>
      <c r="X132">
        <f t="shared" si="52"/>
        <v>35.779995731488903</v>
      </c>
      <c r="Y132">
        <f t="shared" si="53"/>
        <v>44.605773791159884</v>
      </c>
      <c r="Z132">
        <f>IF(ISBLANK($H132),NA(),IFERROR(SUM($H132:$H$177),NA()))</f>
        <v>503238.42100000003</v>
      </c>
      <c r="AA132">
        <f>IF(ISBLANK($I132),NA(),IFERROR(SUM($I132:$I$177),NA()))</f>
        <v>671273.50599999994</v>
      </c>
      <c r="AB132">
        <f>IF(ISBLANK($J132),NA(),IFERROR(SUM($J132:$J$177),NA()))</f>
        <v>884947.46499999985</v>
      </c>
      <c r="AC132">
        <f t="shared" si="54"/>
        <v>1556220.9709999999</v>
      </c>
      <c r="AD132">
        <f t="shared" si="55"/>
        <v>32.337208556997403</v>
      </c>
      <c r="AE132">
        <f t="shared" si="56"/>
        <v>43.134845147900272</v>
      </c>
      <c r="AF132">
        <f>IF(ISBLANK($K132),NA(),IFERROR(SUM($K132:$K$177),NA()))</f>
        <v>492605.80499999999</v>
      </c>
      <c r="AG132">
        <f>IF(ISBLANK($L132),NA(),IFERROR(SUM($L132:$L$177),NA()))</f>
        <v>654086.84499999986</v>
      </c>
      <c r="AH132">
        <f>IF(ISBLANK($M132),NA(),IFERROR(SUM($M132:$M$177),NA()))</f>
        <v>846498.66400000011</v>
      </c>
      <c r="AI132">
        <f t="shared" si="57"/>
        <v>1500585.5090000001</v>
      </c>
      <c r="AJ132">
        <f t="shared" si="58"/>
        <v>32.827573106998457</v>
      </c>
      <c r="AK132">
        <f t="shared" si="59"/>
        <v>43.588775253193504</v>
      </c>
    </row>
    <row r="133" spans="1:37" x14ac:dyDescent="0.35">
      <c r="A133">
        <v>1980</v>
      </c>
      <c r="B133">
        <v>10470.843000000001</v>
      </c>
      <c r="C133">
        <v>15222.822</v>
      </c>
      <c r="D133">
        <v>10591.092000000001</v>
      </c>
      <c r="E133">
        <v>10338.017</v>
      </c>
      <c r="F133">
        <v>15026.342000000001</v>
      </c>
      <c r="G133">
        <v>9606.4779999999992</v>
      </c>
      <c r="H133">
        <v>10470.843000000001</v>
      </c>
      <c r="I133">
        <v>15222.822</v>
      </c>
      <c r="J133">
        <v>10590.834999999999</v>
      </c>
      <c r="K133">
        <v>10255.226000000001</v>
      </c>
      <c r="L133">
        <v>14715.505999999999</v>
      </c>
      <c r="M133">
        <v>9502.5889999999999</v>
      </c>
      <c r="N133">
        <f>IF(ISBLANK($B133),NA(),IFERROR(SUM($B133:$B$177),NA()))</f>
        <v>492516.08099999995</v>
      </c>
      <c r="O133">
        <f>IF(ISBLANK($C133),NA(),IFERROR(SUM($C133:$C$177),NA()))</f>
        <v>656085.43199999991</v>
      </c>
      <c r="P133">
        <f>IF(ISBLANK($D133),NA(),IFERROR(SUM($D133:$D$177),NA()))</f>
        <v>874927.30300000007</v>
      </c>
      <c r="Q133">
        <f t="shared" si="48"/>
        <v>1531012.7349999999</v>
      </c>
      <c r="R133">
        <f t="shared" si="49"/>
        <v>32.169300080968952</v>
      </c>
      <c r="S133">
        <f t="shared" si="50"/>
        <v>42.853035575827526</v>
      </c>
      <c r="T133">
        <f>IF(ISBLANK($E133),NA(),IFERROR(SUM($E133:$E$177),NA()))</f>
        <v>432297.96200000012</v>
      </c>
      <c r="U133">
        <f>IF(ISBLANK($F133),NA(),IFERROR(SUM($F133:$F$177),NA()))</f>
        <v>536997.68099999998</v>
      </c>
      <c r="V133">
        <f>IF(ISBLANK($G133),NA(),IFERROR(SUM($G133:$G$177),NA()))</f>
        <v>676194.17599999998</v>
      </c>
      <c r="W133">
        <f t="shared" si="51"/>
        <v>1213191.8569999998</v>
      </c>
      <c r="X133">
        <f t="shared" si="52"/>
        <v>35.633107781401812</v>
      </c>
      <c r="Y133">
        <f t="shared" si="53"/>
        <v>44.263211783163172</v>
      </c>
      <c r="Z133">
        <f>IF(ISBLANK($H133),NA(),IFERROR(SUM($H133:$H$177),NA()))</f>
        <v>492516.08500000002</v>
      </c>
      <c r="AA133">
        <f>IF(ISBLANK($I133),NA(),IFERROR(SUM($I133:$I$177),NA()))</f>
        <v>656085.43699999992</v>
      </c>
      <c r="AB133">
        <f>IF(ISBLANK($J133),NA(),IFERROR(SUM($J133:$J$177),NA()))</f>
        <v>874446.72600000002</v>
      </c>
      <c r="AC133">
        <f t="shared" si="54"/>
        <v>1530532.1629999999</v>
      </c>
      <c r="AD133">
        <f t="shared" si="55"/>
        <v>32.179401185181106</v>
      </c>
      <c r="AE133">
        <f t="shared" si="56"/>
        <v>42.866491332923395</v>
      </c>
      <c r="AF133">
        <f>IF(ISBLANK($K133),NA(),IFERROR(SUM($K133:$K$177),NA()))</f>
        <v>482091.33799999993</v>
      </c>
      <c r="AG133">
        <f>IF(ISBLANK($L133),NA(),IFERROR(SUM($L133:$L$177),NA()))</f>
        <v>639344.06799999985</v>
      </c>
      <c r="AH133">
        <f>IF(ISBLANK($M133),NA(),IFERROR(SUM($M133:$M$177),NA()))</f>
        <v>836953.43300000008</v>
      </c>
      <c r="AI133">
        <f t="shared" si="57"/>
        <v>1476297.5009999999</v>
      </c>
      <c r="AJ133">
        <f t="shared" si="58"/>
        <v>32.655432775131409</v>
      </c>
      <c r="AK133">
        <f t="shared" si="59"/>
        <v>43.307264800416398</v>
      </c>
    </row>
    <row r="134" spans="1:37" x14ac:dyDescent="0.35">
      <c r="A134">
        <v>1981</v>
      </c>
      <c r="B134">
        <v>10087.187</v>
      </c>
      <c r="C134">
        <v>14563.036</v>
      </c>
      <c r="D134">
        <v>10596.503000000001</v>
      </c>
      <c r="E134">
        <v>9961.0859999999993</v>
      </c>
      <c r="F134">
        <v>14510.741</v>
      </c>
      <c r="G134">
        <v>9717.7520000000004</v>
      </c>
      <c r="H134">
        <v>10087.186</v>
      </c>
      <c r="I134">
        <v>14563.036</v>
      </c>
      <c r="J134">
        <v>10596.243</v>
      </c>
      <c r="K134">
        <v>9845.634</v>
      </c>
      <c r="L134">
        <v>14088.19</v>
      </c>
      <c r="M134">
        <v>9497.9889999999996</v>
      </c>
      <c r="N134">
        <f>IF(ISBLANK($B134),NA(),IFERROR(SUM($B134:$B$177),NA()))</f>
        <v>482045.23799999995</v>
      </c>
      <c r="O134">
        <f>IF(ISBLANK($C134),NA(),IFERROR(SUM($C134:$C$177),NA()))</f>
        <v>640862.60999999987</v>
      </c>
      <c r="P134">
        <f>IF(ISBLANK($D134),NA(),IFERROR(SUM($D134:$D$177),NA()))</f>
        <v>864336.21100000013</v>
      </c>
      <c r="Q134">
        <f t="shared" si="48"/>
        <v>1505198.821</v>
      </c>
      <c r="R134">
        <f t="shared" si="49"/>
        <v>32.025353147682274</v>
      </c>
      <c r="S134">
        <f t="shared" si="50"/>
        <v>42.576608555555055</v>
      </c>
      <c r="T134">
        <f>IF(ISBLANK($E134),NA(),IFERROR(SUM($E134:$E$177),NA()))</f>
        <v>421959.94500000012</v>
      </c>
      <c r="U134">
        <f>IF(ISBLANK($F134),NA(),IFERROR(SUM($F134:$F$177),NA()))</f>
        <v>521971.33899999998</v>
      </c>
      <c r="V134">
        <f>IF(ISBLANK($G134),NA(),IFERROR(SUM($G134:$G$177),NA()))</f>
        <v>666587.69799999997</v>
      </c>
      <c r="W134">
        <f t="shared" si="51"/>
        <v>1188559.037</v>
      </c>
      <c r="X134">
        <f t="shared" si="52"/>
        <v>35.501807807970096</v>
      </c>
      <c r="Y134">
        <f t="shared" si="53"/>
        <v>43.916315702540906</v>
      </c>
      <c r="Z134">
        <f>IF(ISBLANK($H134),NA(),IFERROR(SUM($H134:$H$177),NA()))</f>
        <v>482045.24200000003</v>
      </c>
      <c r="AA134">
        <f>IF(ISBLANK($I134),NA(),IFERROR(SUM($I134:$I$177),NA()))</f>
        <v>640862.61499999999</v>
      </c>
      <c r="AB134">
        <f>IF(ISBLANK($J134),NA(),IFERROR(SUM($J134:$J$177),NA()))</f>
        <v>863855.89099999983</v>
      </c>
      <c r="AC134">
        <f t="shared" si="54"/>
        <v>1504718.5059999998</v>
      </c>
      <c r="AD134">
        <f t="shared" si="55"/>
        <v>32.035576094655944</v>
      </c>
      <c r="AE134">
        <f t="shared" si="56"/>
        <v>42.590199591789968</v>
      </c>
      <c r="AF134">
        <f>IF(ISBLANK($K134),NA(),IFERROR(SUM($K134:$K$177),NA()))</f>
        <v>471836.11200000002</v>
      </c>
      <c r="AG134">
        <f>IF(ISBLANK($L134),NA(),IFERROR(SUM($L134:$L$177),NA()))</f>
        <v>624628.56199999992</v>
      </c>
      <c r="AH134">
        <f>IF(ISBLANK($M134),NA(),IFERROR(SUM($M134:$M$177),NA()))</f>
        <v>827450.84400000004</v>
      </c>
      <c r="AI134">
        <f t="shared" si="57"/>
        <v>1452079.406</v>
      </c>
      <c r="AJ134">
        <f t="shared" si="58"/>
        <v>32.493822999649375</v>
      </c>
      <c r="AK134">
        <f t="shared" si="59"/>
        <v>43.016143567564647</v>
      </c>
    </row>
    <row r="135" spans="1:37" x14ac:dyDescent="0.35">
      <c r="A135">
        <v>1982</v>
      </c>
      <c r="B135">
        <v>9597.0169999999998</v>
      </c>
      <c r="C135">
        <v>14161.383</v>
      </c>
      <c r="D135">
        <v>10410.565000000001</v>
      </c>
      <c r="E135">
        <v>9507.5059999999994</v>
      </c>
      <c r="F135">
        <v>14117.93</v>
      </c>
      <c r="G135">
        <v>10598.344999999999</v>
      </c>
      <c r="H135">
        <v>9597.0169999999998</v>
      </c>
      <c r="I135">
        <v>14161.383</v>
      </c>
      <c r="J135">
        <v>10410.334000000001</v>
      </c>
      <c r="K135">
        <v>9401.1129999999994</v>
      </c>
      <c r="L135">
        <v>13736.4</v>
      </c>
      <c r="M135">
        <v>9621.8739999999998</v>
      </c>
      <c r="N135">
        <f>IF(ISBLANK($B135),NA(),IFERROR(SUM($B135:$B$177),NA()))</f>
        <v>471958.05100000004</v>
      </c>
      <c r="O135">
        <f>IF(ISBLANK($C135),NA(),IFERROR(SUM($C135:$C$177),NA()))</f>
        <v>626299.57399999991</v>
      </c>
      <c r="P135">
        <f>IF(ISBLANK($D135),NA(),IFERROR(SUM($D135:$D$177),NA()))</f>
        <v>853739.7080000001</v>
      </c>
      <c r="Q135">
        <f t="shared" si="48"/>
        <v>1480039.2820000001</v>
      </c>
      <c r="R135">
        <f t="shared" si="49"/>
        <v>31.888211126547656</v>
      </c>
      <c r="S135">
        <f t="shared" si="50"/>
        <v>42.316415626054976</v>
      </c>
      <c r="T135">
        <f>IF(ISBLANK($E135),NA(),IFERROR(SUM($E135:$E$177),NA()))</f>
        <v>411998.85900000011</v>
      </c>
      <c r="U135">
        <f>IF(ISBLANK($F135),NA(),IFERROR(SUM($F135:$F$177),NA()))</f>
        <v>507460.598</v>
      </c>
      <c r="V135">
        <f>IF(ISBLANK($G135),NA(),IFERROR(SUM($G135:$G$177),NA()))</f>
        <v>656869.94599999988</v>
      </c>
      <c r="W135">
        <f t="shared" si="51"/>
        <v>1164330.5439999998</v>
      </c>
      <c r="X135">
        <f t="shared" si="52"/>
        <v>35.38504260006772</v>
      </c>
      <c r="Y135">
        <f t="shared" si="53"/>
        <v>43.583894677936073</v>
      </c>
      <c r="Z135">
        <f>IF(ISBLANK($H135),NA(),IFERROR(SUM($H135:$H$177),NA()))</f>
        <v>471958.05600000016</v>
      </c>
      <c r="AA135">
        <f>IF(ISBLANK($I135),NA(),IFERROR(SUM($I135:$I$177),NA()))</f>
        <v>626299.57900000003</v>
      </c>
      <c r="AB135">
        <f>IF(ISBLANK($J135),NA(),IFERROR(SUM($J135:$J$177),NA()))</f>
        <v>853259.64800000004</v>
      </c>
      <c r="AC135">
        <f t="shared" si="54"/>
        <v>1479559.227</v>
      </c>
      <c r="AD135">
        <f t="shared" si="55"/>
        <v>31.898557853405901</v>
      </c>
      <c r="AE135">
        <f t="shared" si="56"/>
        <v>42.330145868503308</v>
      </c>
      <c r="AF135">
        <f>IF(ISBLANK($K135),NA(),IFERROR(SUM($K135:$K$177),NA()))</f>
        <v>461990.47799999994</v>
      </c>
      <c r="AG135">
        <f>IF(ISBLANK($L135),NA(),IFERROR(SUM($L135:$L$177),NA()))</f>
        <v>610540.37199999997</v>
      </c>
      <c r="AH135">
        <f>IF(ISBLANK($M135),NA(),IFERROR(SUM($M135:$M$177),NA()))</f>
        <v>817952.8550000001</v>
      </c>
      <c r="AI135">
        <f t="shared" si="57"/>
        <v>1428493.227</v>
      </c>
      <c r="AJ135">
        <f t="shared" si="58"/>
        <v>32.341103847599825</v>
      </c>
      <c r="AK135">
        <f t="shared" si="59"/>
        <v>42.740165683683706</v>
      </c>
    </row>
    <row r="136" spans="1:37" x14ac:dyDescent="0.35">
      <c r="A136">
        <v>1983</v>
      </c>
      <c r="B136">
        <v>9726.5939999999991</v>
      </c>
      <c r="C136">
        <v>14380.71</v>
      </c>
      <c r="D136">
        <v>10900.24</v>
      </c>
      <c r="E136">
        <v>9462.8719999999994</v>
      </c>
      <c r="F136">
        <v>14118.761</v>
      </c>
      <c r="G136">
        <v>10974.083000000001</v>
      </c>
      <c r="H136">
        <v>9726.5930000000008</v>
      </c>
      <c r="I136">
        <v>14380.71</v>
      </c>
      <c r="J136">
        <v>10900.002</v>
      </c>
      <c r="K136">
        <v>9305.6959999999999</v>
      </c>
      <c r="L136">
        <v>13648.347</v>
      </c>
      <c r="M136">
        <v>9968.2999999999993</v>
      </c>
      <c r="N136">
        <f>IF(ISBLANK($B136),NA(),IFERROR(SUM($B136:$B$177),NA()))</f>
        <v>462361.03400000004</v>
      </c>
      <c r="O136">
        <f>IF(ISBLANK($C136),NA(),IFERROR(SUM($C136:$C$177),NA()))</f>
        <v>612138.19099999999</v>
      </c>
      <c r="P136">
        <f>IF(ISBLANK($D136),NA(),IFERROR(SUM($D136:$D$177),NA()))</f>
        <v>843329.14299999992</v>
      </c>
      <c r="Q136">
        <f t="shared" si="48"/>
        <v>1455467.3339999998</v>
      </c>
      <c r="R136">
        <f t="shared" si="49"/>
        <v>31.767187294359445</v>
      </c>
      <c r="S136">
        <f t="shared" si="50"/>
        <v>42.057844700484367</v>
      </c>
      <c r="T136">
        <f>IF(ISBLANK($E136),NA(),IFERROR(SUM($E136:$E$177),NA()))</f>
        <v>402491.35300000012</v>
      </c>
      <c r="U136">
        <f>IF(ISBLANK($F136),NA(),IFERROR(SUM($F136:$F$177),NA()))</f>
        <v>493342.66800000001</v>
      </c>
      <c r="V136">
        <f>IF(ISBLANK($G136),NA(),IFERROR(SUM($G136:$G$177),NA()))</f>
        <v>646271.60099999991</v>
      </c>
      <c r="W136">
        <f t="shared" si="51"/>
        <v>1139614.2689999999</v>
      </c>
      <c r="X136">
        <f t="shared" si="52"/>
        <v>35.318209322982788</v>
      </c>
      <c r="Y136">
        <f t="shared" si="53"/>
        <v>43.290320367162764</v>
      </c>
      <c r="Z136">
        <f>IF(ISBLANK($H136),NA(),IFERROR(SUM($H136:$H$177),NA()))</f>
        <v>462361.03900000016</v>
      </c>
      <c r="AA136">
        <f>IF(ISBLANK($I136),NA(),IFERROR(SUM($I136:$I$177),NA()))</f>
        <v>612138.196</v>
      </c>
      <c r="AB136">
        <f>IF(ISBLANK($J136),NA(),IFERROR(SUM($J136:$J$177),NA()))</f>
        <v>842849.31400000001</v>
      </c>
      <c r="AC136">
        <f t="shared" si="54"/>
        <v>1454987.51</v>
      </c>
      <c r="AD136">
        <f t="shared" si="55"/>
        <v>31.777663782144781</v>
      </c>
      <c r="AE136">
        <f t="shared" si="56"/>
        <v>42.071714828672306</v>
      </c>
      <c r="AF136">
        <f>IF(ISBLANK($K136),NA(),IFERROR(SUM($K136:$K$177),NA()))</f>
        <v>452589.36500000005</v>
      </c>
      <c r="AG136">
        <f>IF(ISBLANK($L136),NA(),IFERROR(SUM($L136:$L$177),NA()))</f>
        <v>596803.97199999995</v>
      </c>
      <c r="AH136">
        <f>IF(ISBLANK($M136),NA(),IFERROR(SUM($M136:$M$177),NA()))</f>
        <v>808330.98100000003</v>
      </c>
      <c r="AI136">
        <f t="shared" si="57"/>
        <v>1405134.953</v>
      </c>
      <c r="AJ136">
        <f t="shared" si="58"/>
        <v>32.209672390093914</v>
      </c>
      <c r="AK136">
        <f t="shared" si="59"/>
        <v>42.473071410387156</v>
      </c>
    </row>
    <row r="137" spans="1:37" x14ac:dyDescent="0.35">
      <c r="A137">
        <v>1984</v>
      </c>
      <c r="B137">
        <v>9872.8729999999996</v>
      </c>
      <c r="C137">
        <v>14577.371999999999</v>
      </c>
      <c r="D137">
        <v>11968.97</v>
      </c>
      <c r="E137">
        <v>9705.0740000000005</v>
      </c>
      <c r="F137">
        <v>14410.758</v>
      </c>
      <c r="G137">
        <v>11495.159</v>
      </c>
      <c r="H137">
        <v>9872.8729999999996</v>
      </c>
      <c r="I137">
        <v>14577.371999999999</v>
      </c>
      <c r="J137">
        <v>11968.812</v>
      </c>
      <c r="K137">
        <v>9594.9840000000004</v>
      </c>
      <c r="L137">
        <v>14009.6</v>
      </c>
      <c r="M137">
        <v>10545.804</v>
      </c>
      <c r="N137">
        <f>IF(ISBLANK($B137),NA(),IFERROR(SUM($B137:$B$177),NA()))</f>
        <v>452634.44</v>
      </c>
      <c r="O137">
        <f>IF(ISBLANK($C137),NA(),IFERROR(SUM($C137:$C$177),NA()))</f>
        <v>597757.48100000003</v>
      </c>
      <c r="P137">
        <f>IF(ISBLANK($D137),NA(),IFERROR(SUM($D137:$D$177),NA()))</f>
        <v>832428.90299999993</v>
      </c>
      <c r="Q137">
        <f t="shared" si="48"/>
        <v>1430186.3840000001</v>
      </c>
      <c r="R137">
        <f t="shared" si="49"/>
        <v>31.648633007822006</v>
      </c>
      <c r="S137">
        <f t="shared" si="50"/>
        <v>41.795774850559617</v>
      </c>
      <c r="T137">
        <f>IF(ISBLANK($E137),NA(),IFERROR(SUM($E137:$E$177),NA()))</f>
        <v>393028.48100000009</v>
      </c>
      <c r="U137">
        <f>IF(ISBLANK($F137),NA(),IFERROR(SUM($F137:$F$177),NA()))</f>
        <v>479223.90700000001</v>
      </c>
      <c r="V137">
        <f>IF(ISBLANK($G137),NA(),IFERROR(SUM($G137:$G$177),NA()))</f>
        <v>635297.51799999992</v>
      </c>
      <c r="W137">
        <f t="shared" si="51"/>
        <v>1114521.4249999998</v>
      </c>
      <c r="X137">
        <f t="shared" si="52"/>
        <v>35.264327107933354</v>
      </c>
      <c r="Y137">
        <f t="shared" si="53"/>
        <v>42.998178074504054</v>
      </c>
      <c r="Z137">
        <f>IF(ISBLANK($H137),NA(),IFERROR(SUM($H137:$H$177),NA()))</f>
        <v>452634.44600000017</v>
      </c>
      <c r="AA137">
        <f>IF(ISBLANK($I137),NA(),IFERROR(SUM($I137:$I$177),NA()))</f>
        <v>597757.48600000003</v>
      </c>
      <c r="AB137">
        <f>IF(ISBLANK($J137),NA(),IFERROR(SUM($J137:$J$177),NA()))</f>
        <v>831949.31199999992</v>
      </c>
      <c r="AC137">
        <f t="shared" si="54"/>
        <v>1429706.798</v>
      </c>
      <c r="AD137">
        <f t="shared" si="55"/>
        <v>31.659249758984515</v>
      </c>
      <c r="AE137">
        <f t="shared" si="56"/>
        <v>41.809795325600739</v>
      </c>
      <c r="AF137">
        <f>IF(ISBLANK($K137),NA(),IFERROR(SUM($K137:$K$177),NA()))</f>
        <v>443283.66899999994</v>
      </c>
      <c r="AG137">
        <f>IF(ISBLANK($L137),NA(),IFERROR(SUM($L137:$L$177),NA()))</f>
        <v>583155.62499999988</v>
      </c>
      <c r="AH137">
        <f>IF(ISBLANK($M137),NA(),IFERROR(SUM($M137:$M$177),NA()))</f>
        <v>798362.68099999998</v>
      </c>
      <c r="AI137">
        <f t="shared" si="57"/>
        <v>1381518.3059999999</v>
      </c>
      <c r="AJ137">
        <f t="shared" si="58"/>
        <v>32.08670251235889</v>
      </c>
      <c r="AK137">
        <f t="shared" si="59"/>
        <v>42.211212292108414</v>
      </c>
    </row>
    <row r="138" spans="1:37" x14ac:dyDescent="0.35">
      <c r="A138">
        <v>1985</v>
      </c>
      <c r="B138">
        <v>9860.8310000000001</v>
      </c>
      <c r="C138">
        <v>14857.026</v>
      </c>
      <c r="D138">
        <v>12670.642</v>
      </c>
      <c r="E138">
        <v>9755.8970000000008</v>
      </c>
      <c r="F138">
        <v>14710.352999999999</v>
      </c>
      <c r="G138">
        <v>11934.779</v>
      </c>
      <c r="H138">
        <v>9860.8320000000003</v>
      </c>
      <c r="I138">
        <v>14857.027</v>
      </c>
      <c r="J138">
        <v>12670.481</v>
      </c>
      <c r="K138">
        <v>9622.0650000000005</v>
      </c>
      <c r="L138">
        <v>14341.425999999999</v>
      </c>
      <c r="M138">
        <v>11220.213</v>
      </c>
      <c r="N138">
        <f>IF(ISBLANK($B138),NA(),IFERROR(SUM($B138:$B$177),NA()))</f>
        <v>442761.56699999998</v>
      </c>
      <c r="O138">
        <f>IF(ISBLANK($C138),NA(),IFERROR(SUM($C138:$C$177),NA()))</f>
        <v>583180.10899999982</v>
      </c>
      <c r="P138">
        <f>IF(ISBLANK($D138),NA(),IFERROR(SUM($D138:$D$177),NA()))</f>
        <v>820459.93299999996</v>
      </c>
      <c r="Q138">
        <f t="shared" si="48"/>
        <v>1403640.0419999999</v>
      </c>
      <c r="R138">
        <f t="shared" si="49"/>
        <v>31.543811358439434</v>
      </c>
      <c r="S138">
        <f t="shared" si="50"/>
        <v>41.547696813283117</v>
      </c>
      <c r="T138">
        <f>IF(ISBLANK($E138),NA(),IFERROR(SUM($E138:$E$177),NA()))</f>
        <v>383323.40700000006</v>
      </c>
      <c r="U138">
        <f>IF(ISBLANK($F138),NA(),IFERROR(SUM($F138:$F$177),NA()))</f>
        <v>464813.14899999998</v>
      </c>
      <c r="V138">
        <f>IF(ISBLANK($G138),NA(),IFERROR(SUM($G138:$G$177),NA()))</f>
        <v>623802.35899999994</v>
      </c>
      <c r="W138">
        <f t="shared" si="51"/>
        <v>1088615.5079999999</v>
      </c>
      <c r="X138">
        <f t="shared" si="52"/>
        <v>35.212010501691296</v>
      </c>
      <c r="Y138">
        <f t="shared" si="53"/>
        <v>42.697641691137846</v>
      </c>
      <c r="Z138">
        <f>IF(ISBLANK($H138),NA(),IFERROR(SUM($H138:$H$177),NA()))</f>
        <v>442761.57300000003</v>
      </c>
      <c r="AA138">
        <f>IF(ISBLANK($I138),NA(),IFERROR(SUM($I138:$I$177),NA()))</f>
        <v>583180.11399999983</v>
      </c>
      <c r="AB138">
        <f>IF(ISBLANK($J138),NA(),IFERROR(SUM($J138:$J$177),NA()))</f>
        <v>819980.5</v>
      </c>
      <c r="AC138">
        <f t="shared" si="54"/>
        <v>1403160.6139999998</v>
      </c>
      <c r="AD138">
        <f t="shared" si="55"/>
        <v>31.554589587418402</v>
      </c>
      <c r="AE138">
        <f t="shared" si="56"/>
        <v>41.561893070638881</v>
      </c>
      <c r="AF138">
        <f>IF(ISBLANK($K138),NA(),IFERROR(SUM($K138:$K$177),NA()))</f>
        <v>433688.685</v>
      </c>
      <c r="AG138">
        <f>IF(ISBLANK($L138),NA(),IFERROR(SUM($L138:$L$177),NA()))</f>
        <v>569146.02499999991</v>
      </c>
      <c r="AH138">
        <f>IF(ISBLANK($M138),NA(),IFERROR(SUM($M138:$M$177),NA()))</f>
        <v>787816.87699999998</v>
      </c>
      <c r="AI138">
        <f t="shared" si="57"/>
        <v>1356962.9019999998</v>
      </c>
      <c r="AJ138">
        <f t="shared" si="58"/>
        <v>31.960246249974496</v>
      </c>
      <c r="AK138">
        <f t="shared" si="59"/>
        <v>41.942637058179507</v>
      </c>
    </row>
    <row r="139" spans="1:37" x14ac:dyDescent="0.35">
      <c r="A139">
        <v>1986</v>
      </c>
      <c r="B139">
        <v>9756.5169999999998</v>
      </c>
      <c r="C139">
        <v>14802.403</v>
      </c>
      <c r="D139">
        <v>13255.824000000001</v>
      </c>
      <c r="E139">
        <v>9723.3559999999998</v>
      </c>
      <c r="F139">
        <v>14715.5</v>
      </c>
      <c r="G139">
        <v>12235.728999999999</v>
      </c>
      <c r="H139">
        <v>9756.5169999999998</v>
      </c>
      <c r="I139">
        <v>14802.403</v>
      </c>
      <c r="J139">
        <v>13255.663</v>
      </c>
      <c r="K139">
        <v>9590.0589999999993</v>
      </c>
      <c r="L139">
        <v>14296.214</v>
      </c>
      <c r="M139">
        <v>11688.737999999999</v>
      </c>
      <c r="N139">
        <f>IF(ISBLANK($B139),NA(),IFERROR(SUM($B139:$B$177),NA()))</f>
        <v>432900.73599999998</v>
      </c>
      <c r="O139">
        <f>IF(ISBLANK($C139),NA(),IFERROR(SUM($C139:$C$177),NA()))</f>
        <v>568323.08299999998</v>
      </c>
      <c r="P139">
        <f>IF(ISBLANK($D139),NA(),IFERROR(SUM($D139:$D$177),NA()))</f>
        <v>807789.29099999997</v>
      </c>
      <c r="Q139">
        <f t="shared" si="48"/>
        <v>1376112.3739999998</v>
      </c>
      <c r="R139">
        <f t="shared" si="49"/>
        <v>31.458240197468061</v>
      </c>
      <c r="S139">
        <f t="shared" si="50"/>
        <v>41.299176850509163</v>
      </c>
      <c r="T139">
        <f>IF(ISBLANK($E139),NA(),IFERROR(SUM($E139:$E$177),NA()))</f>
        <v>373567.51000000007</v>
      </c>
      <c r="U139">
        <f>IF(ISBLANK($F139),NA(),IFERROR(SUM($F139:$F$177),NA()))</f>
        <v>450102.79600000003</v>
      </c>
      <c r="V139">
        <f>IF(ISBLANK($G139),NA(),IFERROR(SUM($G139:$G$177),NA()))</f>
        <v>611867.57999999996</v>
      </c>
      <c r="W139">
        <f t="shared" si="51"/>
        <v>1061970.3759999999</v>
      </c>
      <c r="X139">
        <f t="shared" si="52"/>
        <v>35.176829640679173</v>
      </c>
      <c r="Y139">
        <f t="shared" si="53"/>
        <v>42.383743103583527</v>
      </c>
      <c r="Z139">
        <f>IF(ISBLANK($H139),NA(),IFERROR(SUM($H139:$H$177),NA()))</f>
        <v>432900.7410000001</v>
      </c>
      <c r="AA139">
        <f>IF(ISBLANK($I139),NA(),IFERROR(SUM($I139:$I$177),NA()))</f>
        <v>568323.08699999994</v>
      </c>
      <c r="AB139">
        <f>IF(ISBLANK($J139),NA(),IFERROR(SUM($J139:$J$177),NA()))</f>
        <v>807310.01899999985</v>
      </c>
      <c r="AC139">
        <f t="shared" si="54"/>
        <v>1375633.1059999997</v>
      </c>
      <c r="AD139">
        <f t="shared" si="55"/>
        <v>31.469200552956174</v>
      </c>
      <c r="AE139">
        <f t="shared" si="56"/>
        <v>41.313565697218699</v>
      </c>
      <c r="AF139">
        <f>IF(ISBLANK($K139),NA(),IFERROR(SUM($K139:$K$177),NA()))</f>
        <v>424066.61999999994</v>
      </c>
      <c r="AG139">
        <f>IF(ISBLANK($L139),NA(),IFERROR(SUM($L139:$L$177),NA()))</f>
        <v>554804.59899999993</v>
      </c>
      <c r="AH139">
        <f>IF(ISBLANK($M139),NA(),IFERROR(SUM($M139:$M$177),NA()))</f>
        <v>776596.66399999999</v>
      </c>
      <c r="AI139">
        <f t="shared" si="57"/>
        <v>1331401.2629999998</v>
      </c>
      <c r="AJ139">
        <f t="shared" si="58"/>
        <v>31.851150497218661</v>
      </c>
      <c r="AK139">
        <f t="shared" si="59"/>
        <v>41.670728008014521</v>
      </c>
    </row>
    <row r="140" spans="1:37" x14ac:dyDescent="0.35">
      <c r="A140">
        <v>1987</v>
      </c>
      <c r="B140">
        <v>9992.5059999999994</v>
      </c>
      <c r="C140">
        <v>14990.61</v>
      </c>
      <c r="D140">
        <v>12944.21</v>
      </c>
      <c r="E140">
        <v>9981.7009999999991</v>
      </c>
      <c r="F140">
        <v>14988.269</v>
      </c>
      <c r="G140">
        <v>12548.69</v>
      </c>
      <c r="H140">
        <v>9992.5059999999994</v>
      </c>
      <c r="I140">
        <v>14990.61</v>
      </c>
      <c r="J140">
        <v>12944.045</v>
      </c>
      <c r="K140">
        <v>9821.5830000000005</v>
      </c>
      <c r="L140">
        <v>14549.349</v>
      </c>
      <c r="M140">
        <v>11808.561</v>
      </c>
      <c r="N140">
        <f>IF(ISBLANK($B140),NA(),IFERROR(SUM($B140:$B$177),NA()))</f>
        <v>423144.21899999998</v>
      </c>
      <c r="O140">
        <f>IF(ISBLANK($C140),NA(),IFERROR(SUM($C140:$C$177),NA()))</f>
        <v>553520.67999999982</v>
      </c>
      <c r="P140">
        <f>IF(ISBLANK($D140),NA(),IFERROR(SUM($D140:$D$177),NA()))</f>
        <v>794533.46699999995</v>
      </c>
      <c r="Q140">
        <f t="shared" si="48"/>
        <v>1348054.1469999999</v>
      </c>
      <c r="R140">
        <f t="shared" si="49"/>
        <v>31.389259841058891</v>
      </c>
      <c r="S140">
        <f t="shared" si="50"/>
        <v>41.060715642010479</v>
      </c>
      <c r="T140">
        <f>IF(ISBLANK($E140),NA(),IFERROR(SUM($E140:$E$177),NA()))</f>
        <v>363844.15399999998</v>
      </c>
      <c r="U140">
        <f>IF(ISBLANK($F140),NA(),IFERROR(SUM($F140:$F$177),NA()))</f>
        <v>435387.29600000003</v>
      </c>
      <c r="V140">
        <f>IF(ISBLANK($G140),NA(),IFERROR(SUM($G140:$G$177),NA()))</f>
        <v>599631.85099999991</v>
      </c>
      <c r="W140">
        <f t="shared" si="51"/>
        <v>1035019.1469999999</v>
      </c>
      <c r="X140">
        <f t="shared" si="52"/>
        <v>35.153374220622027</v>
      </c>
      <c r="Y140">
        <f t="shared" si="53"/>
        <v>42.065627216846075</v>
      </c>
      <c r="Z140">
        <f>IF(ISBLANK($H140),NA(),IFERROR(SUM($H140:$H$177),NA()))</f>
        <v>423144.2240000001</v>
      </c>
      <c r="AA140">
        <f>IF(ISBLANK($I140),NA(),IFERROR(SUM($I140:$I$177),NA()))</f>
        <v>553520.68399999989</v>
      </c>
      <c r="AB140">
        <f>IF(ISBLANK($J140),NA(),IFERROR(SUM($J140:$J$177),NA()))</f>
        <v>794054.35599999991</v>
      </c>
      <c r="AC140">
        <f t="shared" si="54"/>
        <v>1347575.0399999998</v>
      </c>
      <c r="AD140">
        <f t="shared" si="55"/>
        <v>31.400420120574523</v>
      </c>
      <c r="AE140">
        <f t="shared" si="56"/>
        <v>41.07531436616695</v>
      </c>
      <c r="AF140">
        <f>IF(ISBLANK($K140),NA(),IFERROR(SUM($K140:$K$177),NA()))</f>
        <v>414476.56099999993</v>
      </c>
      <c r="AG140">
        <f>IF(ISBLANK($L140),NA(),IFERROR(SUM($L140:$L$177),NA()))</f>
        <v>540508.38500000001</v>
      </c>
      <c r="AH140">
        <f>IF(ISBLANK($M140),NA(),IFERROR(SUM($M140:$M$177),NA()))</f>
        <v>764907.92599999998</v>
      </c>
      <c r="AI140">
        <f t="shared" si="57"/>
        <v>1305416.311</v>
      </c>
      <c r="AJ140">
        <f t="shared" si="58"/>
        <v>31.750527207867862</v>
      </c>
      <c r="AK140">
        <f t="shared" si="59"/>
        <v>41.405058328553395</v>
      </c>
    </row>
    <row r="141" spans="1:37" x14ac:dyDescent="0.35">
      <c r="A141">
        <v>1988</v>
      </c>
      <c r="B141">
        <v>10295.871999999999</v>
      </c>
      <c r="C141">
        <v>15332.401</v>
      </c>
      <c r="D141">
        <v>12958.968000000001</v>
      </c>
      <c r="E141">
        <v>10350.453</v>
      </c>
      <c r="F141">
        <v>15362.817999999999</v>
      </c>
      <c r="G141">
        <v>13042.973</v>
      </c>
      <c r="H141">
        <v>10295.871999999999</v>
      </c>
      <c r="I141">
        <v>15332.401</v>
      </c>
      <c r="J141">
        <v>12958.778</v>
      </c>
      <c r="K141">
        <v>10123.091</v>
      </c>
      <c r="L141">
        <v>14874.13</v>
      </c>
      <c r="M141">
        <v>12153.904</v>
      </c>
      <c r="N141">
        <f>IF(ISBLANK($B141),NA(),IFERROR(SUM($B141:$B$177),NA()))</f>
        <v>413151.71300000005</v>
      </c>
      <c r="O141">
        <f>IF(ISBLANK($C141),NA(),IFERROR(SUM($C141:$C$177),NA()))</f>
        <v>538530.06999999983</v>
      </c>
      <c r="P141">
        <f>IF(ISBLANK($D141),NA(),IFERROR(SUM($D141:$D$177),NA()))</f>
        <v>781589.25699999998</v>
      </c>
      <c r="Q141">
        <f t="shared" si="48"/>
        <v>1320119.3269999998</v>
      </c>
      <c r="R141">
        <f t="shared" si="49"/>
        <v>31.296543013190814</v>
      </c>
      <c r="S141">
        <f t="shared" si="50"/>
        <v>40.794044825009969</v>
      </c>
      <c r="T141">
        <f>IF(ISBLANK($E141),NA(),IFERROR(SUM($E141:$E$177),NA()))</f>
        <v>353862.45299999998</v>
      </c>
      <c r="U141">
        <f>IF(ISBLANK($F141),NA(),IFERROR(SUM($F141:$F$177),NA()))</f>
        <v>420399.027</v>
      </c>
      <c r="V141">
        <f>IF(ISBLANK($G141),NA(),IFERROR(SUM($G141:$G$177),NA()))</f>
        <v>587083.16099999985</v>
      </c>
      <c r="W141">
        <f t="shared" si="51"/>
        <v>1007482.1879999998</v>
      </c>
      <c r="X141">
        <f t="shared" si="52"/>
        <v>35.123445080698538</v>
      </c>
      <c r="Y141">
        <f t="shared" si="53"/>
        <v>41.727688291398366</v>
      </c>
      <c r="Z141">
        <f>IF(ISBLANK($H141),NA(),IFERROR(SUM($H141:$H$177),NA()))</f>
        <v>413151.71800000005</v>
      </c>
      <c r="AA141">
        <f>IF(ISBLANK($I141),NA(),IFERROR(SUM($I141:$I$177),NA()))</f>
        <v>538530.07399999991</v>
      </c>
      <c r="AB141">
        <f>IF(ISBLANK($J141),NA(),IFERROR(SUM($J141:$J$177),NA()))</f>
        <v>781110.31099999999</v>
      </c>
      <c r="AC141">
        <f t="shared" si="54"/>
        <v>1319640.3849999998</v>
      </c>
      <c r="AD141">
        <f t="shared" si="55"/>
        <v>31.30790196300336</v>
      </c>
      <c r="AE141">
        <f t="shared" si="56"/>
        <v>40.808850662750821</v>
      </c>
      <c r="AF141">
        <f>IF(ISBLANK($K141),NA(),IFERROR(SUM($K141:$K$177),NA()))</f>
        <v>404654.97799999994</v>
      </c>
      <c r="AG141">
        <f>IF(ISBLANK($L141),NA(),IFERROR(SUM($L141:$L$177),NA()))</f>
        <v>525959.03599999996</v>
      </c>
      <c r="AH141">
        <f>IF(ISBLANK($M141),NA(),IFERROR(SUM($M141:$M$177),NA()))</f>
        <v>753099.36499999999</v>
      </c>
      <c r="AI141">
        <f t="shared" si="57"/>
        <v>1279058.4010000001</v>
      </c>
      <c r="AJ141">
        <f t="shared" si="58"/>
        <v>31.636943057770505</v>
      </c>
      <c r="AK141">
        <f t="shared" si="59"/>
        <v>41.12079914324412</v>
      </c>
    </row>
    <row r="142" spans="1:37" x14ac:dyDescent="0.35">
      <c r="A142">
        <v>1989</v>
      </c>
      <c r="B142">
        <v>10485.145</v>
      </c>
      <c r="C142">
        <v>15365.201999999999</v>
      </c>
      <c r="D142">
        <v>12905.727000000001</v>
      </c>
      <c r="E142">
        <v>10553.686</v>
      </c>
      <c r="F142">
        <v>15425.791999999999</v>
      </c>
      <c r="G142">
        <v>13335.348</v>
      </c>
      <c r="H142">
        <v>10485.145</v>
      </c>
      <c r="I142">
        <v>15365.201999999999</v>
      </c>
      <c r="J142">
        <v>12905.492</v>
      </c>
      <c r="K142">
        <v>10301.276</v>
      </c>
      <c r="L142">
        <v>14914.56</v>
      </c>
      <c r="M142">
        <v>12256.137000000001</v>
      </c>
      <c r="N142">
        <f>IF(ISBLANK($B142),NA(),IFERROR(SUM($B142:$B$177),NA()))</f>
        <v>402855.84099999996</v>
      </c>
      <c r="O142">
        <f>IF(ISBLANK($C142),NA(),IFERROR(SUM($C142:$C$177),NA()))</f>
        <v>523197.66899999999</v>
      </c>
      <c r="P142">
        <f>IF(ISBLANK($D142),NA(),IFERROR(SUM($D142:$D$177),NA()))</f>
        <v>768630.28899999999</v>
      </c>
      <c r="Q142">
        <f t="shared" si="48"/>
        <v>1291827.9580000001</v>
      </c>
      <c r="R142">
        <f t="shared" si="49"/>
        <v>31.184945216985305</v>
      </c>
      <c r="S142">
        <f t="shared" si="50"/>
        <v>40.500568652346814</v>
      </c>
      <c r="T142">
        <f>IF(ISBLANK($E142),NA(),IFERROR(SUM($E142:$E$177),NA()))</f>
        <v>343512</v>
      </c>
      <c r="U142">
        <f>IF(ISBLANK($F142),NA(),IFERROR(SUM($F142:$F$177),NA()))</f>
        <v>405036.20900000003</v>
      </c>
      <c r="V142">
        <f>IF(ISBLANK($G142),NA(),IFERROR(SUM($G142:$G$177),NA()))</f>
        <v>574040.18799999985</v>
      </c>
      <c r="W142">
        <f t="shared" si="51"/>
        <v>979076.39699999988</v>
      </c>
      <c r="X142">
        <f t="shared" si="52"/>
        <v>35.085311121027878</v>
      </c>
      <c r="Y142">
        <f t="shared" si="53"/>
        <v>41.369213908238059</v>
      </c>
      <c r="Z142">
        <f>IF(ISBLANK($H142),NA(),IFERROR(SUM($H142:$H$177),NA()))</f>
        <v>402855.84599999996</v>
      </c>
      <c r="AA142">
        <f>IF(ISBLANK($I142),NA(),IFERROR(SUM($I142:$I$177),NA()))</f>
        <v>523197.67299999995</v>
      </c>
      <c r="AB142">
        <f>IF(ISBLANK($J142),NA(),IFERROR(SUM($J142:$J$177),NA()))</f>
        <v>768151.53300000005</v>
      </c>
      <c r="AC142">
        <f t="shared" si="54"/>
        <v>1291349.206</v>
      </c>
      <c r="AD142">
        <f t="shared" si="55"/>
        <v>31.196507043037585</v>
      </c>
      <c r="AE142">
        <f t="shared" si="56"/>
        <v>40.515584054960883</v>
      </c>
      <c r="AF142">
        <f>IF(ISBLANK($K142),NA(),IFERROR(SUM($K142:$K$177),NA()))</f>
        <v>394531.88699999993</v>
      </c>
      <c r="AG142">
        <f>IF(ISBLANK($L142),NA(),IFERROR(SUM($L142:$L$177),NA()))</f>
        <v>511084.9059999999</v>
      </c>
      <c r="AH142">
        <f>IF(ISBLANK($M142),NA(),IFERROR(SUM($M142:$M$177),NA()))</f>
        <v>740945.46099999989</v>
      </c>
      <c r="AI142">
        <f t="shared" si="57"/>
        <v>1252030.3669999999</v>
      </c>
      <c r="AJ142">
        <f t="shared" si="58"/>
        <v>31.511367247852064</v>
      </c>
      <c r="AK142">
        <f t="shared" si="59"/>
        <v>40.820488022556084</v>
      </c>
    </row>
    <row r="143" spans="1:37" x14ac:dyDescent="0.35">
      <c r="A143">
        <v>1990</v>
      </c>
      <c r="B143">
        <v>10981.573</v>
      </c>
      <c r="C143">
        <v>15927.812</v>
      </c>
      <c r="D143">
        <v>12594.893</v>
      </c>
      <c r="E143">
        <v>9397.6219999999994</v>
      </c>
      <c r="F143">
        <v>12959.11</v>
      </c>
      <c r="G143">
        <v>10170.048000000001</v>
      </c>
      <c r="H143">
        <v>10981.573</v>
      </c>
      <c r="I143">
        <v>15927.812</v>
      </c>
      <c r="J143">
        <v>12594.647999999999</v>
      </c>
      <c r="K143">
        <v>10789.064</v>
      </c>
      <c r="L143">
        <v>15453.284</v>
      </c>
      <c r="M143">
        <v>12198.921</v>
      </c>
      <c r="N143">
        <f>IF(ISBLANK($B143),NA(),IFERROR(SUM($B143:$B$177),NA()))</f>
        <v>392370.69600000005</v>
      </c>
      <c r="O143">
        <f>IF(ISBLANK($C143),NA(),IFERROR(SUM($C143:$C$177),NA()))</f>
        <v>507832.46699999995</v>
      </c>
      <c r="P143">
        <f>IF(ISBLANK($D143),NA(),IFERROR(SUM($D143:$D$177),NA()))</f>
        <v>755724.56199999992</v>
      </c>
      <c r="Q143">
        <f t="shared" si="48"/>
        <v>1263557.0289999999</v>
      </c>
      <c r="R143">
        <f t="shared" si="49"/>
        <v>31.052867974667421</v>
      </c>
      <c r="S143">
        <f t="shared" si="50"/>
        <v>40.190704126896989</v>
      </c>
      <c r="T143">
        <f>IF(ISBLANK($E143),NA(),IFERROR(SUM($E143:$E$177),NA()))</f>
        <v>332958.31399999995</v>
      </c>
      <c r="U143">
        <f>IF(ISBLANK($F143),NA(),IFERROR(SUM($F143:$F$177),NA()))</f>
        <v>389610.41700000002</v>
      </c>
      <c r="V143">
        <f>IF(ISBLANK($G143),NA(),IFERROR(SUM($G143:$G$177),NA()))</f>
        <v>560704.83999999985</v>
      </c>
      <c r="W143">
        <f t="shared" si="51"/>
        <v>950315.25699999987</v>
      </c>
      <c r="X143">
        <f t="shared" si="52"/>
        <v>35.036616696137081</v>
      </c>
      <c r="Y143">
        <f t="shared" si="53"/>
        <v>40.99801767151888</v>
      </c>
      <c r="Z143">
        <f>IF(ISBLANK($H143),NA(),IFERROR(SUM($H143:$H$177),NA()))</f>
        <v>392370.70100000006</v>
      </c>
      <c r="AA143">
        <f>IF(ISBLANK($I143),NA(),IFERROR(SUM($I143:$I$177),NA()))</f>
        <v>507832.47100000002</v>
      </c>
      <c r="AB143">
        <f>IF(ISBLANK($J143),NA(),IFERROR(SUM($J143:$J$177),NA()))</f>
        <v>755246.04099999997</v>
      </c>
      <c r="AC143">
        <f t="shared" si="54"/>
        <v>1263078.5120000001</v>
      </c>
      <c r="AD143">
        <f t="shared" si="55"/>
        <v>31.064632742323152</v>
      </c>
      <c r="AE143">
        <f t="shared" si="56"/>
        <v>40.205930682478431</v>
      </c>
      <c r="AF143">
        <f>IF(ISBLANK($K143),NA(),IFERROR(SUM($K143:$K$177),NA()))</f>
        <v>384230.61099999992</v>
      </c>
      <c r="AG143">
        <f>IF(ISBLANK($L143),NA(),IFERROR(SUM($L143:$L$177),NA()))</f>
        <v>496170.3459999999</v>
      </c>
      <c r="AH143">
        <f>IF(ISBLANK($M143),NA(),IFERROR(SUM($M143:$M$177),NA()))</f>
        <v>728689.32399999991</v>
      </c>
      <c r="AI143">
        <f t="shared" si="57"/>
        <v>1224859.67</v>
      </c>
      <c r="AJ143">
        <f t="shared" si="58"/>
        <v>31.369357683235659</v>
      </c>
      <c r="AK143">
        <f t="shared" si="59"/>
        <v>40.50834215155438</v>
      </c>
    </row>
    <row r="144" spans="1:37" x14ac:dyDescent="0.35">
      <c r="A144">
        <v>1991</v>
      </c>
      <c r="B144">
        <v>10858.023999999999</v>
      </c>
      <c r="C144">
        <v>15504.478999999999</v>
      </c>
      <c r="D144">
        <v>13220.904</v>
      </c>
      <c r="E144">
        <v>9250.8389999999999</v>
      </c>
      <c r="F144">
        <v>12303.793</v>
      </c>
      <c r="G144">
        <v>10904.05</v>
      </c>
      <c r="H144">
        <v>10858.023999999999</v>
      </c>
      <c r="I144">
        <v>15504.48</v>
      </c>
      <c r="J144">
        <v>12742.731</v>
      </c>
      <c r="K144">
        <v>10781.518</v>
      </c>
      <c r="L144">
        <v>15162.602999999999</v>
      </c>
      <c r="M144">
        <v>12450.308000000001</v>
      </c>
      <c r="N144">
        <f>IF(ISBLANK($B144),NA(),IFERROR(SUM($B144:$B$177),NA()))</f>
        <v>381389.12299999996</v>
      </c>
      <c r="O144">
        <f>IF(ISBLANK($C144),NA(),IFERROR(SUM($C144:$C$177),NA()))</f>
        <v>491904.65500000003</v>
      </c>
      <c r="P144">
        <f>IF(ISBLANK($D144),NA(),IFERROR(SUM($D144:$D$177),NA()))</f>
        <v>743129.66899999999</v>
      </c>
      <c r="Q144">
        <f t="shared" si="48"/>
        <v>1235034.324</v>
      </c>
      <c r="R144">
        <f t="shared" si="49"/>
        <v>30.880852101726685</v>
      </c>
      <c r="S144">
        <f t="shared" si="50"/>
        <v>39.829229474921057</v>
      </c>
      <c r="T144">
        <f>IF(ISBLANK($E144),NA(),IFERROR(SUM($E144:$E$177),NA()))</f>
        <v>323560.69199999998</v>
      </c>
      <c r="U144">
        <f>IF(ISBLANK($F144),NA(),IFERROR(SUM($F144:$F$177),NA()))</f>
        <v>376651.30699999997</v>
      </c>
      <c r="V144">
        <f>IF(ISBLANK($G144),NA(),IFERROR(SUM($G144:$G$177),NA()))</f>
        <v>550534.7919999999</v>
      </c>
      <c r="W144">
        <f t="shared" si="51"/>
        <v>927186.09899999993</v>
      </c>
      <c r="X144">
        <f t="shared" si="52"/>
        <v>34.89706029339424</v>
      </c>
      <c r="Y144">
        <f t="shared" si="53"/>
        <v>40.623053711248538</v>
      </c>
      <c r="Z144">
        <f>IF(ISBLANK($H144),NA(),IFERROR(SUM($H144:$H$177),NA()))</f>
        <v>381389.12800000008</v>
      </c>
      <c r="AA144">
        <f>IF(ISBLANK($I144),NA(),IFERROR(SUM($I144:$I$177),NA()))</f>
        <v>491904.65899999999</v>
      </c>
      <c r="AB144">
        <f>IF(ISBLANK($J144),NA(),IFERROR(SUM($J144:$J$177),NA()))</f>
        <v>742651.39300000004</v>
      </c>
      <c r="AC144">
        <f t="shared" si="54"/>
        <v>1234556.0520000001</v>
      </c>
      <c r="AD144">
        <f t="shared" si="55"/>
        <v>30.892815873539618</v>
      </c>
      <c r="AE144">
        <f t="shared" si="56"/>
        <v>39.844659803263426</v>
      </c>
      <c r="AF144">
        <f>IF(ISBLANK($K144),NA(),IFERROR(SUM($K144:$K$177),NA()))</f>
        <v>373441.5469999999</v>
      </c>
      <c r="AG144">
        <f>IF(ISBLANK($L144),NA(),IFERROR(SUM($L144:$L$177),NA()))</f>
        <v>480717.06199999998</v>
      </c>
      <c r="AH144">
        <f>IF(ISBLANK($M144),NA(),IFERROR(SUM($M144:$M$177),NA()))</f>
        <v>716490.40299999993</v>
      </c>
      <c r="AI144">
        <f t="shared" si="57"/>
        <v>1197207.4649999999</v>
      </c>
      <c r="AJ144">
        <f t="shared" si="58"/>
        <v>31.192717880355008</v>
      </c>
      <c r="AK144">
        <f t="shared" si="59"/>
        <v>40.153196171392068</v>
      </c>
    </row>
    <row r="145" spans="1:37" x14ac:dyDescent="0.35">
      <c r="A145">
        <v>1992</v>
      </c>
      <c r="B145">
        <v>10956.936</v>
      </c>
      <c r="C145">
        <v>14925.174000000001</v>
      </c>
      <c r="D145">
        <v>13536.34</v>
      </c>
      <c r="E145">
        <v>9266.2219999999998</v>
      </c>
      <c r="F145">
        <v>11713.014999999999</v>
      </c>
      <c r="G145">
        <v>10950.7</v>
      </c>
      <c r="H145">
        <v>10956.936</v>
      </c>
      <c r="I145">
        <v>14925.173000000001</v>
      </c>
      <c r="J145">
        <v>13536.325999999999</v>
      </c>
      <c r="K145">
        <v>10822.409</v>
      </c>
      <c r="L145">
        <v>14648.13</v>
      </c>
      <c r="M145">
        <v>12777.706</v>
      </c>
      <c r="N145">
        <f>IF(ISBLANK($B145),NA(),IFERROR(SUM($B145:$B$177),NA()))</f>
        <v>370531.09899999999</v>
      </c>
      <c r="O145">
        <f>IF(ISBLANK($C145),NA(),IFERROR(SUM($C145:$C$177),NA()))</f>
        <v>476400.17599999998</v>
      </c>
      <c r="P145">
        <f>IF(ISBLANK($D145),NA(),IFERROR(SUM($D145:$D$177),NA()))</f>
        <v>729908.7649999999</v>
      </c>
      <c r="Q145">
        <f t="shared" si="48"/>
        <v>1206308.9409999999</v>
      </c>
      <c r="R145">
        <f t="shared" si="49"/>
        <v>30.716103181067279</v>
      </c>
      <c r="S145">
        <f t="shared" si="50"/>
        <v>39.492385392176246</v>
      </c>
      <c r="T145">
        <f>IF(ISBLANK($E145),NA(),IFERROR(SUM($E145:$E$177),NA()))</f>
        <v>314309.85299999994</v>
      </c>
      <c r="U145">
        <f>IF(ISBLANK($F145),NA(),IFERROR(SUM($F145:$F$177),NA()))</f>
        <v>364347.51399999997</v>
      </c>
      <c r="V145">
        <f>IF(ISBLANK($G145),NA(),IFERROR(SUM($G145:$G$177),NA()))</f>
        <v>539630.74199999997</v>
      </c>
      <c r="W145">
        <f t="shared" si="51"/>
        <v>903978.25599999994</v>
      </c>
      <c r="X145">
        <f t="shared" si="52"/>
        <v>34.769625365856143</v>
      </c>
      <c r="Y145">
        <f t="shared" si="53"/>
        <v>40.304897997458028</v>
      </c>
      <c r="Z145">
        <f>IF(ISBLANK($H145),NA(),IFERROR(SUM($H145:$H$177),NA()))</f>
        <v>370531.10400000011</v>
      </c>
      <c r="AA145">
        <f>IF(ISBLANK($I145),NA(),IFERROR(SUM($I145:$I$177),NA()))</f>
        <v>476400.179</v>
      </c>
      <c r="AB145">
        <f>IF(ISBLANK($J145),NA(),IFERROR(SUM($J145:$J$177),NA()))</f>
        <v>729908.66200000001</v>
      </c>
      <c r="AC145">
        <f t="shared" si="54"/>
        <v>1206308.841</v>
      </c>
      <c r="AD145">
        <f t="shared" si="55"/>
        <v>30.71610614184333</v>
      </c>
      <c r="AE145">
        <f t="shared" si="56"/>
        <v>39.492388914689222</v>
      </c>
      <c r="AF145">
        <f>IF(ISBLANK($K145),NA(),IFERROR(SUM($K145:$K$177),NA()))</f>
        <v>362660.02899999992</v>
      </c>
      <c r="AG145">
        <f>IF(ISBLANK($L145),NA(),IFERROR(SUM($L145:$L$177),NA()))</f>
        <v>465554.45900000003</v>
      </c>
      <c r="AH145">
        <f>IF(ISBLANK($M145),NA(),IFERROR(SUM($M145:$M$177),NA()))</f>
        <v>704040.09499999997</v>
      </c>
      <c r="AI145">
        <f t="shared" si="57"/>
        <v>1169594.554</v>
      </c>
      <c r="AJ145">
        <f t="shared" si="58"/>
        <v>31.007328801224897</v>
      </c>
      <c r="AK145">
        <f t="shared" si="59"/>
        <v>39.804773150474162</v>
      </c>
    </row>
    <row r="146" spans="1:37" x14ac:dyDescent="0.35">
      <c r="A146">
        <v>1993</v>
      </c>
      <c r="B146">
        <v>10995.789000000001</v>
      </c>
      <c r="C146">
        <v>14710.124</v>
      </c>
      <c r="D146">
        <v>13640.2</v>
      </c>
      <c r="E146">
        <v>9281.2469999999994</v>
      </c>
      <c r="F146">
        <v>11374.438</v>
      </c>
      <c r="G146">
        <v>11316.329</v>
      </c>
      <c r="H146">
        <v>10995.79</v>
      </c>
      <c r="I146">
        <v>14710.125</v>
      </c>
      <c r="J146">
        <v>13640.184999999999</v>
      </c>
      <c r="K146">
        <v>10855.550999999999</v>
      </c>
      <c r="L146">
        <v>14421.8</v>
      </c>
      <c r="M146">
        <v>13212.008</v>
      </c>
      <c r="N146">
        <f>IF(ISBLANK($B146),NA(),IFERROR(SUM($B146:$B$177),NA()))</f>
        <v>359574.163</v>
      </c>
      <c r="O146">
        <f>IF(ISBLANK($C146),NA(),IFERROR(SUM($C146:$C$177),NA()))</f>
        <v>461475.00199999998</v>
      </c>
      <c r="P146">
        <f>IF(ISBLANK($D146),NA(),IFERROR(SUM($D146:$D$177),NA()))</f>
        <v>716372.42499999993</v>
      </c>
      <c r="Q146">
        <f t="shared" si="48"/>
        <v>1177847.4269999999</v>
      </c>
      <c r="R146">
        <f t="shared" si="49"/>
        <v>30.528076451789882</v>
      </c>
      <c r="S146">
        <f t="shared" si="50"/>
        <v>39.179522867013915</v>
      </c>
      <c r="T146">
        <f>IF(ISBLANK($E146),NA(),IFERROR(SUM($E146:$E$177),NA()))</f>
        <v>305043.63099999999</v>
      </c>
      <c r="U146">
        <f>IF(ISBLANK($F146),NA(),IFERROR(SUM($F146:$F$177),NA()))</f>
        <v>352634.49899999995</v>
      </c>
      <c r="V146">
        <f>IF(ISBLANK($G146),NA(),IFERROR(SUM($G146:$G$177),NA()))</f>
        <v>528680.04200000002</v>
      </c>
      <c r="W146">
        <f t="shared" si="51"/>
        <v>881314.54099999997</v>
      </c>
      <c r="X146">
        <f t="shared" si="52"/>
        <v>34.612345174048365</v>
      </c>
      <c r="Y146">
        <f t="shared" si="53"/>
        <v>40.012331874142987</v>
      </c>
      <c r="Z146">
        <f>IF(ISBLANK($H146),NA(),IFERROR(SUM($H146:$H$177),NA()))</f>
        <v>359574.16800000001</v>
      </c>
      <c r="AA146">
        <f>IF(ISBLANK($I146),NA(),IFERROR(SUM($I146:$I$177),NA()))</f>
        <v>461475.00600000005</v>
      </c>
      <c r="AB146">
        <f>IF(ISBLANK($J146),NA(),IFERROR(SUM($J146:$J$177),NA()))</f>
        <v>716372.33600000001</v>
      </c>
      <c r="AC146">
        <f t="shared" si="54"/>
        <v>1177847.3420000002</v>
      </c>
      <c r="AD146">
        <f t="shared" si="55"/>
        <v>30.528079079368496</v>
      </c>
      <c r="AE146">
        <f t="shared" si="56"/>
        <v>39.179526034028264</v>
      </c>
      <c r="AF146">
        <f>IF(ISBLANK($K146),NA(),IFERROR(SUM($K146:$K$177),NA()))</f>
        <v>351837.61999999994</v>
      </c>
      <c r="AG146">
        <f>IF(ISBLANK($L146),NA(),IFERROR(SUM($L146:$L$177),NA()))</f>
        <v>450906.32900000003</v>
      </c>
      <c r="AH146">
        <f>IF(ISBLANK($M146),NA(),IFERROR(SUM($M146:$M$177),NA()))</f>
        <v>691262.38899999997</v>
      </c>
      <c r="AI146">
        <f t="shared" si="57"/>
        <v>1142168.7179999999</v>
      </c>
      <c r="AJ146">
        <f t="shared" si="58"/>
        <v>30.804347418662186</v>
      </c>
      <c r="AK146">
        <f t="shared" si="59"/>
        <v>39.478084270208505</v>
      </c>
    </row>
    <row r="147" spans="1:37" x14ac:dyDescent="0.35">
      <c r="A147">
        <v>1994</v>
      </c>
      <c r="B147">
        <v>11168.339</v>
      </c>
      <c r="C147">
        <v>14494.375</v>
      </c>
      <c r="D147">
        <v>15300.683000000001</v>
      </c>
      <c r="E147">
        <v>9428.1319999999996</v>
      </c>
      <c r="F147">
        <v>10972.144</v>
      </c>
      <c r="G147">
        <v>9316.4950000000008</v>
      </c>
      <c r="H147">
        <v>11168.339</v>
      </c>
      <c r="I147">
        <v>14494.375</v>
      </c>
      <c r="J147">
        <v>15300.669</v>
      </c>
      <c r="K147">
        <v>10995.644</v>
      </c>
      <c r="L147">
        <v>14179.436</v>
      </c>
      <c r="M147">
        <v>13995.554</v>
      </c>
      <c r="N147">
        <f>IF(ISBLANK($B147),NA(),IFERROR(SUM($B147:$B$177),NA()))</f>
        <v>348578.37400000001</v>
      </c>
      <c r="O147">
        <f>IF(ISBLANK($C147),NA(),IFERROR(SUM($C147:$C$177),NA()))</f>
        <v>446764.87800000003</v>
      </c>
      <c r="P147">
        <f>IF(ISBLANK($D147),NA(),IFERROR(SUM($D147:$D$177),NA()))</f>
        <v>702732.22499999998</v>
      </c>
      <c r="Q147">
        <f t="shared" si="48"/>
        <v>1149497.1030000001</v>
      </c>
      <c r="R147">
        <f t="shared" si="49"/>
        <v>30.324423879822511</v>
      </c>
      <c r="S147">
        <f t="shared" si="50"/>
        <v>38.866116046227219</v>
      </c>
      <c r="T147">
        <f>IF(ISBLANK($E147),NA(),IFERROR(SUM($E147:$E$177),NA()))</f>
        <v>295762.38399999996</v>
      </c>
      <c r="U147">
        <f>IF(ISBLANK($F147),NA(),IFERROR(SUM($F147:$F$177),NA()))</f>
        <v>341260.06099999993</v>
      </c>
      <c r="V147">
        <f>IF(ISBLANK($G147),NA(),IFERROR(SUM($G147:$G$177),NA()))</f>
        <v>517363.71300000005</v>
      </c>
      <c r="W147">
        <f t="shared" si="51"/>
        <v>858623.77399999998</v>
      </c>
      <c r="X147">
        <f t="shared" si="52"/>
        <v>34.446097692142395</v>
      </c>
      <c r="Y147">
        <f t="shared" si="53"/>
        <v>39.745004894308913</v>
      </c>
      <c r="Z147">
        <f>IF(ISBLANK($H147),NA(),IFERROR(SUM($H147:$H$177),NA()))</f>
        <v>348578.37800000008</v>
      </c>
      <c r="AA147">
        <f>IF(ISBLANK($I147),NA(),IFERROR(SUM($I147:$I$177),NA()))</f>
        <v>446764.88099999994</v>
      </c>
      <c r="AB147">
        <f>IF(ISBLANK($J147),NA(),IFERROR(SUM($J147:$J$177),NA()))</f>
        <v>702732.15100000007</v>
      </c>
      <c r="AC147">
        <f t="shared" si="54"/>
        <v>1149497.0320000001</v>
      </c>
      <c r="AD147">
        <f t="shared" si="55"/>
        <v>30.324426100823555</v>
      </c>
      <c r="AE147">
        <f t="shared" si="56"/>
        <v>38.866118707821059</v>
      </c>
      <c r="AF147">
        <f>IF(ISBLANK($K147),NA(),IFERROR(SUM($K147:$K$177),NA()))</f>
        <v>340982.06899999996</v>
      </c>
      <c r="AG147">
        <f>IF(ISBLANK($L147),NA(),IFERROR(SUM($L147:$L$177),NA()))</f>
        <v>436484.52899999998</v>
      </c>
      <c r="AH147">
        <f>IF(ISBLANK($M147),NA(),IFERROR(SUM($M147:$M$177),NA()))</f>
        <v>678050.38099999994</v>
      </c>
      <c r="AI147">
        <f t="shared" si="57"/>
        <v>1114534.9099999999</v>
      </c>
      <c r="AJ147">
        <f t="shared" si="58"/>
        <v>30.594112929132027</v>
      </c>
      <c r="AK147">
        <f t="shared" si="59"/>
        <v>39.162930212746772</v>
      </c>
    </row>
    <row r="148" spans="1:37" x14ac:dyDescent="0.35">
      <c r="A148">
        <v>1995</v>
      </c>
      <c r="B148">
        <v>11407.597</v>
      </c>
      <c r="C148">
        <v>14570.962</v>
      </c>
      <c r="D148">
        <v>15278.038</v>
      </c>
      <c r="E148">
        <v>9572.4069999999992</v>
      </c>
      <c r="F148">
        <v>10976.775</v>
      </c>
      <c r="G148">
        <v>10351.936</v>
      </c>
      <c r="H148">
        <v>11407.597</v>
      </c>
      <c r="I148">
        <v>14570.962</v>
      </c>
      <c r="J148">
        <v>15278.034</v>
      </c>
      <c r="K148">
        <v>11153.099</v>
      </c>
      <c r="L148">
        <v>14259.955</v>
      </c>
      <c r="M148">
        <v>14467.625</v>
      </c>
      <c r="N148">
        <f>IF(ISBLANK($B148),NA(),IFERROR(SUM($B148:$B$177),NA()))</f>
        <v>337410.03499999997</v>
      </c>
      <c r="O148">
        <f>IF(ISBLANK($C148),NA(),IFERROR(SUM($C148:$C$177),NA()))</f>
        <v>432270.50300000003</v>
      </c>
      <c r="P148">
        <f>IF(ISBLANK($D148),NA(),IFERROR(SUM($D148:$D$177),NA()))</f>
        <v>687431.5419999999</v>
      </c>
      <c r="Q148">
        <f t="shared" si="48"/>
        <v>1119702.0449999999</v>
      </c>
      <c r="R148">
        <f t="shared" si="49"/>
        <v>30.133912544564478</v>
      </c>
      <c r="S148">
        <f t="shared" si="50"/>
        <v>38.605850987795606</v>
      </c>
      <c r="T148">
        <f>IF(ISBLANK($E148),NA(),IFERROR(SUM($E148:$E$177),NA()))</f>
        <v>286334.25199999998</v>
      </c>
      <c r="U148">
        <f>IF(ISBLANK($F148),NA(),IFERROR(SUM($F148:$F$177),NA()))</f>
        <v>330287.91699999996</v>
      </c>
      <c r="V148">
        <f>IF(ISBLANK($G148),NA(),IFERROR(SUM($G148:$G$177),NA()))</f>
        <v>508047.21800000005</v>
      </c>
      <c r="W148">
        <f t="shared" si="51"/>
        <v>838335.13500000001</v>
      </c>
      <c r="X148">
        <f t="shared" si="52"/>
        <v>34.155105762088809</v>
      </c>
      <c r="Y148">
        <f t="shared" si="53"/>
        <v>39.398076402941165</v>
      </c>
      <c r="Z148">
        <f>IF(ISBLANK($H148),NA(),IFERROR(SUM($H148:$H$177),NA()))</f>
        <v>337410.03899999993</v>
      </c>
      <c r="AA148">
        <f>IF(ISBLANK($I148),NA(),IFERROR(SUM($I148:$I$177),NA()))</f>
        <v>432270.50600000005</v>
      </c>
      <c r="AB148">
        <f>IF(ISBLANK($J148),NA(),IFERROR(SUM($J148:$J$177),NA()))</f>
        <v>687431.48200000008</v>
      </c>
      <c r="AC148">
        <f t="shared" si="54"/>
        <v>1119701.9880000001</v>
      </c>
      <c r="AD148">
        <f t="shared" si="55"/>
        <v>30.133914435811459</v>
      </c>
      <c r="AE148">
        <f t="shared" si="56"/>
        <v>38.605853221009021</v>
      </c>
      <c r="AF148">
        <f>IF(ISBLANK($K148),NA(),IFERROR(SUM($K148:$K$177),NA()))</f>
        <v>329986.42499999999</v>
      </c>
      <c r="AG148">
        <f>IF(ISBLANK($L148),NA(),IFERROR(SUM($L148:$L$177),NA()))</f>
        <v>422305.09299999994</v>
      </c>
      <c r="AH148">
        <f>IF(ISBLANK($M148),NA(),IFERROR(SUM($M148:$M$177),NA()))</f>
        <v>664054.82699999993</v>
      </c>
      <c r="AI148">
        <f t="shared" si="57"/>
        <v>1086359.92</v>
      </c>
      <c r="AJ148">
        <f t="shared" si="58"/>
        <v>30.375423367975507</v>
      </c>
      <c r="AK148">
        <f t="shared" si="59"/>
        <v>38.873405141824449</v>
      </c>
    </row>
    <row r="149" spans="1:37" x14ac:dyDescent="0.35">
      <c r="A149">
        <v>1996</v>
      </c>
      <c r="B149">
        <v>11706.003000000001</v>
      </c>
      <c r="C149">
        <v>15255.588</v>
      </c>
      <c r="D149">
        <v>15480.727999999999</v>
      </c>
      <c r="E149">
        <v>9797.5020000000004</v>
      </c>
      <c r="F149">
        <v>11422.411</v>
      </c>
      <c r="G149">
        <v>10071.846</v>
      </c>
      <c r="H149">
        <v>11706.003000000001</v>
      </c>
      <c r="I149">
        <v>15255.588</v>
      </c>
      <c r="J149">
        <v>15480.724</v>
      </c>
      <c r="K149">
        <v>11462.053</v>
      </c>
      <c r="L149">
        <v>14845.733</v>
      </c>
      <c r="M149">
        <v>14852.705</v>
      </c>
      <c r="N149">
        <f>IF(ISBLANK($B149),NA(),IFERROR(SUM($B149:$B$177),NA()))</f>
        <v>326002.43800000002</v>
      </c>
      <c r="O149">
        <f>IF(ISBLANK($C149),NA(),IFERROR(SUM($C149:$C$177),NA()))</f>
        <v>417699.54099999997</v>
      </c>
      <c r="P149">
        <f>IF(ISBLANK($D149),NA(),IFERROR(SUM($D149:$D$177),NA()))</f>
        <v>672153.50399999996</v>
      </c>
      <c r="Q149">
        <f t="shared" si="48"/>
        <v>1089853.0449999999</v>
      </c>
      <c r="R149">
        <f t="shared" si="49"/>
        <v>29.912513388444957</v>
      </c>
      <c r="S149">
        <f t="shared" si="50"/>
        <v>38.326225991321614</v>
      </c>
      <c r="T149">
        <f>IF(ISBLANK($E149),NA(),IFERROR(SUM($E149:$E$177),NA()))</f>
        <v>276761.84499999997</v>
      </c>
      <c r="U149">
        <f>IF(ISBLANK($F149),NA(),IFERROR(SUM($F149:$F$177),NA()))</f>
        <v>319311.14199999993</v>
      </c>
      <c r="V149">
        <f>IF(ISBLANK($G149),NA(),IFERROR(SUM($G149:$G$177),NA()))</f>
        <v>497695.28199999995</v>
      </c>
      <c r="W149">
        <f t="shared" si="51"/>
        <v>817006.42399999988</v>
      </c>
      <c r="X149">
        <f t="shared" si="52"/>
        <v>33.875112467903925</v>
      </c>
      <c r="Y149">
        <f t="shared" si="53"/>
        <v>39.083063807096821</v>
      </c>
      <c r="Z149">
        <f>IF(ISBLANK($H149),NA(),IFERROR(SUM($H149:$H$177),NA()))</f>
        <v>326002.4420000001</v>
      </c>
      <c r="AA149">
        <f>IF(ISBLANK($I149),NA(),IFERROR(SUM($I149:$I$177),NA()))</f>
        <v>417699.54399999999</v>
      </c>
      <c r="AB149">
        <f>IF(ISBLANK($J149),NA(),IFERROR(SUM($J149:$J$177),NA()))</f>
        <v>672153.44800000009</v>
      </c>
      <c r="AC149">
        <f t="shared" si="54"/>
        <v>1089852.9920000001</v>
      </c>
      <c r="AD149">
        <f t="shared" si="55"/>
        <v>29.912515210124784</v>
      </c>
      <c r="AE149">
        <f t="shared" si="56"/>
        <v>38.326228130408246</v>
      </c>
      <c r="AF149">
        <f>IF(ISBLANK($K149),NA(),IFERROR(SUM($K149:$K$177),NA()))</f>
        <v>318833.326</v>
      </c>
      <c r="AG149">
        <f>IF(ISBLANK($L149),NA(),IFERROR(SUM($L149:$L$177),NA()))</f>
        <v>408045.13799999998</v>
      </c>
      <c r="AH149">
        <f>IF(ISBLANK($M149),NA(),IFERROR(SUM($M149:$M$177),NA()))</f>
        <v>649587.20199999993</v>
      </c>
      <c r="AI149">
        <f t="shared" si="57"/>
        <v>1057632.3399999999</v>
      </c>
      <c r="AJ149">
        <f t="shared" si="58"/>
        <v>30.145950907666087</v>
      </c>
      <c r="AK149">
        <f t="shared" si="59"/>
        <v>38.581000463733936</v>
      </c>
    </row>
    <row r="150" spans="1:37" x14ac:dyDescent="0.35">
      <c r="A150">
        <v>1997</v>
      </c>
      <c r="B150">
        <v>11658.313</v>
      </c>
      <c r="C150">
        <v>14660.718000000001</v>
      </c>
      <c r="D150">
        <v>17669.134999999998</v>
      </c>
      <c r="E150">
        <v>9841.3580000000002</v>
      </c>
      <c r="F150">
        <v>11082.128000000001</v>
      </c>
      <c r="G150">
        <v>9906.0360000000001</v>
      </c>
      <c r="H150">
        <v>11658.314</v>
      </c>
      <c r="I150">
        <v>14660.718000000001</v>
      </c>
      <c r="J150">
        <v>17669.131000000001</v>
      </c>
      <c r="K150">
        <v>11423.117</v>
      </c>
      <c r="L150">
        <v>14368.463</v>
      </c>
      <c r="M150">
        <v>16944.629000000001</v>
      </c>
      <c r="N150">
        <f>IF(ISBLANK($B150),NA(),IFERROR(SUM($B150:$B$177),NA()))</f>
        <v>314296.43500000011</v>
      </c>
      <c r="O150">
        <f>IF(ISBLANK($C150),NA(),IFERROR(SUM($C150:$C$177),NA()))</f>
        <v>402443.95299999998</v>
      </c>
      <c r="P150">
        <f>IF(ISBLANK($D150),NA(),IFERROR(SUM($D150:$D$177),NA()))</f>
        <v>656672.77599999995</v>
      </c>
      <c r="Q150">
        <f t="shared" si="48"/>
        <v>1059116.7289999998</v>
      </c>
      <c r="R150">
        <f t="shared" si="49"/>
        <v>29.675334776059437</v>
      </c>
      <c r="S150">
        <f t="shared" si="50"/>
        <v>37.99807348713874</v>
      </c>
      <c r="T150">
        <f>IF(ISBLANK($E150),NA(),IFERROR(SUM($E150:$E$177),NA()))</f>
        <v>266964.34299999994</v>
      </c>
      <c r="U150">
        <f>IF(ISBLANK($F150),NA(),IFERROR(SUM($F150:$F$177),NA()))</f>
        <v>307888.73099999997</v>
      </c>
      <c r="V150">
        <f>IF(ISBLANK($G150),NA(),IFERROR(SUM($G150:$G$177),NA()))</f>
        <v>487623.43600000005</v>
      </c>
      <c r="W150">
        <f t="shared" si="51"/>
        <v>795512.16700000002</v>
      </c>
      <c r="X150">
        <f t="shared" si="52"/>
        <v>33.558800741761615</v>
      </c>
      <c r="Y150">
        <f t="shared" si="53"/>
        <v>38.703208294235928</v>
      </c>
      <c r="Z150">
        <f>IF(ISBLANK($H150),NA(),IFERROR(SUM($H150:$H$177),NA()))</f>
        <v>314296.43900000007</v>
      </c>
      <c r="AA150">
        <f>IF(ISBLANK($I150),NA(),IFERROR(SUM($I150:$I$177),NA()))</f>
        <v>402443.95600000001</v>
      </c>
      <c r="AB150">
        <f>IF(ISBLANK($J150),NA(),IFERROR(SUM($J150:$J$177),NA()))</f>
        <v>656672.72399999993</v>
      </c>
      <c r="AC150">
        <f t="shared" si="54"/>
        <v>1059116.68</v>
      </c>
      <c r="AD150">
        <f t="shared" si="55"/>
        <v>29.675336526661074</v>
      </c>
      <c r="AE150">
        <f t="shared" si="56"/>
        <v>37.998075528373327</v>
      </c>
      <c r="AF150">
        <f>IF(ISBLANK($K150),NA(),IFERROR(SUM($K150:$K$177),NA()))</f>
        <v>307371.27299999999</v>
      </c>
      <c r="AG150">
        <f>IF(ISBLANK($L150),NA(),IFERROR(SUM($L150:$L$177),NA()))</f>
        <v>393199.40499999997</v>
      </c>
      <c r="AH150">
        <f>IF(ISBLANK($M150),NA(),IFERROR(SUM($M150:$M$177),NA()))</f>
        <v>634734.49699999997</v>
      </c>
      <c r="AI150">
        <f t="shared" si="57"/>
        <v>1027933.902</v>
      </c>
      <c r="AJ150">
        <f t="shared" si="58"/>
        <v>29.901851899423004</v>
      </c>
      <c r="AK150">
        <f t="shared" si="59"/>
        <v>38.251428835547827</v>
      </c>
    </row>
    <row r="151" spans="1:37" x14ac:dyDescent="0.35">
      <c r="A151">
        <v>1998</v>
      </c>
      <c r="B151">
        <v>11848.843000000001</v>
      </c>
      <c r="C151">
        <v>14813.4</v>
      </c>
      <c r="D151">
        <v>16396.271000000001</v>
      </c>
      <c r="E151">
        <v>9890.4719999999998</v>
      </c>
      <c r="F151">
        <v>11336.442999999999</v>
      </c>
      <c r="G151">
        <v>10133.646000000001</v>
      </c>
      <c r="H151">
        <v>11848.843000000001</v>
      </c>
      <c r="I151">
        <v>14813.401</v>
      </c>
      <c r="J151">
        <v>16396.268</v>
      </c>
      <c r="K151">
        <v>11512.925999999999</v>
      </c>
      <c r="L151">
        <v>14433.523999999999</v>
      </c>
      <c r="M151">
        <v>15161.127</v>
      </c>
      <c r="N151">
        <f>IF(ISBLANK($B151),NA(),IFERROR(SUM($B151:$B$177),NA()))</f>
        <v>302638.12200000003</v>
      </c>
      <c r="O151">
        <f>IF(ISBLANK($C151),NA(),IFERROR(SUM($C151:$C$177),NA()))</f>
        <v>387783.23499999999</v>
      </c>
      <c r="P151">
        <f>IF(ISBLANK($D151),NA(),IFERROR(SUM($D151:$D$177),NA()))</f>
        <v>639003.64099999995</v>
      </c>
      <c r="Q151">
        <f t="shared" si="48"/>
        <v>1026786.8759999999</v>
      </c>
      <c r="R151">
        <f t="shared" si="49"/>
        <v>29.474288099490675</v>
      </c>
      <c r="S151">
        <f t="shared" si="50"/>
        <v>37.766672331328081</v>
      </c>
      <c r="T151">
        <f>IF(ISBLANK($E151),NA(),IFERROR(SUM($E151:$E$177),NA()))</f>
        <v>257122.98499999996</v>
      </c>
      <c r="U151">
        <f>IF(ISBLANK($F151),NA(),IFERROR(SUM($F151:$F$177),NA()))</f>
        <v>296806.60299999994</v>
      </c>
      <c r="V151">
        <f>IF(ISBLANK($G151),NA(),IFERROR(SUM($G151:$G$177),NA()))</f>
        <v>477717.39999999997</v>
      </c>
      <c r="W151">
        <f t="shared" si="51"/>
        <v>774524.00299999991</v>
      </c>
      <c r="X151">
        <f t="shared" si="52"/>
        <v>33.197548946717404</v>
      </c>
      <c r="Y151">
        <f t="shared" si="53"/>
        <v>38.321162656078457</v>
      </c>
      <c r="Z151">
        <f>IF(ISBLANK($H151),NA(),IFERROR(SUM($H151:$H$177),NA()))</f>
        <v>302638.12500000006</v>
      </c>
      <c r="AA151">
        <f>IF(ISBLANK($I151),NA(),IFERROR(SUM($I151:$I$177),NA()))</f>
        <v>387783.23800000001</v>
      </c>
      <c r="AB151">
        <f>IF(ISBLANK($J151),NA(),IFERROR(SUM($J151:$J$177),NA()))</f>
        <v>639003.59299999999</v>
      </c>
      <c r="AC151">
        <f t="shared" si="54"/>
        <v>1026786.831</v>
      </c>
      <c r="AD151">
        <f t="shared" si="55"/>
        <v>29.474289683405573</v>
      </c>
      <c r="AE151">
        <f t="shared" si="56"/>
        <v>37.766674278665349</v>
      </c>
      <c r="AF151">
        <f>IF(ISBLANK($K151),NA(),IFERROR(SUM($K151:$K$177),NA()))</f>
        <v>295948.15600000002</v>
      </c>
      <c r="AG151">
        <f>IF(ISBLANK($L151),NA(),IFERROR(SUM($L151:$L$177),NA()))</f>
        <v>378830.94199999998</v>
      </c>
      <c r="AH151">
        <f>IF(ISBLANK($M151),NA(),IFERROR(SUM($M151:$M$177),NA()))</f>
        <v>617789.8679999999</v>
      </c>
      <c r="AI151">
        <f t="shared" si="57"/>
        <v>996620.80999999982</v>
      </c>
      <c r="AJ151">
        <f t="shared" si="58"/>
        <v>29.695161191747548</v>
      </c>
      <c r="AK151">
        <f t="shared" si="59"/>
        <v>38.01154242404391</v>
      </c>
    </row>
    <row r="152" spans="1:37" x14ac:dyDescent="0.35">
      <c r="A152">
        <v>1999</v>
      </c>
      <c r="B152">
        <v>11942.659</v>
      </c>
      <c r="C152">
        <v>14870.102000000001</v>
      </c>
      <c r="D152">
        <v>16502.556</v>
      </c>
      <c r="E152">
        <v>10058.393</v>
      </c>
      <c r="F152">
        <v>11078.224</v>
      </c>
      <c r="G152">
        <v>10405.805</v>
      </c>
      <c r="H152">
        <v>11942.66</v>
      </c>
      <c r="I152">
        <v>14870.102000000001</v>
      </c>
      <c r="J152">
        <v>16502.553</v>
      </c>
      <c r="K152">
        <v>11643.313</v>
      </c>
      <c r="L152">
        <v>14538.200999999999</v>
      </c>
      <c r="M152">
        <v>15730.087</v>
      </c>
      <c r="N152">
        <f>IF(ISBLANK($B152),NA(),IFERROR(SUM($B152:$B$177),NA()))</f>
        <v>290789.27900000004</v>
      </c>
      <c r="O152">
        <f>IF(ISBLANK($C152),NA(),IFERROR(SUM($C152:$C$177),NA()))</f>
        <v>372969.83499999996</v>
      </c>
      <c r="P152">
        <f>IF(ISBLANK($D152),NA(),IFERROR(SUM($D152:$D$177),NA()))</f>
        <v>622607.37</v>
      </c>
      <c r="Q152">
        <f t="shared" si="48"/>
        <v>995577.20499999996</v>
      </c>
      <c r="R152">
        <f t="shared" si="49"/>
        <v>29.20810938012588</v>
      </c>
      <c r="S152">
        <f t="shared" si="50"/>
        <v>37.46267322382095</v>
      </c>
      <c r="T152">
        <f>IF(ISBLANK($E152),NA(),IFERROR(SUM($E152:$E$177),NA()))</f>
        <v>247232.51300000001</v>
      </c>
      <c r="U152">
        <f>IF(ISBLANK($F152),NA(),IFERROR(SUM($F152:$F$177),NA()))</f>
        <v>285470.16000000003</v>
      </c>
      <c r="V152">
        <f>IF(ISBLANK($G152),NA(),IFERROR(SUM($G152:$G$177),NA()))</f>
        <v>467583.75400000002</v>
      </c>
      <c r="W152">
        <f t="shared" si="51"/>
        <v>753053.91400000011</v>
      </c>
      <c r="X152">
        <f t="shared" si="52"/>
        <v>32.830652414615827</v>
      </c>
      <c r="Y152">
        <f t="shared" si="53"/>
        <v>37.908329628574243</v>
      </c>
      <c r="Z152">
        <f>IF(ISBLANK($H152),NA(),IFERROR(SUM($H152:$H$177),NA()))</f>
        <v>290789.28200000001</v>
      </c>
      <c r="AA152">
        <f>IF(ISBLANK($I152),NA(),IFERROR(SUM($I152:$I$177),NA()))</f>
        <v>372969.83699999994</v>
      </c>
      <c r="AB152">
        <f>IF(ISBLANK($J152),NA(),IFERROR(SUM($J152:$J$177),NA()))</f>
        <v>622607.32499999995</v>
      </c>
      <c r="AC152">
        <f t="shared" si="54"/>
        <v>995577.16199999989</v>
      </c>
      <c r="AD152">
        <f t="shared" si="55"/>
        <v>29.208110942986863</v>
      </c>
      <c r="AE152">
        <f t="shared" si="56"/>
        <v>37.462675042760772</v>
      </c>
      <c r="AF152">
        <f>IF(ISBLANK($K152),NA(),IFERROR(SUM($K152:$K$177),NA()))</f>
        <v>284435.23000000004</v>
      </c>
      <c r="AG152">
        <f>IF(ISBLANK($L152),NA(),IFERROR(SUM($L152:$L$177),NA()))</f>
        <v>364397.41799999995</v>
      </c>
      <c r="AH152">
        <f>IF(ISBLANK($M152),NA(),IFERROR(SUM($M152:$M$177),NA()))</f>
        <v>602628.74100000004</v>
      </c>
      <c r="AI152">
        <f t="shared" si="57"/>
        <v>967026.15899999999</v>
      </c>
      <c r="AJ152">
        <f t="shared" si="58"/>
        <v>29.413395630800103</v>
      </c>
      <c r="AK152">
        <f t="shared" si="59"/>
        <v>37.682271012898212</v>
      </c>
    </row>
    <row r="153" spans="1:37" x14ac:dyDescent="0.35">
      <c r="A153">
        <v>2000</v>
      </c>
      <c r="B153">
        <v>12319.548000000001</v>
      </c>
      <c r="C153">
        <v>15096.38</v>
      </c>
      <c r="D153">
        <v>16497.562000000002</v>
      </c>
      <c r="E153">
        <v>10382.906999999999</v>
      </c>
      <c r="F153">
        <v>11508.968999999999</v>
      </c>
      <c r="G153">
        <v>10100.652</v>
      </c>
      <c r="H153">
        <v>12319.548000000001</v>
      </c>
      <c r="I153">
        <v>15096.38</v>
      </c>
      <c r="J153">
        <v>16497.559000000001</v>
      </c>
      <c r="K153">
        <v>12015.544</v>
      </c>
      <c r="L153">
        <v>14833.565000000001</v>
      </c>
      <c r="M153">
        <v>15790.503000000001</v>
      </c>
      <c r="N153">
        <f>IF(ISBLANK($B153),NA(),IFERROR(SUM($B153:$B$177),NA()))</f>
        <v>278846.62</v>
      </c>
      <c r="O153">
        <f>IF(ISBLANK($C153),NA(),IFERROR(SUM($C153:$C$177),NA()))</f>
        <v>358099.73300000001</v>
      </c>
      <c r="P153">
        <f>IF(ISBLANK($D153),NA(),IFERROR(SUM($D153:$D$177),NA()))</f>
        <v>606104.8139999999</v>
      </c>
      <c r="Q153">
        <f t="shared" si="48"/>
        <v>964204.5469999999</v>
      </c>
      <c r="R153">
        <f t="shared" si="49"/>
        <v>28.919861544689439</v>
      </c>
      <c r="S153">
        <f t="shared" si="50"/>
        <v>37.139394759564439</v>
      </c>
      <c r="T153">
        <f>IF(ISBLANK($E153),NA(),IFERROR(SUM($E153:$E$177),NA()))</f>
        <v>237174.12000000002</v>
      </c>
      <c r="U153">
        <f>IF(ISBLANK($F153),NA(),IFERROR(SUM($F153:$F$177),NA()))</f>
        <v>274391.93600000005</v>
      </c>
      <c r="V153">
        <f>IF(ISBLANK($G153),NA(),IFERROR(SUM($G153:$G$177),NA()))</f>
        <v>457177.94899999996</v>
      </c>
      <c r="W153">
        <f t="shared" si="51"/>
        <v>731569.88500000001</v>
      </c>
      <c r="X153">
        <f t="shared" si="52"/>
        <v>32.419885627194731</v>
      </c>
      <c r="Y153">
        <f t="shared" si="53"/>
        <v>37.50727601369212</v>
      </c>
      <c r="Z153">
        <f>IF(ISBLANK($H153),NA(),IFERROR(SUM($H153:$H$177),NA()))</f>
        <v>278846.62199999997</v>
      </c>
      <c r="AA153">
        <f>IF(ISBLANK($I153),NA(),IFERROR(SUM($I153:$I$177),NA()))</f>
        <v>358099.73499999999</v>
      </c>
      <c r="AB153">
        <f>IF(ISBLANK($J153),NA(),IFERROR(SUM($J153:$J$177),NA()))</f>
        <v>606104.77199999988</v>
      </c>
      <c r="AC153">
        <f t="shared" si="54"/>
        <v>964204.50699999987</v>
      </c>
      <c r="AD153">
        <f t="shared" si="55"/>
        <v>28.919862951854054</v>
      </c>
      <c r="AE153">
        <f t="shared" si="56"/>
        <v>37.139396507716185</v>
      </c>
      <c r="AF153">
        <f>IF(ISBLANK($K153),NA(),IFERROR(SUM($K153:$K$177),NA()))</f>
        <v>272791.91700000007</v>
      </c>
      <c r="AG153">
        <f>IF(ISBLANK($L153),NA(),IFERROR(SUM($L153:$L$177),NA()))</f>
        <v>349859.21699999995</v>
      </c>
      <c r="AH153">
        <f>IF(ISBLANK($M153),NA(),IFERROR(SUM($M153:$M$177),NA()))</f>
        <v>586898.65399999998</v>
      </c>
      <c r="AI153">
        <f t="shared" si="57"/>
        <v>936757.87099999993</v>
      </c>
      <c r="AJ153">
        <f t="shared" si="58"/>
        <v>29.120856674392449</v>
      </c>
      <c r="AK153">
        <f t="shared" si="59"/>
        <v>37.347881222126396</v>
      </c>
    </row>
    <row r="154" spans="1:37" x14ac:dyDescent="0.35">
      <c r="A154">
        <v>2001</v>
      </c>
      <c r="B154">
        <v>12037.284</v>
      </c>
      <c r="C154">
        <v>14813.49</v>
      </c>
      <c r="D154">
        <v>16043.732</v>
      </c>
      <c r="E154">
        <v>10259.415000000001</v>
      </c>
      <c r="F154">
        <v>11346.347</v>
      </c>
      <c r="G154">
        <v>10453.655000000001</v>
      </c>
      <c r="H154">
        <v>12037.284</v>
      </c>
      <c r="I154">
        <v>14813.49</v>
      </c>
      <c r="J154">
        <v>16043.728999999999</v>
      </c>
      <c r="K154">
        <v>11922.31</v>
      </c>
      <c r="L154">
        <v>14778.803</v>
      </c>
      <c r="M154">
        <v>15691.511</v>
      </c>
      <c r="N154">
        <f>IF(ISBLANK($B154),NA(),IFERROR(SUM($B154:$B$177),NA()))</f>
        <v>266527.07200000004</v>
      </c>
      <c r="O154">
        <f>IF(ISBLANK($C154),NA(),IFERROR(SUM($C154:$C$177),NA()))</f>
        <v>343003.353</v>
      </c>
      <c r="P154">
        <f>IF(ISBLANK($D154),NA(),IFERROR(SUM($D154:$D$177),NA()))</f>
        <v>589607.25199999986</v>
      </c>
      <c r="Q154">
        <f t="shared" si="48"/>
        <v>932610.60499999986</v>
      </c>
      <c r="R154">
        <f t="shared" si="49"/>
        <v>28.578601891407839</v>
      </c>
      <c r="S154">
        <f t="shared" si="50"/>
        <v>36.778839009663642</v>
      </c>
      <c r="T154">
        <f>IF(ISBLANK($E154),NA(),IFERROR(SUM($E154:$E$177),NA()))</f>
        <v>226791.21300000002</v>
      </c>
      <c r="U154">
        <f>IF(ISBLANK($F154),NA(),IFERROR(SUM($F154:$F$177),NA()))</f>
        <v>262882.967</v>
      </c>
      <c r="V154">
        <f>IF(ISBLANK($G154),NA(),IFERROR(SUM($G154:$G$177),NA()))</f>
        <v>447077.29699999996</v>
      </c>
      <c r="W154">
        <f t="shared" si="51"/>
        <v>709960.26399999997</v>
      </c>
      <c r="X154">
        <f t="shared" si="52"/>
        <v>31.944212162273921</v>
      </c>
      <c r="Y154">
        <f t="shared" si="53"/>
        <v>37.027842307523848</v>
      </c>
      <c r="Z154">
        <f>IF(ISBLANK($H154),NA(),IFERROR(SUM($H154:$H$177),NA()))</f>
        <v>266527.07399999996</v>
      </c>
      <c r="AA154">
        <f>IF(ISBLANK($I154),NA(),IFERROR(SUM($I154:$I$177),NA()))</f>
        <v>343003.35499999998</v>
      </c>
      <c r="AB154">
        <f>IF(ISBLANK($J154),NA(),IFERROR(SUM($J154:$J$177),NA()))</f>
        <v>589607.21299999987</v>
      </c>
      <c r="AC154">
        <f t="shared" si="54"/>
        <v>932610.56799999985</v>
      </c>
      <c r="AD154">
        <f t="shared" si="55"/>
        <v>28.578603239675065</v>
      </c>
      <c r="AE154">
        <f t="shared" si="56"/>
        <v>36.778840683263631</v>
      </c>
      <c r="AF154">
        <f>IF(ISBLANK($K154),NA(),IFERROR(SUM($K154:$K$177),NA()))</f>
        <v>260776.37300000008</v>
      </c>
      <c r="AG154">
        <f>IF(ISBLANK($L154),NA(),IFERROR(SUM($L154:$L$177),NA()))</f>
        <v>335025.652</v>
      </c>
      <c r="AH154">
        <f>IF(ISBLANK($M154),NA(),IFERROR(SUM($M154:$M$177),NA()))</f>
        <v>571108.15099999995</v>
      </c>
      <c r="AI154">
        <f t="shared" si="57"/>
        <v>906133.80299999996</v>
      </c>
      <c r="AJ154">
        <f t="shared" si="58"/>
        <v>28.779013886981115</v>
      </c>
      <c r="AK154">
        <f t="shared" si="59"/>
        <v>36.973088399396133</v>
      </c>
    </row>
    <row r="155" spans="1:37" x14ac:dyDescent="0.35">
      <c r="A155">
        <v>2002</v>
      </c>
      <c r="B155">
        <v>12105.23</v>
      </c>
      <c r="C155">
        <v>14798.538</v>
      </c>
      <c r="D155">
        <v>17341.839</v>
      </c>
      <c r="E155">
        <v>10430.745000000001</v>
      </c>
      <c r="F155">
        <v>11556.47</v>
      </c>
      <c r="G155">
        <v>11424.656999999999</v>
      </c>
      <c r="H155">
        <v>12105.23</v>
      </c>
      <c r="I155">
        <v>14798.538</v>
      </c>
      <c r="J155">
        <v>17341.834999999999</v>
      </c>
      <c r="K155">
        <v>11945.94</v>
      </c>
      <c r="L155">
        <v>14742.476000000001</v>
      </c>
      <c r="M155">
        <v>16510.503000000001</v>
      </c>
      <c r="N155">
        <f>IF(ISBLANK($B155),NA(),IFERROR(SUM($B155:$B$177),NA()))</f>
        <v>254489.78800000006</v>
      </c>
      <c r="O155">
        <f>IF(ISBLANK($C155),NA(),IFERROR(SUM($C155:$C$177),NA()))</f>
        <v>328189.86300000001</v>
      </c>
      <c r="P155">
        <f>IF(ISBLANK($D155),NA(),IFERROR(SUM($D155:$D$177),NA()))</f>
        <v>573563.5199999999</v>
      </c>
      <c r="Q155">
        <f t="shared" si="48"/>
        <v>901753.38299999991</v>
      </c>
      <c r="R155">
        <f t="shared" si="49"/>
        <v>28.221661575956634</v>
      </c>
      <c r="S155">
        <f t="shared" si="50"/>
        <v>36.394636181808487</v>
      </c>
      <c r="T155">
        <f>IF(ISBLANK($E155),NA(),IFERROR(SUM($E155:$E$177),NA()))</f>
        <v>216531.79800000004</v>
      </c>
      <c r="U155">
        <f>IF(ISBLANK($F155),NA(),IFERROR(SUM($F155:$F$177),NA()))</f>
        <v>251536.62</v>
      </c>
      <c r="V155">
        <f>IF(ISBLANK($G155),NA(),IFERROR(SUM($G155:$G$177),NA()))</f>
        <v>436623.64200000005</v>
      </c>
      <c r="W155">
        <f t="shared" si="51"/>
        <v>688160.2620000001</v>
      </c>
      <c r="X155">
        <f t="shared" si="52"/>
        <v>31.465315560461697</v>
      </c>
      <c r="Y155">
        <f t="shared" si="53"/>
        <v>36.552040838417369</v>
      </c>
      <c r="Z155">
        <f>IF(ISBLANK($H155),NA(),IFERROR(SUM($H155:$H$177),NA()))</f>
        <v>254489.79</v>
      </c>
      <c r="AA155">
        <f>IF(ISBLANK($I155),NA(),IFERROR(SUM($I155:$I$177),NA()))</f>
        <v>328189.86499999999</v>
      </c>
      <c r="AB155">
        <f>IF(ISBLANK($J155),NA(),IFERROR(SUM($J155:$J$177),NA()))</f>
        <v>573563.48400000005</v>
      </c>
      <c r="AC155">
        <f t="shared" si="54"/>
        <v>901753.34900000005</v>
      </c>
      <c r="AD155">
        <f t="shared" si="55"/>
        <v>28.221662861825425</v>
      </c>
      <c r="AE155">
        <f t="shared" si="56"/>
        <v>36.394637775833758</v>
      </c>
      <c r="AF155">
        <f>IF(ISBLANK($K155),NA(),IFERROR(SUM($K155:$K$177),NA()))</f>
        <v>248854.06300000008</v>
      </c>
      <c r="AG155">
        <f>IF(ISBLANK($L155),NA(),IFERROR(SUM($L155:$L$177),NA()))</f>
        <v>320246.84899999993</v>
      </c>
      <c r="AH155">
        <f>IF(ISBLANK($M155),NA(),IFERROR(SUM($M155:$M$177),NA()))</f>
        <v>555416.64</v>
      </c>
      <c r="AI155">
        <f t="shared" si="57"/>
        <v>875663.48899999994</v>
      </c>
      <c r="AJ155">
        <f t="shared" si="58"/>
        <v>28.418915042831038</v>
      </c>
      <c r="AK155">
        <f t="shared" si="59"/>
        <v>36.571908389799262</v>
      </c>
    </row>
    <row r="156" spans="1:37" x14ac:dyDescent="0.35">
      <c r="A156">
        <v>2003</v>
      </c>
      <c r="B156">
        <v>12571.71</v>
      </c>
      <c r="C156">
        <v>15449.305</v>
      </c>
      <c r="D156">
        <v>19599.266</v>
      </c>
      <c r="E156">
        <v>10571.15</v>
      </c>
      <c r="F156">
        <v>11904.013999999999</v>
      </c>
      <c r="G156">
        <v>13505.061</v>
      </c>
      <c r="H156">
        <v>12571.71</v>
      </c>
      <c r="I156">
        <v>15449.305</v>
      </c>
      <c r="J156">
        <v>19599.262999999999</v>
      </c>
      <c r="K156">
        <v>12133.296</v>
      </c>
      <c r="L156">
        <v>15046.773999999999</v>
      </c>
      <c r="M156">
        <v>17713.362000000001</v>
      </c>
      <c r="N156">
        <f>IF(ISBLANK($B156),NA(),IFERROR(SUM($B156:$B$177),NA()))</f>
        <v>242384.55800000002</v>
      </c>
      <c r="O156">
        <f>IF(ISBLANK($C156),NA(),IFERROR(SUM($C156:$C$177),NA()))</f>
        <v>313391.32499999995</v>
      </c>
      <c r="P156">
        <f>IF(ISBLANK($D156),NA(),IFERROR(SUM($D156:$D$177),NA()))</f>
        <v>556221.68099999998</v>
      </c>
      <c r="Q156">
        <f t="shared" si="48"/>
        <v>869613.00599999994</v>
      </c>
      <c r="R156">
        <f t="shared" si="49"/>
        <v>27.872692373232518</v>
      </c>
      <c r="S156">
        <f t="shared" si="50"/>
        <v>36.038021837037704</v>
      </c>
      <c r="T156">
        <f>IF(ISBLANK($E156),NA(),IFERROR(SUM($E156:$E$177),NA()))</f>
        <v>206101.05299999999</v>
      </c>
      <c r="U156">
        <f>IF(ISBLANK($F156),NA(),IFERROR(SUM($F156:$F$177),NA()))</f>
        <v>239980.15000000002</v>
      </c>
      <c r="V156">
        <f>IF(ISBLANK($G156),NA(),IFERROR(SUM($G156:$G$177),NA()))</f>
        <v>425198.98500000004</v>
      </c>
      <c r="W156">
        <f t="shared" si="51"/>
        <v>665179.13500000001</v>
      </c>
      <c r="X156">
        <f t="shared" si="52"/>
        <v>30.984293125790842</v>
      </c>
      <c r="Y156">
        <f t="shared" si="53"/>
        <v>36.077522185057717</v>
      </c>
      <c r="Z156">
        <f>IF(ISBLANK($H156),NA(),IFERROR(SUM($H156:$H$177),NA()))</f>
        <v>242384.56000000003</v>
      </c>
      <c r="AA156">
        <f>IF(ISBLANK($I156),NA(),IFERROR(SUM($I156:$I$177),NA()))</f>
        <v>313391.32699999993</v>
      </c>
      <c r="AB156">
        <f>IF(ISBLANK($J156),NA(),IFERROR(SUM($J156:$J$177),NA()))</f>
        <v>556221.64899999998</v>
      </c>
      <c r="AC156">
        <f t="shared" si="54"/>
        <v>869612.97599999991</v>
      </c>
      <c r="AD156">
        <f t="shared" si="55"/>
        <v>27.872693564774963</v>
      </c>
      <c r="AE156">
        <f t="shared" si="56"/>
        <v>36.038023310268542</v>
      </c>
      <c r="AF156">
        <f>IF(ISBLANK($K156),NA(),IFERROR(SUM($K156:$K$177),NA()))</f>
        <v>236908.12300000008</v>
      </c>
      <c r="AG156">
        <f>IF(ISBLANK($L156),NA(),IFERROR(SUM($L156:$L$177),NA()))</f>
        <v>305504.37299999996</v>
      </c>
      <c r="AH156">
        <f>IF(ISBLANK($M156),NA(),IFERROR(SUM($M156:$M$177),NA()))</f>
        <v>538906.13699999999</v>
      </c>
      <c r="AI156">
        <f t="shared" si="57"/>
        <v>844410.51</v>
      </c>
      <c r="AJ156">
        <f t="shared" si="58"/>
        <v>28.056036749234693</v>
      </c>
      <c r="AK156">
        <f t="shared" si="59"/>
        <v>36.17960333061226</v>
      </c>
    </row>
    <row r="157" spans="1:37" x14ac:dyDescent="0.35">
      <c r="A157">
        <v>2004</v>
      </c>
      <c r="B157">
        <v>12586.757</v>
      </c>
      <c r="C157">
        <v>15439.153</v>
      </c>
      <c r="D157">
        <v>19419.846000000001</v>
      </c>
      <c r="E157">
        <v>10695.956</v>
      </c>
      <c r="F157">
        <v>11655.413</v>
      </c>
      <c r="G157">
        <v>15004.93</v>
      </c>
      <c r="H157">
        <v>12586.757</v>
      </c>
      <c r="I157">
        <v>15439.153</v>
      </c>
      <c r="J157">
        <v>19419.839</v>
      </c>
      <c r="K157">
        <v>12275.457</v>
      </c>
      <c r="L157">
        <v>15188.224</v>
      </c>
      <c r="M157">
        <v>18351.003000000001</v>
      </c>
      <c r="N157">
        <f>IF(ISBLANK($B157),NA(),IFERROR(SUM($B157:$B$177),NA()))</f>
        <v>229812.848</v>
      </c>
      <c r="O157">
        <f>IF(ISBLANK($C157),NA(),IFERROR(SUM($C157:$C$177),NA()))</f>
        <v>297942.02</v>
      </c>
      <c r="P157">
        <f>IF(ISBLANK($D157),NA(),IFERROR(SUM($D157:$D$177),NA()))</f>
        <v>536622.41500000004</v>
      </c>
      <c r="Q157">
        <f t="shared" si="48"/>
        <v>834564.43500000006</v>
      </c>
      <c r="R157">
        <f t="shared" si="49"/>
        <v>27.536860949508345</v>
      </c>
      <c r="S157">
        <f t="shared" si="50"/>
        <v>35.700301559100104</v>
      </c>
      <c r="T157">
        <f>IF(ISBLANK($E157),NA(),IFERROR(SUM($E157:$E$177),NA()))</f>
        <v>195529.90299999999</v>
      </c>
      <c r="U157">
        <f>IF(ISBLANK($F157),NA(),IFERROR(SUM($F157:$F$177),NA()))</f>
        <v>228076.136</v>
      </c>
      <c r="V157">
        <f>IF(ISBLANK($G157),NA(),IFERROR(SUM($G157:$G$177),NA()))</f>
        <v>411693.92399999994</v>
      </c>
      <c r="W157">
        <f t="shared" si="51"/>
        <v>639770.05999999994</v>
      </c>
      <c r="X157">
        <f t="shared" si="52"/>
        <v>30.56252788697239</v>
      </c>
      <c r="Y157">
        <f t="shared" si="53"/>
        <v>35.649704520402224</v>
      </c>
      <c r="Z157">
        <f>IF(ISBLANK($H157),NA(),IFERROR(SUM($H157:$H$177),NA()))</f>
        <v>229812.85000000003</v>
      </c>
      <c r="AA157">
        <f>IF(ISBLANK($I157),NA(),IFERROR(SUM($I157:$I$177),NA()))</f>
        <v>297942.022</v>
      </c>
      <c r="AB157">
        <f>IF(ISBLANK($J157),NA(),IFERROR(SUM($J157:$J$177),NA()))</f>
        <v>536622.38600000006</v>
      </c>
      <c r="AC157">
        <f t="shared" si="54"/>
        <v>834564.40800000005</v>
      </c>
      <c r="AD157">
        <f t="shared" si="55"/>
        <v>27.536862080032538</v>
      </c>
      <c r="AE157">
        <f t="shared" si="56"/>
        <v>35.700302953729604</v>
      </c>
      <c r="AF157">
        <f>IF(ISBLANK($K157),NA(),IFERROR(SUM($K157:$K$177),NA()))</f>
        <v>224774.82700000005</v>
      </c>
      <c r="AG157">
        <f>IF(ISBLANK($L157),NA(),IFERROR(SUM($L157:$L$177),NA()))</f>
        <v>290457.59899999999</v>
      </c>
      <c r="AH157">
        <f>IF(ISBLANK($M157),NA(),IFERROR(SUM($M157:$M$177),NA()))</f>
        <v>521192.77499999997</v>
      </c>
      <c r="AI157">
        <f t="shared" si="57"/>
        <v>811650.37399999995</v>
      </c>
      <c r="AJ157">
        <f t="shared" si="58"/>
        <v>27.693553061801467</v>
      </c>
      <c r="AK157">
        <f t="shared" si="59"/>
        <v>35.786048809237656</v>
      </c>
    </row>
    <row r="158" spans="1:37" x14ac:dyDescent="0.35">
      <c r="A158">
        <v>2005</v>
      </c>
      <c r="B158">
        <v>12622.008</v>
      </c>
      <c r="C158">
        <v>15531.507</v>
      </c>
      <c r="D158">
        <v>19669.713</v>
      </c>
      <c r="E158">
        <v>10713.782999999999</v>
      </c>
      <c r="F158">
        <v>11766.857</v>
      </c>
      <c r="G158">
        <v>15054.874</v>
      </c>
      <c r="H158">
        <v>12622.008</v>
      </c>
      <c r="I158">
        <v>15531.507</v>
      </c>
      <c r="J158">
        <v>19669.705999999998</v>
      </c>
      <c r="K158">
        <v>12310.157999999999</v>
      </c>
      <c r="L158">
        <v>15284.334000000001</v>
      </c>
      <c r="M158">
        <v>18776.668000000001</v>
      </c>
      <c r="N158">
        <f>IF(ISBLANK($B158),NA(),IFERROR(SUM($B158:$B$177),NA()))</f>
        <v>217226.09100000001</v>
      </c>
      <c r="O158">
        <f>IF(ISBLANK($C158),NA(),IFERROR(SUM($C158:$C$177),NA()))</f>
        <v>282502.86700000003</v>
      </c>
      <c r="P158">
        <f>IF(ISBLANK($D158),NA(),IFERROR(SUM($D158:$D$177),NA()))</f>
        <v>517202.56900000002</v>
      </c>
      <c r="Q158">
        <f t="shared" si="48"/>
        <v>799705.43599999999</v>
      </c>
      <c r="R158">
        <f t="shared" si="49"/>
        <v>27.163263024261852</v>
      </c>
      <c r="S158">
        <f t="shared" si="50"/>
        <v>35.325865535319437</v>
      </c>
      <c r="T158">
        <f>IF(ISBLANK($E158),NA(),IFERROR(SUM($E158:$E$177),NA()))</f>
        <v>184833.94700000001</v>
      </c>
      <c r="U158">
        <f>IF(ISBLANK($F158),NA(),IFERROR(SUM($F158:$F$177),NA()))</f>
        <v>216420.723</v>
      </c>
      <c r="V158">
        <f>IF(ISBLANK($G158),NA(),IFERROR(SUM($G158:$G$177),NA()))</f>
        <v>396688.99400000001</v>
      </c>
      <c r="W158">
        <f t="shared" si="51"/>
        <v>613109.71699999995</v>
      </c>
      <c r="X158">
        <f t="shared" si="52"/>
        <v>30.146960955766428</v>
      </c>
      <c r="Y158">
        <f t="shared" si="53"/>
        <v>35.298857121196143</v>
      </c>
      <c r="Z158">
        <f>IF(ISBLANK($H158),NA(),IFERROR(SUM($H158:$H$177),NA()))</f>
        <v>217226.09300000002</v>
      </c>
      <c r="AA158">
        <f>IF(ISBLANK($I158),NA(),IFERROR(SUM($I158:$I$177),NA()))</f>
        <v>282502.86900000001</v>
      </c>
      <c r="AB158">
        <f>IF(ISBLANK($J158),NA(),IFERROR(SUM($J158:$J$177),NA()))</f>
        <v>517202.54700000002</v>
      </c>
      <c r="AC158">
        <f t="shared" si="54"/>
        <v>799705.41599999997</v>
      </c>
      <c r="AD158">
        <f t="shared" si="55"/>
        <v>27.163263953685668</v>
      </c>
      <c r="AE158">
        <f t="shared" si="56"/>
        <v>35.325866668883485</v>
      </c>
      <c r="AF158">
        <f>IF(ISBLANK($K158),NA(),IFERROR(SUM($K158:$K$177),NA()))</f>
        <v>212499.37000000005</v>
      </c>
      <c r="AG158">
        <f>IF(ISBLANK($L158),NA(),IFERROR(SUM($L158:$L$177),NA()))</f>
        <v>275269.375</v>
      </c>
      <c r="AH158">
        <f>IF(ISBLANK($M158),NA(),IFERROR(SUM($M158:$M$177),NA()))</f>
        <v>502841.77200000006</v>
      </c>
      <c r="AI158">
        <f t="shared" si="57"/>
        <v>778111.14700000011</v>
      </c>
      <c r="AJ158">
        <f t="shared" si="58"/>
        <v>27.309642178921262</v>
      </c>
      <c r="AK158">
        <f t="shared" si="59"/>
        <v>35.376613747444488</v>
      </c>
    </row>
    <row r="159" spans="1:37" x14ac:dyDescent="0.35">
      <c r="A159">
        <v>2006</v>
      </c>
      <c r="B159">
        <v>12027.618</v>
      </c>
      <c r="C159">
        <v>15050.976000000001</v>
      </c>
      <c r="D159">
        <v>21064.312999999998</v>
      </c>
      <c r="E159">
        <v>10586.273999999999</v>
      </c>
      <c r="F159">
        <v>11728.589</v>
      </c>
      <c r="G159">
        <v>15381.602000000001</v>
      </c>
      <c r="H159">
        <v>12027.618</v>
      </c>
      <c r="I159">
        <v>15050.976000000001</v>
      </c>
      <c r="J159">
        <v>21064.305</v>
      </c>
      <c r="K159">
        <v>12186.563</v>
      </c>
      <c r="L159">
        <v>15281.846</v>
      </c>
      <c r="M159">
        <v>20248.618999999999</v>
      </c>
      <c r="N159">
        <f>IF(ISBLANK($B159),NA(),IFERROR(SUM($B159:$B$177),NA()))</f>
        <v>204604.08300000001</v>
      </c>
      <c r="O159">
        <f>IF(ISBLANK($C159),NA(),IFERROR(SUM($C159:$C$177),NA()))</f>
        <v>266971.36</v>
      </c>
      <c r="P159">
        <f>IF(ISBLANK($D159),NA(),IFERROR(SUM($D159:$D$177),NA()))</f>
        <v>497532.85600000003</v>
      </c>
      <c r="Q159">
        <f t="shared" si="48"/>
        <v>764504.21600000001</v>
      </c>
      <c r="R159">
        <f t="shared" si="49"/>
        <v>26.762976412415235</v>
      </c>
      <c r="S159">
        <f t="shared" si="50"/>
        <v>34.920848624855715</v>
      </c>
      <c r="T159">
        <f>IF(ISBLANK($E159),NA(),IFERROR(SUM($E159:$E$177),NA()))</f>
        <v>174120.16400000002</v>
      </c>
      <c r="U159">
        <f>IF(ISBLANK($F159),NA(),IFERROR(SUM($F159:$F$177),NA()))</f>
        <v>204653.86600000004</v>
      </c>
      <c r="V159">
        <f>IF(ISBLANK($G159),NA(),IFERROR(SUM($G159:$G$177),NA()))</f>
        <v>381634.11999999994</v>
      </c>
      <c r="W159">
        <f t="shared" si="51"/>
        <v>586287.98600000003</v>
      </c>
      <c r="X159">
        <f t="shared" si="52"/>
        <v>29.698743306672498</v>
      </c>
      <c r="Y159">
        <f t="shared" si="53"/>
        <v>34.906713234270512</v>
      </c>
      <c r="Z159">
        <f>IF(ISBLANK($H159),NA(),IFERROR(SUM($H159:$H$177),NA()))</f>
        <v>204604.08500000002</v>
      </c>
      <c r="AA159">
        <f>IF(ISBLANK($I159),NA(),IFERROR(SUM($I159:$I$177),NA()))</f>
        <v>266971.36199999996</v>
      </c>
      <c r="AB159">
        <f>IF(ISBLANK($J159),NA(),IFERROR(SUM($J159:$J$177),NA()))</f>
        <v>497532.84100000001</v>
      </c>
      <c r="AC159">
        <f t="shared" si="54"/>
        <v>764504.20299999998</v>
      </c>
      <c r="AD159">
        <f t="shared" si="55"/>
        <v>26.762977129113313</v>
      </c>
      <c r="AE159">
        <f t="shared" si="56"/>
        <v>34.920849480274207</v>
      </c>
      <c r="AF159">
        <f>IF(ISBLANK($K159),NA(),IFERROR(SUM($K159:$K$177),NA()))</f>
        <v>200189.21200000003</v>
      </c>
      <c r="AG159">
        <f>IF(ISBLANK($L159),NA(),IFERROR(SUM($L159:$L$177),NA()))</f>
        <v>259985.041</v>
      </c>
      <c r="AH159">
        <f>IF(ISBLANK($M159),NA(),IFERROR(SUM($M159:$M$177),NA()))</f>
        <v>484065.10399999999</v>
      </c>
      <c r="AI159">
        <f t="shared" si="57"/>
        <v>744050.14500000002</v>
      </c>
      <c r="AJ159">
        <f t="shared" si="58"/>
        <v>26.90533875240358</v>
      </c>
      <c r="AK159">
        <f t="shared" si="59"/>
        <v>34.941870886941359</v>
      </c>
    </row>
    <row r="160" spans="1:37" x14ac:dyDescent="0.35">
      <c r="A160">
        <v>2007</v>
      </c>
      <c r="B160">
        <v>12211.620999999999</v>
      </c>
      <c r="C160">
        <v>15378.269</v>
      </c>
      <c r="D160">
        <v>21156.091</v>
      </c>
      <c r="E160">
        <v>10701.597</v>
      </c>
      <c r="F160">
        <v>11849.371999999999</v>
      </c>
      <c r="G160">
        <v>15524.019</v>
      </c>
      <c r="H160">
        <v>12211.620999999999</v>
      </c>
      <c r="I160">
        <v>15378.269</v>
      </c>
      <c r="J160">
        <v>21156.080999999998</v>
      </c>
      <c r="K160">
        <v>12171.807000000001</v>
      </c>
      <c r="L160">
        <v>15337.398999999999</v>
      </c>
      <c r="M160">
        <v>20357.493999999999</v>
      </c>
      <c r="N160">
        <f>IF(ISBLANK($B160),NA(),IFERROR(SUM($B160:$B$177),NA()))</f>
        <v>192576.465</v>
      </c>
      <c r="O160">
        <f>IF(ISBLANK($C160),NA(),IFERROR(SUM($C160:$C$177),NA()))</f>
        <v>251920.38399999999</v>
      </c>
      <c r="P160">
        <f>IF(ISBLANK($D160),NA(),IFERROR(SUM($D160:$D$177),NA()))</f>
        <v>476468.54299999995</v>
      </c>
      <c r="Q160">
        <f t="shared" si="48"/>
        <v>728388.92699999991</v>
      </c>
      <c r="R160">
        <f t="shared" si="49"/>
        <v>26.438686512322562</v>
      </c>
      <c r="S160">
        <f t="shared" si="50"/>
        <v>34.58597112913003</v>
      </c>
      <c r="T160">
        <f>IF(ISBLANK($E160),NA(),IFERROR(SUM($E160:$E$177),NA()))</f>
        <v>163533.89000000001</v>
      </c>
      <c r="U160">
        <f>IF(ISBLANK($F160),NA(),IFERROR(SUM($F160:$F$177),NA()))</f>
        <v>192925.277</v>
      </c>
      <c r="V160">
        <f>IF(ISBLANK($G160),NA(),IFERROR(SUM($G160:$G$177),NA()))</f>
        <v>366252.51799999998</v>
      </c>
      <c r="W160">
        <f t="shared" si="51"/>
        <v>559177.79499999993</v>
      </c>
      <c r="X160">
        <f t="shared" si="52"/>
        <v>29.245419160465776</v>
      </c>
      <c r="Y160">
        <f t="shared" si="53"/>
        <v>34.501598369084029</v>
      </c>
      <c r="Z160">
        <f>IF(ISBLANK($H160),NA(),IFERROR(SUM($H160:$H$177),NA()))</f>
        <v>192576.467</v>
      </c>
      <c r="AA160">
        <f>IF(ISBLANK($I160),NA(),IFERROR(SUM($I160:$I$177),NA()))</f>
        <v>251920.386</v>
      </c>
      <c r="AB160">
        <f>IF(ISBLANK($J160),NA(),IFERROR(SUM($J160:$J$177),NA()))</f>
        <v>476468.53599999996</v>
      </c>
      <c r="AC160">
        <f t="shared" si="54"/>
        <v>728388.92200000002</v>
      </c>
      <c r="AD160">
        <f t="shared" si="55"/>
        <v>26.43868696838857</v>
      </c>
      <c r="AE160">
        <f t="shared" si="56"/>
        <v>34.585971641122789</v>
      </c>
      <c r="AF160">
        <f>IF(ISBLANK($K160),NA(),IFERROR(SUM($K160:$K$177),NA()))</f>
        <v>188002.649</v>
      </c>
      <c r="AG160">
        <f>IF(ISBLANK($L160),NA(),IFERROR(SUM($L160:$L$177),NA()))</f>
        <v>244703.19499999998</v>
      </c>
      <c r="AH160">
        <f>IF(ISBLANK($M160),NA(),IFERROR(SUM($M160:$M$177),NA()))</f>
        <v>463816.48500000004</v>
      </c>
      <c r="AI160">
        <f t="shared" si="57"/>
        <v>708519.68</v>
      </c>
      <c r="AJ160">
        <f t="shared" si="58"/>
        <v>26.534569794871469</v>
      </c>
      <c r="AK160">
        <f t="shared" si="59"/>
        <v>34.537247433973882</v>
      </c>
    </row>
    <row r="161" spans="1:37" x14ac:dyDescent="0.35">
      <c r="A161">
        <v>2008</v>
      </c>
      <c r="B161">
        <v>12127.227999999999</v>
      </c>
      <c r="C161">
        <v>15221.392</v>
      </c>
      <c r="D161">
        <v>22273.838</v>
      </c>
      <c r="E161">
        <v>10290.096</v>
      </c>
      <c r="F161">
        <v>11521.911</v>
      </c>
      <c r="G161">
        <v>16169.334999999999</v>
      </c>
      <c r="H161">
        <v>12127.227000000001</v>
      </c>
      <c r="I161">
        <v>15221.392</v>
      </c>
      <c r="J161">
        <v>22273.838</v>
      </c>
      <c r="K161">
        <v>11845.31</v>
      </c>
      <c r="L161">
        <v>14938.323</v>
      </c>
      <c r="M161">
        <v>21470.763999999999</v>
      </c>
      <c r="N161">
        <f>IF(ISBLANK($B161),NA(),IFERROR(SUM($B161:$B$177),NA()))</f>
        <v>180364.84400000001</v>
      </c>
      <c r="O161">
        <f>IF(ISBLANK($C161),NA(),IFERROR(SUM($C161:$C$177),NA()))</f>
        <v>236542.11499999999</v>
      </c>
      <c r="P161">
        <f>IF(ISBLANK($D161),NA(),IFERROR(SUM($D161:$D$177),NA()))</f>
        <v>455312.45200000005</v>
      </c>
      <c r="Q161">
        <f t="shared" si="48"/>
        <v>691854.56700000004</v>
      </c>
      <c r="R161">
        <f t="shared" si="49"/>
        <v>26.069762722257206</v>
      </c>
      <c r="S161">
        <f t="shared" si="50"/>
        <v>34.189571953783165</v>
      </c>
      <c r="T161">
        <f>IF(ISBLANK($E161),NA(),IFERROR(SUM($E161:$E$177),NA()))</f>
        <v>152832.29300000001</v>
      </c>
      <c r="U161">
        <f>IF(ISBLANK($F161),NA(),IFERROR(SUM($F161:$F$177),NA()))</f>
        <v>181075.90500000003</v>
      </c>
      <c r="V161">
        <f>IF(ISBLANK($G161),NA(),IFERROR(SUM($G161:$G$177),NA()))</f>
        <v>350728.49900000001</v>
      </c>
      <c r="W161">
        <f t="shared" si="51"/>
        <v>531804.4040000001</v>
      </c>
      <c r="X161">
        <f t="shared" si="52"/>
        <v>28.738440646685575</v>
      </c>
      <c r="Y161">
        <f t="shared" si="53"/>
        <v>34.049342885847935</v>
      </c>
      <c r="Z161">
        <f>IF(ISBLANK($H161),NA(),IFERROR(SUM($H161:$H$177),NA()))</f>
        <v>180364.84600000002</v>
      </c>
      <c r="AA161">
        <f>IF(ISBLANK($I161),NA(),IFERROR(SUM($I161:$I$177),NA()))</f>
        <v>236542.11699999997</v>
      </c>
      <c r="AB161">
        <f>IF(ISBLANK($J161),NA(),IFERROR(SUM($J161:$J$177),NA()))</f>
        <v>455312.45499999996</v>
      </c>
      <c r="AC161">
        <f t="shared" si="54"/>
        <v>691854.57199999993</v>
      </c>
      <c r="AD161">
        <f t="shared" si="55"/>
        <v>26.069762822930372</v>
      </c>
      <c r="AE161">
        <f t="shared" si="56"/>
        <v>34.189571995774855</v>
      </c>
      <c r="AF161">
        <f>IF(ISBLANK($K161),NA(),IFERROR(SUM($K161:$K$177),NA()))</f>
        <v>175830.84200000003</v>
      </c>
      <c r="AG161">
        <f>IF(ISBLANK($L161),NA(),IFERROR(SUM($L161:$L$177),NA()))</f>
        <v>229365.796</v>
      </c>
      <c r="AH161">
        <f>IF(ISBLANK($M161),NA(),IFERROR(SUM($M161:$M$177),NA()))</f>
        <v>443458.9910000001</v>
      </c>
      <c r="AI161">
        <f t="shared" si="57"/>
        <v>672824.78700000013</v>
      </c>
      <c r="AJ161">
        <f t="shared" si="58"/>
        <v>26.133228947167193</v>
      </c>
      <c r="AK161">
        <f t="shared" si="59"/>
        <v>34.089974155485443</v>
      </c>
    </row>
    <row r="162" spans="1:37" x14ac:dyDescent="0.35">
      <c r="A162">
        <v>2009</v>
      </c>
      <c r="B162">
        <v>11071.749</v>
      </c>
      <c r="C162">
        <v>14224.397999999999</v>
      </c>
      <c r="D162">
        <v>23523.278999999999</v>
      </c>
      <c r="E162">
        <v>9503.0609999999997</v>
      </c>
      <c r="F162">
        <v>10456.441999999999</v>
      </c>
      <c r="G162">
        <v>16092.346</v>
      </c>
      <c r="H162">
        <v>11071.749</v>
      </c>
      <c r="I162">
        <v>14224.398999999999</v>
      </c>
      <c r="J162">
        <v>23523.279999999999</v>
      </c>
      <c r="K162">
        <v>10936.817999999999</v>
      </c>
      <c r="L162">
        <v>13973.844999999999</v>
      </c>
      <c r="M162">
        <v>22389.316999999999</v>
      </c>
      <c r="N162">
        <f>IF(ISBLANK($B162),NA(),IFERROR(SUM($B162:$B$177),NA()))</f>
        <v>168237.61600000001</v>
      </c>
      <c r="O162">
        <f>IF(ISBLANK($C162),NA(),IFERROR(SUM($C162:$C$177),NA()))</f>
        <v>221320.723</v>
      </c>
      <c r="P162">
        <f>IF(ISBLANK($D162),NA(),IFERROR(SUM($D162:$D$177),NA()))</f>
        <v>433038.61399999994</v>
      </c>
      <c r="Q162">
        <f t="shared" si="48"/>
        <v>654359.33699999994</v>
      </c>
      <c r="R162">
        <f t="shared" si="49"/>
        <v>25.710279732739572</v>
      </c>
      <c r="S162">
        <f t="shared" si="50"/>
        <v>33.822505538726652</v>
      </c>
      <c r="T162">
        <f>IF(ISBLANK($E162),NA(),IFERROR(SUM($E162:$E$177),NA()))</f>
        <v>142542.19700000001</v>
      </c>
      <c r="U162">
        <f>IF(ISBLANK($F162),NA(),IFERROR(SUM($F162:$F$177),NA()))</f>
        <v>169553.99400000001</v>
      </c>
      <c r="V162">
        <f>IF(ISBLANK($G162),NA(),IFERROR(SUM($G162:$G$177),NA()))</f>
        <v>334559.16399999999</v>
      </c>
      <c r="W162">
        <f t="shared" si="51"/>
        <v>504113.158</v>
      </c>
      <c r="X162">
        <f t="shared" si="52"/>
        <v>28.275833458804506</v>
      </c>
      <c r="Y162">
        <f t="shared" si="53"/>
        <v>33.63411395026511</v>
      </c>
      <c r="Z162">
        <f>IF(ISBLANK($H162),NA(),IFERROR(SUM($H162:$H$177),NA()))</f>
        <v>168237.61899999998</v>
      </c>
      <c r="AA162">
        <f>IF(ISBLANK($I162),NA(),IFERROR(SUM($I162:$I$177),NA()))</f>
        <v>221320.72500000001</v>
      </c>
      <c r="AB162">
        <f>IF(ISBLANK($J162),NA(),IFERROR(SUM($J162:$J$177),NA()))</f>
        <v>433038.61699999997</v>
      </c>
      <c r="AC162">
        <f t="shared" si="54"/>
        <v>654359.34199999995</v>
      </c>
      <c r="AD162">
        <f t="shared" si="55"/>
        <v>25.710279994749431</v>
      </c>
      <c r="AE162">
        <f t="shared" si="56"/>
        <v>33.822505585929271</v>
      </c>
      <c r="AF162">
        <f>IF(ISBLANK($K162),NA(),IFERROR(SUM($K162:$K$177),NA()))</f>
        <v>163985.53200000004</v>
      </c>
      <c r="AG162">
        <f>IF(ISBLANK($L162),NA(),IFERROR(SUM($L162:$L$177),NA()))</f>
        <v>214427.47299999997</v>
      </c>
      <c r="AH162">
        <f>IF(ISBLANK($M162),NA(),IFERROR(SUM($M162:$M$177),NA()))</f>
        <v>421988.22700000001</v>
      </c>
      <c r="AI162">
        <f t="shared" si="57"/>
        <v>636415.69999999995</v>
      </c>
      <c r="AJ162">
        <f t="shared" si="58"/>
        <v>25.767046916033031</v>
      </c>
      <c r="AK162">
        <f t="shared" si="59"/>
        <v>33.692989189298757</v>
      </c>
    </row>
    <row r="163" spans="1:37" x14ac:dyDescent="0.35">
      <c r="A163">
        <v>2010</v>
      </c>
      <c r="B163">
        <v>11895.232</v>
      </c>
      <c r="C163">
        <v>15295.797</v>
      </c>
      <c r="D163">
        <v>24166.399000000001</v>
      </c>
      <c r="E163">
        <v>9852.8080000000009</v>
      </c>
      <c r="F163">
        <v>10952.944</v>
      </c>
      <c r="G163">
        <v>16737.86</v>
      </c>
      <c r="H163">
        <v>11895.232</v>
      </c>
      <c r="I163">
        <v>15295.797</v>
      </c>
      <c r="J163">
        <v>24166.399000000001</v>
      </c>
      <c r="K163">
        <v>11294.884</v>
      </c>
      <c r="L163">
        <v>14590.031000000001</v>
      </c>
      <c r="M163">
        <v>23534.274000000001</v>
      </c>
      <c r="N163">
        <f>IF(ISBLANK($B163),NA(),IFERROR(SUM($B163:$B$177),NA()))</f>
        <v>157165.867</v>
      </c>
      <c r="O163">
        <f>IF(ISBLANK($C163),NA(),IFERROR(SUM($C163:$C$177),NA()))</f>
        <v>207096.32500000001</v>
      </c>
      <c r="P163">
        <f>IF(ISBLANK($D163),NA(),IFERROR(SUM($D163:$D$177),NA()))</f>
        <v>409515.33499999996</v>
      </c>
      <c r="Q163">
        <f t="shared" ref="Q163:Q177" si="60">IFERROR(O163+P163,"")</f>
        <v>616611.65999999992</v>
      </c>
      <c r="R163">
        <f t="shared" ref="R163:R177" si="61">IFERROR(N163/Q163*100,NA())</f>
        <v>25.488630396642193</v>
      </c>
      <c r="S163">
        <f t="shared" ref="S163:S177" si="62">IFERROR(O163/Q163*100,NA())</f>
        <v>33.586183725426153</v>
      </c>
      <c r="T163">
        <f>IF(ISBLANK($E163),NA(),IFERROR(SUM($E163:$E$177),NA()))</f>
        <v>133039.13600000003</v>
      </c>
      <c r="U163">
        <f>IF(ISBLANK($F163),NA(),IFERROR(SUM($F163:$F$177),NA()))</f>
        <v>159097.55200000003</v>
      </c>
      <c r="V163">
        <f>IF(ISBLANK($G163),NA(),IFERROR(SUM($G163:$G$177),NA()))</f>
        <v>318466.81800000003</v>
      </c>
      <c r="W163">
        <f t="shared" ref="W163:W177" si="63">IFERROR(U163+V163,"")</f>
        <v>477564.37000000005</v>
      </c>
      <c r="X163">
        <f t="shared" ref="X163:X177" si="64">IFERROR(T163/W163*100,NA())</f>
        <v>27.857843749943072</v>
      </c>
      <c r="Y163">
        <f t="shared" ref="Y163:Y177" si="65">IFERROR(U163/W163*100,NA())</f>
        <v>33.31436807147066</v>
      </c>
      <c r="Z163">
        <f>IF(ISBLANK($H163),NA(),IFERROR(SUM($H163:$H$177),NA()))</f>
        <v>157165.87</v>
      </c>
      <c r="AA163">
        <f>IF(ISBLANK($I163),NA(),IFERROR(SUM($I163:$I$177),NA()))</f>
        <v>207096.326</v>
      </c>
      <c r="AB163">
        <f>IF(ISBLANK($J163),NA(),IFERROR(SUM($J163:$J$177),NA()))</f>
        <v>409515.33700000006</v>
      </c>
      <c r="AC163">
        <f t="shared" ref="AC163:AC177" si="66">IFERROR(AA163+AB163,"")</f>
        <v>616611.66300000006</v>
      </c>
      <c r="AD163">
        <f t="shared" ref="AD163:AD177" si="67">IFERROR(Z163/AC163*100,NA())</f>
        <v>25.488630759162266</v>
      </c>
      <c r="AE163">
        <f t="shared" ref="AE163:AE177" si="68">IFERROR(AA163/AC163*100,NA())</f>
        <v>33.586183724195948</v>
      </c>
      <c r="AF163">
        <f>IF(ISBLANK($K163),NA(),IFERROR(SUM($K163:$K$177),NA()))</f>
        <v>153048.71400000001</v>
      </c>
      <c r="AG163">
        <f>IF(ISBLANK($L163),NA(),IFERROR(SUM($L163:$L$177),NA()))</f>
        <v>200453.628</v>
      </c>
      <c r="AH163">
        <f>IF(ISBLANK($M163),NA(),IFERROR(SUM($M163:$M$177),NA()))</f>
        <v>399598.91000000009</v>
      </c>
      <c r="AI163">
        <f t="shared" ref="AI163:AI177" si="69">IFERROR(AG163+AH163,"")</f>
        <v>600052.53800000006</v>
      </c>
      <c r="AJ163">
        <f t="shared" ref="AJ163:AJ177" si="70">IFERROR(AF163/AI163*100,NA())</f>
        <v>25.505885619635528</v>
      </c>
      <c r="AK163">
        <f t="shared" ref="AK163:AK177" si="71">IFERROR(AG163/AI163*100,NA())</f>
        <v>33.406012858160764</v>
      </c>
    </row>
    <row r="164" spans="1:37" x14ac:dyDescent="0.35">
      <c r="A164">
        <v>2011</v>
      </c>
      <c r="B164">
        <v>11269.467000000001</v>
      </c>
      <c r="C164">
        <v>14462.842000000001</v>
      </c>
      <c r="D164">
        <v>25802.384999999998</v>
      </c>
      <c r="E164">
        <v>9540.4850000000006</v>
      </c>
      <c r="F164">
        <v>11107.620999999999</v>
      </c>
      <c r="G164">
        <v>18718.382000000001</v>
      </c>
      <c r="H164">
        <v>11269.467000000001</v>
      </c>
      <c r="I164">
        <v>14462.842000000001</v>
      </c>
      <c r="J164">
        <v>25802.384999999998</v>
      </c>
      <c r="K164">
        <v>11077.163</v>
      </c>
      <c r="L164">
        <v>14231.841</v>
      </c>
      <c r="M164">
        <v>24998.133999999998</v>
      </c>
      <c r="N164">
        <f>IF(ISBLANK($B164),NA(),IFERROR(SUM($B164:$B$177),NA()))</f>
        <v>145270.63500000001</v>
      </c>
      <c r="O164">
        <f>IF(ISBLANK($C164),NA(),IFERROR(SUM($C164:$C$177),NA()))</f>
        <v>191800.52800000002</v>
      </c>
      <c r="P164">
        <f>IF(ISBLANK($D164),NA(),IFERROR(SUM($D164:$D$177),NA()))</f>
        <v>385348.93599999999</v>
      </c>
      <c r="Q164">
        <f t="shared" si="60"/>
        <v>577149.46400000004</v>
      </c>
      <c r="R164">
        <f t="shared" si="61"/>
        <v>25.170366440815062</v>
      </c>
      <c r="S164">
        <f t="shared" si="62"/>
        <v>33.232384323933118</v>
      </c>
      <c r="T164">
        <f>IF(ISBLANK($E164),NA(),IFERROR(SUM($E164:$E$177),NA()))</f>
        <v>123186.32800000001</v>
      </c>
      <c r="U164">
        <f>IF(ISBLANK($F164),NA(),IFERROR(SUM($F164:$F$177),NA()))</f>
        <v>148144.60800000004</v>
      </c>
      <c r="V164">
        <f>IF(ISBLANK($G164),NA(),IFERROR(SUM($G164:$G$177),NA()))</f>
        <v>301728.95800000004</v>
      </c>
      <c r="W164">
        <f t="shared" si="63"/>
        <v>449873.56600000011</v>
      </c>
      <c r="X164">
        <f t="shared" si="64"/>
        <v>27.382433045643754</v>
      </c>
      <c r="Y164">
        <f t="shared" si="65"/>
        <v>32.930276236768265</v>
      </c>
      <c r="Z164">
        <f>IF(ISBLANK($H164),NA(),IFERROR(SUM($H164:$H$177),NA()))</f>
        <v>145270.63799999998</v>
      </c>
      <c r="AA164">
        <f>IF(ISBLANK($I164),NA(),IFERROR(SUM($I164:$I$177),NA()))</f>
        <v>191800.52900000004</v>
      </c>
      <c r="AB164">
        <f>IF(ISBLANK($J164),NA(),IFERROR(SUM($J164:$J$177),NA()))</f>
        <v>385348.93800000002</v>
      </c>
      <c r="AC164">
        <f t="shared" si="66"/>
        <v>577149.46700000006</v>
      </c>
      <c r="AD164">
        <f t="shared" si="67"/>
        <v>25.170366829776512</v>
      </c>
      <c r="AE164">
        <f t="shared" si="68"/>
        <v>33.232384324457847</v>
      </c>
      <c r="AF164">
        <f>IF(ISBLANK($K164),NA(),IFERROR(SUM($K164:$K$177),NA()))</f>
        <v>141753.83000000002</v>
      </c>
      <c r="AG164">
        <f>IF(ISBLANK($L164),NA(),IFERROR(SUM($L164:$L$177),NA()))</f>
        <v>185863.59699999998</v>
      </c>
      <c r="AH164">
        <f>IF(ISBLANK($M164),NA(),IFERROR(SUM($M164:$M$177),NA()))</f>
        <v>376064.636</v>
      </c>
      <c r="AI164">
        <f t="shared" si="69"/>
        <v>561928.23300000001</v>
      </c>
      <c r="AJ164">
        <f t="shared" si="70"/>
        <v>25.226322806955316</v>
      </c>
      <c r="AK164">
        <f t="shared" si="71"/>
        <v>33.076038199347771</v>
      </c>
    </row>
    <row r="165" spans="1:37" x14ac:dyDescent="0.35">
      <c r="A165">
        <v>2012</v>
      </c>
      <c r="B165">
        <v>11063.984</v>
      </c>
      <c r="C165">
        <v>14565.038</v>
      </c>
      <c r="D165">
        <v>26572.498</v>
      </c>
      <c r="E165">
        <v>9331.4060000000009</v>
      </c>
      <c r="F165">
        <v>11280.571</v>
      </c>
      <c r="G165">
        <v>19392.306</v>
      </c>
      <c r="H165">
        <v>11063.985000000001</v>
      </c>
      <c r="I165">
        <v>14565.039000000001</v>
      </c>
      <c r="J165">
        <v>26572.499</v>
      </c>
      <c r="K165">
        <v>10846.607</v>
      </c>
      <c r="L165">
        <v>14186.684999999999</v>
      </c>
      <c r="M165">
        <v>25471.082999999999</v>
      </c>
      <c r="N165">
        <f>IF(ISBLANK($B165),NA(),IFERROR(SUM($B165:$B$177),NA()))</f>
        <v>134001.16799999998</v>
      </c>
      <c r="O165">
        <f>IF(ISBLANK($C165),NA(),IFERROR(SUM($C165:$C$177),NA()))</f>
        <v>177337.68600000002</v>
      </c>
      <c r="P165">
        <f>IF(ISBLANK($D165),NA(),IFERROR(SUM($D165:$D$177),NA()))</f>
        <v>359546.55100000004</v>
      </c>
      <c r="Q165">
        <f t="shared" si="60"/>
        <v>536884.23700000008</v>
      </c>
      <c r="R165">
        <f t="shared" si="61"/>
        <v>24.959043079523298</v>
      </c>
      <c r="S165">
        <f t="shared" si="62"/>
        <v>33.030898241849478</v>
      </c>
      <c r="T165">
        <f>IF(ISBLANK($E165),NA(),IFERROR(SUM($E165:$E$177),NA()))</f>
        <v>113645.84300000001</v>
      </c>
      <c r="U165">
        <f>IF(ISBLANK($F165),NA(),IFERROR(SUM($F165:$F$177),NA()))</f>
        <v>137036.98700000002</v>
      </c>
      <c r="V165">
        <f>IF(ISBLANK($G165),NA(),IFERROR(SUM($G165:$G$177),NA()))</f>
        <v>283010.576</v>
      </c>
      <c r="W165">
        <f t="shared" si="63"/>
        <v>420047.56300000002</v>
      </c>
      <c r="X165">
        <f t="shared" si="64"/>
        <v>27.055470144460759</v>
      </c>
      <c r="Y165">
        <f t="shared" si="65"/>
        <v>32.6241595169069</v>
      </c>
      <c r="Z165">
        <f>IF(ISBLANK($H165),NA(),IFERROR(SUM($H165:$H$177),NA()))</f>
        <v>134001.17099999997</v>
      </c>
      <c r="AA165">
        <f>IF(ISBLANK($I165),NA(),IFERROR(SUM($I165:$I$177),NA()))</f>
        <v>177337.68700000003</v>
      </c>
      <c r="AB165">
        <f>IF(ISBLANK($J165),NA(),IFERROR(SUM($J165:$J$177),NA()))</f>
        <v>359546.55300000001</v>
      </c>
      <c r="AC165">
        <f t="shared" si="66"/>
        <v>536884.24</v>
      </c>
      <c r="AD165">
        <f t="shared" si="67"/>
        <v>24.959043498836913</v>
      </c>
      <c r="AE165">
        <f t="shared" si="68"/>
        <v>33.030898243539433</v>
      </c>
      <c r="AF165">
        <f>IF(ISBLANK($K165),NA(),IFERROR(SUM($K165:$K$177),NA()))</f>
        <v>130676.667</v>
      </c>
      <c r="AG165">
        <f>IF(ISBLANK($L165),NA(),IFERROR(SUM($L165:$L$177),NA()))</f>
        <v>171631.75600000002</v>
      </c>
      <c r="AH165">
        <f>IF(ISBLANK($M165),NA(),IFERROR(SUM($M165:$M$177),NA()))</f>
        <v>351066.50200000004</v>
      </c>
      <c r="AI165">
        <f t="shared" si="69"/>
        <v>522698.25800000003</v>
      </c>
      <c r="AJ165">
        <f t="shared" si="70"/>
        <v>25.000402239718195</v>
      </c>
      <c r="AK165">
        <f t="shared" si="71"/>
        <v>32.835723741784498</v>
      </c>
    </row>
    <row r="166" spans="1:37" x14ac:dyDescent="0.35">
      <c r="A166">
        <v>2013</v>
      </c>
      <c r="B166">
        <v>11104.181</v>
      </c>
      <c r="C166">
        <v>14364.075000000001</v>
      </c>
      <c r="D166">
        <v>26850.191999999999</v>
      </c>
      <c r="E166">
        <v>9479.7909999999993</v>
      </c>
      <c r="F166">
        <v>10878.342000000001</v>
      </c>
      <c r="G166">
        <v>19652.264999999999</v>
      </c>
      <c r="H166">
        <v>11104.181</v>
      </c>
      <c r="I166">
        <v>14364.075000000001</v>
      </c>
      <c r="J166">
        <v>26850.191999999999</v>
      </c>
      <c r="K166">
        <v>10896.143</v>
      </c>
      <c r="L166">
        <v>14039.444</v>
      </c>
      <c r="M166">
        <v>25758.593000000001</v>
      </c>
      <c r="N166">
        <f>IF(ISBLANK($B166),NA(),IFERROR(SUM($B166:$B$177),NA()))</f>
        <v>122937.18399999998</v>
      </c>
      <c r="O166">
        <f>IF(ISBLANK($C166),NA(),IFERROR(SUM($C166:$C$177),NA()))</f>
        <v>162772.64800000002</v>
      </c>
      <c r="P166">
        <f>IF(ISBLANK($D166),NA(),IFERROR(SUM($D166:$D$177),NA()))</f>
        <v>332974.05300000001</v>
      </c>
      <c r="Q166">
        <f t="shared" si="60"/>
        <v>495746.701</v>
      </c>
      <c r="R166">
        <f t="shared" si="61"/>
        <v>24.798386706762972</v>
      </c>
      <c r="S166">
        <f t="shared" si="62"/>
        <v>32.833833825149348</v>
      </c>
      <c r="T166">
        <f>IF(ISBLANK($E166),NA(),IFERROR(SUM($E166:$E$177),NA()))</f>
        <v>104314.43700000001</v>
      </c>
      <c r="U166">
        <f>IF(ISBLANK($F166),NA(),IFERROR(SUM($F166:$F$177),NA()))</f>
        <v>125756.41600000001</v>
      </c>
      <c r="V166">
        <f>IF(ISBLANK($G166),NA(),IFERROR(SUM($G166:$G$177),NA()))</f>
        <v>263618.27</v>
      </c>
      <c r="W166">
        <f t="shared" si="63"/>
        <v>389374.68600000005</v>
      </c>
      <c r="X166">
        <f t="shared" si="64"/>
        <v>26.790246194895161</v>
      </c>
      <c r="Y166">
        <f t="shared" si="65"/>
        <v>32.297018918173841</v>
      </c>
      <c r="Z166">
        <f>IF(ISBLANK($H166),NA(),IFERROR(SUM($H166:$H$177),NA()))</f>
        <v>122937.18599999999</v>
      </c>
      <c r="AA166">
        <f>IF(ISBLANK($I166),NA(),IFERROR(SUM($I166:$I$177),NA()))</f>
        <v>162772.64800000002</v>
      </c>
      <c r="AB166">
        <f>IF(ISBLANK($J166),NA(),IFERROR(SUM($J166:$J$177),NA()))</f>
        <v>332974.05400000006</v>
      </c>
      <c r="AC166">
        <f t="shared" si="66"/>
        <v>495746.70200000005</v>
      </c>
      <c r="AD166">
        <f t="shared" si="67"/>
        <v>24.798387060172512</v>
      </c>
      <c r="AE166">
        <f t="shared" si="68"/>
        <v>32.833833758918281</v>
      </c>
      <c r="AF166">
        <f>IF(ISBLANK($K166),NA(),IFERROR(SUM($K166:$K$177),NA()))</f>
        <v>119830.06</v>
      </c>
      <c r="AG166">
        <f>IF(ISBLANK($L166),NA(),IFERROR(SUM($L166:$L$177),NA()))</f>
        <v>157445.07099999997</v>
      </c>
      <c r="AH166">
        <f>IF(ISBLANK($M166),NA(),IFERROR(SUM($M166:$M$177),NA()))</f>
        <v>325595.41900000005</v>
      </c>
      <c r="AI166">
        <f t="shared" si="69"/>
        <v>483040.49</v>
      </c>
      <c r="AJ166">
        <f t="shared" si="70"/>
        <v>24.807456617146112</v>
      </c>
      <c r="AK166">
        <f t="shared" si="71"/>
        <v>32.594590776437805</v>
      </c>
    </row>
    <row r="167" spans="1:37" x14ac:dyDescent="0.35">
      <c r="A167">
        <v>2014</v>
      </c>
      <c r="B167">
        <v>10941.716</v>
      </c>
      <c r="C167">
        <v>14023.258</v>
      </c>
      <c r="D167">
        <v>27476.524000000001</v>
      </c>
      <c r="E167">
        <v>9264.25</v>
      </c>
      <c r="F167">
        <v>10805.486999999999</v>
      </c>
      <c r="G167">
        <v>20084.989000000001</v>
      </c>
      <c r="H167">
        <v>10941.716</v>
      </c>
      <c r="I167">
        <v>14023.257</v>
      </c>
      <c r="J167">
        <v>27476.525000000001</v>
      </c>
      <c r="K167">
        <v>10714.335999999999</v>
      </c>
      <c r="L167">
        <v>13708.294</v>
      </c>
      <c r="M167">
        <v>26382.324000000001</v>
      </c>
      <c r="N167">
        <f>IF(ISBLANK($B167),NA(),IFERROR(SUM($B167:$B$177),NA()))</f>
        <v>111833.00299999998</v>
      </c>
      <c r="O167">
        <f>IF(ISBLANK($C167),NA(),IFERROR(SUM($C167:$C$177),NA()))</f>
        <v>148408.573</v>
      </c>
      <c r="P167">
        <f>IF(ISBLANK($D167),NA(),IFERROR(SUM($D167:$D$177),NA()))</f>
        <v>306123.86100000003</v>
      </c>
      <c r="Q167">
        <f t="shared" si="60"/>
        <v>454532.43400000001</v>
      </c>
      <c r="R167">
        <f t="shared" si="61"/>
        <v>24.603965445510976</v>
      </c>
      <c r="S167">
        <f t="shared" si="62"/>
        <v>32.650821349307719</v>
      </c>
      <c r="T167">
        <f>IF(ISBLANK($E167),NA(),IFERROR(SUM($E167:$E$177),NA()))</f>
        <v>94834.645999999993</v>
      </c>
      <c r="U167">
        <f>IF(ISBLANK($F167),NA(),IFERROR(SUM($F167:$F$177),NA()))</f>
        <v>114878.07400000001</v>
      </c>
      <c r="V167">
        <f>IF(ISBLANK($G167),NA(),IFERROR(SUM($G167:$G$177),NA()))</f>
        <v>243966.005</v>
      </c>
      <c r="W167">
        <f t="shared" si="63"/>
        <v>358844.07900000003</v>
      </c>
      <c r="X167">
        <f t="shared" si="64"/>
        <v>26.427814070188404</v>
      </c>
      <c r="Y167">
        <f t="shared" si="65"/>
        <v>32.013367566251524</v>
      </c>
      <c r="Z167">
        <f>IF(ISBLANK($H167),NA(),IFERROR(SUM($H167:$H$177),NA()))</f>
        <v>111833.00499999999</v>
      </c>
      <c r="AA167">
        <f>IF(ISBLANK($I167),NA(),IFERROR(SUM($I167:$I$177),NA()))</f>
        <v>148408.573</v>
      </c>
      <c r="AB167">
        <f>IF(ISBLANK($J167),NA(),IFERROR(SUM($J167:$J$177),NA()))</f>
        <v>306123.86200000002</v>
      </c>
      <c r="AC167">
        <f t="shared" si="66"/>
        <v>454532.43500000006</v>
      </c>
      <c r="AD167">
        <f t="shared" si="67"/>
        <v>24.603965831393303</v>
      </c>
      <c r="AE167">
        <f t="shared" si="68"/>
        <v>32.650821277473845</v>
      </c>
      <c r="AF167">
        <f>IF(ISBLANK($K167),NA(),IFERROR(SUM($K167:$K$177),NA()))</f>
        <v>108933.91699999999</v>
      </c>
      <c r="AG167">
        <f>IF(ISBLANK($L167),NA(),IFERROR(SUM($L167:$L$177),NA()))</f>
        <v>143405.62700000001</v>
      </c>
      <c r="AH167">
        <f>IF(ISBLANK($M167),NA(),IFERROR(SUM($M167:$M$177),NA()))</f>
        <v>299836.826</v>
      </c>
      <c r="AI167">
        <f t="shared" si="69"/>
        <v>443242.45299999998</v>
      </c>
      <c r="AJ167">
        <f t="shared" si="70"/>
        <v>24.57659826189979</v>
      </c>
      <c r="AK167">
        <f t="shared" si="71"/>
        <v>32.353766212912824</v>
      </c>
    </row>
    <row r="168" spans="1:37" x14ac:dyDescent="0.35">
      <c r="A168">
        <v>2015</v>
      </c>
      <c r="B168">
        <v>10737.214</v>
      </c>
      <c r="C168">
        <v>14140.307000000001</v>
      </c>
      <c r="D168">
        <v>27380.474999999999</v>
      </c>
      <c r="E168">
        <v>9181.93</v>
      </c>
      <c r="F168">
        <v>10770.040999999999</v>
      </c>
      <c r="G168">
        <v>21216.995999999999</v>
      </c>
      <c r="H168">
        <v>10737.215</v>
      </c>
      <c r="I168">
        <v>14140.308000000001</v>
      </c>
      <c r="J168">
        <v>27380.474999999999</v>
      </c>
      <c r="K168">
        <v>10514.602999999999</v>
      </c>
      <c r="L168">
        <v>13673.904</v>
      </c>
      <c r="M168">
        <v>26649.652999999998</v>
      </c>
      <c r="N168">
        <f>IF(ISBLANK($B168),NA(),IFERROR(SUM($B168:$B$177),NA()))</f>
        <v>100891.287</v>
      </c>
      <c r="O168">
        <f>IF(ISBLANK($C168),NA(),IFERROR(SUM($C168:$C$177),NA()))</f>
        <v>134385.315</v>
      </c>
      <c r="P168">
        <f>IF(ISBLANK($D168),NA(),IFERROR(SUM($D168:$D$177),NA()))</f>
        <v>278647.337</v>
      </c>
      <c r="Q168">
        <f t="shared" si="60"/>
        <v>413032.652</v>
      </c>
      <c r="R168">
        <f t="shared" si="61"/>
        <v>24.426951843022813</v>
      </c>
      <c r="S168">
        <f t="shared" si="62"/>
        <v>32.536244858433129</v>
      </c>
      <c r="T168">
        <f>IF(ISBLANK($E168),NA(),IFERROR(SUM($E168:$E$177),NA()))</f>
        <v>85570.395999999993</v>
      </c>
      <c r="U168">
        <f>IF(ISBLANK($F168),NA(),IFERROR(SUM($F168:$F$177),NA()))</f>
        <v>104072.58700000001</v>
      </c>
      <c r="V168">
        <f>IF(ISBLANK($G168),NA(),IFERROR(SUM($G168:$G$177),NA()))</f>
        <v>223881.016</v>
      </c>
      <c r="W168">
        <f t="shared" si="63"/>
        <v>327953.603</v>
      </c>
      <c r="X168">
        <f t="shared" si="64"/>
        <v>26.092226222622106</v>
      </c>
      <c r="Y168">
        <f t="shared" si="65"/>
        <v>31.733936156816672</v>
      </c>
      <c r="Z168">
        <f>IF(ISBLANK($H168),NA(),IFERROR(SUM($H168:$H$177),NA()))</f>
        <v>100891.28899999999</v>
      </c>
      <c r="AA168">
        <f>IF(ISBLANK($I168),NA(),IFERROR(SUM($I168:$I$177),NA()))</f>
        <v>134385.31600000002</v>
      </c>
      <c r="AB168">
        <f>IF(ISBLANK($J168),NA(),IFERROR(SUM($J168:$J$177),NA()))</f>
        <v>278647.337</v>
      </c>
      <c r="AC168">
        <f t="shared" si="66"/>
        <v>413032.65300000005</v>
      </c>
      <c r="AD168">
        <f t="shared" si="67"/>
        <v>24.426952268105538</v>
      </c>
      <c r="AE168">
        <f t="shared" si="68"/>
        <v>32.536245021770718</v>
      </c>
      <c r="AF168">
        <f>IF(ISBLANK($K168),NA(),IFERROR(SUM($K168:$K$177),NA()))</f>
        <v>98219.580999999991</v>
      </c>
      <c r="AG168">
        <f>IF(ISBLANK($L168),NA(),IFERROR(SUM($L168:$L$177),NA()))</f>
        <v>129697.33300000001</v>
      </c>
      <c r="AH168">
        <f>IF(ISBLANK($M168),NA(),IFERROR(SUM($M168:$M$177),NA()))</f>
        <v>273454.50200000004</v>
      </c>
      <c r="AI168">
        <f t="shared" si="69"/>
        <v>403151.83500000008</v>
      </c>
      <c r="AJ168">
        <f t="shared" si="70"/>
        <v>24.362925447182938</v>
      </c>
      <c r="AK168">
        <f t="shared" si="71"/>
        <v>32.170840298916161</v>
      </c>
    </row>
    <row r="169" spans="1:37" x14ac:dyDescent="0.35">
      <c r="A169">
        <v>2016</v>
      </c>
      <c r="B169">
        <v>10646.071</v>
      </c>
      <c r="C169">
        <v>14075.423000000001</v>
      </c>
      <c r="D169">
        <v>26319.885999999999</v>
      </c>
      <c r="E169">
        <v>8916.9850000000006</v>
      </c>
      <c r="F169">
        <v>10660.815000000001</v>
      </c>
      <c r="G169">
        <v>20780.042000000001</v>
      </c>
      <c r="H169">
        <v>10646.071</v>
      </c>
      <c r="I169">
        <v>14075.423000000001</v>
      </c>
      <c r="J169">
        <v>26319.885999999999</v>
      </c>
      <c r="K169">
        <v>10377.181</v>
      </c>
      <c r="L169">
        <v>13565.915999999999</v>
      </c>
      <c r="M169">
        <v>25667.556</v>
      </c>
      <c r="N169">
        <f>IF(ISBLANK($B169),NA(),IFERROR(SUM($B169:$B$177),NA()))</f>
        <v>90154.072999999989</v>
      </c>
      <c r="O169">
        <f>IF(ISBLANK($C169),NA(),IFERROR(SUM($C169:$C$177),NA()))</f>
        <v>120245.00799999999</v>
      </c>
      <c r="P169">
        <f>IF(ISBLANK($D169),NA(),IFERROR(SUM($D169:$D$177),NA()))</f>
        <v>251266.86200000002</v>
      </c>
      <c r="Q169">
        <f t="shared" si="60"/>
        <v>371511.87</v>
      </c>
      <c r="R169">
        <f t="shared" si="61"/>
        <v>24.266808217998523</v>
      </c>
      <c r="S169">
        <f t="shared" si="62"/>
        <v>32.366397337452497</v>
      </c>
      <c r="T169">
        <f>IF(ISBLANK($E169),NA(),IFERROR(SUM($E169:$E$177),NA()))</f>
        <v>76388.466</v>
      </c>
      <c r="U169">
        <f>IF(ISBLANK($F169),NA(),IFERROR(SUM($F169:$F$177),NA()))</f>
        <v>93302.546000000017</v>
      </c>
      <c r="V169">
        <f>IF(ISBLANK($G169),NA(),IFERROR(SUM($G169:$G$177),NA()))</f>
        <v>202664.02000000002</v>
      </c>
      <c r="W169">
        <f t="shared" si="63"/>
        <v>295966.56600000005</v>
      </c>
      <c r="X169">
        <f t="shared" si="64"/>
        <v>25.809829479185154</v>
      </c>
      <c r="Y169">
        <f t="shared" si="65"/>
        <v>31.52469120447882</v>
      </c>
      <c r="Z169">
        <f>IF(ISBLANK($H169),NA(),IFERROR(SUM($H169:$H$177),NA()))</f>
        <v>90154.073999999993</v>
      </c>
      <c r="AA169">
        <f>IF(ISBLANK($I169),NA(),IFERROR(SUM($I169:$I$177),NA()))</f>
        <v>120245.00799999999</v>
      </c>
      <c r="AB169">
        <f>IF(ISBLANK($J169),NA(),IFERROR(SUM($J169:$J$177),NA()))</f>
        <v>251266.86200000002</v>
      </c>
      <c r="AC169">
        <f t="shared" si="66"/>
        <v>371511.87</v>
      </c>
      <c r="AD169">
        <f t="shared" si="67"/>
        <v>24.266808487168927</v>
      </c>
      <c r="AE169">
        <f t="shared" si="68"/>
        <v>32.366397337452497</v>
      </c>
      <c r="AF169">
        <f>IF(ISBLANK($K169),NA(),IFERROR(SUM($K169:$K$177),NA()))</f>
        <v>87704.978000000003</v>
      </c>
      <c r="AG169">
        <f>IF(ISBLANK($L169),NA(),IFERROR(SUM($L169:$L$177),NA()))</f>
        <v>116023.429</v>
      </c>
      <c r="AH169">
        <f>IF(ISBLANK($M169),NA(),IFERROR(SUM($M169:$M$177),NA()))</f>
        <v>246804.84900000002</v>
      </c>
      <c r="AI169">
        <f t="shared" si="69"/>
        <v>362828.27800000005</v>
      </c>
      <c r="AJ169">
        <f t="shared" si="70"/>
        <v>24.172586129022719</v>
      </c>
      <c r="AK169">
        <f t="shared" si="71"/>
        <v>31.977504520747413</v>
      </c>
    </row>
    <row r="170" spans="1:37" x14ac:dyDescent="0.35">
      <c r="A170">
        <v>2017</v>
      </c>
      <c r="B170">
        <v>10681.156999999999</v>
      </c>
      <c r="C170">
        <v>14165.019</v>
      </c>
      <c r="D170">
        <v>26817.901000000002</v>
      </c>
      <c r="E170">
        <v>8901.8230000000003</v>
      </c>
      <c r="F170">
        <v>10600.625</v>
      </c>
      <c r="G170">
        <v>21070.098000000002</v>
      </c>
      <c r="H170">
        <v>10681.156999999999</v>
      </c>
      <c r="I170">
        <v>14165.019</v>
      </c>
      <c r="J170">
        <v>26817.901000000002</v>
      </c>
      <c r="K170">
        <v>10350.882</v>
      </c>
      <c r="L170">
        <v>13570.793</v>
      </c>
      <c r="M170">
        <v>26095.485000000001</v>
      </c>
      <c r="N170">
        <f>IF(ISBLANK($B170),NA(),IFERROR(SUM($B170:$B$177),NA()))</f>
        <v>79508.001999999993</v>
      </c>
      <c r="O170">
        <f>IF(ISBLANK($C170),NA(),IFERROR(SUM($C170:$C$177),NA()))</f>
        <v>106169.58500000001</v>
      </c>
      <c r="P170">
        <f>IF(ISBLANK($D170),NA(),IFERROR(SUM($D170:$D$177),NA()))</f>
        <v>224946.97600000002</v>
      </c>
      <c r="Q170">
        <f t="shared" si="60"/>
        <v>331116.56100000005</v>
      </c>
      <c r="R170">
        <f t="shared" si="61"/>
        <v>24.012088601028925</v>
      </c>
      <c r="S170">
        <f t="shared" si="62"/>
        <v>32.064112009184583</v>
      </c>
      <c r="T170">
        <f>IF(ISBLANK($E170),NA(),IFERROR(SUM($E170:$E$177),NA()))</f>
        <v>67471.481</v>
      </c>
      <c r="U170">
        <f>IF(ISBLANK($F170),NA(),IFERROR(SUM($F170:$F$177),NA()))</f>
        <v>82641.731</v>
      </c>
      <c r="V170">
        <f>IF(ISBLANK($G170),NA(),IFERROR(SUM($G170:$G$177),NA()))</f>
        <v>181883.978</v>
      </c>
      <c r="W170">
        <f t="shared" si="63"/>
        <v>264525.70900000003</v>
      </c>
      <c r="X170">
        <f t="shared" si="64"/>
        <v>25.506587338926661</v>
      </c>
      <c r="Y170">
        <f t="shared" si="65"/>
        <v>31.241474151005868</v>
      </c>
      <c r="Z170">
        <f>IF(ISBLANK($H170),NA(),IFERROR(SUM($H170:$H$177),NA()))</f>
        <v>79508.002999999982</v>
      </c>
      <c r="AA170">
        <f>IF(ISBLANK($I170),NA(),IFERROR(SUM($I170:$I$177),NA()))</f>
        <v>106169.58500000001</v>
      </c>
      <c r="AB170">
        <f>IF(ISBLANK($J170),NA(),IFERROR(SUM($J170:$J$177),NA()))</f>
        <v>224946.97600000002</v>
      </c>
      <c r="AC170">
        <f t="shared" si="66"/>
        <v>331116.56100000005</v>
      </c>
      <c r="AD170">
        <f t="shared" si="67"/>
        <v>24.012088903037373</v>
      </c>
      <c r="AE170">
        <f t="shared" si="68"/>
        <v>32.064112009184583</v>
      </c>
      <c r="AF170">
        <f>IF(ISBLANK($K170),NA(),IFERROR(SUM($K170:$K$177),NA()))</f>
        <v>77327.796999999991</v>
      </c>
      <c r="AG170">
        <f>IF(ISBLANK($L170),NA(),IFERROR(SUM($L170:$L$177),NA()))</f>
        <v>102457.51300000001</v>
      </c>
      <c r="AH170">
        <f>IF(ISBLANK($M170),NA(),IFERROR(SUM($M170:$M$177),NA()))</f>
        <v>221137.29300000003</v>
      </c>
      <c r="AI170">
        <f t="shared" si="69"/>
        <v>323594.80600000004</v>
      </c>
      <c r="AJ170">
        <f t="shared" si="70"/>
        <v>23.89648893190207</v>
      </c>
      <c r="AK170">
        <f t="shared" si="71"/>
        <v>31.662286013329886</v>
      </c>
    </row>
    <row r="171" spans="1:37" x14ac:dyDescent="0.35">
      <c r="A171">
        <v>2018</v>
      </c>
      <c r="B171">
        <v>10669.892</v>
      </c>
      <c r="C171">
        <v>14105.819</v>
      </c>
      <c r="D171">
        <v>27078.359</v>
      </c>
      <c r="E171">
        <v>9011.6280000000006</v>
      </c>
      <c r="F171">
        <v>10884.933000000001</v>
      </c>
      <c r="G171">
        <v>21227.289000000001</v>
      </c>
      <c r="H171">
        <v>10669.892</v>
      </c>
      <c r="I171">
        <v>14105.819</v>
      </c>
      <c r="J171">
        <v>27078.359</v>
      </c>
      <c r="K171">
        <v>10378.054</v>
      </c>
      <c r="L171">
        <v>13616.565000000001</v>
      </c>
      <c r="M171">
        <v>26636.58</v>
      </c>
      <c r="N171">
        <f>IF(ISBLANK($B171),NA(),IFERROR(SUM($B171:$B$177),NA()))</f>
        <v>68826.844999999987</v>
      </c>
      <c r="O171">
        <f>IF(ISBLANK($C171),NA(),IFERROR(SUM($C171:$C$177),NA()))</f>
        <v>92004.566000000006</v>
      </c>
      <c r="P171">
        <f>IF(ISBLANK($D171),NA(),IFERROR(SUM($D171:$D$177),NA()))</f>
        <v>198129.07500000001</v>
      </c>
      <c r="Q171">
        <f t="shared" si="60"/>
        <v>290133.641</v>
      </c>
      <c r="R171">
        <f t="shared" si="61"/>
        <v>23.722462780522573</v>
      </c>
      <c r="S171">
        <f t="shared" si="62"/>
        <v>31.711098955256965</v>
      </c>
      <c r="T171">
        <f>IF(ISBLANK($E171),NA(),IFERROR(SUM($E171:$E$177),NA()))</f>
        <v>58569.657999999996</v>
      </c>
      <c r="U171">
        <f>IF(ISBLANK($F171),NA(),IFERROR(SUM($F171:$F$177),NA()))</f>
        <v>72041.106</v>
      </c>
      <c r="V171">
        <f>IF(ISBLANK($G171),NA(),IFERROR(SUM($G171:$G$177),NA()))</f>
        <v>160813.88</v>
      </c>
      <c r="W171">
        <f t="shared" si="63"/>
        <v>232854.986</v>
      </c>
      <c r="X171">
        <f t="shared" si="64"/>
        <v>25.152846845203474</v>
      </c>
      <c r="Y171">
        <f t="shared" si="65"/>
        <v>30.938184849518318</v>
      </c>
      <c r="Z171">
        <f>IF(ISBLANK($H171),NA(),IFERROR(SUM($H171:$H$177),NA()))</f>
        <v>68826.84599999999</v>
      </c>
      <c r="AA171">
        <f>IF(ISBLANK($I171),NA(),IFERROR(SUM($I171:$I$177),NA()))</f>
        <v>92004.566000000006</v>
      </c>
      <c r="AB171">
        <f>IF(ISBLANK($J171),NA(),IFERROR(SUM($J171:$J$177),NA()))</f>
        <v>198129.07500000001</v>
      </c>
      <c r="AC171">
        <f t="shared" si="66"/>
        <v>290133.641</v>
      </c>
      <c r="AD171">
        <f t="shared" si="67"/>
        <v>23.722463125191329</v>
      </c>
      <c r="AE171">
        <f t="shared" si="68"/>
        <v>31.711098955256965</v>
      </c>
      <c r="AF171">
        <f>IF(ISBLANK($K171),NA(),IFERROR(SUM($K171:$K$177),NA()))</f>
        <v>66976.915000000008</v>
      </c>
      <c r="AG171">
        <f>IF(ISBLANK($L171),NA(),IFERROR(SUM($L171:$L$177),NA()))</f>
        <v>88886.720000000016</v>
      </c>
      <c r="AH171">
        <f>IF(ISBLANK($M171),NA(),IFERROR(SUM($M171:$M$177),NA()))</f>
        <v>195041.80800000002</v>
      </c>
      <c r="AI171">
        <f t="shared" si="69"/>
        <v>283928.52800000005</v>
      </c>
      <c r="AJ171">
        <f t="shared" si="70"/>
        <v>23.589357318824966</v>
      </c>
      <c r="AK171">
        <f t="shared" si="71"/>
        <v>31.306019379637682</v>
      </c>
    </row>
    <row r="172" spans="1:37" x14ac:dyDescent="0.35">
      <c r="A172">
        <v>2019</v>
      </c>
      <c r="B172">
        <v>10306.18</v>
      </c>
      <c r="C172">
        <v>13598.403</v>
      </c>
      <c r="D172">
        <v>27858.355</v>
      </c>
      <c r="E172">
        <v>8771.6260000000002</v>
      </c>
      <c r="F172">
        <v>10715.132</v>
      </c>
      <c r="G172">
        <v>22052.1</v>
      </c>
      <c r="H172">
        <v>10306.181</v>
      </c>
      <c r="I172">
        <v>13598.403</v>
      </c>
      <c r="J172">
        <v>27858.355</v>
      </c>
      <c r="K172">
        <v>10082.316000000001</v>
      </c>
      <c r="L172">
        <v>13233.555</v>
      </c>
      <c r="M172">
        <v>27370.986000000001</v>
      </c>
      <c r="N172">
        <f>IF(ISBLANK($B172),NA(),IFERROR(SUM($B172:$B$177),NA()))</f>
        <v>58156.952999999994</v>
      </c>
      <c r="O172">
        <f>IF(ISBLANK($C172),NA(),IFERROR(SUM($C172:$C$177),NA()))</f>
        <v>77898.747000000003</v>
      </c>
      <c r="P172">
        <f>IF(ISBLANK($D172),NA(),IFERROR(SUM($D172:$D$177),NA()))</f>
        <v>171050.71600000001</v>
      </c>
      <c r="Q172">
        <f t="shared" si="60"/>
        <v>248949.46300000002</v>
      </c>
      <c r="R172">
        <f t="shared" si="61"/>
        <v>23.360947358219445</v>
      </c>
      <c r="S172">
        <f t="shared" si="62"/>
        <v>31.290988163328553</v>
      </c>
      <c r="T172">
        <f>IF(ISBLANK($E172),NA(),IFERROR(SUM($E172:$E$177),NA()))</f>
        <v>49558.03</v>
      </c>
      <c r="U172">
        <f>IF(ISBLANK($F172),NA(),IFERROR(SUM($F172:$F$177),NA()))</f>
        <v>61156.172999999995</v>
      </c>
      <c r="V172">
        <f>IF(ISBLANK($G172),NA(),IFERROR(SUM($G172:$G$177),NA()))</f>
        <v>139586.59099999999</v>
      </c>
      <c r="W172">
        <f t="shared" si="63"/>
        <v>200742.76399999997</v>
      </c>
      <c r="X172">
        <f t="shared" si="64"/>
        <v>24.68733069750898</v>
      </c>
      <c r="Y172">
        <f t="shared" si="65"/>
        <v>30.46494517730164</v>
      </c>
      <c r="Z172">
        <f>IF(ISBLANK($H172),NA(),IFERROR(SUM($H172:$H$177),NA()))</f>
        <v>58156.953999999998</v>
      </c>
      <c r="AA172">
        <f>IF(ISBLANK($I172),NA(),IFERROR(SUM($I172:$I$177),NA()))</f>
        <v>77898.747000000003</v>
      </c>
      <c r="AB172">
        <f>IF(ISBLANK($J172),NA(),IFERROR(SUM($J172:$J$177),NA()))</f>
        <v>171050.71600000001</v>
      </c>
      <c r="AC172">
        <f t="shared" si="66"/>
        <v>248949.46300000002</v>
      </c>
      <c r="AD172">
        <f t="shared" si="67"/>
        <v>23.360947759907397</v>
      </c>
      <c r="AE172">
        <f t="shared" si="68"/>
        <v>31.290988163328553</v>
      </c>
      <c r="AF172">
        <f>IF(ISBLANK($K172),NA(),IFERROR(SUM($K172:$K$177),NA()))</f>
        <v>56598.860999999997</v>
      </c>
      <c r="AG172">
        <f>IF(ISBLANK($L172),NA(),IFERROR(SUM($L172:$L$177),NA()))</f>
        <v>75270.154999999999</v>
      </c>
      <c r="AH172">
        <f>IF(ISBLANK($M172),NA(),IFERROR(SUM($M172:$M$177),NA()))</f>
        <v>168405.22800000003</v>
      </c>
      <c r="AI172">
        <f t="shared" si="69"/>
        <v>243675.38300000003</v>
      </c>
      <c r="AJ172">
        <f t="shared" si="70"/>
        <v>23.227155859235886</v>
      </c>
      <c r="AK172">
        <f t="shared" si="71"/>
        <v>30.889519521140958</v>
      </c>
    </row>
    <row r="173" spans="1:37" x14ac:dyDescent="0.35">
      <c r="A173">
        <v>2020</v>
      </c>
      <c r="B173">
        <v>9381.0679999999993</v>
      </c>
      <c r="C173">
        <v>12510.993</v>
      </c>
      <c r="D173">
        <v>27043.932000000001</v>
      </c>
      <c r="E173">
        <v>7769.4179999999997</v>
      </c>
      <c r="F173">
        <v>9397.2540000000008</v>
      </c>
      <c r="G173">
        <v>21071.345000000001</v>
      </c>
      <c r="H173">
        <v>9381.0679999999993</v>
      </c>
      <c r="I173">
        <v>12510.993</v>
      </c>
      <c r="J173">
        <v>27043.932000000001</v>
      </c>
      <c r="K173">
        <v>9105.1409999999996</v>
      </c>
      <c r="L173">
        <v>12053.379000000001</v>
      </c>
      <c r="M173">
        <v>26550.113000000001</v>
      </c>
      <c r="N173">
        <f>IF(ISBLANK($B173),NA(),IFERROR(SUM($B173:$B$177),NA()))</f>
        <v>47850.773000000001</v>
      </c>
      <c r="O173">
        <f>IF(ISBLANK($C173),NA(),IFERROR(SUM($C173:$C$177),NA()))</f>
        <v>64300.343999999997</v>
      </c>
      <c r="P173">
        <f>IF(ISBLANK($D173),NA(),IFERROR(SUM($D173:$D$177),NA()))</f>
        <v>143192.361</v>
      </c>
      <c r="Q173">
        <f t="shared" si="60"/>
        <v>207492.70500000002</v>
      </c>
      <c r="R173">
        <f t="shared" si="61"/>
        <v>23.061424255855162</v>
      </c>
      <c r="S173">
        <f t="shared" si="62"/>
        <v>30.98920706633999</v>
      </c>
      <c r="T173">
        <f>IF(ISBLANK($E173),NA(),IFERROR(SUM($E173:$E$177),NA()))</f>
        <v>40786.404000000002</v>
      </c>
      <c r="U173">
        <f>IF(ISBLANK($F173),NA(),IFERROR(SUM($F173:$F$177),NA()))</f>
        <v>50441.040999999997</v>
      </c>
      <c r="V173">
        <f>IF(ISBLANK($G173),NA(),IFERROR(SUM($G173:$G$177),NA()))</f>
        <v>117534.49100000001</v>
      </c>
      <c r="W173">
        <f t="shared" si="63"/>
        <v>167975.53200000001</v>
      </c>
      <c r="X173">
        <f t="shared" si="64"/>
        <v>24.281157805768995</v>
      </c>
      <c r="Y173">
        <f t="shared" si="65"/>
        <v>30.028802647280795</v>
      </c>
      <c r="Z173">
        <f>IF(ISBLANK($H173),NA(),IFERROR(SUM($H173:$H$177),NA()))</f>
        <v>47850.773000000001</v>
      </c>
      <c r="AA173">
        <f>IF(ISBLANK($I173),NA(),IFERROR(SUM($I173:$I$177),NA()))</f>
        <v>64300.343999999997</v>
      </c>
      <c r="AB173">
        <f>IF(ISBLANK($J173),NA(),IFERROR(SUM($J173:$J$177),NA()))</f>
        <v>143192.361</v>
      </c>
      <c r="AC173">
        <f t="shared" si="66"/>
        <v>207492.70500000002</v>
      </c>
      <c r="AD173">
        <f t="shared" si="67"/>
        <v>23.061424255855162</v>
      </c>
      <c r="AE173">
        <f t="shared" si="68"/>
        <v>30.98920706633999</v>
      </c>
      <c r="AF173">
        <f>IF(ISBLANK($K173),NA(),IFERROR(SUM($K173:$K$177),NA()))</f>
        <v>46516.544999999998</v>
      </c>
      <c r="AG173">
        <f>IF(ISBLANK($L173),NA(),IFERROR(SUM($L173:$L$177),NA()))</f>
        <v>62036.600000000006</v>
      </c>
      <c r="AH173">
        <f>IF(ISBLANK($M173),NA(),IFERROR(SUM($M173:$M$177),NA()))</f>
        <v>141034.24200000003</v>
      </c>
      <c r="AI173">
        <f t="shared" si="69"/>
        <v>203070.84200000003</v>
      </c>
      <c r="AJ173">
        <f t="shared" si="70"/>
        <v>22.906560361826831</v>
      </c>
      <c r="AK173">
        <f t="shared" si="71"/>
        <v>30.549240545326541</v>
      </c>
    </row>
    <row r="174" spans="1:37" x14ac:dyDescent="0.35">
      <c r="A174">
        <v>2021</v>
      </c>
      <c r="B174">
        <v>9900.2000000000007</v>
      </c>
      <c r="C174">
        <v>13198.23</v>
      </c>
      <c r="D174">
        <v>27983.697</v>
      </c>
      <c r="E174">
        <v>8223.4179999999997</v>
      </c>
      <c r="F174">
        <v>10327.371999999999</v>
      </c>
      <c r="G174">
        <v>22768.91</v>
      </c>
      <c r="H174">
        <v>9900.2000000000007</v>
      </c>
      <c r="I174">
        <v>13198.23</v>
      </c>
      <c r="J174">
        <v>27983.697</v>
      </c>
      <c r="K174">
        <v>9632.0069999999996</v>
      </c>
      <c r="L174">
        <v>12768.072</v>
      </c>
      <c r="M174">
        <v>27617.15</v>
      </c>
      <c r="N174">
        <f>IF(ISBLANK($B174),NA(),IFERROR(SUM($B174:$B$177),NA()))</f>
        <v>38469.705000000002</v>
      </c>
      <c r="O174">
        <f>IF(ISBLANK($C174),NA(),IFERROR(SUM($C174:$C$177),NA()))</f>
        <v>51789.350999999995</v>
      </c>
      <c r="P174">
        <f>IF(ISBLANK($D174),NA(),IFERROR(SUM($D174:$D$177),NA()))</f>
        <v>116148.42899999999</v>
      </c>
      <c r="Q174">
        <f t="shared" si="60"/>
        <v>167937.77999999997</v>
      </c>
      <c r="R174">
        <f t="shared" si="61"/>
        <v>22.907117743249916</v>
      </c>
      <c r="S174">
        <f t="shared" si="62"/>
        <v>30.838415870449165</v>
      </c>
      <c r="T174">
        <f>IF(ISBLANK($E174),NA(),IFERROR(SUM($E174:$E$177),NA()))</f>
        <v>33016.985999999997</v>
      </c>
      <c r="U174">
        <f>IF(ISBLANK($F174),NA(),IFERROR(SUM($F174:$F$177),NA()))</f>
        <v>41043.786999999997</v>
      </c>
      <c r="V174">
        <f>IF(ISBLANK($G174),NA(),IFERROR(SUM($G174:$G$177),NA()))</f>
        <v>96463.146000000008</v>
      </c>
      <c r="W174">
        <f t="shared" si="63"/>
        <v>137506.93300000002</v>
      </c>
      <c r="X174">
        <f t="shared" si="64"/>
        <v>24.01114276907041</v>
      </c>
      <c r="Y174">
        <f t="shared" si="65"/>
        <v>29.848521892347051</v>
      </c>
      <c r="Z174">
        <f>IF(ISBLANK($H174),NA(),IFERROR(SUM($H174:$H$177),NA()))</f>
        <v>38469.705000000002</v>
      </c>
      <c r="AA174">
        <f>IF(ISBLANK($I174),NA(),IFERROR(SUM($I174:$I$177),NA()))</f>
        <v>51789.350999999995</v>
      </c>
      <c r="AB174">
        <f>IF(ISBLANK($J174),NA(),IFERROR(SUM($J174:$J$177),NA()))</f>
        <v>116148.42899999999</v>
      </c>
      <c r="AC174">
        <f t="shared" si="66"/>
        <v>167937.77999999997</v>
      </c>
      <c r="AD174">
        <f t="shared" si="67"/>
        <v>22.907117743249916</v>
      </c>
      <c r="AE174">
        <f t="shared" si="68"/>
        <v>30.838415870449165</v>
      </c>
      <c r="AF174">
        <f>IF(ISBLANK($K174),NA(),IFERROR(SUM($K174:$K$177),NA()))</f>
        <v>37411.403999999995</v>
      </c>
      <c r="AG174">
        <f>IF(ISBLANK($L174),NA(),IFERROR(SUM($L174:$L$177),NA()))</f>
        <v>49983.221000000005</v>
      </c>
      <c r="AH174">
        <f>IF(ISBLANK($M174),NA(),IFERROR(SUM($M174:$M$177),NA()))</f>
        <v>114484.129</v>
      </c>
      <c r="AI174">
        <f t="shared" si="69"/>
        <v>164467.35</v>
      </c>
      <c r="AJ174">
        <f t="shared" si="70"/>
        <v>22.747009664836209</v>
      </c>
      <c r="AK174">
        <f t="shared" si="71"/>
        <v>30.390968784989848</v>
      </c>
    </row>
    <row r="175" spans="1:37" x14ac:dyDescent="0.35">
      <c r="A175">
        <v>2022</v>
      </c>
      <c r="B175">
        <v>9805.8889999999992</v>
      </c>
      <c r="C175">
        <v>13111.008</v>
      </c>
      <c r="D175">
        <v>28797.037</v>
      </c>
      <c r="E175">
        <v>8312.0490000000009</v>
      </c>
      <c r="F175">
        <v>9883.0130000000008</v>
      </c>
      <c r="G175">
        <v>24557.771000000001</v>
      </c>
      <c r="H175">
        <v>9805.8889999999992</v>
      </c>
      <c r="I175">
        <v>13111.008</v>
      </c>
      <c r="J175">
        <v>28797.037</v>
      </c>
      <c r="K175">
        <v>9533.2029999999995</v>
      </c>
      <c r="L175">
        <v>12638.22</v>
      </c>
      <c r="M175">
        <v>28374.845000000001</v>
      </c>
      <c r="N175">
        <f>IF(ISBLANK($B175),NA(),IFERROR(SUM($B175:$B$177),NA()))</f>
        <v>28569.505000000001</v>
      </c>
      <c r="O175">
        <f>IF(ISBLANK($C175),NA(),IFERROR(SUM($C175:$C$177),NA()))</f>
        <v>38591.120999999999</v>
      </c>
      <c r="P175">
        <f>IF(ISBLANK($D175),NA(),IFERROR(SUM($D175:$D$177),NA()))</f>
        <v>88164.732000000004</v>
      </c>
      <c r="Q175">
        <f t="shared" si="60"/>
        <v>126755.853</v>
      </c>
      <c r="R175">
        <f t="shared" si="61"/>
        <v>22.539002597379074</v>
      </c>
      <c r="S175">
        <f t="shared" si="62"/>
        <v>30.445237901558674</v>
      </c>
      <c r="T175">
        <f>IF(ISBLANK($E175),NA(),IFERROR(SUM($E175:$E$177),NA()))</f>
        <v>24793.567999999999</v>
      </c>
      <c r="U175">
        <f>IF(ISBLANK($F175),NA(),IFERROR(SUM($F175:$F$177),NA()))</f>
        <v>30716.415000000001</v>
      </c>
      <c r="V175">
        <f>IF(ISBLANK($G175),NA(),IFERROR(SUM($G175:$G$177),NA()))</f>
        <v>73694.236000000004</v>
      </c>
      <c r="W175">
        <f t="shared" si="63"/>
        <v>104410.65100000001</v>
      </c>
      <c r="X175">
        <f t="shared" si="64"/>
        <v>23.746205739106056</v>
      </c>
      <c r="Y175">
        <f t="shared" si="65"/>
        <v>29.418852105423611</v>
      </c>
      <c r="Z175">
        <f>IF(ISBLANK($H175),NA(),IFERROR(SUM($H175:$H$177),NA()))</f>
        <v>28569.505000000001</v>
      </c>
      <c r="AA175">
        <f>IF(ISBLANK($I175),NA(),IFERROR(SUM($I175:$I$177),NA()))</f>
        <v>38591.120999999999</v>
      </c>
      <c r="AB175">
        <f>IF(ISBLANK($J175),NA(),IFERROR(SUM($J175:$J$177),NA()))</f>
        <v>88164.732000000004</v>
      </c>
      <c r="AC175">
        <f t="shared" si="66"/>
        <v>126755.853</v>
      </c>
      <c r="AD175">
        <f t="shared" si="67"/>
        <v>22.539002597379074</v>
      </c>
      <c r="AE175">
        <f t="shared" si="68"/>
        <v>30.445237901558674</v>
      </c>
      <c r="AF175">
        <f>IF(ISBLANK($K175),NA(),IFERROR(SUM($K175:$K$177),NA()))</f>
        <v>27779.396999999997</v>
      </c>
      <c r="AG175">
        <f>IF(ISBLANK($L175),NA(),IFERROR(SUM($L175:$L$177),NA()))</f>
        <v>37215.149000000005</v>
      </c>
      <c r="AH175">
        <f>IF(ISBLANK($M175),NA(),IFERROR(SUM($M175:$M$177),NA()))</f>
        <v>86866.979000000007</v>
      </c>
      <c r="AI175">
        <f t="shared" si="69"/>
        <v>124082.12800000001</v>
      </c>
      <c r="AJ175">
        <f t="shared" si="70"/>
        <v>22.387911496811206</v>
      </c>
      <c r="AK175">
        <f t="shared" si="71"/>
        <v>29.992352323293492</v>
      </c>
    </row>
    <row r="176" spans="1:37" x14ac:dyDescent="0.35">
      <c r="A176">
        <v>2023</v>
      </c>
      <c r="B176">
        <v>9434.8860000000004</v>
      </c>
      <c r="C176">
        <v>12768.114</v>
      </c>
      <c r="D176">
        <v>29531.821</v>
      </c>
      <c r="E176">
        <v>7840.3680000000004</v>
      </c>
      <c r="F176">
        <v>9384.2970000000005</v>
      </c>
      <c r="G176">
        <v>25061.780999999999</v>
      </c>
      <c r="H176">
        <v>9434.8860000000004</v>
      </c>
      <c r="I176">
        <v>12768.114</v>
      </c>
      <c r="J176">
        <v>29531.821</v>
      </c>
      <c r="K176">
        <v>9170.7929999999997</v>
      </c>
      <c r="L176">
        <v>12313.034</v>
      </c>
      <c r="M176">
        <v>29136.108</v>
      </c>
      <c r="N176">
        <f>IF(ISBLANK($B176),NA(),IFERROR(SUM($B176:$B$177),NA()))</f>
        <v>18763.616000000002</v>
      </c>
      <c r="O176">
        <f>IF(ISBLANK($C176),NA(),IFERROR(SUM($C176:$C$177),NA()))</f>
        <v>25480.112999999998</v>
      </c>
      <c r="P176">
        <f>IF(ISBLANK($D176),NA(),IFERROR(SUM($D176:$D$177),NA()))</f>
        <v>59367.695</v>
      </c>
      <c r="Q176">
        <f t="shared" si="60"/>
        <v>84847.80799999999</v>
      </c>
      <c r="R176">
        <f t="shared" si="61"/>
        <v>22.114438124317843</v>
      </c>
      <c r="S176">
        <f t="shared" si="62"/>
        <v>30.030372735144788</v>
      </c>
      <c r="T176">
        <f>IF(ISBLANK($E176),NA(),IFERROR(SUM($E176:$E$177),NA()))</f>
        <v>16481.519</v>
      </c>
      <c r="U176">
        <f>IF(ISBLANK($F176),NA(),IFERROR(SUM($F176:$F$177),NA()))</f>
        <v>20833.402000000002</v>
      </c>
      <c r="V176">
        <f>IF(ISBLANK($G176),NA(),IFERROR(SUM($G176:$G$177),NA()))</f>
        <v>49136.464999999997</v>
      </c>
      <c r="W176">
        <f t="shared" si="63"/>
        <v>69969.866999999998</v>
      </c>
      <c r="X176">
        <f t="shared" si="64"/>
        <v>23.555166969232626</v>
      </c>
      <c r="Y176">
        <f t="shared" si="65"/>
        <v>29.77482006647233</v>
      </c>
      <c r="Z176">
        <f>IF(ISBLANK($H176),NA(),IFERROR(SUM($H176:$H$177),NA()))</f>
        <v>18763.616000000002</v>
      </c>
      <c r="AA176">
        <f>IF(ISBLANK($I176),NA(),IFERROR(SUM($I176:$I$177),NA()))</f>
        <v>25480.112999999998</v>
      </c>
      <c r="AB176">
        <f>IF(ISBLANK($J176),NA(),IFERROR(SUM($J176:$J$177),NA()))</f>
        <v>59367.695</v>
      </c>
      <c r="AC176">
        <f t="shared" si="66"/>
        <v>84847.80799999999</v>
      </c>
      <c r="AD176">
        <f t="shared" si="67"/>
        <v>22.114438124317843</v>
      </c>
      <c r="AE176">
        <f t="shared" si="68"/>
        <v>30.030372735144788</v>
      </c>
      <c r="AF176">
        <f>IF(ISBLANK($K176),NA(),IFERROR(SUM($K176:$K$177),NA()))</f>
        <v>18246.194</v>
      </c>
      <c r="AG176">
        <f>IF(ISBLANK($L176),NA(),IFERROR(SUM($L176:$L$177),NA()))</f>
        <v>24576.929</v>
      </c>
      <c r="AH176">
        <f>IF(ISBLANK($M176),NA(),IFERROR(SUM($M176:$M$177),NA()))</f>
        <v>58492.134000000005</v>
      </c>
      <c r="AI176">
        <f t="shared" si="69"/>
        <v>83069.063000000009</v>
      </c>
      <c r="AJ176">
        <f t="shared" si="70"/>
        <v>21.965089458153631</v>
      </c>
      <c r="AK176">
        <f t="shared" si="71"/>
        <v>29.586139667905005</v>
      </c>
    </row>
    <row r="177" spans="1:37" x14ac:dyDescent="0.35">
      <c r="A177">
        <v>2024</v>
      </c>
      <c r="B177">
        <v>9328.73</v>
      </c>
      <c r="C177">
        <v>12711.999</v>
      </c>
      <c r="D177">
        <v>29835.874</v>
      </c>
      <c r="E177">
        <v>8641.1509999999998</v>
      </c>
      <c r="F177">
        <v>11449.105</v>
      </c>
      <c r="G177">
        <v>24074.684000000001</v>
      </c>
      <c r="H177">
        <v>9328.73</v>
      </c>
      <c r="I177">
        <v>12711.999</v>
      </c>
      <c r="J177">
        <v>29835.874</v>
      </c>
      <c r="K177">
        <v>9075.4009999999998</v>
      </c>
      <c r="L177">
        <v>12263.895</v>
      </c>
      <c r="M177">
        <v>29356.026000000002</v>
      </c>
      <c r="N177">
        <f>IF(ISBLANK($B177),NA(),IFERROR(SUM($B177:$B$177),NA()))</f>
        <v>9328.73</v>
      </c>
      <c r="O177">
        <f>IF(ISBLANK($C177),NA(),IFERROR(SUM($C177:$C$177),NA()))</f>
        <v>12711.999</v>
      </c>
      <c r="P177">
        <f>IF(ISBLANK($D177),NA(),IFERROR(SUM($D177:$D$177),NA()))</f>
        <v>29835.874</v>
      </c>
      <c r="Q177">
        <f t="shared" si="60"/>
        <v>42547.873</v>
      </c>
      <c r="R177">
        <f t="shared" si="61"/>
        <v>21.925255817135675</v>
      </c>
      <c r="S177">
        <f t="shared" si="62"/>
        <v>29.876931803382977</v>
      </c>
      <c r="T177">
        <f>IF(ISBLANK($E177),NA(),IFERROR(SUM($E177:$E$177),NA()))</f>
        <v>8641.1509999999998</v>
      </c>
      <c r="U177">
        <f>IF(ISBLANK($F177),NA(),IFERROR(SUM($F177:$F$177),NA()))</f>
        <v>11449.105</v>
      </c>
      <c r="V177">
        <f>IF(ISBLANK($G177),NA(),IFERROR(SUM($G177:$G$177),NA()))</f>
        <v>24074.684000000001</v>
      </c>
      <c r="W177">
        <f t="shared" si="63"/>
        <v>35523.789000000004</v>
      </c>
      <c r="X177">
        <f t="shared" si="64"/>
        <v>24.3249699518258</v>
      </c>
      <c r="Y177">
        <f t="shared" si="65"/>
        <v>32.229402668729954</v>
      </c>
      <c r="Z177">
        <f>IF(ISBLANK($H177),NA(),IFERROR(SUM($H177:$H$177),NA()))</f>
        <v>9328.73</v>
      </c>
      <c r="AA177">
        <f>IF(ISBLANK($I177),NA(),IFERROR(SUM($I177:$I$177),NA()))</f>
        <v>12711.999</v>
      </c>
      <c r="AB177">
        <f>IF(ISBLANK($J177),NA(),IFERROR(SUM($J177:$J$177),NA()))</f>
        <v>29835.874</v>
      </c>
      <c r="AC177">
        <f t="shared" si="66"/>
        <v>42547.873</v>
      </c>
      <c r="AD177">
        <f t="shared" si="67"/>
        <v>21.925255817135675</v>
      </c>
      <c r="AE177">
        <f t="shared" si="68"/>
        <v>29.876931803382977</v>
      </c>
      <c r="AF177">
        <f>IF(ISBLANK($K177),NA(),IFERROR(SUM($K177:$K$177),NA()))</f>
        <v>9075.4009999999998</v>
      </c>
      <c r="AG177">
        <f>IF(ISBLANK($L177),NA(),IFERROR(SUM($L177:$L$177),NA()))</f>
        <v>12263.895</v>
      </c>
      <c r="AH177">
        <f>IF(ISBLANK($M177),NA(),IFERROR(SUM($M177:$M$177),NA()))</f>
        <v>29356.026000000002</v>
      </c>
      <c r="AI177">
        <f t="shared" si="69"/>
        <v>41619.921000000002</v>
      </c>
      <c r="AJ177">
        <f t="shared" si="70"/>
        <v>21.805425820005762</v>
      </c>
      <c r="AK177">
        <f t="shared" si="71"/>
        <v>29.466406243298731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FC49-14EA-43B1-86AB-059FD68A8D51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2C69-6140-4729-8AF2-67AEF6780D78}">
  <sheetPr>
    <tabColor rgb="FF0B4C5B"/>
  </sheetPr>
  <dimension ref="A1:S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 t="s">
        <v>46</v>
      </c>
      <c r="L2" s="1" t="s">
        <v>52</v>
      </c>
      <c r="M2" s="1" t="s">
        <v>15</v>
      </c>
      <c r="N2" s="1" t="s">
        <v>21</v>
      </c>
      <c r="O2" s="1" t="s">
        <v>47</v>
      </c>
      <c r="P2" s="1" t="s">
        <v>53</v>
      </c>
      <c r="Q2" s="2" t="s">
        <v>35</v>
      </c>
      <c r="R2" t="s">
        <v>73</v>
      </c>
      <c r="S2" t="s">
        <v>74</v>
      </c>
    </row>
    <row r="3" spans="1:19" x14ac:dyDescent="0.35">
      <c r="A3" s="6">
        <f>vals_co2_incLUC!$A3</f>
        <v>1850</v>
      </c>
      <c r="B3" s="7">
        <f t="shared" ref="B3:B34" si="0">IFERROR(_xlfn.AGGREGATE(5,6,I3:L3),"")</f>
        <v>37.734536444647119</v>
      </c>
      <c r="C3" s="7">
        <f t="shared" ref="C3:C34" si="1">IFERROR(_xlfn.AGGREGATE(4,6,I3:L3),"")</f>
        <v>42.30043645994909</v>
      </c>
      <c r="D3" s="7">
        <f t="shared" ref="D3:D34" si="2">IFERROR(_xlfn.AGGREGATE(5,6,M3:P3),"")</f>
        <v>51.211261402049942</v>
      </c>
      <c r="E3" s="7">
        <f t="shared" ref="E3:E34" si="3">IFERROR(_xlfn.AGGREGATE(4,6,M3:P3),"")</f>
        <v>53.670885927601717</v>
      </c>
      <c r="F3" s="7">
        <f t="shared" ref="F3:F34" si="4">IFERROR(MIN(C3,D3)-B3,"")</f>
        <v>4.5659000153019704</v>
      </c>
      <c r="G3" s="7">
        <f t="shared" ref="G3:G34" si="5">IFERROR(MAX(0,C3-D3),"")</f>
        <v>0</v>
      </c>
      <c r="H3" s="7">
        <f t="shared" ref="H3:H34" si="6">IFERROR(MAX(0,D3-C3),"")</f>
        <v>8.9108249421008523</v>
      </c>
      <c r="I3" s="8">
        <f>vals_co2_incLUC!$R3</f>
        <v>37.734536444647119</v>
      </c>
      <c r="J3" s="8">
        <f>vals_co2_incLUC!$X3</f>
        <v>42.30043645994909</v>
      </c>
      <c r="K3" s="8">
        <f>vals_co2_incLUC!$AD3</f>
        <v>37.740928293666151</v>
      </c>
      <c r="L3" s="8">
        <f>vals_co2_incLUC!$AJ3</f>
        <v>40.194727015845629</v>
      </c>
      <c r="M3" s="8">
        <f>vals_co2_incLUC!$S3</f>
        <v>51.211261402049942</v>
      </c>
      <c r="N3" s="8">
        <f>vals_co2_incLUC!$Y3</f>
        <v>53.670885927601717</v>
      </c>
      <c r="O3" s="8">
        <f>vals_co2_incLUC!$AE3</f>
        <v>51.219936102049566</v>
      </c>
      <c r="P3" s="8">
        <f>vals_co2_incLUC!$AK3</f>
        <v>52.00917706374404</v>
      </c>
      <c r="Q3" s="9">
        <f t="shared" ref="Q3:Q34" si="7">IFERROR(MAX(0,$E3-MAX($C3,$D3)),"")</f>
        <v>2.4596245255517744</v>
      </c>
      <c r="R3" s="9">
        <v>39.109000000000002</v>
      </c>
      <c r="S3" s="9">
        <v>52.337000000000003</v>
      </c>
    </row>
    <row r="4" spans="1:19" x14ac:dyDescent="0.35">
      <c r="A4" s="3">
        <f>vals_co2_incLUC!$A4</f>
        <v>1851</v>
      </c>
      <c r="B4" s="4">
        <f t="shared" si="0"/>
        <v>37.737335495599268</v>
      </c>
      <c r="C4" s="4">
        <f t="shared" si="1"/>
        <v>42.299050338953236</v>
      </c>
      <c r="D4" s="4">
        <f t="shared" si="2"/>
        <v>51.203042284182146</v>
      </c>
      <c r="E4" s="4">
        <f t="shared" si="3"/>
        <v>53.665575694278168</v>
      </c>
      <c r="F4" s="4">
        <f t="shared" si="4"/>
        <v>4.5617148433539683</v>
      </c>
      <c r="G4" s="4">
        <f t="shared" si="5"/>
        <v>0</v>
      </c>
      <c r="H4" s="4">
        <f t="shared" si="6"/>
        <v>8.9039919452289098</v>
      </c>
      <c r="I4" s="5">
        <f>vals_co2_incLUC!$R4</f>
        <v>37.737335495599268</v>
      </c>
      <c r="J4" s="5">
        <f>vals_co2_incLUC!$X4</f>
        <v>42.299050338953236</v>
      </c>
      <c r="K4" s="5">
        <f>vals_co2_incLUC!$AD4</f>
        <v>37.743735958907685</v>
      </c>
      <c r="L4" s="5">
        <f>vals_co2_incLUC!$AJ4</f>
        <v>40.190415342288013</v>
      </c>
      <c r="M4" s="5">
        <f>vals_co2_incLUC!$S4</f>
        <v>51.203042284182146</v>
      </c>
      <c r="N4" s="5">
        <f>vals_co2_incLUC!$Y4</f>
        <v>53.665575694278168</v>
      </c>
      <c r="O4" s="5">
        <f>vals_co2_incLUC!$AE4</f>
        <v>51.211726636839686</v>
      </c>
      <c r="P4" s="5">
        <f>vals_co2_incLUC!$AK4</f>
        <v>52.002190170736327</v>
      </c>
      <c r="Q4" s="9">
        <f t="shared" si="7"/>
        <v>2.4625334100960217</v>
      </c>
      <c r="R4" s="9">
        <v>39.109000000000002</v>
      </c>
      <c r="S4" s="9">
        <v>52.337000000000003</v>
      </c>
    </row>
    <row r="5" spans="1:19" x14ac:dyDescent="0.35">
      <c r="A5" s="6">
        <f>vals_co2_incLUC!$A5</f>
        <v>1852</v>
      </c>
      <c r="B5" s="7">
        <f t="shared" si="0"/>
        <v>37.740149178931503</v>
      </c>
      <c r="C5" s="7">
        <f t="shared" si="1"/>
        <v>42.296831416863327</v>
      </c>
      <c r="D5" s="7">
        <f t="shared" si="2"/>
        <v>51.195317594950474</v>
      </c>
      <c r="E5" s="7">
        <f t="shared" si="3"/>
        <v>53.659272796885141</v>
      </c>
      <c r="F5" s="7">
        <f t="shared" si="4"/>
        <v>4.5566822379318239</v>
      </c>
      <c r="G5" s="7">
        <f t="shared" si="5"/>
        <v>0</v>
      </c>
      <c r="H5" s="7">
        <f t="shared" si="6"/>
        <v>8.8984861780871469</v>
      </c>
      <c r="I5" s="8">
        <f>vals_co2_incLUC!$R5</f>
        <v>37.740149178931503</v>
      </c>
      <c r="J5" s="8">
        <f>vals_co2_incLUC!$X5</f>
        <v>42.296831416863327</v>
      </c>
      <c r="K5" s="8">
        <f>vals_co2_incLUC!$AD5</f>
        <v>37.746558621118773</v>
      </c>
      <c r="L5" s="8">
        <f>vals_co2_incLUC!$AJ5</f>
        <v>40.185732259972376</v>
      </c>
      <c r="M5" s="8">
        <f>vals_co2_incLUC!$S5</f>
        <v>51.195317594950474</v>
      </c>
      <c r="N5" s="8">
        <f>vals_co2_incLUC!$Y5</f>
        <v>53.659272796885141</v>
      </c>
      <c r="O5" s="8">
        <f>vals_co2_incLUC!$AE5</f>
        <v>51.204012170248348</v>
      </c>
      <c r="P5" s="8">
        <f>vals_co2_incLUC!$AK5</f>
        <v>51.995445754561466</v>
      </c>
      <c r="Q5" s="9">
        <f t="shared" si="7"/>
        <v>2.4639552019346667</v>
      </c>
      <c r="R5" s="9">
        <v>39.109000000000002</v>
      </c>
      <c r="S5" s="9">
        <v>52.33</v>
      </c>
    </row>
    <row r="6" spans="1:19" x14ac:dyDescent="0.35">
      <c r="A6" s="3">
        <f>vals_co2_incLUC!$A6</f>
        <v>1853</v>
      </c>
      <c r="B6" s="4">
        <f t="shared" si="0"/>
        <v>37.743555314247018</v>
      </c>
      <c r="C6" s="4">
        <f t="shared" si="1"/>
        <v>42.287647276935388</v>
      </c>
      <c r="D6" s="4">
        <f t="shared" si="2"/>
        <v>51.187354397588081</v>
      </c>
      <c r="E6" s="4">
        <f t="shared" si="3"/>
        <v>53.646999378215497</v>
      </c>
      <c r="F6" s="4">
        <f t="shared" si="4"/>
        <v>4.5440919626883698</v>
      </c>
      <c r="G6" s="4">
        <f t="shared" si="5"/>
        <v>0</v>
      </c>
      <c r="H6" s="4">
        <f t="shared" si="6"/>
        <v>8.8997071206526925</v>
      </c>
      <c r="I6" s="5">
        <f>vals_co2_incLUC!$R6</f>
        <v>37.743555314247018</v>
      </c>
      <c r="J6" s="5">
        <f>vals_co2_incLUC!$X6</f>
        <v>42.287647276935388</v>
      </c>
      <c r="K6" s="5">
        <f>vals_co2_incLUC!$AD6</f>
        <v>37.749974153221977</v>
      </c>
      <c r="L6" s="5">
        <f>vals_co2_incLUC!$AJ6</f>
        <v>40.181518800812505</v>
      </c>
      <c r="M6" s="5">
        <f>vals_co2_incLUC!$S6</f>
        <v>51.187354397588081</v>
      </c>
      <c r="N6" s="5">
        <f>vals_co2_incLUC!$Y6</f>
        <v>53.646999378215497</v>
      </c>
      <c r="O6" s="5">
        <f>vals_co2_incLUC!$AE6</f>
        <v>51.196059579901402</v>
      </c>
      <c r="P6" s="5">
        <f>vals_co2_incLUC!$AK6</f>
        <v>51.98827305070882</v>
      </c>
      <c r="Q6" s="9">
        <f t="shared" si="7"/>
        <v>2.4596449806274165</v>
      </c>
      <c r="R6" s="9">
        <v>39.109000000000002</v>
      </c>
      <c r="S6" s="9">
        <v>52.323</v>
      </c>
    </row>
    <row r="7" spans="1:19" x14ac:dyDescent="0.35">
      <c r="A7" s="6">
        <f>vals_co2_incLUC!$A7</f>
        <v>1854</v>
      </c>
      <c r="B7" s="7">
        <f t="shared" si="0"/>
        <v>37.745850439476648</v>
      </c>
      <c r="C7" s="7">
        <f t="shared" si="1"/>
        <v>42.276787691496175</v>
      </c>
      <c r="D7" s="7">
        <f t="shared" si="2"/>
        <v>51.179356270700062</v>
      </c>
      <c r="E7" s="7">
        <f t="shared" si="3"/>
        <v>53.633004256526597</v>
      </c>
      <c r="F7" s="7">
        <f t="shared" si="4"/>
        <v>4.5309372520195268</v>
      </c>
      <c r="G7" s="7">
        <f t="shared" si="5"/>
        <v>0</v>
      </c>
      <c r="H7" s="7">
        <f t="shared" si="6"/>
        <v>8.9025685792038871</v>
      </c>
      <c r="I7" s="8">
        <f>vals_co2_incLUC!$R7</f>
        <v>37.745850439476648</v>
      </c>
      <c r="J7" s="8">
        <f>vals_co2_incLUC!$X7</f>
        <v>42.276787691496175</v>
      </c>
      <c r="K7" s="8">
        <f>vals_co2_incLUC!$AD7</f>
        <v>37.752278637744155</v>
      </c>
      <c r="L7" s="8">
        <f>vals_co2_incLUC!$AJ7</f>
        <v>40.175826970816011</v>
      </c>
      <c r="M7" s="8">
        <f>vals_co2_incLUC!$S7</f>
        <v>51.179356270700062</v>
      </c>
      <c r="N7" s="8">
        <f>vals_co2_incLUC!$Y7</f>
        <v>53.633004256526597</v>
      </c>
      <c r="O7" s="8">
        <f>vals_co2_incLUC!$AE7</f>
        <v>51.188072253893644</v>
      </c>
      <c r="P7" s="8">
        <f>vals_co2_incLUC!$AK7</f>
        <v>51.980852488649234</v>
      </c>
      <c r="Q7" s="9">
        <f t="shared" si="7"/>
        <v>2.4536479858265352</v>
      </c>
      <c r="R7" s="9">
        <v>39.107999999999997</v>
      </c>
      <c r="S7" s="9">
        <v>52.314999999999998</v>
      </c>
    </row>
    <row r="8" spans="1:19" x14ac:dyDescent="0.35">
      <c r="A8" s="3">
        <f>vals_co2_incLUC!$A8</f>
        <v>1855</v>
      </c>
      <c r="B8" s="4">
        <f t="shared" si="0"/>
        <v>37.747003460436687</v>
      </c>
      <c r="C8" s="4">
        <f t="shared" si="1"/>
        <v>42.263523545264178</v>
      </c>
      <c r="D8" s="4">
        <f t="shared" si="2"/>
        <v>51.169654778775808</v>
      </c>
      <c r="E8" s="4">
        <f t="shared" si="3"/>
        <v>53.616681273436996</v>
      </c>
      <c r="F8" s="4">
        <f t="shared" si="4"/>
        <v>4.5165200848274907</v>
      </c>
      <c r="G8" s="4">
        <f t="shared" si="5"/>
        <v>0</v>
      </c>
      <c r="H8" s="4">
        <f t="shared" si="6"/>
        <v>8.9061312335116298</v>
      </c>
      <c r="I8" s="5">
        <f>vals_co2_incLUC!$R8</f>
        <v>37.747003460436687</v>
      </c>
      <c r="J8" s="5">
        <f>vals_co2_incLUC!$X8</f>
        <v>42.263523545264178</v>
      </c>
      <c r="K8" s="5">
        <f>vals_co2_incLUC!$AD8</f>
        <v>37.75344105016444</v>
      </c>
      <c r="L8" s="5">
        <f>vals_co2_incLUC!$AJ8</f>
        <v>40.169207375247012</v>
      </c>
      <c r="M8" s="5">
        <f>vals_co2_incLUC!$S8</f>
        <v>51.169654778775808</v>
      </c>
      <c r="N8" s="5">
        <f>vals_co2_incLUC!$Y8</f>
        <v>53.616681273436996</v>
      </c>
      <c r="O8" s="5">
        <f>vals_co2_incLUC!$AE8</f>
        <v>51.178381574722131</v>
      </c>
      <c r="P8" s="5">
        <f>vals_co2_incLUC!$AK8</f>
        <v>51.972042981292773</v>
      </c>
      <c r="Q8" s="9">
        <f t="shared" si="7"/>
        <v>2.4470264946611877</v>
      </c>
      <c r="R8" s="9">
        <v>39.106000000000002</v>
      </c>
      <c r="S8" s="9">
        <v>52.305999999999997</v>
      </c>
    </row>
    <row r="9" spans="1:19" x14ac:dyDescent="0.35">
      <c r="A9" s="6">
        <f>vals_co2_incLUC!$A9</f>
        <v>1856</v>
      </c>
      <c r="B9" s="7">
        <f t="shared" si="0"/>
        <v>37.748436931346269</v>
      </c>
      <c r="C9" s="7">
        <f t="shared" si="1"/>
        <v>42.248741473705977</v>
      </c>
      <c r="D9" s="7">
        <f t="shared" si="2"/>
        <v>51.160365907932594</v>
      </c>
      <c r="E9" s="7">
        <f t="shared" si="3"/>
        <v>53.59871398812097</v>
      </c>
      <c r="F9" s="7">
        <f t="shared" si="4"/>
        <v>4.5003045423597072</v>
      </c>
      <c r="G9" s="7">
        <f t="shared" si="5"/>
        <v>0</v>
      </c>
      <c r="H9" s="7">
        <f t="shared" si="6"/>
        <v>8.9116244342266171</v>
      </c>
      <c r="I9" s="8">
        <f>vals_co2_incLUC!$R9</f>
        <v>37.748436931346269</v>
      </c>
      <c r="J9" s="8">
        <f>vals_co2_incLUC!$X9</f>
        <v>42.248741473705977</v>
      </c>
      <c r="K9" s="8">
        <f>vals_co2_incLUC!$AD9</f>
        <v>37.75488415486506</v>
      </c>
      <c r="L9" s="8">
        <f>vals_co2_incLUC!$AJ9</f>
        <v>40.162529691681733</v>
      </c>
      <c r="M9" s="8">
        <f>vals_co2_incLUC!$S9</f>
        <v>51.160365907932594</v>
      </c>
      <c r="N9" s="8">
        <f>vals_co2_incLUC!$Y9</f>
        <v>53.59871398812097</v>
      </c>
      <c r="O9" s="8">
        <f>vals_co2_incLUC!$AE9</f>
        <v>51.169103845130451</v>
      </c>
      <c r="P9" s="8">
        <f>vals_co2_incLUC!$AK9</f>
        <v>51.963276412546968</v>
      </c>
      <c r="Q9" s="9">
        <f t="shared" si="7"/>
        <v>2.4383480801883763</v>
      </c>
      <c r="R9" s="9">
        <v>39.103999999999999</v>
      </c>
      <c r="S9" s="9">
        <v>52.296999999999997</v>
      </c>
    </row>
    <row r="10" spans="1:19" x14ac:dyDescent="0.35">
      <c r="A10" s="3">
        <f>vals_co2_incLUC!$A10</f>
        <v>1857</v>
      </c>
      <c r="B10" s="4">
        <f t="shared" si="0"/>
        <v>37.749442450935788</v>
      </c>
      <c r="C10" s="4">
        <f t="shared" si="1"/>
        <v>42.232737371460601</v>
      </c>
      <c r="D10" s="4">
        <f t="shared" si="2"/>
        <v>51.150605061821118</v>
      </c>
      <c r="E10" s="4">
        <f t="shared" si="3"/>
        <v>53.579626134633664</v>
      </c>
      <c r="F10" s="4">
        <f t="shared" si="4"/>
        <v>4.4832949205248127</v>
      </c>
      <c r="G10" s="4">
        <f t="shared" si="5"/>
        <v>0</v>
      </c>
      <c r="H10" s="4">
        <f t="shared" si="6"/>
        <v>8.9178676903605165</v>
      </c>
      <c r="I10" s="5">
        <f>vals_co2_incLUC!$R10</f>
        <v>37.749442450935788</v>
      </c>
      <c r="J10" s="5">
        <f>vals_co2_incLUC!$X10</f>
        <v>42.232737371460601</v>
      </c>
      <c r="K10" s="5">
        <f>vals_co2_incLUC!$AD10</f>
        <v>37.755899393936318</v>
      </c>
      <c r="L10" s="5">
        <f>vals_co2_incLUC!$AJ10</f>
        <v>40.15557361093105</v>
      </c>
      <c r="M10" s="5">
        <f>vals_co2_incLUC!$S10</f>
        <v>51.150605061821118</v>
      </c>
      <c r="N10" s="5">
        <f>vals_co2_incLUC!$Y10</f>
        <v>53.579626134633664</v>
      </c>
      <c r="O10" s="5">
        <f>vals_co2_incLUC!$AE10</f>
        <v>51.15935422134811</v>
      </c>
      <c r="P10" s="5">
        <f>vals_co2_incLUC!$AK10</f>
        <v>51.954315626807521</v>
      </c>
      <c r="Q10" s="9">
        <f t="shared" si="7"/>
        <v>2.4290210728125459</v>
      </c>
      <c r="R10" s="9">
        <v>39.101999999999997</v>
      </c>
      <c r="S10" s="9">
        <v>52.287999999999997</v>
      </c>
    </row>
    <row r="11" spans="1:19" x14ac:dyDescent="0.35">
      <c r="A11" s="6">
        <f>vals_co2_incLUC!$A11</f>
        <v>1858</v>
      </c>
      <c r="B11" s="7">
        <f t="shared" si="0"/>
        <v>37.750257367208903</v>
      </c>
      <c r="C11" s="7">
        <f t="shared" si="1"/>
        <v>42.215934393567281</v>
      </c>
      <c r="D11" s="7">
        <f t="shared" si="2"/>
        <v>51.140480240148676</v>
      </c>
      <c r="E11" s="7">
        <f t="shared" si="3"/>
        <v>53.559775276645638</v>
      </c>
      <c r="F11" s="7">
        <f t="shared" si="4"/>
        <v>4.465677026358378</v>
      </c>
      <c r="G11" s="7">
        <f t="shared" si="5"/>
        <v>0</v>
      </c>
      <c r="H11" s="7">
        <f t="shared" si="6"/>
        <v>8.9245458465813954</v>
      </c>
      <c r="I11" s="8">
        <f>vals_co2_incLUC!$R11</f>
        <v>37.750257367208903</v>
      </c>
      <c r="J11" s="8">
        <f>vals_co2_incLUC!$X11</f>
        <v>42.215934393567281</v>
      </c>
      <c r="K11" s="8">
        <f>vals_co2_incLUC!$AD11</f>
        <v>37.756724104164299</v>
      </c>
      <c r="L11" s="8">
        <f>vals_co2_incLUC!$AJ11</f>
        <v>40.148578130267268</v>
      </c>
      <c r="M11" s="8">
        <f>vals_co2_incLUC!$S11</f>
        <v>51.140480240148676</v>
      </c>
      <c r="N11" s="8">
        <f>vals_co2_incLUC!$Y11</f>
        <v>53.559775276645638</v>
      </c>
      <c r="O11" s="8">
        <f>vals_co2_incLUC!$AE11</f>
        <v>51.149240746992419</v>
      </c>
      <c r="P11" s="8">
        <f>vals_co2_incLUC!$AK11</f>
        <v>51.945237359037769</v>
      </c>
      <c r="Q11" s="9">
        <f t="shared" si="7"/>
        <v>2.4192950364969619</v>
      </c>
      <c r="R11" s="9">
        <v>39.098999999999997</v>
      </c>
      <c r="S11" s="9">
        <v>52.277999999999999</v>
      </c>
    </row>
    <row r="12" spans="1:19" x14ac:dyDescent="0.35">
      <c r="A12" s="3">
        <f>vals_co2_incLUC!$A12</f>
        <v>1859</v>
      </c>
      <c r="B12" s="4">
        <f t="shared" si="0"/>
        <v>37.750436583947824</v>
      </c>
      <c r="C12" s="4">
        <f t="shared" si="1"/>
        <v>42.198370788941212</v>
      </c>
      <c r="D12" s="4">
        <f t="shared" si="2"/>
        <v>51.129769204916506</v>
      </c>
      <c r="E12" s="4">
        <f t="shared" si="3"/>
        <v>53.539181806103052</v>
      </c>
      <c r="F12" s="4">
        <f t="shared" si="4"/>
        <v>4.4479342049933877</v>
      </c>
      <c r="G12" s="4">
        <f t="shared" si="5"/>
        <v>0</v>
      </c>
      <c r="H12" s="4">
        <f t="shared" si="6"/>
        <v>8.9313984159752948</v>
      </c>
      <c r="I12" s="5">
        <f>vals_co2_incLUC!$R12</f>
        <v>37.750436583947824</v>
      </c>
      <c r="J12" s="5">
        <f>vals_co2_incLUC!$X12</f>
        <v>42.198370788941212</v>
      </c>
      <c r="K12" s="5">
        <f>vals_co2_incLUC!$AD12</f>
        <v>37.756913102345521</v>
      </c>
      <c r="L12" s="5">
        <f>vals_co2_incLUC!$AJ12</f>
        <v>40.140763302930573</v>
      </c>
      <c r="M12" s="5">
        <f>vals_co2_incLUC!$S12</f>
        <v>51.129769204916506</v>
      </c>
      <c r="N12" s="5">
        <f>vals_co2_incLUC!$Y12</f>
        <v>53.539181806103052</v>
      </c>
      <c r="O12" s="5">
        <f>vals_co2_incLUC!$AE12</f>
        <v>51.138541083526832</v>
      </c>
      <c r="P12" s="5">
        <f>vals_co2_incLUC!$AK12</f>
        <v>51.93543884137403</v>
      </c>
      <c r="Q12" s="9">
        <f t="shared" si="7"/>
        <v>2.4094126011865455</v>
      </c>
      <c r="R12" s="9">
        <v>39.095999999999997</v>
      </c>
      <c r="S12" s="9">
        <v>52.268000000000001</v>
      </c>
    </row>
    <row r="13" spans="1:19" x14ac:dyDescent="0.35">
      <c r="A13" s="6">
        <f>vals_co2_incLUC!$A13</f>
        <v>1860</v>
      </c>
      <c r="B13" s="7">
        <f t="shared" si="0"/>
        <v>37.749863809408325</v>
      </c>
      <c r="C13" s="7">
        <f t="shared" si="1"/>
        <v>42.179684676628696</v>
      </c>
      <c r="D13" s="7">
        <f t="shared" si="2"/>
        <v>51.118367354961791</v>
      </c>
      <c r="E13" s="7">
        <f t="shared" si="3"/>
        <v>53.517602947732868</v>
      </c>
      <c r="F13" s="7">
        <f t="shared" si="4"/>
        <v>4.4298208672203714</v>
      </c>
      <c r="G13" s="7">
        <f t="shared" si="5"/>
        <v>0</v>
      </c>
      <c r="H13" s="7">
        <f t="shared" si="6"/>
        <v>8.9386826783330946</v>
      </c>
      <c r="I13" s="8">
        <f>vals_co2_incLUC!$R13</f>
        <v>37.749863809408325</v>
      </c>
      <c r="J13" s="8">
        <f>vals_co2_incLUC!$X13</f>
        <v>42.179684676628696</v>
      </c>
      <c r="K13" s="8">
        <f>vals_co2_incLUC!$AD13</f>
        <v>37.756350155410168</v>
      </c>
      <c r="L13" s="8">
        <f>vals_co2_incLUC!$AJ13</f>
        <v>40.132079498979159</v>
      </c>
      <c r="M13" s="8">
        <f>vals_co2_incLUC!$S13</f>
        <v>51.118367354961791</v>
      </c>
      <c r="N13" s="8">
        <f>vals_co2_incLUC!$Y13</f>
        <v>53.517602947732868</v>
      </c>
      <c r="O13" s="8">
        <f>vals_co2_incLUC!$AE13</f>
        <v>51.127150718454914</v>
      </c>
      <c r="P13" s="8">
        <f>vals_co2_incLUC!$AK13</f>
        <v>51.924870652241836</v>
      </c>
      <c r="Q13" s="9">
        <f t="shared" si="7"/>
        <v>2.3992355927710776</v>
      </c>
      <c r="R13" s="9">
        <v>39.091999999999999</v>
      </c>
      <c r="S13" s="9">
        <v>52.256999999999998</v>
      </c>
    </row>
    <row r="14" spans="1:19" x14ac:dyDescent="0.35">
      <c r="A14" s="3">
        <f>vals_co2_incLUC!$A14</f>
        <v>1861</v>
      </c>
      <c r="B14" s="4">
        <f t="shared" si="0"/>
        <v>37.746177075645818</v>
      </c>
      <c r="C14" s="4">
        <f t="shared" si="1"/>
        <v>42.159584655726505</v>
      </c>
      <c r="D14" s="4">
        <f t="shared" si="2"/>
        <v>51.103523270886711</v>
      </c>
      <c r="E14" s="4">
        <f t="shared" si="3"/>
        <v>53.49475355592088</v>
      </c>
      <c r="F14" s="4">
        <f t="shared" si="4"/>
        <v>4.4134075800806869</v>
      </c>
      <c r="G14" s="4">
        <f t="shared" si="5"/>
        <v>0</v>
      </c>
      <c r="H14" s="4">
        <f t="shared" si="6"/>
        <v>8.9439386151602065</v>
      </c>
      <c r="I14" s="5">
        <f>vals_co2_incLUC!$R14</f>
        <v>37.746177075645818</v>
      </c>
      <c r="J14" s="5">
        <f>vals_co2_incLUC!$X14</f>
        <v>42.159584655726505</v>
      </c>
      <c r="K14" s="5">
        <f>vals_co2_incLUC!$AD14</f>
        <v>37.752671835861989</v>
      </c>
      <c r="L14" s="5">
        <f>vals_co2_incLUC!$AJ14</f>
        <v>40.121753158742436</v>
      </c>
      <c r="M14" s="5">
        <f>vals_co2_incLUC!$S14</f>
        <v>51.103523270886711</v>
      </c>
      <c r="N14" s="5">
        <f>vals_co2_incLUC!$Y14</f>
        <v>53.49475355592088</v>
      </c>
      <c r="O14" s="5">
        <f>vals_co2_incLUC!$AE14</f>
        <v>51.112316297698655</v>
      </c>
      <c r="P14" s="5">
        <f>vals_co2_incLUC!$AK14</f>
        <v>51.913460270515998</v>
      </c>
      <c r="Q14" s="9">
        <f t="shared" si="7"/>
        <v>2.3912302850341689</v>
      </c>
      <c r="R14" s="9">
        <v>39.085999999999999</v>
      </c>
      <c r="S14" s="9">
        <v>52.244</v>
      </c>
    </row>
    <row r="15" spans="1:19" x14ac:dyDescent="0.35">
      <c r="A15" s="6">
        <f>vals_co2_incLUC!$A15</f>
        <v>1862</v>
      </c>
      <c r="B15" s="7">
        <f t="shared" si="0"/>
        <v>37.742316631602939</v>
      </c>
      <c r="C15" s="7">
        <f t="shared" si="1"/>
        <v>42.138903410499765</v>
      </c>
      <c r="D15" s="7">
        <f t="shared" si="2"/>
        <v>51.087690523502857</v>
      </c>
      <c r="E15" s="7">
        <f t="shared" si="3"/>
        <v>53.470925904847611</v>
      </c>
      <c r="F15" s="7">
        <f t="shared" si="4"/>
        <v>4.3965867788968254</v>
      </c>
      <c r="G15" s="7">
        <f t="shared" si="5"/>
        <v>0</v>
      </c>
      <c r="H15" s="7">
        <f t="shared" si="6"/>
        <v>8.9487871130030925</v>
      </c>
      <c r="I15" s="8">
        <f>vals_co2_incLUC!$R15</f>
        <v>37.742316631602939</v>
      </c>
      <c r="J15" s="8">
        <f>vals_co2_incLUC!$X15</f>
        <v>42.138903410499765</v>
      </c>
      <c r="K15" s="8">
        <f>vals_co2_incLUC!$AD15</f>
        <v>37.748819390075148</v>
      </c>
      <c r="L15" s="8">
        <f>vals_co2_incLUC!$AJ15</f>
        <v>40.111810927910916</v>
      </c>
      <c r="M15" s="8">
        <f>vals_co2_incLUC!$S15</f>
        <v>51.087690523502857</v>
      </c>
      <c r="N15" s="8">
        <f>vals_co2_incLUC!$Y15</f>
        <v>53.470925904847611</v>
      </c>
      <c r="O15" s="8">
        <f>vals_co2_incLUC!$AE15</f>
        <v>51.096492551556693</v>
      </c>
      <c r="P15" s="8">
        <f>vals_co2_incLUC!$AK15</f>
        <v>51.90192254049024</v>
      </c>
      <c r="Q15" s="9">
        <f t="shared" si="7"/>
        <v>2.383235381344754</v>
      </c>
      <c r="R15" s="9">
        <v>39.08</v>
      </c>
      <c r="S15" s="9">
        <v>52.231000000000002</v>
      </c>
    </row>
    <row r="16" spans="1:19" x14ac:dyDescent="0.35">
      <c r="A16" s="3">
        <f>vals_co2_incLUC!$A16</f>
        <v>1863</v>
      </c>
      <c r="B16" s="4">
        <f t="shared" si="0"/>
        <v>37.736884537774053</v>
      </c>
      <c r="C16" s="4">
        <f t="shared" si="1"/>
        <v>42.122459006961407</v>
      </c>
      <c r="D16" s="4">
        <f t="shared" si="2"/>
        <v>51.07006323322225</v>
      </c>
      <c r="E16" s="4">
        <f t="shared" si="3"/>
        <v>53.451366771687923</v>
      </c>
      <c r="F16" s="4">
        <f t="shared" si="4"/>
        <v>4.3855744691873539</v>
      </c>
      <c r="G16" s="4">
        <f t="shared" si="5"/>
        <v>0</v>
      </c>
      <c r="H16" s="4">
        <f t="shared" si="6"/>
        <v>8.9476042262608431</v>
      </c>
      <c r="I16" s="5">
        <f>vals_co2_incLUC!$R16</f>
        <v>37.736884537774053</v>
      </c>
      <c r="J16" s="5">
        <f>vals_co2_incLUC!$X16</f>
        <v>42.122459006961407</v>
      </c>
      <c r="K16" s="5">
        <f>vals_co2_incLUC!$AD16</f>
        <v>37.743394780317409</v>
      </c>
      <c r="L16" s="5">
        <f>vals_co2_incLUC!$AJ16</f>
        <v>40.101003817733599</v>
      </c>
      <c r="M16" s="5">
        <f>vals_co2_incLUC!$S16</f>
        <v>51.07006323322225</v>
      </c>
      <c r="N16" s="5">
        <f>vals_co2_incLUC!$Y16</f>
        <v>53.451366771687923</v>
      </c>
      <c r="O16" s="5">
        <f>vals_co2_incLUC!$AE16</f>
        <v>51.078873619138797</v>
      </c>
      <c r="P16" s="5">
        <f>vals_co2_incLUC!$AK16</f>
        <v>51.889736602393555</v>
      </c>
      <c r="Q16" s="9">
        <f t="shared" si="7"/>
        <v>2.3813035384656729</v>
      </c>
      <c r="R16" s="9">
        <v>39.073</v>
      </c>
      <c r="S16" s="9">
        <v>52.216000000000001</v>
      </c>
    </row>
    <row r="17" spans="1:19" x14ac:dyDescent="0.35">
      <c r="A17" s="6">
        <f>vals_co2_incLUC!$A17</f>
        <v>1864</v>
      </c>
      <c r="B17" s="7">
        <f t="shared" si="0"/>
        <v>37.730243291572592</v>
      </c>
      <c r="C17" s="7">
        <f t="shared" si="1"/>
        <v>42.105476700656503</v>
      </c>
      <c r="D17" s="7">
        <f t="shared" si="2"/>
        <v>51.051546472755035</v>
      </c>
      <c r="E17" s="7">
        <f t="shared" si="3"/>
        <v>53.431182883326834</v>
      </c>
      <c r="F17" s="7">
        <f t="shared" si="4"/>
        <v>4.3752334090839113</v>
      </c>
      <c r="G17" s="7">
        <f t="shared" si="5"/>
        <v>0</v>
      </c>
      <c r="H17" s="7">
        <f t="shared" si="6"/>
        <v>8.9460697720985323</v>
      </c>
      <c r="I17" s="8">
        <f>vals_co2_incLUC!$R17</f>
        <v>37.730243291572592</v>
      </c>
      <c r="J17" s="8">
        <f>vals_co2_incLUC!$X17</f>
        <v>42.105476700656503</v>
      </c>
      <c r="K17" s="8">
        <f>vals_co2_incLUC!$AD17</f>
        <v>37.736760749584491</v>
      </c>
      <c r="L17" s="8">
        <f>vals_co2_incLUC!$AJ17</f>
        <v>40.089065525264097</v>
      </c>
      <c r="M17" s="8">
        <f>vals_co2_incLUC!$S17</f>
        <v>51.051546472755035</v>
      </c>
      <c r="N17" s="8">
        <f>vals_co2_incLUC!$Y17</f>
        <v>53.431182883326834</v>
      </c>
      <c r="O17" s="8">
        <f>vals_co2_incLUC!$AE17</f>
        <v>51.060364977473007</v>
      </c>
      <c r="P17" s="8">
        <f>vals_co2_incLUC!$AK17</f>
        <v>51.876983708505065</v>
      </c>
      <c r="Q17" s="9">
        <f t="shared" si="7"/>
        <v>2.3796364105717984</v>
      </c>
      <c r="R17" s="9">
        <v>39.064999999999998</v>
      </c>
      <c r="S17" s="9">
        <v>52.201000000000001</v>
      </c>
    </row>
    <row r="18" spans="1:19" x14ac:dyDescent="0.35">
      <c r="A18" s="3">
        <f>vals_co2_incLUC!$A18</f>
        <v>1865</v>
      </c>
      <c r="B18" s="4">
        <f t="shared" si="0"/>
        <v>37.723900708801132</v>
      </c>
      <c r="C18" s="4">
        <f t="shared" si="1"/>
        <v>42.087809831025311</v>
      </c>
      <c r="D18" s="4">
        <f t="shared" si="2"/>
        <v>51.032148946482145</v>
      </c>
      <c r="E18" s="4">
        <f t="shared" si="3"/>
        <v>53.4103185997322</v>
      </c>
      <c r="F18" s="4">
        <f t="shared" si="4"/>
        <v>4.3639091222241788</v>
      </c>
      <c r="G18" s="4">
        <f t="shared" si="5"/>
        <v>0</v>
      </c>
      <c r="H18" s="4">
        <f t="shared" si="6"/>
        <v>8.9443391154568346</v>
      </c>
      <c r="I18" s="5">
        <f>vals_co2_incLUC!$R18</f>
        <v>37.723900708801132</v>
      </c>
      <c r="J18" s="5">
        <f>vals_co2_incLUC!$X18</f>
        <v>42.087809831025311</v>
      </c>
      <c r="K18" s="5">
        <f>vals_co2_incLUC!$AD18</f>
        <v>37.730425542677111</v>
      </c>
      <c r="L18" s="5">
        <f>vals_co2_incLUC!$AJ18</f>
        <v>40.077311153247905</v>
      </c>
      <c r="M18" s="5">
        <f>vals_co2_incLUC!$S18</f>
        <v>51.032148946482145</v>
      </c>
      <c r="N18" s="5">
        <f>vals_co2_incLUC!$Y18</f>
        <v>53.4103185997322</v>
      </c>
      <c r="O18" s="5">
        <f>vals_co2_incLUC!$AE18</f>
        <v>51.04097556054684</v>
      </c>
      <c r="P18" s="5">
        <f>vals_co2_incLUC!$AK18</f>
        <v>51.863157257731359</v>
      </c>
      <c r="Q18" s="9">
        <f t="shared" si="7"/>
        <v>2.3781696532500547</v>
      </c>
      <c r="R18" s="9">
        <v>39.057000000000002</v>
      </c>
      <c r="S18" s="9">
        <v>52.185000000000002</v>
      </c>
    </row>
    <row r="19" spans="1:19" x14ac:dyDescent="0.35">
      <c r="A19" s="6">
        <f>vals_co2_incLUC!$A19</f>
        <v>1866</v>
      </c>
      <c r="B19" s="7">
        <f t="shared" si="0"/>
        <v>37.71667217080563</v>
      </c>
      <c r="C19" s="7">
        <f t="shared" si="1"/>
        <v>42.069570608031746</v>
      </c>
      <c r="D19" s="7">
        <f t="shared" si="2"/>
        <v>51.012184510638306</v>
      </c>
      <c r="E19" s="7">
        <f t="shared" si="3"/>
        <v>53.388869118146729</v>
      </c>
      <c r="F19" s="7">
        <f t="shared" si="4"/>
        <v>4.3528984372261164</v>
      </c>
      <c r="G19" s="7">
        <f t="shared" si="5"/>
        <v>0</v>
      </c>
      <c r="H19" s="7">
        <f t="shared" si="6"/>
        <v>8.9426139026065599</v>
      </c>
      <c r="I19" s="8">
        <f>vals_co2_incLUC!$R19</f>
        <v>37.71667217080563</v>
      </c>
      <c r="J19" s="8">
        <f>vals_co2_incLUC!$X19</f>
        <v>42.069570608031746</v>
      </c>
      <c r="K19" s="8">
        <f>vals_co2_incLUC!$AD19</f>
        <v>37.723204079228204</v>
      </c>
      <c r="L19" s="8">
        <f>vals_co2_incLUC!$AJ19</f>
        <v>40.064652625692148</v>
      </c>
      <c r="M19" s="8">
        <f>vals_co2_incLUC!$S19</f>
        <v>51.012184510638306</v>
      </c>
      <c r="N19" s="8">
        <f>vals_co2_incLUC!$Y19</f>
        <v>53.388869118146729</v>
      </c>
      <c r="O19" s="8">
        <f>vals_co2_incLUC!$AE19</f>
        <v>51.02101893099529</v>
      </c>
      <c r="P19" s="8">
        <f>vals_co2_incLUC!$AK19</f>
        <v>51.84897650719742</v>
      </c>
      <c r="Q19" s="9">
        <f t="shared" si="7"/>
        <v>2.3766846075084231</v>
      </c>
      <c r="R19" s="9">
        <v>39.048000000000002</v>
      </c>
      <c r="S19" s="9">
        <v>52.167999999999999</v>
      </c>
    </row>
    <row r="20" spans="1:19" x14ac:dyDescent="0.35">
      <c r="A20" s="3">
        <f>vals_co2_incLUC!$A20</f>
        <v>1867</v>
      </c>
      <c r="B20" s="4">
        <f t="shared" si="0"/>
        <v>37.709700433245331</v>
      </c>
      <c r="C20" s="4">
        <f t="shared" si="1"/>
        <v>42.051010989204997</v>
      </c>
      <c r="D20" s="4">
        <f t="shared" si="2"/>
        <v>50.991183266732996</v>
      </c>
      <c r="E20" s="4">
        <f t="shared" si="3"/>
        <v>53.367028232185611</v>
      </c>
      <c r="F20" s="4">
        <f t="shared" si="4"/>
        <v>4.3413105559596659</v>
      </c>
      <c r="G20" s="4">
        <f t="shared" si="5"/>
        <v>0</v>
      </c>
      <c r="H20" s="4">
        <f t="shared" si="6"/>
        <v>8.9401722775279993</v>
      </c>
      <c r="I20" s="5">
        <f>vals_co2_incLUC!$R20</f>
        <v>37.709700433245331</v>
      </c>
      <c r="J20" s="5">
        <f>vals_co2_incLUC!$X20</f>
        <v>42.051010989204997</v>
      </c>
      <c r="K20" s="5">
        <f>vals_co2_incLUC!$AD20</f>
        <v>37.716239512648855</v>
      </c>
      <c r="L20" s="5">
        <f>vals_co2_incLUC!$AJ20</f>
        <v>40.052230163171323</v>
      </c>
      <c r="M20" s="5">
        <f>vals_co2_incLUC!$S20</f>
        <v>50.991183266732996</v>
      </c>
      <c r="N20" s="5">
        <f>vals_co2_incLUC!$Y20</f>
        <v>53.367028232185611</v>
      </c>
      <c r="O20" s="5">
        <f>vals_co2_incLUC!$AE20</f>
        <v>51.000025379290847</v>
      </c>
      <c r="P20" s="5">
        <f>vals_co2_incLUC!$AK20</f>
        <v>51.83368426353254</v>
      </c>
      <c r="Q20" s="9">
        <f t="shared" si="7"/>
        <v>2.3758449654526146</v>
      </c>
      <c r="R20" s="9">
        <v>39.04</v>
      </c>
      <c r="S20" s="9">
        <v>52.151000000000003</v>
      </c>
    </row>
    <row r="21" spans="1:19" x14ac:dyDescent="0.35">
      <c r="A21" s="6">
        <f>vals_co2_incLUC!$A21</f>
        <v>1868</v>
      </c>
      <c r="B21" s="7">
        <f t="shared" si="0"/>
        <v>37.700870878159456</v>
      </c>
      <c r="C21" s="7">
        <f t="shared" si="1"/>
        <v>42.031765181365614</v>
      </c>
      <c r="D21" s="7">
        <f t="shared" si="2"/>
        <v>50.969892323421732</v>
      </c>
      <c r="E21" s="7">
        <f t="shared" si="3"/>
        <v>53.344497209174314</v>
      </c>
      <c r="F21" s="7">
        <f t="shared" si="4"/>
        <v>4.3308943032061578</v>
      </c>
      <c r="G21" s="7">
        <f t="shared" si="5"/>
        <v>0</v>
      </c>
      <c r="H21" s="7">
        <f t="shared" si="6"/>
        <v>8.9381271420561177</v>
      </c>
      <c r="I21" s="8">
        <f>vals_co2_incLUC!$R21</f>
        <v>37.700870878159456</v>
      </c>
      <c r="J21" s="8">
        <f>vals_co2_incLUC!$X21</f>
        <v>42.031765181365614</v>
      </c>
      <c r="K21" s="8">
        <f>vals_co2_incLUC!$AD21</f>
        <v>37.707416762341261</v>
      </c>
      <c r="L21" s="8">
        <f>vals_co2_incLUC!$AJ21</f>
        <v>40.037656477695712</v>
      </c>
      <c r="M21" s="8">
        <f>vals_co2_incLUC!$S21</f>
        <v>50.969892323421732</v>
      </c>
      <c r="N21" s="8">
        <f>vals_co2_incLUC!$Y21</f>
        <v>53.344497209174314</v>
      </c>
      <c r="O21" s="8">
        <f>vals_co2_incLUC!$AE21</f>
        <v>50.978742013731726</v>
      </c>
      <c r="P21" s="8">
        <f>vals_co2_incLUC!$AK21</f>
        <v>51.818083357994546</v>
      </c>
      <c r="Q21" s="9">
        <f t="shared" si="7"/>
        <v>2.3746048857525821</v>
      </c>
      <c r="R21" s="9">
        <v>39.03</v>
      </c>
      <c r="S21" s="9">
        <v>52.133000000000003</v>
      </c>
    </row>
    <row r="22" spans="1:19" x14ac:dyDescent="0.35">
      <c r="A22" s="3">
        <f>vals_co2_incLUC!$A22</f>
        <v>1869</v>
      </c>
      <c r="B22" s="4">
        <f t="shared" si="0"/>
        <v>37.691994344965742</v>
      </c>
      <c r="C22" s="4">
        <f t="shared" si="1"/>
        <v>42.012303165265465</v>
      </c>
      <c r="D22" s="4">
        <f t="shared" si="2"/>
        <v>50.947911294007376</v>
      </c>
      <c r="E22" s="4">
        <f t="shared" si="3"/>
        <v>53.321661113501087</v>
      </c>
      <c r="F22" s="4">
        <f t="shared" si="4"/>
        <v>4.3203088202997222</v>
      </c>
      <c r="G22" s="4">
        <f t="shared" si="5"/>
        <v>0</v>
      </c>
      <c r="H22" s="4">
        <f t="shared" si="6"/>
        <v>8.9356081287419116</v>
      </c>
      <c r="I22" s="5">
        <f>vals_co2_incLUC!$R22</f>
        <v>37.691994344965742</v>
      </c>
      <c r="J22" s="5">
        <f>vals_co2_incLUC!$X22</f>
        <v>42.012303165265465</v>
      </c>
      <c r="K22" s="5">
        <f>vals_co2_incLUC!$AD22</f>
        <v>37.698547019102627</v>
      </c>
      <c r="L22" s="5">
        <f>vals_co2_incLUC!$AJ22</f>
        <v>40.022855898234816</v>
      </c>
      <c r="M22" s="5">
        <f>vals_co2_incLUC!$S22</f>
        <v>50.947911294007376</v>
      </c>
      <c r="N22" s="5">
        <f>vals_co2_incLUC!$Y22</f>
        <v>53.321661113501087</v>
      </c>
      <c r="O22" s="5">
        <f>vals_co2_incLUC!$AE22</f>
        <v>50.956768428969411</v>
      </c>
      <c r="P22" s="5">
        <f>vals_co2_incLUC!$AK22</f>
        <v>51.801620307197346</v>
      </c>
      <c r="Q22" s="9">
        <f t="shared" si="7"/>
        <v>2.3737498194937103</v>
      </c>
      <c r="R22" s="9">
        <v>39.020000000000003</v>
      </c>
      <c r="S22" s="9">
        <v>52.113999999999997</v>
      </c>
    </row>
    <row r="23" spans="1:19" x14ac:dyDescent="0.35">
      <c r="A23" s="6">
        <f>vals_co2_incLUC!$A23</f>
        <v>1870</v>
      </c>
      <c r="B23" s="7">
        <f t="shared" si="0"/>
        <v>37.683108248181561</v>
      </c>
      <c r="C23" s="7">
        <f t="shared" si="1"/>
        <v>41.992172832380092</v>
      </c>
      <c r="D23" s="7">
        <f t="shared" si="2"/>
        <v>50.925733397883079</v>
      </c>
      <c r="E23" s="7">
        <f t="shared" si="3"/>
        <v>53.298145097900559</v>
      </c>
      <c r="F23" s="7">
        <f t="shared" si="4"/>
        <v>4.3090645841985307</v>
      </c>
      <c r="G23" s="7">
        <f t="shared" si="5"/>
        <v>0</v>
      </c>
      <c r="H23" s="7">
        <f t="shared" si="6"/>
        <v>8.9335605655029866</v>
      </c>
      <c r="I23" s="8">
        <f>vals_co2_incLUC!$R23</f>
        <v>37.683108248181561</v>
      </c>
      <c r="J23" s="8">
        <f>vals_co2_incLUC!$X23</f>
        <v>41.992172832380092</v>
      </c>
      <c r="K23" s="8">
        <f>vals_co2_incLUC!$AD23</f>
        <v>37.689667764635928</v>
      </c>
      <c r="L23" s="8">
        <f>vals_co2_incLUC!$AJ23</f>
        <v>40.007903429092266</v>
      </c>
      <c r="M23" s="8">
        <f>vals_co2_incLUC!$S23</f>
        <v>50.925733397883079</v>
      </c>
      <c r="N23" s="8">
        <f>vals_co2_incLUC!$Y23</f>
        <v>53.298145097900559</v>
      </c>
      <c r="O23" s="8">
        <f>vals_co2_incLUC!$AE23</f>
        <v>50.934598011829038</v>
      </c>
      <c r="P23" s="8">
        <f>vals_co2_incLUC!$AK23</f>
        <v>51.784847209717533</v>
      </c>
      <c r="Q23" s="9">
        <f t="shared" si="7"/>
        <v>2.37241170001748</v>
      </c>
      <c r="R23" s="9">
        <v>39.01</v>
      </c>
      <c r="S23" s="9">
        <v>52.095999999999997</v>
      </c>
    </row>
    <row r="24" spans="1:19" x14ac:dyDescent="0.35">
      <c r="A24" s="3">
        <f>vals_co2_incLUC!$A24</f>
        <v>1871</v>
      </c>
      <c r="B24" s="4">
        <f t="shared" si="0"/>
        <v>37.66866762920727</v>
      </c>
      <c r="C24" s="4">
        <f t="shared" si="1"/>
        <v>41.971871535040627</v>
      </c>
      <c r="D24" s="4">
        <f t="shared" si="2"/>
        <v>50.897030226210383</v>
      </c>
      <c r="E24" s="4">
        <f t="shared" si="3"/>
        <v>53.274368112562378</v>
      </c>
      <c r="F24" s="4">
        <f t="shared" si="4"/>
        <v>4.3032039058333567</v>
      </c>
      <c r="G24" s="4">
        <f t="shared" si="5"/>
        <v>0</v>
      </c>
      <c r="H24" s="4">
        <f t="shared" si="6"/>
        <v>8.9251586911697558</v>
      </c>
      <c r="I24" s="5">
        <f>vals_co2_incLUC!$R24</f>
        <v>37.66866762920727</v>
      </c>
      <c r="J24" s="5">
        <f>vals_co2_incLUC!$X24</f>
        <v>41.971871535040627</v>
      </c>
      <c r="K24" s="5">
        <f>vals_co2_incLUC!$AD24</f>
        <v>37.675234214405158</v>
      </c>
      <c r="L24" s="5">
        <f>vals_co2_incLUC!$AJ24</f>
        <v>39.991351731357554</v>
      </c>
      <c r="M24" s="5">
        <f>vals_co2_incLUC!$S24</f>
        <v>50.897030226210383</v>
      </c>
      <c r="N24" s="5">
        <f>vals_co2_incLUC!$Y24</f>
        <v>53.274368112562378</v>
      </c>
      <c r="O24" s="5">
        <f>vals_co2_incLUC!$AE24</f>
        <v>50.905902791322163</v>
      </c>
      <c r="P24" s="5">
        <f>vals_co2_incLUC!$AK24</f>
        <v>51.765576788627563</v>
      </c>
      <c r="Q24" s="9">
        <f t="shared" si="7"/>
        <v>2.3773378863519952</v>
      </c>
      <c r="R24" s="9">
        <v>38.996000000000002</v>
      </c>
      <c r="S24" s="9">
        <v>52.072000000000003</v>
      </c>
    </row>
    <row r="25" spans="1:19" x14ac:dyDescent="0.35">
      <c r="A25" s="6">
        <f>vals_co2_incLUC!$A25</f>
        <v>1872</v>
      </c>
      <c r="B25" s="7">
        <f t="shared" si="0"/>
        <v>37.6503347992128</v>
      </c>
      <c r="C25" s="7">
        <f t="shared" si="1"/>
        <v>41.952044681019061</v>
      </c>
      <c r="D25" s="7">
        <f t="shared" si="2"/>
        <v>50.86555143956425</v>
      </c>
      <c r="E25" s="7">
        <f t="shared" si="3"/>
        <v>53.251817761232481</v>
      </c>
      <c r="F25" s="7">
        <f t="shared" si="4"/>
        <v>4.3017098818062607</v>
      </c>
      <c r="G25" s="7">
        <f t="shared" si="5"/>
        <v>0</v>
      </c>
      <c r="H25" s="7">
        <f t="shared" si="6"/>
        <v>8.9135067585451893</v>
      </c>
      <c r="I25" s="8">
        <f>vals_co2_incLUC!$R25</f>
        <v>37.6503347992128</v>
      </c>
      <c r="J25" s="8">
        <f>vals_co2_incLUC!$X25</f>
        <v>41.952044681019061</v>
      </c>
      <c r="K25" s="8">
        <f>vals_co2_incLUC!$AD25</f>
        <v>37.65690817127512</v>
      </c>
      <c r="L25" s="8">
        <f>vals_co2_incLUC!$AJ25</f>
        <v>39.971457628167407</v>
      </c>
      <c r="M25" s="8">
        <f>vals_co2_incLUC!$S25</f>
        <v>50.86555143956425</v>
      </c>
      <c r="N25" s="8">
        <f>vals_co2_incLUC!$Y25</f>
        <v>53.251817761232481</v>
      </c>
      <c r="O25" s="8">
        <f>vals_co2_incLUC!$AE25</f>
        <v>50.874432003764106</v>
      </c>
      <c r="P25" s="8">
        <f>vals_co2_incLUC!$AK25</f>
        <v>51.744633243420616</v>
      </c>
      <c r="Q25" s="9">
        <f t="shared" si="7"/>
        <v>2.3862663216682307</v>
      </c>
      <c r="R25" s="9">
        <v>38.978000000000002</v>
      </c>
      <c r="S25" s="9">
        <v>52.045999999999999</v>
      </c>
    </row>
    <row r="26" spans="1:19" x14ac:dyDescent="0.35">
      <c r="A26" s="3">
        <f>vals_co2_incLUC!$A26</f>
        <v>1873</v>
      </c>
      <c r="B26" s="4">
        <f t="shared" si="0"/>
        <v>37.630457242401683</v>
      </c>
      <c r="C26" s="4">
        <f t="shared" si="1"/>
        <v>41.923051930182808</v>
      </c>
      <c r="D26" s="4">
        <f t="shared" si="2"/>
        <v>50.831819535772183</v>
      </c>
      <c r="E26" s="4">
        <f t="shared" si="3"/>
        <v>53.221934028156795</v>
      </c>
      <c r="F26" s="4">
        <f t="shared" si="4"/>
        <v>4.2925946877811256</v>
      </c>
      <c r="G26" s="4">
        <f t="shared" si="5"/>
        <v>0</v>
      </c>
      <c r="H26" s="4">
        <f t="shared" si="6"/>
        <v>8.9087676055893752</v>
      </c>
      <c r="I26" s="5">
        <f>vals_co2_incLUC!$R26</f>
        <v>37.630457242401683</v>
      </c>
      <c r="J26" s="5">
        <f>vals_co2_incLUC!$X26</f>
        <v>41.923051930182808</v>
      </c>
      <c r="K26" s="5">
        <f>vals_co2_incLUC!$AD26</f>
        <v>37.637037750166272</v>
      </c>
      <c r="L26" s="5">
        <f>vals_co2_incLUC!$AJ26</f>
        <v>39.950448558387933</v>
      </c>
      <c r="M26" s="5">
        <f>vals_co2_incLUC!$S26</f>
        <v>50.831819535772183</v>
      </c>
      <c r="N26" s="5">
        <f>vals_co2_incLUC!$Y26</f>
        <v>53.221934028156795</v>
      </c>
      <c r="O26" s="5">
        <f>vals_co2_incLUC!$AE26</f>
        <v>50.840708537602353</v>
      </c>
      <c r="P26" s="5">
        <f>vals_co2_incLUC!$AK26</f>
        <v>51.721863766907582</v>
      </c>
      <c r="Q26" s="9">
        <f t="shared" si="7"/>
        <v>2.3901144923846118</v>
      </c>
      <c r="R26" s="9">
        <v>38.959000000000003</v>
      </c>
      <c r="S26" s="9">
        <v>52.018000000000001</v>
      </c>
    </row>
    <row r="27" spans="1:19" x14ac:dyDescent="0.35">
      <c r="A27" s="6">
        <f>vals_co2_incLUC!$A27</f>
        <v>1874</v>
      </c>
      <c r="B27" s="7">
        <f t="shared" si="0"/>
        <v>37.607588772069015</v>
      </c>
      <c r="C27" s="7">
        <f t="shared" si="1"/>
        <v>41.892602573226654</v>
      </c>
      <c r="D27" s="7">
        <f t="shared" si="2"/>
        <v>50.795908942006797</v>
      </c>
      <c r="E27" s="7">
        <f t="shared" si="3"/>
        <v>53.190907001829871</v>
      </c>
      <c r="F27" s="7">
        <f t="shared" si="4"/>
        <v>4.2850138011576391</v>
      </c>
      <c r="G27" s="7">
        <f t="shared" si="5"/>
        <v>0</v>
      </c>
      <c r="H27" s="7">
        <f t="shared" si="6"/>
        <v>8.903306368780143</v>
      </c>
      <c r="I27" s="8">
        <f>vals_co2_incLUC!$R27</f>
        <v>37.607588772069015</v>
      </c>
      <c r="J27" s="8">
        <f>vals_co2_incLUC!$X27</f>
        <v>41.892602573226654</v>
      </c>
      <c r="K27" s="8">
        <f>vals_co2_incLUC!$AD27</f>
        <v>37.614176198885083</v>
      </c>
      <c r="L27" s="8">
        <f>vals_co2_incLUC!$AJ27</f>
        <v>39.9267956143634</v>
      </c>
      <c r="M27" s="8">
        <f>vals_co2_incLUC!$S27</f>
        <v>50.795908942006797</v>
      </c>
      <c r="N27" s="8">
        <f>vals_co2_incLUC!$Y27</f>
        <v>53.190907001829871</v>
      </c>
      <c r="O27" s="8">
        <f>vals_co2_incLUC!$AE27</f>
        <v>50.8048064109216</v>
      </c>
      <c r="P27" s="8">
        <f>vals_co2_incLUC!$AK27</f>
        <v>51.697534978705406</v>
      </c>
      <c r="Q27" s="9">
        <f t="shared" si="7"/>
        <v>2.3949980598230738</v>
      </c>
      <c r="R27" s="9">
        <v>38.936999999999998</v>
      </c>
      <c r="S27" s="9">
        <v>51.988999999999997</v>
      </c>
    </row>
    <row r="28" spans="1:19" x14ac:dyDescent="0.35">
      <c r="A28" s="3">
        <f>vals_co2_incLUC!$A28</f>
        <v>1875</v>
      </c>
      <c r="B28" s="4">
        <f t="shared" si="0"/>
        <v>37.584866028008101</v>
      </c>
      <c r="C28" s="4">
        <f t="shared" si="1"/>
        <v>41.862941015283106</v>
      </c>
      <c r="D28" s="4">
        <f t="shared" si="2"/>
        <v>50.758910393186397</v>
      </c>
      <c r="E28" s="4">
        <f t="shared" si="3"/>
        <v>53.160400873582446</v>
      </c>
      <c r="F28" s="4">
        <f t="shared" si="4"/>
        <v>4.278074987275005</v>
      </c>
      <c r="G28" s="4">
        <f t="shared" si="5"/>
        <v>0</v>
      </c>
      <c r="H28" s="4">
        <f t="shared" si="6"/>
        <v>8.8959693779032918</v>
      </c>
      <c r="I28" s="5">
        <f>vals_co2_incLUC!$R28</f>
        <v>37.584866028008101</v>
      </c>
      <c r="J28" s="5">
        <f>vals_co2_incLUC!$X28</f>
        <v>41.862941015283106</v>
      </c>
      <c r="K28" s="5">
        <f>vals_co2_incLUC!$AD28</f>
        <v>37.591460590873801</v>
      </c>
      <c r="L28" s="5">
        <f>vals_co2_incLUC!$AJ28</f>
        <v>39.903919951655865</v>
      </c>
      <c r="M28" s="5">
        <f>vals_co2_incLUC!$S28</f>
        <v>50.758910393186397</v>
      </c>
      <c r="N28" s="5">
        <f>vals_co2_incLUC!$Y28</f>
        <v>53.160400873582446</v>
      </c>
      <c r="O28" s="5">
        <f>vals_co2_incLUC!$AE28</f>
        <v>50.767816393919176</v>
      </c>
      <c r="P28" s="5">
        <f>vals_co2_incLUC!$AK28</f>
        <v>51.672831934680566</v>
      </c>
      <c r="Q28" s="9">
        <f t="shared" si="7"/>
        <v>2.4014904803960491</v>
      </c>
      <c r="R28" s="9">
        <v>38.914999999999999</v>
      </c>
      <c r="S28" s="9">
        <v>51.957999999999998</v>
      </c>
    </row>
    <row r="29" spans="1:19" x14ac:dyDescent="0.35">
      <c r="A29" s="6">
        <f>vals_co2_incLUC!$A29</f>
        <v>1876</v>
      </c>
      <c r="B29" s="7">
        <f t="shared" si="0"/>
        <v>37.559593524944766</v>
      </c>
      <c r="C29" s="7">
        <f t="shared" si="1"/>
        <v>41.831339505047929</v>
      </c>
      <c r="D29" s="7">
        <f t="shared" si="2"/>
        <v>50.720058440917768</v>
      </c>
      <c r="E29" s="7">
        <f t="shared" si="3"/>
        <v>53.128325975223611</v>
      </c>
      <c r="F29" s="7">
        <f t="shared" si="4"/>
        <v>4.2717459801031623</v>
      </c>
      <c r="G29" s="7">
        <f t="shared" si="5"/>
        <v>0</v>
      </c>
      <c r="H29" s="7">
        <f t="shared" si="6"/>
        <v>8.8887189358698393</v>
      </c>
      <c r="I29" s="8">
        <f>vals_co2_incLUC!$R29</f>
        <v>37.559593524944766</v>
      </c>
      <c r="J29" s="8">
        <f>vals_co2_incLUC!$X29</f>
        <v>41.831339505047929</v>
      </c>
      <c r="K29" s="8">
        <f>vals_co2_incLUC!$AD29</f>
        <v>37.566194996143622</v>
      </c>
      <c r="L29" s="8">
        <f>vals_co2_incLUC!$AJ29</f>
        <v>39.878857721557566</v>
      </c>
      <c r="M29" s="8">
        <f>vals_co2_incLUC!$S29</f>
        <v>50.720058440917768</v>
      </c>
      <c r="N29" s="8">
        <f>vals_co2_incLUC!$Y29</f>
        <v>53.128325975223611</v>
      </c>
      <c r="O29" s="8">
        <f>vals_co2_incLUC!$AE29</f>
        <v>50.728972941622075</v>
      </c>
      <c r="P29" s="8">
        <f>vals_co2_incLUC!$AK29</f>
        <v>51.646919192457609</v>
      </c>
      <c r="Q29" s="9">
        <f t="shared" si="7"/>
        <v>2.4082675343058426</v>
      </c>
      <c r="R29" s="9">
        <v>38.890999999999998</v>
      </c>
      <c r="S29" s="9">
        <v>51.926000000000002</v>
      </c>
    </row>
    <row r="30" spans="1:19" x14ac:dyDescent="0.35">
      <c r="A30" s="3">
        <f>vals_co2_incLUC!$A30</f>
        <v>1877</v>
      </c>
      <c r="B30" s="4">
        <f t="shared" si="0"/>
        <v>37.533452780173079</v>
      </c>
      <c r="C30" s="4">
        <f t="shared" si="1"/>
        <v>41.799410752169905</v>
      </c>
      <c r="D30" s="4">
        <f t="shared" si="2"/>
        <v>50.67977661368932</v>
      </c>
      <c r="E30" s="4">
        <f t="shared" si="3"/>
        <v>53.095592616474818</v>
      </c>
      <c r="F30" s="4">
        <f t="shared" si="4"/>
        <v>4.2659579719968264</v>
      </c>
      <c r="G30" s="4">
        <f t="shared" si="5"/>
        <v>0</v>
      </c>
      <c r="H30" s="4">
        <f t="shared" si="6"/>
        <v>8.8803658615194152</v>
      </c>
      <c r="I30" s="5">
        <f>vals_co2_incLUC!$R30</f>
        <v>37.533452780173079</v>
      </c>
      <c r="J30" s="5">
        <f>vals_co2_incLUC!$X30</f>
        <v>41.799410752169905</v>
      </c>
      <c r="K30" s="5">
        <f>vals_co2_incLUC!$AD30</f>
        <v>37.54006119709878</v>
      </c>
      <c r="L30" s="5">
        <f>vals_co2_incLUC!$AJ30</f>
        <v>39.853490427730343</v>
      </c>
      <c r="M30" s="5">
        <f>vals_co2_incLUC!$S30</f>
        <v>50.67977661368932</v>
      </c>
      <c r="N30" s="5">
        <f>vals_co2_incLUC!$Y30</f>
        <v>53.095592616474818</v>
      </c>
      <c r="O30" s="5">
        <f>vals_co2_incLUC!$AE30</f>
        <v>50.688699616660536</v>
      </c>
      <c r="P30" s="5">
        <f>vals_co2_incLUC!$AK30</f>
        <v>51.620314028698601</v>
      </c>
      <c r="Q30" s="9">
        <f t="shared" si="7"/>
        <v>2.4158160027854976</v>
      </c>
      <c r="R30" s="9">
        <v>38.866999999999997</v>
      </c>
      <c r="S30" s="9">
        <v>51.892000000000003</v>
      </c>
    </row>
    <row r="31" spans="1:19" x14ac:dyDescent="0.35">
      <c r="A31" s="6">
        <f>vals_co2_incLUC!$A31</f>
        <v>1878</v>
      </c>
      <c r="B31" s="7">
        <f t="shared" si="0"/>
        <v>37.506252382082437</v>
      </c>
      <c r="C31" s="7">
        <f t="shared" si="1"/>
        <v>41.766522609415254</v>
      </c>
      <c r="D31" s="7">
        <f t="shared" si="2"/>
        <v>50.638454988357786</v>
      </c>
      <c r="E31" s="7">
        <f t="shared" si="3"/>
        <v>53.062122048358383</v>
      </c>
      <c r="F31" s="7">
        <f t="shared" si="4"/>
        <v>4.2602702273328177</v>
      </c>
      <c r="G31" s="7">
        <f t="shared" si="5"/>
        <v>0</v>
      </c>
      <c r="H31" s="7">
        <f t="shared" si="6"/>
        <v>8.8719323789425317</v>
      </c>
      <c r="I31" s="8">
        <f>vals_co2_incLUC!$R31</f>
        <v>37.506252382082437</v>
      </c>
      <c r="J31" s="8">
        <f>vals_co2_incLUC!$X31</f>
        <v>41.766522609415254</v>
      </c>
      <c r="K31" s="8">
        <f>vals_co2_incLUC!$AD31</f>
        <v>37.512867852488782</v>
      </c>
      <c r="L31" s="8">
        <f>vals_co2_incLUC!$AJ31</f>
        <v>39.827248812512792</v>
      </c>
      <c r="M31" s="8">
        <f>vals_co2_incLUC!$S31</f>
        <v>50.638454988357786</v>
      </c>
      <c r="N31" s="8">
        <f>vals_co2_incLUC!$Y31</f>
        <v>53.062122048358383</v>
      </c>
      <c r="O31" s="8">
        <f>vals_co2_incLUC!$AE31</f>
        <v>50.647386704946129</v>
      </c>
      <c r="P31" s="8">
        <f>vals_co2_incLUC!$AK31</f>
        <v>51.592944430363566</v>
      </c>
      <c r="Q31" s="9">
        <f t="shared" si="7"/>
        <v>2.4236670600005965</v>
      </c>
      <c r="R31" s="9">
        <v>38.841000000000001</v>
      </c>
      <c r="S31" s="9">
        <v>51.857999999999997</v>
      </c>
    </row>
    <row r="32" spans="1:19" x14ac:dyDescent="0.35">
      <c r="A32" s="3">
        <f>vals_co2_incLUC!$A32</f>
        <v>1879</v>
      </c>
      <c r="B32" s="4">
        <f t="shared" si="0"/>
        <v>37.478108700699991</v>
      </c>
      <c r="C32" s="4">
        <f t="shared" si="1"/>
        <v>41.733212082177126</v>
      </c>
      <c r="D32" s="4">
        <f t="shared" si="2"/>
        <v>50.595686517116533</v>
      </c>
      <c r="E32" s="4">
        <f t="shared" si="3"/>
        <v>53.028183103681862</v>
      </c>
      <c r="F32" s="4">
        <f t="shared" si="4"/>
        <v>4.2551033814771344</v>
      </c>
      <c r="G32" s="4">
        <f t="shared" si="5"/>
        <v>0</v>
      </c>
      <c r="H32" s="4">
        <f t="shared" si="6"/>
        <v>8.8624744349394078</v>
      </c>
      <c r="I32" s="5">
        <f>vals_co2_incLUC!$R32</f>
        <v>37.478108700699991</v>
      </c>
      <c r="J32" s="5">
        <f>vals_co2_incLUC!$X32</f>
        <v>41.733212082177126</v>
      </c>
      <c r="K32" s="5">
        <f>vals_co2_incLUC!$AD32</f>
        <v>37.484731245348598</v>
      </c>
      <c r="L32" s="5">
        <f>vals_co2_incLUC!$AJ32</f>
        <v>39.800461491327113</v>
      </c>
      <c r="M32" s="5">
        <f>vals_co2_incLUC!$S32</f>
        <v>50.595686517116533</v>
      </c>
      <c r="N32" s="5">
        <f>vals_co2_incLUC!$Y32</f>
        <v>53.028183103681862</v>
      </c>
      <c r="O32" s="5">
        <f>vals_co2_incLUC!$AE32</f>
        <v>50.604626941803652</v>
      </c>
      <c r="P32" s="5">
        <f>vals_co2_incLUC!$AK32</f>
        <v>51.564653384251066</v>
      </c>
      <c r="Q32" s="9">
        <f t="shared" si="7"/>
        <v>2.4324965865653283</v>
      </c>
      <c r="R32" s="9">
        <v>38.814999999999998</v>
      </c>
      <c r="S32" s="9">
        <v>51.822000000000003</v>
      </c>
    </row>
    <row r="33" spans="1:19" x14ac:dyDescent="0.35">
      <c r="A33" s="6">
        <f>vals_co2_incLUC!$A33</f>
        <v>1880</v>
      </c>
      <c r="B33" s="7">
        <f t="shared" si="0"/>
        <v>37.447758550397999</v>
      </c>
      <c r="C33" s="7">
        <f t="shared" si="1"/>
        <v>41.698098661755203</v>
      </c>
      <c r="D33" s="7">
        <f t="shared" si="2"/>
        <v>50.550585111895927</v>
      </c>
      <c r="E33" s="7">
        <f t="shared" si="3"/>
        <v>52.99268709221554</v>
      </c>
      <c r="F33" s="7">
        <f t="shared" si="4"/>
        <v>4.2503401113572039</v>
      </c>
      <c r="G33" s="7">
        <f t="shared" si="5"/>
        <v>0</v>
      </c>
      <c r="H33" s="7">
        <f t="shared" si="6"/>
        <v>8.8524864501407237</v>
      </c>
      <c r="I33" s="8">
        <f>vals_co2_incLUC!$R33</f>
        <v>37.447758550397999</v>
      </c>
      <c r="J33" s="8">
        <f>vals_co2_incLUC!$X33</f>
        <v>41.698098661755203</v>
      </c>
      <c r="K33" s="8">
        <f>vals_co2_incLUC!$AD33</f>
        <v>37.454388056947316</v>
      </c>
      <c r="L33" s="8">
        <f>vals_co2_incLUC!$AJ33</f>
        <v>39.771820175277675</v>
      </c>
      <c r="M33" s="8">
        <f>vals_co2_incLUC!$S33</f>
        <v>50.550585111895927</v>
      </c>
      <c r="N33" s="8">
        <f>vals_co2_incLUC!$Y33</f>
        <v>52.99268709221554</v>
      </c>
      <c r="O33" s="8">
        <f>vals_co2_incLUC!$AE33</f>
        <v>50.559534204239029</v>
      </c>
      <c r="P33" s="8">
        <f>vals_co2_incLUC!$AK33</f>
        <v>51.53453875145405</v>
      </c>
      <c r="Q33" s="9">
        <f t="shared" si="7"/>
        <v>2.4421019803196131</v>
      </c>
      <c r="R33" s="9">
        <v>38.786000000000001</v>
      </c>
      <c r="S33" s="9">
        <v>51.783999999999999</v>
      </c>
    </row>
    <row r="34" spans="1:19" x14ac:dyDescent="0.35">
      <c r="A34" s="3">
        <f>vals_co2_incLUC!$A34</f>
        <v>1881</v>
      </c>
      <c r="B34" s="4">
        <f t="shared" si="0"/>
        <v>37.420812028513872</v>
      </c>
      <c r="C34" s="4">
        <f t="shared" si="1"/>
        <v>41.659750528542681</v>
      </c>
      <c r="D34" s="4">
        <f t="shared" si="2"/>
        <v>50.508229214308017</v>
      </c>
      <c r="E34" s="4">
        <f t="shared" si="3"/>
        <v>52.954483107041185</v>
      </c>
      <c r="F34" s="4">
        <f t="shared" si="4"/>
        <v>4.2389385000288087</v>
      </c>
      <c r="G34" s="4">
        <f t="shared" si="5"/>
        <v>0</v>
      </c>
      <c r="H34" s="4">
        <f t="shared" si="6"/>
        <v>8.8484786857653361</v>
      </c>
      <c r="I34" s="5">
        <f>vals_co2_incLUC!$R34</f>
        <v>37.420812028513872</v>
      </c>
      <c r="J34" s="5">
        <f>vals_co2_incLUC!$X34</f>
        <v>41.659750528542681</v>
      </c>
      <c r="K34" s="5">
        <f>vals_co2_incLUC!$AD34</f>
        <v>37.427449430851716</v>
      </c>
      <c r="L34" s="5">
        <f>vals_co2_incLUC!$AJ34</f>
        <v>39.741926298840916</v>
      </c>
      <c r="M34" s="5">
        <f>vals_co2_incLUC!$S34</f>
        <v>50.508229214308017</v>
      </c>
      <c r="N34" s="5">
        <f>vals_co2_incLUC!$Y34</f>
        <v>52.954483107041185</v>
      </c>
      <c r="O34" s="5">
        <f>vals_co2_incLUC!$AE34</f>
        <v>50.51718790424291</v>
      </c>
      <c r="P34" s="5">
        <f>vals_co2_incLUC!$AK34</f>
        <v>51.503407139297423</v>
      </c>
      <c r="Q34" s="9">
        <f t="shared" si="7"/>
        <v>2.4462538927331678</v>
      </c>
      <c r="R34" s="9">
        <v>38.759</v>
      </c>
      <c r="S34" s="9">
        <v>51.747999999999998</v>
      </c>
    </row>
    <row r="35" spans="1:19" x14ac:dyDescent="0.35">
      <c r="A35" s="6">
        <f>vals_co2_incLUC!$A35</f>
        <v>1882</v>
      </c>
      <c r="B35" s="7">
        <f t="shared" ref="B35:B66" si="8">IFERROR(_xlfn.AGGREGATE(5,6,I35:L35),"")</f>
        <v>37.396272351587136</v>
      </c>
      <c r="C35" s="7">
        <f t="shared" ref="C35:C66" si="9">IFERROR(_xlfn.AGGREGATE(4,6,I35:L35),"")</f>
        <v>41.622493817220658</v>
      </c>
      <c r="D35" s="7">
        <f t="shared" ref="D35:D66" si="10">IFERROR(_xlfn.AGGREGATE(5,6,M35:P35),"")</f>
        <v>50.467877344823307</v>
      </c>
      <c r="E35" s="7">
        <f t="shared" ref="E35:E66" si="11">IFERROR(_xlfn.AGGREGATE(4,6,M35:P35),"")</f>
        <v>52.91810736145959</v>
      </c>
      <c r="F35" s="7">
        <f t="shared" ref="F35:F66" si="12">IFERROR(MIN(C35,D35)-B35,"")</f>
        <v>4.2262214656335217</v>
      </c>
      <c r="G35" s="7">
        <f t="shared" ref="G35:G66" si="13">IFERROR(MAX(0,C35-D35),"")</f>
        <v>0</v>
      </c>
      <c r="H35" s="7">
        <f t="shared" ref="H35:H66" si="14">IFERROR(MAX(0,D35-C35),"")</f>
        <v>8.8453835276026496</v>
      </c>
      <c r="I35" s="8">
        <f>vals_co2_incLUC!$R35</f>
        <v>37.396272351587136</v>
      </c>
      <c r="J35" s="8">
        <f>vals_co2_incLUC!$X35</f>
        <v>41.622493817220658</v>
      </c>
      <c r="K35" s="8">
        <f>vals_co2_incLUC!$AD35</f>
        <v>37.402918131932303</v>
      </c>
      <c r="L35" s="8">
        <f>vals_co2_incLUC!$AJ35</f>
        <v>39.713829865180948</v>
      </c>
      <c r="M35" s="8">
        <f>vals_co2_incLUC!$S35</f>
        <v>50.467877344823307</v>
      </c>
      <c r="N35" s="8">
        <f>vals_co2_incLUC!$Y35</f>
        <v>52.91810736145959</v>
      </c>
      <c r="O35" s="8">
        <f>vals_co2_incLUC!$AE35</f>
        <v>50.476846057986137</v>
      </c>
      <c r="P35" s="8">
        <f>vals_co2_incLUC!$AK35</f>
        <v>51.474236804311182</v>
      </c>
      <c r="Q35" s="9">
        <f t="shared" ref="Q35:Q66" si="15">IFERROR(MAX(0,$E35-MAX($C35,$D35)),"")</f>
        <v>2.4502300166362829</v>
      </c>
      <c r="R35" s="9">
        <v>38.734000000000002</v>
      </c>
      <c r="S35" s="9">
        <v>51.713000000000001</v>
      </c>
    </row>
    <row r="36" spans="1:19" x14ac:dyDescent="0.35">
      <c r="A36" s="3">
        <f>vals_co2_incLUC!$A36</f>
        <v>1883</v>
      </c>
      <c r="B36" s="4">
        <f t="shared" si="8"/>
        <v>37.371539155861285</v>
      </c>
      <c r="C36" s="4">
        <f t="shared" si="9"/>
        <v>41.589890335387459</v>
      </c>
      <c r="D36" s="4">
        <f t="shared" si="10"/>
        <v>50.427132413927552</v>
      </c>
      <c r="E36" s="4">
        <f t="shared" si="11"/>
        <v>52.885666339059924</v>
      </c>
      <c r="F36" s="4">
        <f t="shared" si="12"/>
        <v>4.2183511795261737</v>
      </c>
      <c r="G36" s="4">
        <f t="shared" si="13"/>
        <v>0</v>
      </c>
      <c r="H36" s="4">
        <f t="shared" si="14"/>
        <v>8.8372420785400934</v>
      </c>
      <c r="I36" s="5">
        <f>vals_co2_incLUC!$R36</f>
        <v>37.371539155861285</v>
      </c>
      <c r="J36" s="5">
        <f>vals_co2_incLUC!$X36</f>
        <v>41.589890335387459</v>
      </c>
      <c r="K36" s="5">
        <f>vals_co2_incLUC!$AD36</f>
        <v>37.378193647753612</v>
      </c>
      <c r="L36" s="5">
        <f>vals_co2_incLUC!$AJ36</f>
        <v>39.684676069166223</v>
      </c>
      <c r="M36" s="5">
        <f>vals_co2_incLUC!$S36</f>
        <v>50.427132413927552</v>
      </c>
      <c r="N36" s="5">
        <f>vals_co2_incLUC!$Y36</f>
        <v>52.885666339059924</v>
      </c>
      <c r="O36" s="5">
        <f>vals_co2_incLUC!$AE36</f>
        <v>50.436111571956175</v>
      </c>
      <c r="P36" s="5">
        <f>vals_co2_incLUC!$AK36</f>
        <v>51.444123067516031</v>
      </c>
      <c r="Q36" s="9">
        <f t="shared" si="15"/>
        <v>2.4585339251323717</v>
      </c>
      <c r="R36" s="9">
        <v>38.707999999999998</v>
      </c>
      <c r="S36" s="9">
        <v>51.677999999999997</v>
      </c>
    </row>
    <row r="37" spans="1:19" x14ac:dyDescent="0.35">
      <c r="A37" s="6">
        <f>vals_co2_incLUC!$A37</f>
        <v>1884</v>
      </c>
      <c r="B37" s="7">
        <f t="shared" si="8"/>
        <v>37.345818508800541</v>
      </c>
      <c r="C37" s="7">
        <f t="shared" si="9"/>
        <v>41.556504935695543</v>
      </c>
      <c r="D37" s="7">
        <f t="shared" si="10"/>
        <v>50.385175242501433</v>
      </c>
      <c r="E37" s="7">
        <f t="shared" si="11"/>
        <v>52.852548142309075</v>
      </c>
      <c r="F37" s="7">
        <f t="shared" si="12"/>
        <v>4.2106864268950019</v>
      </c>
      <c r="G37" s="7">
        <f t="shared" si="13"/>
        <v>0</v>
      </c>
      <c r="H37" s="7">
        <f t="shared" si="14"/>
        <v>8.8286703068058898</v>
      </c>
      <c r="I37" s="8">
        <f>vals_co2_incLUC!$R37</f>
        <v>37.345818508800541</v>
      </c>
      <c r="J37" s="8">
        <f>vals_co2_incLUC!$X37</f>
        <v>41.556504935695543</v>
      </c>
      <c r="K37" s="8">
        <f>vals_co2_incLUC!$AD37</f>
        <v>37.352481855591428</v>
      </c>
      <c r="L37" s="8">
        <f>vals_co2_incLUC!$AJ37</f>
        <v>39.653985612527713</v>
      </c>
      <c r="M37" s="8">
        <f>vals_co2_incLUC!$S37</f>
        <v>50.385175242501433</v>
      </c>
      <c r="N37" s="8">
        <f>vals_co2_incLUC!$Y37</f>
        <v>52.852548142309075</v>
      </c>
      <c r="O37" s="8">
        <f>vals_co2_incLUC!$AE37</f>
        <v>50.394165055027827</v>
      </c>
      <c r="P37" s="8">
        <f>vals_co2_incLUC!$AK37</f>
        <v>51.412620629157601</v>
      </c>
      <c r="Q37" s="9">
        <f t="shared" si="15"/>
        <v>2.4673728998076427</v>
      </c>
      <c r="R37" s="9">
        <v>38.680999999999997</v>
      </c>
      <c r="S37" s="9">
        <v>51.640999999999998</v>
      </c>
    </row>
    <row r="38" spans="1:19" x14ac:dyDescent="0.35">
      <c r="A38" s="3">
        <f>vals_co2_incLUC!$A38</f>
        <v>1885</v>
      </c>
      <c r="B38" s="4">
        <f t="shared" si="8"/>
        <v>37.320854254059626</v>
      </c>
      <c r="C38" s="4">
        <f t="shared" si="9"/>
        <v>41.523396203390718</v>
      </c>
      <c r="D38" s="4">
        <f t="shared" si="10"/>
        <v>50.342996547355234</v>
      </c>
      <c r="E38" s="4">
        <f t="shared" si="11"/>
        <v>52.819735645903798</v>
      </c>
      <c r="F38" s="4">
        <f t="shared" si="12"/>
        <v>4.202541949331092</v>
      </c>
      <c r="G38" s="4">
        <f t="shared" si="13"/>
        <v>0</v>
      </c>
      <c r="H38" s="4">
        <f t="shared" si="14"/>
        <v>8.8196003439645168</v>
      </c>
      <c r="I38" s="5">
        <f>vals_co2_incLUC!$R38</f>
        <v>37.320854254059626</v>
      </c>
      <c r="J38" s="5">
        <f>vals_co2_incLUC!$X38</f>
        <v>41.523396203390718</v>
      </c>
      <c r="K38" s="5">
        <f>vals_co2_incLUC!$AD38</f>
        <v>37.327526703025278</v>
      </c>
      <c r="L38" s="5">
        <f>vals_co2_incLUC!$AJ38</f>
        <v>39.623568409038811</v>
      </c>
      <c r="M38" s="5">
        <f>vals_co2_incLUC!$S38</f>
        <v>50.342996547355234</v>
      </c>
      <c r="N38" s="5">
        <f>vals_co2_incLUC!$Y38</f>
        <v>52.819735645903798</v>
      </c>
      <c r="O38" s="5">
        <f>vals_co2_incLUC!$AE38</f>
        <v>50.351997070856036</v>
      </c>
      <c r="P38" s="5">
        <f>vals_co2_incLUC!$AK38</f>
        <v>51.38070656308399</v>
      </c>
      <c r="Q38" s="9">
        <f t="shared" si="15"/>
        <v>2.4767390985485633</v>
      </c>
      <c r="R38" s="9">
        <v>38.655000000000001</v>
      </c>
      <c r="S38" s="9">
        <v>51.603999999999999</v>
      </c>
    </row>
    <row r="39" spans="1:19" x14ac:dyDescent="0.35">
      <c r="A39" s="6">
        <f>vals_co2_incLUC!$A39</f>
        <v>1886</v>
      </c>
      <c r="B39" s="7">
        <f t="shared" si="8"/>
        <v>37.296751390227875</v>
      </c>
      <c r="C39" s="7">
        <f t="shared" si="9"/>
        <v>41.490623210866168</v>
      </c>
      <c r="D39" s="7">
        <f t="shared" si="10"/>
        <v>50.300926380909118</v>
      </c>
      <c r="E39" s="7">
        <f t="shared" si="11"/>
        <v>52.787182541625285</v>
      </c>
      <c r="F39" s="7">
        <f t="shared" si="12"/>
        <v>4.193871820638293</v>
      </c>
      <c r="G39" s="7">
        <f t="shared" si="13"/>
        <v>0</v>
      </c>
      <c r="H39" s="7">
        <f t="shared" si="14"/>
        <v>8.8103031700429497</v>
      </c>
      <c r="I39" s="8">
        <f>vals_co2_incLUC!$R39</f>
        <v>37.296751390227875</v>
      </c>
      <c r="J39" s="8">
        <f>vals_co2_incLUC!$X39</f>
        <v>41.490623210866168</v>
      </c>
      <c r="K39" s="8">
        <f>vals_co2_incLUC!$AD39</f>
        <v>37.303433123327331</v>
      </c>
      <c r="L39" s="8">
        <f>vals_co2_incLUC!$AJ39</f>
        <v>39.593577543404493</v>
      </c>
      <c r="M39" s="8">
        <f>vals_co2_incLUC!$S39</f>
        <v>50.300926380909118</v>
      </c>
      <c r="N39" s="8">
        <f>vals_co2_incLUC!$Y39</f>
        <v>52.787182541625285</v>
      </c>
      <c r="O39" s="8">
        <f>vals_co2_incLUC!$AE39</f>
        <v>50.309937715682871</v>
      </c>
      <c r="P39" s="8">
        <f>vals_co2_incLUC!$AK39</f>
        <v>51.348737246694554</v>
      </c>
      <c r="Q39" s="9">
        <f t="shared" si="15"/>
        <v>2.4862561607161666</v>
      </c>
      <c r="R39" s="9">
        <v>38.628999999999998</v>
      </c>
      <c r="S39" s="9">
        <v>51.566000000000003</v>
      </c>
    </row>
    <row r="40" spans="1:19" x14ac:dyDescent="0.35">
      <c r="A40" s="3">
        <f>vals_co2_incLUC!$A40</f>
        <v>1887</v>
      </c>
      <c r="B40" s="4">
        <f t="shared" si="8"/>
        <v>37.272375699923629</v>
      </c>
      <c r="C40" s="4">
        <f t="shared" si="9"/>
        <v>41.457792555070462</v>
      </c>
      <c r="D40" s="4">
        <f t="shared" si="10"/>
        <v>50.258995718180813</v>
      </c>
      <c r="E40" s="4">
        <f t="shared" si="11"/>
        <v>52.754543577118383</v>
      </c>
      <c r="F40" s="4">
        <f t="shared" si="12"/>
        <v>4.1854168551468334</v>
      </c>
      <c r="G40" s="4">
        <f t="shared" si="13"/>
        <v>0</v>
      </c>
      <c r="H40" s="4">
        <f t="shared" si="14"/>
        <v>8.8012031631103511</v>
      </c>
      <c r="I40" s="5">
        <f>vals_co2_incLUC!$R40</f>
        <v>37.272375699923629</v>
      </c>
      <c r="J40" s="5">
        <f>vals_co2_incLUC!$X40</f>
        <v>41.457792555070462</v>
      </c>
      <c r="K40" s="5">
        <f>vals_co2_incLUC!$AD40</f>
        <v>37.279066733061605</v>
      </c>
      <c r="L40" s="5">
        <f>vals_co2_incLUC!$AJ40</f>
        <v>39.563036613085487</v>
      </c>
      <c r="M40" s="5">
        <f>vals_co2_incLUC!$S40</f>
        <v>50.258995718180813</v>
      </c>
      <c r="N40" s="5">
        <f>vals_co2_incLUC!$Y40</f>
        <v>52.754543577118383</v>
      </c>
      <c r="O40" s="5">
        <f>vals_co2_incLUC!$AE40</f>
        <v>50.268017969777659</v>
      </c>
      <c r="P40" s="5">
        <f>vals_co2_incLUC!$AK40</f>
        <v>51.317042840700736</v>
      </c>
      <c r="Q40" s="9">
        <f t="shared" si="15"/>
        <v>2.4955478589375701</v>
      </c>
      <c r="R40" s="9">
        <v>38.603000000000002</v>
      </c>
      <c r="S40" s="9">
        <v>51.529000000000003</v>
      </c>
    </row>
    <row r="41" spans="1:19" x14ac:dyDescent="0.35">
      <c r="A41" s="6">
        <f>vals_co2_incLUC!$A41</f>
        <v>1888</v>
      </c>
      <c r="B41" s="7">
        <f t="shared" si="8"/>
        <v>37.246527134762111</v>
      </c>
      <c r="C41" s="7">
        <f t="shared" si="9"/>
        <v>41.424111052971455</v>
      </c>
      <c r="D41" s="7">
        <f t="shared" si="10"/>
        <v>50.216381656887265</v>
      </c>
      <c r="E41" s="7">
        <f t="shared" si="11"/>
        <v>52.721135440342394</v>
      </c>
      <c r="F41" s="7">
        <f t="shared" si="12"/>
        <v>4.1775839182093435</v>
      </c>
      <c r="G41" s="7">
        <f t="shared" si="13"/>
        <v>0</v>
      </c>
      <c r="H41" s="7">
        <f t="shared" si="14"/>
        <v>8.7922706039158101</v>
      </c>
      <c r="I41" s="8">
        <f>vals_co2_incLUC!$R41</f>
        <v>37.246527134762111</v>
      </c>
      <c r="J41" s="8">
        <f>vals_co2_incLUC!$X41</f>
        <v>41.424111052971455</v>
      </c>
      <c r="K41" s="8">
        <f>vals_co2_incLUC!$AD41</f>
        <v>37.253227511359512</v>
      </c>
      <c r="L41" s="8">
        <f>vals_co2_incLUC!$AJ41</f>
        <v>39.53058995914482</v>
      </c>
      <c r="M41" s="8">
        <f>vals_co2_incLUC!$S41</f>
        <v>50.216381656887265</v>
      </c>
      <c r="N41" s="8">
        <f>vals_co2_incLUC!$Y41</f>
        <v>52.721135440342394</v>
      </c>
      <c r="O41" s="8">
        <f>vals_co2_incLUC!$AE41</f>
        <v>50.225415111456407</v>
      </c>
      <c r="P41" s="8">
        <f>vals_co2_incLUC!$AK41</f>
        <v>51.28453700014839</v>
      </c>
      <c r="Q41" s="9">
        <f t="shared" si="15"/>
        <v>2.5047537834551292</v>
      </c>
      <c r="R41" s="9">
        <v>38.575000000000003</v>
      </c>
      <c r="S41" s="9">
        <v>51.491999999999997</v>
      </c>
    </row>
    <row r="42" spans="1:19" x14ac:dyDescent="0.35">
      <c r="A42" s="3">
        <f>vals_co2_incLUC!$A42</f>
        <v>1889</v>
      </c>
      <c r="B42" s="4">
        <f t="shared" si="8"/>
        <v>37.21851288130155</v>
      </c>
      <c r="C42" s="4">
        <f t="shared" si="9"/>
        <v>41.387817514390093</v>
      </c>
      <c r="D42" s="4">
        <f t="shared" si="10"/>
        <v>50.171251424635919</v>
      </c>
      <c r="E42" s="4">
        <f t="shared" si="11"/>
        <v>52.685335548264867</v>
      </c>
      <c r="F42" s="4">
        <f t="shared" si="12"/>
        <v>4.1693046330885437</v>
      </c>
      <c r="G42" s="4">
        <f t="shared" si="13"/>
        <v>0</v>
      </c>
      <c r="H42" s="4">
        <f t="shared" si="14"/>
        <v>8.7834339102458259</v>
      </c>
      <c r="I42" s="5">
        <f>vals_co2_incLUC!$R42</f>
        <v>37.21851288130155</v>
      </c>
      <c r="J42" s="5">
        <f>vals_co2_incLUC!$X42</f>
        <v>41.387817514390093</v>
      </c>
      <c r="K42" s="5">
        <f>vals_co2_incLUC!$AD42</f>
        <v>37.225222503525224</v>
      </c>
      <c r="L42" s="5">
        <f>vals_co2_incLUC!$AJ42</f>
        <v>39.495973854063706</v>
      </c>
      <c r="M42" s="5">
        <f>vals_co2_incLUC!$S42</f>
        <v>50.171251424635919</v>
      </c>
      <c r="N42" s="5">
        <f>vals_co2_incLUC!$Y42</f>
        <v>52.685335548264867</v>
      </c>
      <c r="O42" s="5">
        <f>vals_co2_incLUC!$AE42</f>
        <v>50.180296017141892</v>
      </c>
      <c r="P42" s="5">
        <f>vals_co2_incLUC!$AK42</f>
        <v>51.249801828723605</v>
      </c>
      <c r="Q42" s="9">
        <f t="shared" si="15"/>
        <v>2.5140841236289475</v>
      </c>
      <c r="R42" s="9">
        <v>38.545000000000002</v>
      </c>
      <c r="S42" s="9">
        <v>51.451999999999998</v>
      </c>
    </row>
    <row r="43" spans="1:19" x14ac:dyDescent="0.35">
      <c r="A43" s="6">
        <f>vals_co2_incLUC!$A43</f>
        <v>1890</v>
      </c>
      <c r="B43" s="7">
        <f t="shared" si="8"/>
        <v>37.192086887304662</v>
      </c>
      <c r="C43" s="7">
        <f t="shared" si="9"/>
        <v>41.352215775974827</v>
      </c>
      <c r="D43" s="7">
        <f t="shared" si="10"/>
        <v>50.12704251784168</v>
      </c>
      <c r="E43" s="7">
        <f t="shared" si="11"/>
        <v>52.649827111082203</v>
      </c>
      <c r="F43" s="7">
        <f t="shared" si="12"/>
        <v>4.1601288886701653</v>
      </c>
      <c r="G43" s="7">
        <f t="shared" si="13"/>
        <v>0</v>
      </c>
      <c r="H43" s="7">
        <f t="shared" si="14"/>
        <v>8.7748267418668533</v>
      </c>
      <c r="I43" s="8">
        <f>vals_co2_incLUC!$R43</f>
        <v>37.192086887304662</v>
      </c>
      <c r="J43" s="8">
        <f>vals_co2_incLUC!$X43</f>
        <v>41.352215775974827</v>
      </c>
      <c r="K43" s="8">
        <f>vals_co2_incLUC!$AD43</f>
        <v>37.198806177032566</v>
      </c>
      <c r="L43" s="8">
        <f>vals_co2_incLUC!$AJ43</f>
        <v>39.462772729512785</v>
      </c>
      <c r="M43" s="8">
        <f>vals_co2_incLUC!$S43</f>
        <v>50.12704251784168</v>
      </c>
      <c r="N43" s="8">
        <f>vals_co2_incLUC!$Y43</f>
        <v>52.649827111082203</v>
      </c>
      <c r="O43" s="8">
        <f>vals_co2_incLUC!$AE43</f>
        <v>50.13609859095326</v>
      </c>
      <c r="P43" s="8">
        <f>vals_co2_incLUC!$AK43</f>
        <v>51.215918189956277</v>
      </c>
      <c r="Q43" s="9">
        <f t="shared" si="15"/>
        <v>2.5227845932405231</v>
      </c>
      <c r="R43" s="9">
        <v>38.517000000000003</v>
      </c>
      <c r="S43" s="9">
        <v>51.412999999999997</v>
      </c>
    </row>
    <row r="44" spans="1:19" x14ac:dyDescent="0.35">
      <c r="A44" s="3">
        <f>vals_co2_incLUC!$A44</f>
        <v>1891</v>
      </c>
      <c r="B44" s="4">
        <f t="shared" si="8"/>
        <v>37.163960857838177</v>
      </c>
      <c r="C44" s="4">
        <f t="shared" si="9"/>
        <v>41.31424356897525</v>
      </c>
      <c r="D44" s="4">
        <f t="shared" si="10"/>
        <v>50.077898752684561</v>
      </c>
      <c r="E44" s="4">
        <f t="shared" si="11"/>
        <v>52.612114481424413</v>
      </c>
      <c r="F44" s="4">
        <f t="shared" si="12"/>
        <v>4.1502827111370735</v>
      </c>
      <c r="G44" s="4">
        <f t="shared" si="13"/>
        <v>0</v>
      </c>
      <c r="H44" s="4">
        <f t="shared" si="14"/>
        <v>8.7636551837093108</v>
      </c>
      <c r="I44" s="5">
        <f>vals_co2_incLUC!$R44</f>
        <v>37.163960857838177</v>
      </c>
      <c r="J44" s="5">
        <f>vals_co2_incLUC!$X44</f>
        <v>41.31424356897525</v>
      </c>
      <c r="K44" s="5">
        <f>vals_co2_incLUC!$AD44</f>
        <v>37.170690584040742</v>
      </c>
      <c r="L44" s="5">
        <f>vals_co2_incLUC!$AJ44</f>
        <v>39.427978061744547</v>
      </c>
      <c r="M44" s="5">
        <f>vals_co2_incLUC!$S44</f>
        <v>50.077898752684561</v>
      </c>
      <c r="N44" s="5">
        <f>vals_co2_incLUC!$Y44</f>
        <v>52.612114481424413</v>
      </c>
      <c r="O44" s="5">
        <f>vals_co2_incLUC!$AE44</f>
        <v>50.08696685719044</v>
      </c>
      <c r="P44" s="5">
        <f>vals_co2_incLUC!$AK44</f>
        <v>51.178354327552213</v>
      </c>
      <c r="Q44" s="9">
        <f t="shared" si="15"/>
        <v>2.5342157287398521</v>
      </c>
      <c r="R44" s="9">
        <v>38.487000000000002</v>
      </c>
      <c r="S44" s="9">
        <v>51.369</v>
      </c>
    </row>
    <row r="45" spans="1:19" x14ac:dyDescent="0.35">
      <c r="A45" s="6">
        <f>vals_co2_incLUC!$A45</f>
        <v>1892</v>
      </c>
      <c r="B45" s="7">
        <f t="shared" si="8"/>
        <v>37.134775097510406</v>
      </c>
      <c r="C45" s="7">
        <f t="shared" si="9"/>
        <v>41.27511517864744</v>
      </c>
      <c r="D45" s="7">
        <f t="shared" si="10"/>
        <v>50.027187478617066</v>
      </c>
      <c r="E45" s="7">
        <f t="shared" si="11"/>
        <v>52.573074045107504</v>
      </c>
      <c r="F45" s="7">
        <f t="shared" si="12"/>
        <v>4.1403400811370332</v>
      </c>
      <c r="G45" s="7">
        <f t="shared" si="13"/>
        <v>0</v>
      </c>
      <c r="H45" s="7">
        <f t="shared" si="14"/>
        <v>8.7520722999696261</v>
      </c>
      <c r="I45" s="8">
        <f>vals_co2_incLUC!$R45</f>
        <v>37.134775097510406</v>
      </c>
      <c r="J45" s="8">
        <f>vals_co2_incLUC!$X45</f>
        <v>41.27511517864744</v>
      </c>
      <c r="K45" s="8">
        <f>vals_co2_incLUC!$AD45</f>
        <v>37.141515487954919</v>
      </c>
      <c r="L45" s="8">
        <f>vals_co2_incLUC!$AJ45</f>
        <v>39.391312559033516</v>
      </c>
      <c r="M45" s="8">
        <f>vals_co2_incLUC!$S45</f>
        <v>50.027187478617066</v>
      </c>
      <c r="N45" s="8">
        <f>vals_co2_incLUC!$Y45</f>
        <v>52.573074045107504</v>
      </c>
      <c r="O45" s="8">
        <f>vals_co2_incLUC!$AE45</f>
        <v>50.036267886573128</v>
      </c>
      <c r="P45" s="8">
        <f>vals_co2_incLUC!$AK45</f>
        <v>51.138835463171247</v>
      </c>
      <c r="Q45" s="9">
        <f t="shared" si="15"/>
        <v>2.545886566490438</v>
      </c>
      <c r="R45" s="9">
        <v>38.456000000000003</v>
      </c>
      <c r="S45" s="9">
        <v>51.325000000000003</v>
      </c>
    </row>
    <row r="46" spans="1:19" x14ac:dyDescent="0.35">
      <c r="A46" s="3">
        <f>vals_co2_incLUC!$A46</f>
        <v>1893</v>
      </c>
      <c r="B46" s="4">
        <f t="shared" si="8"/>
        <v>37.105139909073635</v>
      </c>
      <c r="C46" s="4">
        <f t="shared" si="9"/>
        <v>41.234378856244142</v>
      </c>
      <c r="D46" s="4">
        <f t="shared" si="10"/>
        <v>49.9752816608232</v>
      </c>
      <c r="E46" s="4">
        <f t="shared" si="11"/>
        <v>52.532695189712278</v>
      </c>
      <c r="F46" s="4">
        <f t="shared" si="12"/>
        <v>4.1292389471705064</v>
      </c>
      <c r="G46" s="4">
        <f t="shared" si="13"/>
        <v>0</v>
      </c>
      <c r="H46" s="4">
        <f t="shared" si="14"/>
        <v>8.7409028045790578</v>
      </c>
      <c r="I46" s="5">
        <f>vals_co2_incLUC!$R46</f>
        <v>37.105139909073635</v>
      </c>
      <c r="J46" s="5">
        <f>vals_co2_incLUC!$X46</f>
        <v>41.234378856244142</v>
      </c>
      <c r="K46" s="5">
        <f>vals_co2_incLUC!$AD46</f>
        <v>37.111890889033958</v>
      </c>
      <c r="L46" s="5">
        <f>vals_co2_incLUC!$AJ46</f>
        <v>39.35403827423621</v>
      </c>
      <c r="M46" s="5">
        <f>vals_co2_incLUC!$S46</f>
        <v>49.9752816608232</v>
      </c>
      <c r="N46" s="5">
        <f>vals_co2_incLUC!$Y46</f>
        <v>52.532695189712278</v>
      </c>
      <c r="O46" s="5">
        <f>vals_co2_incLUC!$AE46</f>
        <v>49.984374154589624</v>
      </c>
      <c r="P46" s="5">
        <f>vals_co2_incLUC!$AK46</f>
        <v>51.09823907841983</v>
      </c>
      <c r="Q46" s="9">
        <f t="shared" si="15"/>
        <v>2.5574135288890787</v>
      </c>
      <c r="R46" s="9">
        <v>38.423999999999999</v>
      </c>
      <c r="S46" s="9">
        <v>51.279000000000003</v>
      </c>
    </row>
    <row r="47" spans="1:19" x14ac:dyDescent="0.35">
      <c r="A47" s="6">
        <f>vals_co2_incLUC!$A47</f>
        <v>1894</v>
      </c>
      <c r="B47" s="7">
        <f t="shared" si="8"/>
        <v>37.07515204854495</v>
      </c>
      <c r="C47" s="7">
        <f t="shared" si="9"/>
        <v>41.194431155492104</v>
      </c>
      <c r="D47" s="7">
        <f t="shared" si="10"/>
        <v>49.922832456855907</v>
      </c>
      <c r="E47" s="7">
        <f t="shared" si="11"/>
        <v>52.492586670608752</v>
      </c>
      <c r="F47" s="7">
        <f t="shared" si="12"/>
        <v>4.1192791069471539</v>
      </c>
      <c r="G47" s="7">
        <f t="shared" si="13"/>
        <v>0</v>
      </c>
      <c r="H47" s="7">
        <f t="shared" si="14"/>
        <v>8.7284013013638031</v>
      </c>
      <c r="I47" s="8">
        <f>vals_co2_incLUC!$R47</f>
        <v>37.07515204854495</v>
      </c>
      <c r="J47" s="8">
        <f>vals_co2_incLUC!$X47</f>
        <v>41.194431155492104</v>
      </c>
      <c r="K47" s="8">
        <f>vals_co2_incLUC!$AD47</f>
        <v>37.081913639880788</v>
      </c>
      <c r="L47" s="8">
        <f>vals_co2_incLUC!$AJ47</f>
        <v>39.316759947408805</v>
      </c>
      <c r="M47" s="8">
        <f>vals_co2_incLUC!$S47</f>
        <v>49.922832456855907</v>
      </c>
      <c r="N47" s="8">
        <f>vals_co2_incLUC!$Y47</f>
        <v>52.492586670608752</v>
      </c>
      <c r="O47" s="8">
        <f>vals_co2_incLUC!$AE47</f>
        <v>49.931937043044286</v>
      </c>
      <c r="P47" s="8">
        <f>vals_co2_incLUC!$AK47</f>
        <v>51.057830048704247</v>
      </c>
      <c r="Q47" s="9">
        <f t="shared" si="15"/>
        <v>2.5697542137528444</v>
      </c>
      <c r="R47" s="9">
        <v>38.393000000000001</v>
      </c>
      <c r="S47" s="9">
        <v>51.232999999999997</v>
      </c>
    </row>
    <row r="48" spans="1:19" x14ac:dyDescent="0.35">
      <c r="A48" s="3">
        <f>vals_co2_incLUC!$A48</f>
        <v>1895</v>
      </c>
      <c r="B48" s="4">
        <f t="shared" si="8"/>
        <v>37.04482801063476</v>
      </c>
      <c r="C48" s="4">
        <f t="shared" si="9"/>
        <v>41.15404639292251</v>
      </c>
      <c r="D48" s="4">
        <f t="shared" si="10"/>
        <v>49.868574868710667</v>
      </c>
      <c r="E48" s="4">
        <f t="shared" si="11"/>
        <v>52.452474817900786</v>
      </c>
      <c r="F48" s="4">
        <f t="shared" si="12"/>
        <v>4.1092183822877502</v>
      </c>
      <c r="G48" s="4">
        <f t="shared" si="13"/>
        <v>0</v>
      </c>
      <c r="H48" s="4">
        <f t="shared" si="14"/>
        <v>8.7145284757881569</v>
      </c>
      <c r="I48" s="5">
        <f>vals_co2_incLUC!$R48</f>
        <v>37.04482801063476</v>
      </c>
      <c r="J48" s="5">
        <f>vals_co2_incLUC!$X48</f>
        <v>41.15404639292251</v>
      </c>
      <c r="K48" s="5">
        <f>vals_co2_incLUC!$AD48</f>
        <v>37.051600545268478</v>
      </c>
      <c r="L48" s="5">
        <f>vals_co2_incLUC!$AJ48</f>
        <v>39.278996530935444</v>
      </c>
      <c r="M48" s="5">
        <f>vals_co2_incLUC!$S48</f>
        <v>49.868574868710667</v>
      </c>
      <c r="N48" s="5">
        <f>vals_co2_incLUC!$Y48</f>
        <v>52.452474817900786</v>
      </c>
      <c r="O48" s="5">
        <f>vals_co2_incLUC!$AE48</f>
        <v>49.877691735820875</v>
      </c>
      <c r="P48" s="5">
        <f>vals_co2_incLUC!$AK48</f>
        <v>51.015488587265935</v>
      </c>
      <c r="Q48" s="9">
        <f t="shared" si="15"/>
        <v>2.5838999491901191</v>
      </c>
      <c r="R48" s="9">
        <v>38.360999999999997</v>
      </c>
      <c r="S48" s="9">
        <v>51.185000000000002</v>
      </c>
    </row>
    <row r="49" spans="1:19" x14ac:dyDescent="0.35">
      <c r="A49" s="6">
        <f>vals_co2_incLUC!$A49</f>
        <v>1896</v>
      </c>
      <c r="B49" s="7">
        <f t="shared" si="8"/>
        <v>37.012613406109331</v>
      </c>
      <c r="C49" s="7">
        <f t="shared" si="9"/>
        <v>41.11170427322957</v>
      </c>
      <c r="D49" s="7">
        <f t="shared" si="10"/>
        <v>49.813107768419414</v>
      </c>
      <c r="E49" s="7">
        <f t="shared" si="11"/>
        <v>52.410431266087876</v>
      </c>
      <c r="F49" s="7">
        <f t="shared" si="12"/>
        <v>4.0990908671202391</v>
      </c>
      <c r="G49" s="7">
        <f t="shared" si="13"/>
        <v>0</v>
      </c>
      <c r="H49" s="7">
        <f t="shared" si="14"/>
        <v>8.7014034951898438</v>
      </c>
      <c r="I49" s="8">
        <f>vals_co2_incLUC!$R49</f>
        <v>37.012613406109331</v>
      </c>
      <c r="J49" s="8">
        <f>vals_co2_incLUC!$X49</f>
        <v>41.11170427322957</v>
      </c>
      <c r="K49" s="8">
        <f>vals_co2_incLUC!$AD49</f>
        <v>37.019396773508873</v>
      </c>
      <c r="L49" s="8">
        <f>vals_co2_incLUC!$AJ49</f>
        <v>39.239226048566451</v>
      </c>
      <c r="M49" s="8">
        <f>vals_co2_incLUC!$S49</f>
        <v>49.813107768419414</v>
      </c>
      <c r="N49" s="8">
        <f>vals_co2_incLUC!$Y49</f>
        <v>52.410431266087876</v>
      </c>
      <c r="O49" s="8">
        <f>vals_co2_incLUC!$AE49</f>
        <v>49.82223700035788</v>
      </c>
      <c r="P49" s="8">
        <f>vals_co2_incLUC!$AK49</f>
        <v>50.972135852095654</v>
      </c>
      <c r="Q49" s="9">
        <f t="shared" si="15"/>
        <v>2.5973234976684623</v>
      </c>
      <c r="R49" s="9">
        <v>38.326999999999998</v>
      </c>
      <c r="S49" s="9">
        <v>51.137</v>
      </c>
    </row>
    <row r="50" spans="1:19" x14ac:dyDescent="0.35">
      <c r="A50" s="3">
        <f>vals_co2_incLUC!$A50</f>
        <v>1897</v>
      </c>
      <c r="B50" s="4">
        <f t="shared" si="8"/>
        <v>36.97887247350031</v>
      </c>
      <c r="C50" s="4">
        <f t="shared" si="9"/>
        <v>41.068315565240795</v>
      </c>
      <c r="D50" s="4">
        <f t="shared" si="10"/>
        <v>49.756010432757648</v>
      </c>
      <c r="E50" s="4">
        <f t="shared" si="11"/>
        <v>52.367309560789074</v>
      </c>
      <c r="F50" s="4">
        <f t="shared" si="12"/>
        <v>4.0894430917404847</v>
      </c>
      <c r="G50" s="4">
        <f t="shared" si="13"/>
        <v>0</v>
      </c>
      <c r="H50" s="4">
        <f t="shared" si="14"/>
        <v>8.6876948675168535</v>
      </c>
      <c r="I50" s="5">
        <f>vals_co2_incLUC!$R50</f>
        <v>36.97887247350031</v>
      </c>
      <c r="J50" s="5">
        <f>vals_co2_incLUC!$X50</f>
        <v>41.068315565240795</v>
      </c>
      <c r="K50" s="5">
        <f>vals_co2_incLUC!$AD50</f>
        <v>36.985666538632387</v>
      </c>
      <c r="L50" s="5">
        <f>vals_co2_incLUC!$AJ50</f>
        <v>39.198071177600809</v>
      </c>
      <c r="M50" s="5">
        <f>vals_co2_incLUC!$S50</f>
        <v>49.756010432757648</v>
      </c>
      <c r="N50" s="5">
        <f>vals_co2_incLUC!$Y50</f>
        <v>52.367309560789074</v>
      </c>
      <c r="O50" s="5">
        <f>vals_co2_incLUC!$AE50</f>
        <v>49.765151965770613</v>
      </c>
      <c r="P50" s="5">
        <f>vals_co2_incLUC!$AK50</f>
        <v>50.927600831538889</v>
      </c>
      <c r="Q50" s="9">
        <f t="shared" si="15"/>
        <v>2.6112991280314262</v>
      </c>
      <c r="R50" s="9">
        <v>38.292000000000002</v>
      </c>
      <c r="S50" s="9">
        <v>51.087000000000003</v>
      </c>
    </row>
    <row r="51" spans="1:19" x14ac:dyDescent="0.35">
      <c r="A51" s="6">
        <f>vals_co2_incLUC!$A51</f>
        <v>1898</v>
      </c>
      <c r="B51" s="7">
        <f t="shared" si="8"/>
        <v>36.944055033391699</v>
      </c>
      <c r="C51" s="7">
        <f t="shared" si="9"/>
        <v>41.023281623816452</v>
      </c>
      <c r="D51" s="7">
        <f t="shared" si="10"/>
        <v>49.697265029038789</v>
      </c>
      <c r="E51" s="7">
        <f t="shared" si="11"/>
        <v>52.322440552459085</v>
      </c>
      <c r="F51" s="7">
        <f t="shared" si="12"/>
        <v>4.0792265904247529</v>
      </c>
      <c r="G51" s="7">
        <f t="shared" si="13"/>
        <v>0</v>
      </c>
      <c r="H51" s="7">
        <f t="shared" si="14"/>
        <v>8.6739834052223372</v>
      </c>
      <c r="I51" s="8">
        <f>vals_co2_incLUC!$R51</f>
        <v>36.944055033391699</v>
      </c>
      <c r="J51" s="8">
        <f>vals_co2_incLUC!$X51</f>
        <v>41.023281623816452</v>
      </c>
      <c r="K51" s="8">
        <f>vals_co2_incLUC!$AD51</f>
        <v>36.950860081913419</v>
      </c>
      <c r="L51" s="8">
        <f>vals_co2_incLUC!$AJ51</f>
        <v>39.155765953962998</v>
      </c>
      <c r="M51" s="8">
        <f>vals_co2_incLUC!$S51</f>
        <v>49.697265029038789</v>
      </c>
      <c r="N51" s="8">
        <f>vals_co2_incLUC!$Y51</f>
        <v>52.322440552459085</v>
      </c>
      <c r="O51" s="8">
        <f>vals_co2_incLUC!$AE51</f>
        <v>49.706419148895684</v>
      </c>
      <c r="P51" s="8">
        <f>vals_co2_incLUC!$AK51</f>
        <v>50.881444629940056</v>
      </c>
      <c r="Q51" s="9">
        <f t="shared" si="15"/>
        <v>2.625175523420296</v>
      </c>
      <c r="R51" s="9">
        <v>38.256</v>
      </c>
      <c r="S51" s="9">
        <v>51.034999999999997</v>
      </c>
    </row>
    <row r="52" spans="1:19" x14ac:dyDescent="0.35">
      <c r="A52" s="3">
        <f>vals_co2_incLUC!$A52</f>
        <v>1899</v>
      </c>
      <c r="B52" s="4">
        <f t="shared" si="8"/>
        <v>36.907003826111954</v>
      </c>
      <c r="C52" s="4">
        <f t="shared" si="9"/>
        <v>40.976537618294337</v>
      </c>
      <c r="D52" s="4">
        <f t="shared" si="10"/>
        <v>49.635511822177683</v>
      </c>
      <c r="E52" s="4">
        <f t="shared" si="11"/>
        <v>52.275713044607862</v>
      </c>
      <c r="F52" s="4">
        <f t="shared" si="12"/>
        <v>4.0695337921823835</v>
      </c>
      <c r="G52" s="4">
        <f t="shared" si="13"/>
        <v>0</v>
      </c>
      <c r="H52" s="4">
        <f t="shared" si="14"/>
        <v>8.6589742038833464</v>
      </c>
      <c r="I52" s="5">
        <f>vals_co2_incLUC!$R52</f>
        <v>36.907003826111954</v>
      </c>
      <c r="J52" s="5">
        <f>vals_co2_incLUC!$X52</f>
        <v>40.976537618294337</v>
      </c>
      <c r="K52" s="5">
        <f>vals_co2_incLUC!$AD52</f>
        <v>36.913819761077619</v>
      </c>
      <c r="L52" s="5">
        <f>vals_co2_incLUC!$AJ52</f>
        <v>39.111512921624467</v>
      </c>
      <c r="M52" s="5">
        <f>vals_co2_incLUC!$S52</f>
        <v>49.635511822177683</v>
      </c>
      <c r="N52" s="5">
        <f>vals_co2_incLUC!$Y52</f>
        <v>52.275713044607862</v>
      </c>
      <c r="O52" s="5">
        <f>vals_co2_incLUC!$AE52</f>
        <v>49.644678386605761</v>
      </c>
      <c r="P52" s="5">
        <f>vals_co2_incLUC!$AK52</f>
        <v>50.832802647699914</v>
      </c>
      <c r="Q52" s="9">
        <f t="shared" si="15"/>
        <v>2.6402012224301785</v>
      </c>
      <c r="R52" s="9">
        <v>38.218000000000004</v>
      </c>
      <c r="S52" s="9">
        <v>50.98</v>
      </c>
    </row>
    <row r="53" spans="1:19" x14ac:dyDescent="0.35">
      <c r="A53" s="6">
        <f>vals_co2_incLUC!$A53</f>
        <v>1900</v>
      </c>
      <c r="B53" s="7">
        <f t="shared" si="8"/>
        <v>36.866124010665317</v>
      </c>
      <c r="C53" s="7">
        <f t="shared" si="9"/>
        <v>40.925786061736098</v>
      </c>
      <c r="D53" s="7">
        <f t="shared" si="10"/>
        <v>49.570352878387801</v>
      </c>
      <c r="E53" s="7">
        <f t="shared" si="11"/>
        <v>52.225305879934133</v>
      </c>
      <c r="F53" s="7">
        <f t="shared" si="12"/>
        <v>4.0596620510707808</v>
      </c>
      <c r="G53" s="7">
        <f t="shared" si="13"/>
        <v>0</v>
      </c>
      <c r="H53" s="7">
        <f t="shared" si="14"/>
        <v>8.6445668166517038</v>
      </c>
      <c r="I53" s="8">
        <f>vals_co2_incLUC!$R53</f>
        <v>36.866124010665317</v>
      </c>
      <c r="J53" s="8">
        <f>vals_co2_incLUC!$X53</f>
        <v>40.925786061736098</v>
      </c>
      <c r="K53" s="8">
        <f>vals_co2_incLUC!$AD53</f>
        <v>36.872950687281943</v>
      </c>
      <c r="L53" s="8">
        <f>vals_co2_incLUC!$AJ53</f>
        <v>39.063431099241377</v>
      </c>
      <c r="M53" s="8">
        <f>vals_co2_incLUC!$S53</f>
        <v>49.570352878387801</v>
      </c>
      <c r="N53" s="8">
        <f>vals_co2_incLUC!$Y53</f>
        <v>52.225305879934133</v>
      </c>
      <c r="O53" s="8">
        <f>vals_co2_incLUC!$AE53</f>
        <v>49.579531965543559</v>
      </c>
      <c r="P53" s="8">
        <f>vals_co2_incLUC!$AK53</f>
        <v>50.780976042616253</v>
      </c>
      <c r="Q53" s="9">
        <f t="shared" si="15"/>
        <v>2.6549530015463318</v>
      </c>
      <c r="R53" s="9">
        <v>38.176000000000002</v>
      </c>
      <c r="S53" s="9">
        <v>50.923000000000002</v>
      </c>
    </row>
    <row r="54" spans="1:19" x14ac:dyDescent="0.35">
      <c r="A54" s="3">
        <f>vals_co2_incLUC!$A54</f>
        <v>1901</v>
      </c>
      <c r="B54" s="4">
        <f t="shared" si="8"/>
        <v>36.824781548652304</v>
      </c>
      <c r="C54" s="4">
        <f t="shared" si="9"/>
        <v>40.872453042338591</v>
      </c>
      <c r="D54" s="4">
        <f t="shared" si="10"/>
        <v>49.502227673638025</v>
      </c>
      <c r="E54" s="4">
        <f t="shared" si="11"/>
        <v>52.172377756593811</v>
      </c>
      <c r="F54" s="4">
        <f t="shared" si="12"/>
        <v>4.0476714936862876</v>
      </c>
      <c r="G54" s="4">
        <f t="shared" si="13"/>
        <v>0</v>
      </c>
      <c r="H54" s="4">
        <f t="shared" si="14"/>
        <v>8.6297746312994335</v>
      </c>
      <c r="I54" s="5">
        <f>vals_co2_incLUC!$R54</f>
        <v>36.824781548652304</v>
      </c>
      <c r="J54" s="5">
        <f>vals_co2_incLUC!$X54</f>
        <v>40.872453042338591</v>
      </c>
      <c r="K54" s="5">
        <f>vals_co2_incLUC!$AD54</f>
        <v>36.831619458630406</v>
      </c>
      <c r="L54" s="5">
        <f>vals_co2_incLUC!$AJ54</f>
        <v>39.012638623261111</v>
      </c>
      <c r="M54" s="5">
        <f>vals_co2_incLUC!$S54</f>
        <v>49.502227673638025</v>
      </c>
      <c r="N54" s="5">
        <f>vals_co2_incLUC!$Y54</f>
        <v>52.172377756593811</v>
      </c>
      <c r="O54" s="5">
        <f>vals_co2_incLUC!$AE54</f>
        <v>49.511419537285164</v>
      </c>
      <c r="P54" s="5">
        <f>vals_co2_incLUC!$AK54</f>
        <v>50.727485018132477</v>
      </c>
      <c r="Q54" s="9">
        <f t="shared" si="15"/>
        <v>2.6701500829557858</v>
      </c>
      <c r="R54" s="9">
        <v>38.133000000000003</v>
      </c>
      <c r="S54" s="9">
        <v>50.863</v>
      </c>
    </row>
    <row r="55" spans="1:19" x14ac:dyDescent="0.35">
      <c r="A55" s="6">
        <f>vals_co2_incLUC!$A55</f>
        <v>1902</v>
      </c>
      <c r="B55" s="7">
        <f t="shared" si="8"/>
        <v>36.785465080596481</v>
      </c>
      <c r="C55" s="7">
        <f t="shared" si="9"/>
        <v>40.822560161133083</v>
      </c>
      <c r="D55" s="7">
        <f t="shared" si="10"/>
        <v>49.433542218358077</v>
      </c>
      <c r="E55" s="7">
        <f t="shared" si="11"/>
        <v>52.123825725693109</v>
      </c>
      <c r="F55" s="7">
        <f t="shared" si="12"/>
        <v>4.0370950805366022</v>
      </c>
      <c r="G55" s="7">
        <f t="shared" si="13"/>
        <v>0</v>
      </c>
      <c r="H55" s="7">
        <f t="shared" si="14"/>
        <v>8.6109820572249944</v>
      </c>
      <c r="I55" s="8">
        <f>vals_co2_incLUC!$R55</f>
        <v>36.785465080596481</v>
      </c>
      <c r="J55" s="8">
        <f>vals_co2_incLUC!$X55</f>
        <v>40.822560161133083</v>
      </c>
      <c r="K55" s="8">
        <f>vals_co2_incLUC!$AD55</f>
        <v>36.792315290467307</v>
      </c>
      <c r="L55" s="8">
        <f>vals_co2_incLUC!$AJ55</f>
        <v>38.963298342426228</v>
      </c>
      <c r="M55" s="8">
        <f>vals_co2_incLUC!$S55</f>
        <v>49.433542218358077</v>
      </c>
      <c r="N55" s="8">
        <f>vals_co2_incLUC!$Y55</f>
        <v>52.123825725693109</v>
      </c>
      <c r="O55" s="8">
        <f>vals_co2_incLUC!$AE55</f>
        <v>49.442747706077846</v>
      </c>
      <c r="P55" s="8">
        <f>vals_co2_incLUC!$AK55</f>
        <v>50.674444489787838</v>
      </c>
      <c r="Q55" s="9">
        <f t="shared" si="15"/>
        <v>2.6902835073350317</v>
      </c>
      <c r="R55" s="9">
        <v>38.091999999999999</v>
      </c>
      <c r="S55" s="9">
        <v>50.802</v>
      </c>
    </row>
    <row r="56" spans="1:19" x14ac:dyDescent="0.35">
      <c r="A56" s="3">
        <f>vals_co2_incLUC!$A56</f>
        <v>1903</v>
      </c>
      <c r="B56" s="4">
        <f t="shared" si="8"/>
        <v>36.74526463946107</v>
      </c>
      <c r="C56" s="4">
        <f t="shared" si="9"/>
        <v>40.776855885007876</v>
      </c>
      <c r="D56" s="4">
        <f t="shared" si="10"/>
        <v>49.363489459738389</v>
      </c>
      <c r="E56" s="4">
        <f t="shared" si="11"/>
        <v>52.079916870924492</v>
      </c>
      <c r="F56" s="4">
        <f t="shared" si="12"/>
        <v>4.0315912455468066</v>
      </c>
      <c r="G56" s="4">
        <f t="shared" si="13"/>
        <v>0</v>
      </c>
      <c r="H56" s="4">
        <f t="shared" si="14"/>
        <v>8.5866335747305129</v>
      </c>
      <c r="I56" s="5">
        <f>vals_co2_incLUC!$R56</f>
        <v>36.74526463946107</v>
      </c>
      <c r="J56" s="5">
        <f>vals_co2_incLUC!$X56</f>
        <v>40.776855885007876</v>
      </c>
      <c r="K56" s="5">
        <f>vals_co2_incLUC!$AD56</f>
        <v>36.752127400877711</v>
      </c>
      <c r="L56" s="5">
        <f>vals_co2_incLUC!$AJ56</f>
        <v>38.912694711843692</v>
      </c>
      <c r="M56" s="5">
        <f>vals_co2_incLUC!$S56</f>
        <v>49.363489459738389</v>
      </c>
      <c r="N56" s="5">
        <f>vals_co2_incLUC!$Y56</f>
        <v>52.079916870924492</v>
      </c>
      <c r="O56" s="5">
        <f>vals_co2_incLUC!$AE56</f>
        <v>49.372708859338829</v>
      </c>
      <c r="P56" s="5">
        <f>vals_co2_incLUC!$AK56</f>
        <v>50.620739970179848</v>
      </c>
      <c r="Q56" s="9">
        <f t="shared" si="15"/>
        <v>2.7164274111861033</v>
      </c>
      <c r="R56" s="9">
        <v>38.048999999999999</v>
      </c>
      <c r="S56" s="9">
        <v>50.741</v>
      </c>
    </row>
    <row r="57" spans="1:19" x14ac:dyDescent="0.35">
      <c r="A57" s="6">
        <f>vals_co2_incLUC!$A57</f>
        <v>1904</v>
      </c>
      <c r="B57" s="7">
        <f t="shared" si="8"/>
        <v>36.701686283483099</v>
      </c>
      <c r="C57" s="7">
        <f t="shared" si="9"/>
        <v>40.728775049310187</v>
      </c>
      <c r="D57" s="7">
        <f t="shared" si="10"/>
        <v>49.288730654651999</v>
      </c>
      <c r="E57" s="7">
        <f t="shared" si="11"/>
        <v>52.035040252675515</v>
      </c>
      <c r="F57" s="7">
        <f t="shared" si="12"/>
        <v>4.027088765827088</v>
      </c>
      <c r="G57" s="7">
        <f t="shared" si="13"/>
        <v>0</v>
      </c>
      <c r="H57" s="7">
        <f t="shared" si="14"/>
        <v>8.5599556053418127</v>
      </c>
      <c r="I57" s="8">
        <f>vals_co2_incLUC!$R57</f>
        <v>36.701686283483099</v>
      </c>
      <c r="J57" s="8">
        <f>vals_co2_incLUC!$X57</f>
        <v>40.728775049310187</v>
      </c>
      <c r="K57" s="8">
        <f>vals_co2_incLUC!$AD57</f>
        <v>36.70856170428268</v>
      </c>
      <c r="L57" s="8">
        <f>vals_co2_incLUC!$AJ57</f>
        <v>38.858668835264233</v>
      </c>
      <c r="M57" s="8">
        <f>vals_co2_incLUC!$S57</f>
        <v>49.288730654651999</v>
      </c>
      <c r="N57" s="8">
        <f>vals_co2_incLUC!$Y57</f>
        <v>52.035040252675515</v>
      </c>
      <c r="O57" s="8">
        <f>vals_co2_incLUC!$AE57</f>
        <v>49.29796402316618</v>
      </c>
      <c r="P57" s="8">
        <f>vals_co2_incLUC!$AK57</f>
        <v>50.564008420474991</v>
      </c>
      <c r="Q57" s="9">
        <f t="shared" si="15"/>
        <v>2.7463095980235153</v>
      </c>
      <c r="R57" s="9">
        <v>38.003</v>
      </c>
      <c r="S57" s="9">
        <v>50.674999999999997</v>
      </c>
    </row>
    <row r="58" spans="1:19" x14ac:dyDescent="0.35">
      <c r="A58" s="3">
        <f>vals_co2_incLUC!$A58</f>
        <v>1905</v>
      </c>
      <c r="B58" s="4">
        <f t="shared" si="8"/>
        <v>36.658015654676504</v>
      </c>
      <c r="C58" s="4">
        <f t="shared" si="9"/>
        <v>40.683515447412667</v>
      </c>
      <c r="D58" s="4">
        <f t="shared" si="10"/>
        <v>49.212469328520733</v>
      </c>
      <c r="E58" s="4">
        <f t="shared" si="11"/>
        <v>51.993127451144751</v>
      </c>
      <c r="F58" s="4">
        <f t="shared" si="12"/>
        <v>4.0254997927361629</v>
      </c>
      <c r="G58" s="4">
        <f t="shared" si="13"/>
        <v>0</v>
      </c>
      <c r="H58" s="4">
        <f t="shared" si="14"/>
        <v>8.5289538811080661</v>
      </c>
      <c r="I58" s="5">
        <f>vals_co2_incLUC!$R58</f>
        <v>36.658015654676504</v>
      </c>
      <c r="J58" s="5">
        <f>vals_co2_incLUC!$X58</f>
        <v>40.683515447412667</v>
      </c>
      <c r="K58" s="5">
        <f>vals_co2_incLUC!$AD58</f>
        <v>36.664904177215632</v>
      </c>
      <c r="L58" s="5">
        <f>vals_co2_incLUC!$AJ58</f>
        <v>38.805231698793641</v>
      </c>
      <c r="M58" s="5">
        <f>vals_co2_incLUC!$S58</f>
        <v>49.212469328520733</v>
      </c>
      <c r="N58" s="5">
        <f>vals_co2_incLUC!$Y58</f>
        <v>51.993127451144751</v>
      </c>
      <c r="O58" s="5">
        <f>vals_co2_incLUC!$AE58</f>
        <v>49.221716982340631</v>
      </c>
      <c r="P58" s="5">
        <f>vals_co2_incLUC!$AK58</f>
        <v>50.507844101112084</v>
      </c>
      <c r="Q58" s="9">
        <f t="shared" si="15"/>
        <v>2.7806581226240183</v>
      </c>
      <c r="R58" s="9">
        <v>37.957000000000001</v>
      </c>
      <c r="S58" s="9">
        <v>50.607999999999997</v>
      </c>
    </row>
    <row r="59" spans="1:19" x14ac:dyDescent="0.35">
      <c r="A59" s="6">
        <f>vals_co2_incLUC!$A59</f>
        <v>1906</v>
      </c>
      <c r="B59" s="7">
        <f t="shared" si="8"/>
        <v>36.611269830803487</v>
      </c>
      <c r="C59" s="7">
        <f t="shared" si="9"/>
        <v>40.636629991540644</v>
      </c>
      <c r="D59" s="7">
        <f t="shared" si="10"/>
        <v>49.131625880804528</v>
      </c>
      <c r="E59" s="7">
        <f t="shared" si="11"/>
        <v>51.95091221039155</v>
      </c>
      <c r="F59" s="7">
        <f t="shared" si="12"/>
        <v>4.0253601607371579</v>
      </c>
      <c r="G59" s="7">
        <f t="shared" si="13"/>
        <v>0</v>
      </c>
      <c r="H59" s="7">
        <f t="shared" si="14"/>
        <v>8.4949958892638833</v>
      </c>
      <c r="I59" s="8">
        <f>vals_co2_incLUC!$R59</f>
        <v>36.611269830803487</v>
      </c>
      <c r="J59" s="8">
        <f>vals_co2_incLUC!$X59</f>
        <v>40.636629991540644</v>
      </c>
      <c r="K59" s="8">
        <f>vals_co2_incLUC!$AD59</f>
        <v>36.618171470837154</v>
      </c>
      <c r="L59" s="8">
        <f>vals_co2_incLUC!$AJ59</f>
        <v>38.748019964855537</v>
      </c>
      <c r="M59" s="8">
        <f>vals_co2_incLUC!$S59</f>
        <v>49.131625880804528</v>
      </c>
      <c r="N59" s="8">
        <f>vals_co2_incLUC!$Y59</f>
        <v>51.95091221039155</v>
      </c>
      <c r="O59" s="8">
        <f>vals_co2_incLUC!$AE59</f>
        <v>49.140887734759424</v>
      </c>
      <c r="P59" s="8">
        <f>vals_co2_incLUC!$AK59</f>
        <v>50.447368521949301</v>
      </c>
      <c r="Q59" s="9">
        <f t="shared" si="15"/>
        <v>2.8192863295870225</v>
      </c>
      <c r="R59" s="9">
        <v>37.908000000000001</v>
      </c>
      <c r="S59" s="9">
        <v>50.536999999999999</v>
      </c>
    </row>
    <row r="60" spans="1:19" x14ac:dyDescent="0.35">
      <c r="A60" s="3">
        <f>vals_co2_incLUC!$A60</f>
        <v>1907</v>
      </c>
      <c r="B60" s="4">
        <f t="shared" si="8"/>
        <v>36.563800034997954</v>
      </c>
      <c r="C60" s="4">
        <f t="shared" si="9"/>
        <v>40.590799837179006</v>
      </c>
      <c r="D60" s="4">
        <f t="shared" si="10"/>
        <v>49.048938124136434</v>
      </c>
      <c r="E60" s="4">
        <f t="shared" si="11"/>
        <v>51.910207928278574</v>
      </c>
      <c r="F60" s="4">
        <f t="shared" si="12"/>
        <v>4.0269998021810522</v>
      </c>
      <c r="G60" s="4">
        <f t="shared" si="13"/>
        <v>0</v>
      </c>
      <c r="H60" s="4">
        <f t="shared" si="14"/>
        <v>8.4581382869574284</v>
      </c>
      <c r="I60" s="5">
        <f>vals_co2_incLUC!$R60</f>
        <v>36.563800034997954</v>
      </c>
      <c r="J60" s="5">
        <f>vals_co2_incLUC!$X60</f>
        <v>40.590799837179006</v>
      </c>
      <c r="K60" s="5">
        <f>vals_co2_incLUC!$AD60</f>
        <v>36.570715234316587</v>
      </c>
      <c r="L60" s="5">
        <f>vals_co2_incLUC!$AJ60</f>
        <v>38.690027815982802</v>
      </c>
      <c r="M60" s="5">
        <f>vals_co2_incLUC!$S60</f>
        <v>49.048938124136434</v>
      </c>
      <c r="N60" s="5">
        <f>vals_co2_incLUC!$Y60</f>
        <v>51.910207928278574</v>
      </c>
      <c r="O60" s="5">
        <f>vals_co2_incLUC!$AE60</f>
        <v>49.058214584062377</v>
      </c>
      <c r="P60" s="5">
        <f>vals_co2_incLUC!$AK60</f>
        <v>50.386119681565454</v>
      </c>
      <c r="Q60" s="9">
        <f t="shared" si="15"/>
        <v>2.8612698041421396</v>
      </c>
      <c r="R60" s="9">
        <v>37.857999999999997</v>
      </c>
      <c r="S60" s="9">
        <v>50.465000000000003</v>
      </c>
    </row>
    <row r="61" spans="1:19" x14ac:dyDescent="0.35">
      <c r="A61" s="6">
        <f>vals_co2_incLUC!$A61</f>
        <v>1908</v>
      </c>
      <c r="B61" s="7">
        <f t="shared" si="8"/>
        <v>36.50881531632966</v>
      </c>
      <c r="C61" s="7">
        <f t="shared" si="9"/>
        <v>40.537266494211806</v>
      </c>
      <c r="D61" s="7">
        <f t="shared" si="10"/>
        <v>48.957918842055228</v>
      </c>
      <c r="E61" s="7">
        <f t="shared" si="11"/>
        <v>51.862838929427127</v>
      </c>
      <c r="F61" s="7">
        <f t="shared" si="12"/>
        <v>4.0284511778821468</v>
      </c>
      <c r="G61" s="7">
        <f t="shared" si="13"/>
        <v>0</v>
      </c>
      <c r="H61" s="7">
        <f t="shared" si="14"/>
        <v>8.4206523478434221</v>
      </c>
      <c r="I61" s="8">
        <f>vals_co2_incLUC!$R61</f>
        <v>36.50881531632966</v>
      </c>
      <c r="J61" s="8">
        <f>vals_co2_incLUC!$X61</f>
        <v>40.537266494211806</v>
      </c>
      <c r="K61" s="8">
        <f>vals_co2_incLUC!$AD61</f>
        <v>36.51574373429478</v>
      </c>
      <c r="L61" s="8">
        <f>vals_co2_incLUC!$AJ61</f>
        <v>38.624560548956978</v>
      </c>
      <c r="M61" s="8">
        <f>vals_co2_incLUC!$S61</f>
        <v>48.957918842055228</v>
      </c>
      <c r="N61" s="8">
        <f>vals_co2_incLUC!$Y61</f>
        <v>51.862838929427127</v>
      </c>
      <c r="O61" s="8">
        <f>vals_co2_incLUC!$AE61</f>
        <v>48.967209758987011</v>
      </c>
      <c r="P61" s="8">
        <f>vals_co2_incLUC!$AK61</f>
        <v>50.317312443333883</v>
      </c>
      <c r="Q61" s="9">
        <f t="shared" si="15"/>
        <v>2.9049200873718988</v>
      </c>
      <c r="R61" s="9">
        <v>37.799999999999997</v>
      </c>
      <c r="S61" s="9">
        <v>50.384</v>
      </c>
    </row>
    <row r="62" spans="1:19" x14ac:dyDescent="0.35">
      <c r="A62" s="3">
        <f>vals_co2_incLUC!$A62</f>
        <v>1909</v>
      </c>
      <c r="B62" s="4">
        <f t="shared" si="8"/>
        <v>36.457143186589988</v>
      </c>
      <c r="C62" s="4">
        <f t="shared" si="9"/>
        <v>40.488667643321222</v>
      </c>
      <c r="D62" s="4">
        <f t="shared" si="10"/>
        <v>48.867964632915438</v>
      </c>
      <c r="E62" s="4">
        <f t="shared" si="11"/>
        <v>51.819599673294412</v>
      </c>
      <c r="F62" s="4">
        <f t="shared" si="12"/>
        <v>4.0315244567312334</v>
      </c>
      <c r="G62" s="4">
        <f t="shared" si="13"/>
        <v>0</v>
      </c>
      <c r="H62" s="4">
        <f t="shared" si="14"/>
        <v>8.3792969895942164</v>
      </c>
      <c r="I62" s="5">
        <f>vals_co2_incLUC!$R62</f>
        <v>36.457143186589988</v>
      </c>
      <c r="J62" s="5">
        <f>vals_co2_incLUC!$X62</f>
        <v>40.488667643321222</v>
      </c>
      <c r="K62" s="5">
        <f>vals_co2_incLUC!$AD62</f>
        <v>36.464085353471795</v>
      </c>
      <c r="L62" s="5">
        <f>vals_co2_incLUC!$AJ62</f>
        <v>38.563215557307288</v>
      </c>
      <c r="M62" s="5">
        <f>vals_co2_incLUC!$S62</f>
        <v>48.867964632915438</v>
      </c>
      <c r="N62" s="5">
        <f>vals_co2_incLUC!$Y62</f>
        <v>51.819599673294412</v>
      </c>
      <c r="O62" s="5">
        <f>vals_co2_incLUC!$AE62</f>
        <v>48.877270052554451</v>
      </c>
      <c r="P62" s="5">
        <f>vals_co2_incLUC!$AK62</f>
        <v>50.25138831263699</v>
      </c>
      <c r="Q62" s="9">
        <f t="shared" si="15"/>
        <v>2.9516350403789744</v>
      </c>
      <c r="R62" s="9">
        <v>37.746000000000002</v>
      </c>
      <c r="S62" s="9">
        <v>50.305</v>
      </c>
    </row>
    <row r="63" spans="1:19" x14ac:dyDescent="0.35">
      <c r="A63" s="6">
        <f>vals_co2_incLUC!$A63</f>
        <v>1910</v>
      </c>
      <c r="B63" s="7">
        <f t="shared" si="8"/>
        <v>36.403097620195147</v>
      </c>
      <c r="C63" s="7">
        <f t="shared" si="9"/>
        <v>40.437898986525937</v>
      </c>
      <c r="D63" s="7">
        <f t="shared" si="10"/>
        <v>48.774367668330157</v>
      </c>
      <c r="E63" s="7">
        <f t="shared" si="11"/>
        <v>51.774511535017794</v>
      </c>
      <c r="F63" s="7">
        <f t="shared" si="12"/>
        <v>4.0348013663307896</v>
      </c>
      <c r="G63" s="7">
        <f t="shared" si="13"/>
        <v>0</v>
      </c>
      <c r="H63" s="7">
        <f t="shared" si="14"/>
        <v>8.3364686818042202</v>
      </c>
      <c r="I63" s="8">
        <f>vals_co2_incLUC!$R63</f>
        <v>36.403097620195147</v>
      </c>
      <c r="J63" s="8">
        <f>vals_co2_incLUC!$X63</f>
        <v>40.437898986525937</v>
      </c>
      <c r="K63" s="8">
        <f>vals_co2_incLUC!$AD63</f>
        <v>36.410053717215249</v>
      </c>
      <c r="L63" s="8">
        <f>vals_co2_incLUC!$AJ63</f>
        <v>38.500174404030233</v>
      </c>
      <c r="M63" s="8">
        <f>vals_co2_incLUC!$S63</f>
        <v>48.774367668330157</v>
      </c>
      <c r="N63" s="8">
        <f>vals_co2_incLUC!$Y63</f>
        <v>51.774511535017794</v>
      </c>
      <c r="O63" s="8">
        <f>vals_co2_incLUC!$AE63</f>
        <v>48.78368771829993</v>
      </c>
      <c r="P63" s="8">
        <f>vals_co2_incLUC!$AK63</f>
        <v>50.183467055090183</v>
      </c>
      <c r="Q63" s="9">
        <f t="shared" si="15"/>
        <v>3.0001438666876368</v>
      </c>
      <c r="R63" s="9">
        <v>37.689</v>
      </c>
      <c r="S63" s="9">
        <v>50.222999999999999</v>
      </c>
    </row>
    <row r="64" spans="1:19" x14ac:dyDescent="0.35">
      <c r="A64" s="3">
        <f>vals_co2_incLUC!$A64</f>
        <v>1911</v>
      </c>
      <c r="B64" s="4">
        <f t="shared" si="8"/>
        <v>36.343637579767559</v>
      </c>
      <c r="C64" s="4">
        <f t="shared" si="9"/>
        <v>40.38331069406037</v>
      </c>
      <c r="D64" s="4">
        <f t="shared" si="10"/>
        <v>48.691118224576201</v>
      </c>
      <c r="E64" s="4">
        <f t="shared" si="11"/>
        <v>51.72673658394087</v>
      </c>
      <c r="F64" s="4">
        <f t="shared" si="12"/>
        <v>4.0396731142928104</v>
      </c>
      <c r="G64" s="4">
        <f t="shared" si="13"/>
        <v>0</v>
      </c>
      <c r="H64" s="4">
        <f t="shared" si="14"/>
        <v>8.3078075305158308</v>
      </c>
      <c r="I64" s="5">
        <f>vals_co2_incLUC!$R64</f>
        <v>36.343637579767559</v>
      </c>
      <c r="J64" s="5">
        <f>vals_co2_incLUC!$X64</f>
        <v>40.38331069406037</v>
      </c>
      <c r="K64" s="5">
        <f>vals_co2_incLUC!$AD64</f>
        <v>36.350606143883532</v>
      </c>
      <c r="L64" s="5">
        <f>vals_co2_incLUC!$AJ64</f>
        <v>38.432562529833724</v>
      </c>
      <c r="M64" s="5">
        <f>vals_co2_incLUC!$S64</f>
        <v>48.691118224576201</v>
      </c>
      <c r="N64" s="5">
        <f>vals_co2_incLUC!$Y64</f>
        <v>51.72673658394087</v>
      </c>
      <c r="O64" s="5">
        <f>vals_co2_incLUC!$AE64</f>
        <v>48.700454291550201</v>
      </c>
      <c r="P64" s="5">
        <f>vals_co2_incLUC!$AK64</f>
        <v>50.11760344004076</v>
      </c>
      <c r="Q64" s="9">
        <f t="shared" si="15"/>
        <v>3.0356183593646691</v>
      </c>
      <c r="R64" s="9">
        <v>37.628</v>
      </c>
      <c r="S64" s="9">
        <v>50.148000000000003</v>
      </c>
    </row>
    <row r="65" spans="1:19" x14ac:dyDescent="0.35">
      <c r="A65" s="6">
        <f>vals_co2_incLUC!$A65</f>
        <v>1912</v>
      </c>
      <c r="B65" s="7">
        <f t="shared" si="8"/>
        <v>36.282925420246528</v>
      </c>
      <c r="C65" s="7">
        <f t="shared" si="9"/>
        <v>40.324191780841836</v>
      </c>
      <c r="D65" s="7">
        <f t="shared" si="10"/>
        <v>48.611325875553284</v>
      </c>
      <c r="E65" s="7">
        <f t="shared" si="11"/>
        <v>51.673011432356894</v>
      </c>
      <c r="F65" s="7">
        <f t="shared" si="12"/>
        <v>4.0412663605953085</v>
      </c>
      <c r="G65" s="7">
        <f t="shared" si="13"/>
        <v>0</v>
      </c>
      <c r="H65" s="7">
        <f t="shared" si="14"/>
        <v>8.2871340947114476</v>
      </c>
      <c r="I65" s="8">
        <f>vals_co2_incLUC!$R65</f>
        <v>36.282925420246528</v>
      </c>
      <c r="J65" s="8">
        <f>vals_co2_incLUC!$X65</f>
        <v>40.324191780841836</v>
      </c>
      <c r="K65" s="8">
        <f>vals_co2_incLUC!$AD65</f>
        <v>36.289906192818854</v>
      </c>
      <c r="L65" s="8">
        <f>vals_co2_incLUC!$AJ65</f>
        <v>38.365151867667571</v>
      </c>
      <c r="M65" s="8">
        <f>vals_co2_incLUC!$S65</f>
        <v>48.611325875553284</v>
      </c>
      <c r="N65" s="8">
        <f>vals_co2_incLUC!$Y65</f>
        <v>51.673011432356894</v>
      </c>
      <c r="O65" s="8">
        <f>vals_co2_incLUC!$AE65</f>
        <v>48.620678596161035</v>
      </c>
      <c r="P65" s="8">
        <f>vals_co2_incLUC!$AK65</f>
        <v>50.053160665270866</v>
      </c>
      <c r="Q65" s="9">
        <f t="shared" si="15"/>
        <v>3.0616855568036101</v>
      </c>
      <c r="R65" s="9">
        <v>37.566000000000003</v>
      </c>
      <c r="S65" s="9">
        <v>50.075000000000003</v>
      </c>
    </row>
    <row r="66" spans="1:19" x14ac:dyDescent="0.35">
      <c r="A66" s="3">
        <f>vals_co2_incLUC!$A66</f>
        <v>1913</v>
      </c>
      <c r="B66" s="4">
        <f t="shared" si="8"/>
        <v>36.219564521998038</v>
      </c>
      <c r="C66" s="4">
        <f t="shared" si="9"/>
        <v>40.262204398074161</v>
      </c>
      <c r="D66" s="4">
        <f t="shared" si="10"/>
        <v>48.530770632136417</v>
      </c>
      <c r="E66" s="4">
        <f t="shared" si="11"/>
        <v>51.615185839261976</v>
      </c>
      <c r="F66" s="4">
        <f t="shared" si="12"/>
        <v>4.0426398760761231</v>
      </c>
      <c r="G66" s="4">
        <f t="shared" si="13"/>
        <v>0</v>
      </c>
      <c r="H66" s="4">
        <f t="shared" si="14"/>
        <v>8.2685662340622557</v>
      </c>
      <c r="I66" s="5">
        <f>vals_co2_incLUC!$R66</f>
        <v>36.219564521998038</v>
      </c>
      <c r="J66" s="5">
        <f>vals_co2_incLUC!$X66</f>
        <v>40.262204398074161</v>
      </c>
      <c r="K66" s="5">
        <f>vals_co2_incLUC!$AD66</f>
        <v>36.22655714321818</v>
      </c>
      <c r="L66" s="5">
        <f>vals_co2_incLUC!$AJ66</f>
        <v>38.296229392151012</v>
      </c>
      <c r="M66" s="5">
        <f>vals_co2_incLUC!$S66</f>
        <v>48.530770632136417</v>
      </c>
      <c r="N66" s="5">
        <f>vals_co2_incLUC!$Y66</f>
        <v>51.615185839261976</v>
      </c>
      <c r="O66" s="5">
        <f>vals_co2_incLUC!$AE66</f>
        <v>48.540140064176931</v>
      </c>
      <c r="P66" s="5">
        <f>vals_co2_incLUC!$AK66</f>
        <v>49.985763847427307</v>
      </c>
      <c r="Q66" s="9">
        <f t="shared" si="15"/>
        <v>3.0844152071255593</v>
      </c>
      <c r="R66" s="9">
        <v>37.500999999999998</v>
      </c>
      <c r="S66" s="9">
        <v>50.000999999999998</v>
      </c>
    </row>
    <row r="67" spans="1:19" x14ac:dyDescent="0.35">
      <c r="A67" s="6">
        <f>vals_co2_incLUC!$A67</f>
        <v>1914</v>
      </c>
      <c r="B67" s="7">
        <f t="shared" ref="B67:B98" si="16">IFERROR(_xlfn.AGGREGATE(5,6,I67:L67),"")</f>
        <v>36.149594630599481</v>
      </c>
      <c r="C67" s="7">
        <f t="shared" ref="C67:C98" si="17">IFERROR(_xlfn.AGGREGATE(4,6,I67:L67),"")</f>
        <v>40.19164857664402</v>
      </c>
      <c r="D67" s="7">
        <f t="shared" ref="D67:D98" si="18">IFERROR(_xlfn.AGGREGATE(5,6,M67:P67),"")</f>
        <v>48.448193728559744</v>
      </c>
      <c r="E67" s="7">
        <f t="shared" ref="E67:E98" si="19">IFERROR(_xlfn.AGGREGATE(4,6,M67:P67),"")</f>
        <v>51.547881429002473</v>
      </c>
      <c r="F67" s="7">
        <f t="shared" ref="F67:F98" si="20">IFERROR(MIN(C67,D67)-B67,"")</f>
        <v>4.0420539460445397</v>
      </c>
      <c r="G67" s="7">
        <f t="shared" ref="G67:G98" si="21">IFERROR(MAX(0,C67-D67),"")</f>
        <v>0</v>
      </c>
      <c r="H67" s="7">
        <f t="shared" ref="H67:H98" si="22">IFERROR(MAX(0,D67-C67),"")</f>
        <v>8.2565451519157236</v>
      </c>
      <c r="I67" s="8">
        <f>vals_co2_incLUC!$R67</f>
        <v>36.149594630599481</v>
      </c>
      <c r="J67" s="8">
        <f>vals_co2_incLUC!$X67</f>
        <v>40.19164857664402</v>
      </c>
      <c r="K67" s="8">
        <f>vals_co2_incLUC!$AD67</f>
        <v>36.156598448831964</v>
      </c>
      <c r="L67" s="8">
        <f>vals_co2_incLUC!$AJ67</f>
        <v>38.221940686032553</v>
      </c>
      <c r="M67" s="8">
        <f>vals_co2_incLUC!$S67</f>
        <v>48.448193728559744</v>
      </c>
      <c r="N67" s="8">
        <f>vals_co2_incLUC!$Y67</f>
        <v>51.547881429002473</v>
      </c>
      <c r="O67" s="8">
        <f>vals_co2_incLUC!$AE67</f>
        <v>48.457580328708303</v>
      </c>
      <c r="P67" s="8">
        <f>vals_co2_incLUC!$AK67</f>
        <v>49.915603985165966</v>
      </c>
      <c r="Q67" s="9">
        <f t="shared" ref="Q67:Q98" si="23">IFERROR(MAX(0,$E67-MAX($C67,$D67)),"")</f>
        <v>3.099687700442729</v>
      </c>
      <c r="R67" s="9">
        <v>37.43</v>
      </c>
      <c r="S67" s="9">
        <v>49.923999999999999</v>
      </c>
    </row>
    <row r="68" spans="1:19" x14ac:dyDescent="0.35">
      <c r="A68" s="3">
        <f>vals_co2_incLUC!$A68</f>
        <v>1915</v>
      </c>
      <c r="B68" s="4">
        <f t="shared" si="16"/>
        <v>36.085093734914537</v>
      </c>
      <c r="C68" s="4">
        <f t="shared" si="17"/>
        <v>40.128229897427879</v>
      </c>
      <c r="D68" s="4">
        <f t="shared" si="18"/>
        <v>48.374210553063946</v>
      </c>
      <c r="E68" s="4">
        <f t="shared" si="19"/>
        <v>51.487249768658785</v>
      </c>
      <c r="F68" s="4">
        <f t="shared" si="20"/>
        <v>4.043136162513342</v>
      </c>
      <c r="G68" s="4">
        <f t="shared" si="21"/>
        <v>0</v>
      </c>
      <c r="H68" s="4">
        <f t="shared" si="22"/>
        <v>8.2459806556360675</v>
      </c>
      <c r="I68" s="5">
        <f>vals_co2_incLUC!$R68</f>
        <v>36.085093734914537</v>
      </c>
      <c r="J68" s="5">
        <f>vals_co2_incLUC!$X68</f>
        <v>40.128229897427879</v>
      </c>
      <c r="K68" s="5">
        <f>vals_co2_incLUC!$AD68</f>
        <v>36.092108899028496</v>
      </c>
      <c r="L68" s="5">
        <f>vals_co2_incLUC!$AJ68</f>
        <v>38.154222665193757</v>
      </c>
      <c r="M68" s="5">
        <f>vals_co2_incLUC!$S68</f>
        <v>48.374210553063946</v>
      </c>
      <c r="N68" s="5">
        <f>vals_co2_incLUC!$Y68</f>
        <v>51.487249768658785</v>
      </c>
      <c r="O68" s="5">
        <f>vals_co2_incLUC!$AE68</f>
        <v>48.383614835492708</v>
      </c>
      <c r="P68" s="5">
        <f>vals_co2_incLUC!$AK68</f>
        <v>49.852904074761163</v>
      </c>
      <c r="Q68" s="9">
        <f t="shared" si="23"/>
        <v>3.1130392155948385</v>
      </c>
      <c r="R68" s="9">
        <v>37.365000000000002</v>
      </c>
      <c r="S68" s="9">
        <v>49.854999999999997</v>
      </c>
    </row>
    <row r="69" spans="1:19" x14ac:dyDescent="0.35">
      <c r="A69" s="6">
        <f>vals_co2_incLUC!$A69</f>
        <v>1916</v>
      </c>
      <c r="B69" s="7">
        <f t="shared" si="16"/>
        <v>36.020995173519097</v>
      </c>
      <c r="C69" s="7">
        <f t="shared" si="17"/>
        <v>40.064956707782699</v>
      </c>
      <c r="D69" s="7">
        <f t="shared" si="18"/>
        <v>48.303564237628883</v>
      </c>
      <c r="E69" s="7">
        <f t="shared" si="19"/>
        <v>51.426598540143743</v>
      </c>
      <c r="F69" s="7">
        <f t="shared" si="20"/>
        <v>4.0439615342636017</v>
      </c>
      <c r="G69" s="7">
        <f t="shared" si="21"/>
        <v>0</v>
      </c>
      <c r="H69" s="7">
        <f t="shared" si="22"/>
        <v>8.2386075298461847</v>
      </c>
      <c r="I69" s="8">
        <f>vals_co2_incLUC!$R69</f>
        <v>36.020995173519097</v>
      </c>
      <c r="J69" s="8">
        <f>vals_co2_incLUC!$X69</f>
        <v>40.064956707782699</v>
      </c>
      <c r="K69" s="8">
        <f>vals_co2_incLUC!$AD69</f>
        <v>36.028021459146842</v>
      </c>
      <c r="L69" s="8">
        <f>vals_co2_incLUC!$AJ69</f>
        <v>38.088502764430416</v>
      </c>
      <c r="M69" s="8">
        <f>vals_co2_incLUC!$S69</f>
        <v>48.303564237628883</v>
      </c>
      <c r="N69" s="8">
        <f>vals_co2_incLUC!$Y69</f>
        <v>51.426598540143743</v>
      </c>
      <c r="O69" s="8">
        <f>vals_co2_incLUC!$AE69</f>
        <v>48.31298640997808</v>
      </c>
      <c r="P69" s="8">
        <f>vals_co2_incLUC!$AK69</f>
        <v>49.792869003296389</v>
      </c>
      <c r="Q69" s="9">
        <f t="shared" si="23"/>
        <v>3.1230343025148599</v>
      </c>
      <c r="R69" s="9">
        <v>37.301000000000002</v>
      </c>
      <c r="S69" s="9">
        <v>49.79</v>
      </c>
    </row>
    <row r="70" spans="1:19" x14ac:dyDescent="0.35">
      <c r="A70" s="3">
        <f>vals_co2_incLUC!$A70</f>
        <v>1917</v>
      </c>
      <c r="B70" s="4">
        <f t="shared" si="16"/>
        <v>35.951292010544428</v>
      </c>
      <c r="C70" s="4">
        <f t="shared" si="17"/>
        <v>39.995942053486537</v>
      </c>
      <c r="D70" s="4">
        <f t="shared" si="18"/>
        <v>48.227969020526928</v>
      </c>
      <c r="E70" s="4">
        <f t="shared" si="19"/>
        <v>51.360317544440306</v>
      </c>
      <c r="F70" s="4">
        <f t="shared" si="20"/>
        <v>4.0446500429421093</v>
      </c>
      <c r="G70" s="4">
        <f t="shared" si="21"/>
        <v>0</v>
      </c>
      <c r="H70" s="4">
        <f t="shared" si="22"/>
        <v>8.2320269670403903</v>
      </c>
      <c r="I70" s="5">
        <f>vals_co2_incLUC!$R70</f>
        <v>35.951292010544428</v>
      </c>
      <c r="J70" s="5">
        <f>vals_co2_incLUC!$X70</f>
        <v>39.995942053486537</v>
      </c>
      <c r="K70" s="5">
        <f>vals_co2_incLUC!$AD70</f>
        <v>35.958329045483254</v>
      </c>
      <c r="L70" s="5">
        <f>vals_co2_incLUC!$AJ70</f>
        <v>38.019137791174053</v>
      </c>
      <c r="M70" s="5">
        <f>vals_co2_incLUC!$S70</f>
        <v>48.227969020526928</v>
      </c>
      <c r="N70" s="5">
        <f>vals_co2_incLUC!$Y70</f>
        <v>51.360317544440306</v>
      </c>
      <c r="O70" s="5">
        <f>vals_co2_incLUC!$AE70</f>
        <v>48.237409106470153</v>
      </c>
      <c r="P70" s="5">
        <f>vals_co2_incLUC!$AK70</f>
        <v>49.727912260654641</v>
      </c>
      <c r="Q70" s="9">
        <f t="shared" si="23"/>
        <v>3.1323485239133788</v>
      </c>
      <c r="R70" s="9">
        <v>37.231999999999999</v>
      </c>
      <c r="S70" s="9">
        <v>49.719000000000001</v>
      </c>
    </row>
    <row r="71" spans="1:19" x14ac:dyDescent="0.35">
      <c r="A71" s="6">
        <f>vals_co2_incLUC!$A71</f>
        <v>1918</v>
      </c>
      <c r="B71" s="7">
        <f t="shared" si="16"/>
        <v>35.876756492633397</v>
      </c>
      <c r="C71" s="7">
        <f t="shared" si="17"/>
        <v>39.923669222976258</v>
      </c>
      <c r="D71" s="7">
        <f t="shared" si="18"/>
        <v>48.15180718318198</v>
      </c>
      <c r="E71" s="7">
        <f t="shared" si="19"/>
        <v>51.291360028915513</v>
      </c>
      <c r="F71" s="7">
        <f t="shared" si="20"/>
        <v>4.0469127303428607</v>
      </c>
      <c r="G71" s="7">
        <f t="shared" si="21"/>
        <v>0</v>
      </c>
      <c r="H71" s="7">
        <f t="shared" si="22"/>
        <v>8.2281379602057214</v>
      </c>
      <c r="I71" s="8">
        <f>vals_co2_incLUC!$R71</f>
        <v>35.876756492633397</v>
      </c>
      <c r="J71" s="8">
        <f>vals_co2_incLUC!$X71</f>
        <v>39.923669222976258</v>
      </c>
      <c r="K71" s="8">
        <f>vals_co2_incLUC!$AD71</f>
        <v>35.883803537785873</v>
      </c>
      <c r="L71" s="8">
        <f>vals_co2_incLUC!$AJ71</f>
        <v>37.946808349603813</v>
      </c>
      <c r="M71" s="8">
        <f>vals_co2_incLUC!$S71</f>
        <v>48.15180718318198</v>
      </c>
      <c r="N71" s="8">
        <f>vals_co2_incLUC!$Y71</f>
        <v>51.291360028915513</v>
      </c>
      <c r="O71" s="8">
        <f>vals_co2_incLUC!$AE71</f>
        <v>48.161265377624702</v>
      </c>
      <c r="P71" s="8">
        <f>vals_co2_incLUC!$AK71</f>
        <v>49.662979905137462</v>
      </c>
      <c r="Q71" s="9">
        <f t="shared" si="23"/>
        <v>3.1395528457335331</v>
      </c>
      <c r="R71" s="9">
        <v>37.158000000000001</v>
      </c>
      <c r="S71" s="9">
        <v>49.648000000000003</v>
      </c>
    </row>
    <row r="72" spans="1:19" x14ac:dyDescent="0.35">
      <c r="A72" s="3">
        <f>vals_co2_incLUC!$A72</f>
        <v>1919</v>
      </c>
      <c r="B72" s="4">
        <f t="shared" si="16"/>
        <v>35.79815451243347</v>
      </c>
      <c r="C72" s="4">
        <f t="shared" si="17"/>
        <v>39.848964089049254</v>
      </c>
      <c r="D72" s="4">
        <f t="shared" si="18"/>
        <v>48.078022240382154</v>
      </c>
      <c r="E72" s="4">
        <f t="shared" si="19"/>
        <v>51.223795798981378</v>
      </c>
      <c r="F72" s="4">
        <f t="shared" si="20"/>
        <v>4.0508095766157837</v>
      </c>
      <c r="G72" s="4">
        <f t="shared" si="21"/>
        <v>0</v>
      </c>
      <c r="H72" s="4">
        <f t="shared" si="22"/>
        <v>8.2290581513329002</v>
      </c>
      <c r="I72" s="5">
        <f>vals_co2_incLUC!$R72</f>
        <v>35.79815451243347</v>
      </c>
      <c r="J72" s="5">
        <f>vals_co2_incLUC!$X72</f>
        <v>39.848964089049254</v>
      </c>
      <c r="K72" s="5">
        <f>vals_co2_incLUC!$AD72</f>
        <v>35.805210548797021</v>
      </c>
      <c r="L72" s="5">
        <f>vals_co2_incLUC!$AJ72</f>
        <v>37.870670660095094</v>
      </c>
      <c r="M72" s="5">
        <f>vals_co2_incLUC!$S72</f>
        <v>48.078022240382154</v>
      </c>
      <c r="N72" s="5">
        <f>vals_co2_incLUC!$Y72</f>
        <v>51.223795798981378</v>
      </c>
      <c r="O72" s="5">
        <f>vals_co2_incLUC!$AE72</f>
        <v>48.0874987525469</v>
      </c>
      <c r="P72" s="5">
        <f>vals_co2_incLUC!$AK72</f>
        <v>49.599264322803464</v>
      </c>
      <c r="Q72" s="9">
        <f t="shared" si="23"/>
        <v>3.1457735585992239</v>
      </c>
      <c r="R72" s="9">
        <v>37.081000000000003</v>
      </c>
      <c r="S72" s="9">
        <v>49.578000000000003</v>
      </c>
    </row>
    <row r="73" spans="1:19" x14ac:dyDescent="0.35">
      <c r="A73" s="6">
        <f>vals_co2_incLUC!$A73</f>
        <v>1920</v>
      </c>
      <c r="B73" s="7">
        <f t="shared" si="16"/>
        <v>35.728165425615011</v>
      </c>
      <c r="C73" s="7">
        <f t="shared" si="17"/>
        <v>39.78457453774454</v>
      </c>
      <c r="D73" s="7">
        <f t="shared" si="18"/>
        <v>48.016401164545549</v>
      </c>
      <c r="E73" s="7">
        <f t="shared" si="19"/>
        <v>51.169371480806703</v>
      </c>
      <c r="F73" s="7">
        <f t="shared" si="20"/>
        <v>4.0564091121295291</v>
      </c>
      <c r="G73" s="7">
        <f t="shared" si="21"/>
        <v>0</v>
      </c>
      <c r="H73" s="7">
        <f t="shared" si="22"/>
        <v>8.2318266268010092</v>
      </c>
      <c r="I73" s="8">
        <f>vals_co2_incLUC!$R73</f>
        <v>35.728165425615011</v>
      </c>
      <c r="J73" s="8">
        <f>vals_co2_incLUC!$X73</f>
        <v>39.78457453774454</v>
      </c>
      <c r="K73" s="8">
        <f>vals_co2_incLUC!$AD73</f>
        <v>35.73523072094207</v>
      </c>
      <c r="L73" s="8">
        <f>vals_co2_incLUC!$AJ73</f>
        <v>37.804457304163968</v>
      </c>
      <c r="M73" s="8">
        <f>vals_co2_incLUC!$S73</f>
        <v>48.016401164545549</v>
      </c>
      <c r="N73" s="8">
        <f>vals_co2_incLUC!$Y73</f>
        <v>51.169371480806703</v>
      </c>
      <c r="O73" s="8">
        <f>vals_co2_incLUC!$AE73</f>
        <v>48.025896514169254</v>
      </c>
      <c r="P73" s="8">
        <f>vals_co2_incLUC!$AK73</f>
        <v>49.547582116607167</v>
      </c>
      <c r="Q73" s="9">
        <f t="shared" si="23"/>
        <v>3.152970316261154</v>
      </c>
      <c r="R73" s="9">
        <v>37.012</v>
      </c>
      <c r="S73" s="9">
        <v>49.521000000000001</v>
      </c>
    </row>
    <row r="74" spans="1:19" x14ac:dyDescent="0.35">
      <c r="A74" s="3">
        <f>vals_co2_incLUC!$A74</f>
        <v>1921</v>
      </c>
      <c r="B74" s="4">
        <f t="shared" si="16"/>
        <v>35.656746033293913</v>
      </c>
      <c r="C74" s="4">
        <f t="shared" si="17"/>
        <v>39.710594655381769</v>
      </c>
      <c r="D74" s="4">
        <f t="shared" si="18"/>
        <v>47.948279053747207</v>
      </c>
      <c r="E74" s="4">
        <f t="shared" si="19"/>
        <v>51.104389253411618</v>
      </c>
      <c r="F74" s="4">
        <f t="shared" si="20"/>
        <v>4.0538486220878553</v>
      </c>
      <c r="G74" s="4">
        <f t="shared" si="21"/>
        <v>0</v>
      </c>
      <c r="H74" s="4">
        <f t="shared" si="22"/>
        <v>8.2376843983654382</v>
      </c>
      <c r="I74" s="5">
        <f>vals_co2_incLUC!$R74</f>
        <v>35.656746033293913</v>
      </c>
      <c r="J74" s="5">
        <f>vals_co2_incLUC!$X74</f>
        <v>39.710594655381769</v>
      </c>
      <c r="K74" s="5">
        <f>vals_co2_incLUC!$AD74</f>
        <v>35.663823629709121</v>
      </c>
      <c r="L74" s="5">
        <f>vals_co2_incLUC!$AJ74</f>
        <v>37.731820875804956</v>
      </c>
      <c r="M74" s="5">
        <f>vals_co2_incLUC!$S74</f>
        <v>47.948279053747207</v>
      </c>
      <c r="N74" s="5">
        <f>vals_co2_incLUC!$Y74</f>
        <v>51.104389253411618</v>
      </c>
      <c r="O74" s="5">
        <f>vals_co2_incLUC!$AE74</f>
        <v>47.957796479559839</v>
      </c>
      <c r="P74" s="5">
        <f>vals_co2_incLUC!$AK74</f>
        <v>49.486731355693927</v>
      </c>
      <c r="Q74" s="9">
        <f t="shared" si="23"/>
        <v>3.1561101996644112</v>
      </c>
      <c r="R74" s="9">
        <v>36.94</v>
      </c>
      <c r="S74" s="9">
        <v>49.456000000000003</v>
      </c>
    </row>
    <row r="75" spans="1:19" x14ac:dyDescent="0.35">
      <c r="A75" s="6">
        <f>vals_co2_incLUC!$A75</f>
        <v>1922</v>
      </c>
      <c r="B75" s="7">
        <f t="shared" si="16"/>
        <v>35.599767261224471</v>
      </c>
      <c r="C75" s="7">
        <f t="shared" si="17"/>
        <v>39.655563536098484</v>
      </c>
      <c r="D75" s="7">
        <f t="shared" si="18"/>
        <v>47.890889479158957</v>
      </c>
      <c r="E75" s="7">
        <f t="shared" si="19"/>
        <v>51.056406900409613</v>
      </c>
      <c r="F75" s="7">
        <f t="shared" si="20"/>
        <v>4.0557962748740124</v>
      </c>
      <c r="G75" s="7">
        <f t="shared" si="21"/>
        <v>0</v>
      </c>
      <c r="H75" s="7">
        <f t="shared" si="22"/>
        <v>8.2353259430604737</v>
      </c>
      <c r="I75" s="8">
        <f>vals_co2_incLUC!$R75</f>
        <v>35.599767261224471</v>
      </c>
      <c r="J75" s="8">
        <f>vals_co2_incLUC!$X75</f>
        <v>39.655563536098484</v>
      </c>
      <c r="K75" s="8">
        <f>vals_co2_incLUC!$AD75</f>
        <v>35.606859729046498</v>
      </c>
      <c r="L75" s="8">
        <f>vals_co2_incLUC!$AJ75</f>
        <v>37.672462206475409</v>
      </c>
      <c r="M75" s="8">
        <f>vals_co2_incLUC!$S75</f>
        <v>47.890889479158957</v>
      </c>
      <c r="N75" s="8">
        <f>vals_co2_incLUC!$Y75</f>
        <v>51.056406900409613</v>
      </c>
      <c r="O75" s="8">
        <f>vals_co2_incLUC!$AE75</f>
        <v>47.900430693047504</v>
      </c>
      <c r="P75" s="8">
        <f>vals_co2_incLUC!$AK75</f>
        <v>49.436334526125655</v>
      </c>
      <c r="Q75" s="9">
        <f t="shared" si="23"/>
        <v>3.1655174212506552</v>
      </c>
      <c r="R75" s="9">
        <v>36.881</v>
      </c>
      <c r="S75" s="9">
        <v>49.401000000000003</v>
      </c>
    </row>
    <row r="76" spans="1:19" x14ac:dyDescent="0.35">
      <c r="A76" s="3">
        <f>vals_co2_incLUC!$A76</f>
        <v>1923</v>
      </c>
      <c r="B76" s="4">
        <f t="shared" si="16"/>
        <v>35.539976800719337</v>
      </c>
      <c r="C76" s="4">
        <f t="shared" si="17"/>
        <v>39.599490940542111</v>
      </c>
      <c r="D76" s="4">
        <f t="shared" si="18"/>
        <v>47.831140218230345</v>
      </c>
      <c r="E76" s="4">
        <f t="shared" si="19"/>
        <v>51.007869244058654</v>
      </c>
      <c r="F76" s="4">
        <f t="shared" si="20"/>
        <v>4.0595141398227739</v>
      </c>
      <c r="G76" s="4">
        <f t="shared" si="21"/>
        <v>0</v>
      </c>
      <c r="H76" s="4">
        <f t="shared" si="22"/>
        <v>8.2316492776882342</v>
      </c>
      <c r="I76" s="5">
        <f>vals_co2_incLUC!$R76</f>
        <v>35.539976800719337</v>
      </c>
      <c r="J76" s="5">
        <f>vals_co2_incLUC!$X76</f>
        <v>39.599490940542111</v>
      </c>
      <c r="K76" s="5">
        <f>vals_co2_incLUC!$AD76</f>
        <v>35.547084462759159</v>
      </c>
      <c r="L76" s="5">
        <f>vals_co2_incLUC!$AJ76</f>
        <v>37.608640298971906</v>
      </c>
      <c r="M76" s="5">
        <f>vals_co2_incLUC!$S76</f>
        <v>47.831140218230345</v>
      </c>
      <c r="N76" s="5">
        <f>vals_co2_incLUC!$Y76</f>
        <v>51.007869244058654</v>
      </c>
      <c r="O76" s="5">
        <f>vals_co2_incLUC!$AE76</f>
        <v>47.840706008871237</v>
      </c>
      <c r="P76" s="5">
        <f>vals_co2_incLUC!$AK76</f>
        <v>49.382328894120349</v>
      </c>
      <c r="Q76" s="9">
        <f t="shared" si="23"/>
        <v>3.1767290258283083</v>
      </c>
      <c r="R76" s="9">
        <v>36.819000000000003</v>
      </c>
      <c r="S76" s="9">
        <v>49.343000000000004</v>
      </c>
    </row>
    <row r="77" spans="1:19" x14ac:dyDescent="0.35">
      <c r="A77" s="6">
        <f>vals_co2_incLUC!$A77</f>
        <v>1924</v>
      </c>
      <c r="B77" s="7">
        <f t="shared" si="16"/>
        <v>35.471950162395764</v>
      </c>
      <c r="C77" s="7">
        <f t="shared" si="17"/>
        <v>39.531040526417421</v>
      </c>
      <c r="D77" s="7">
        <f t="shared" si="18"/>
        <v>47.763860478422906</v>
      </c>
      <c r="E77" s="7">
        <f t="shared" si="19"/>
        <v>50.950106756386049</v>
      </c>
      <c r="F77" s="7">
        <f t="shared" si="20"/>
        <v>4.0590903640216567</v>
      </c>
      <c r="G77" s="7">
        <f t="shared" si="21"/>
        <v>0</v>
      </c>
      <c r="H77" s="7">
        <f t="shared" si="22"/>
        <v>8.2328199520054852</v>
      </c>
      <c r="I77" s="8">
        <f>vals_co2_incLUC!$R77</f>
        <v>35.471950162395764</v>
      </c>
      <c r="J77" s="8">
        <f>vals_co2_incLUC!$X77</f>
        <v>39.531040526417421</v>
      </c>
      <c r="K77" s="8">
        <f>vals_co2_incLUC!$AD77</f>
        <v>35.479073264562807</v>
      </c>
      <c r="L77" s="8">
        <f>vals_co2_incLUC!$AJ77</f>
        <v>37.535098862170869</v>
      </c>
      <c r="M77" s="8">
        <f>vals_co2_incLUC!$S77</f>
        <v>47.763860478422906</v>
      </c>
      <c r="N77" s="8">
        <f>vals_co2_incLUC!$Y77</f>
        <v>50.950106756386049</v>
      </c>
      <c r="O77" s="8">
        <f>vals_co2_incLUC!$AE77</f>
        <v>47.773451923216797</v>
      </c>
      <c r="P77" s="8">
        <f>vals_co2_incLUC!$AK77</f>
        <v>49.320338434231452</v>
      </c>
      <c r="Q77" s="9">
        <f t="shared" si="23"/>
        <v>3.1862462779631429</v>
      </c>
      <c r="R77" s="9">
        <v>36.747999999999998</v>
      </c>
      <c r="S77" s="9">
        <v>49.277999999999999</v>
      </c>
    </row>
    <row r="78" spans="1:19" x14ac:dyDescent="0.35">
      <c r="A78" s="3">
        <f>vals_co2_incLUC!$A78</f>
        <v>1925</v>
      </c>
      <c r="B78" s="4">
        <f t="shared" si="16"/>
        <v>35.404568766903196</v>
      </c>
      <c r="C78" s="4">
        <f t="shared" si="17"/>
        <v>39.464996108636043</v>
      </c>
      <c r="D78" s="4">
        <f t="shared" si="18"/>
        <v>47.69904245985969</v>
      </c>
      <c r="E78" s="4">
        <f t="shared" si="19"/>
        <v>50.89400493649385</v>
      </c>
      <c r="F78" s="4">
        <f t="shared" si="20"/>
        <v>4.0604273417328471</v>
      </c>
      <c r="G78" s="4">
        <f t="shared" si="21"/>
        <v>0</v>
      </c>
      <c r="H78" s="4">
        <f t="shared" si="22"/>
        <v>8.2340463512236468</v>
      </c>
      <c r="I78" s="5">
        <f>vals_co2_incLUC!$R78</f>
        <v>35.404568766903196</v>
      </c>
      <c r="J78" s="5">
        <f>vals_co2_incLUC!$X78</f>
        <v>39.464996108636043</v>
      </c>
      <c r="K78" s="5">
        <f>vals_co2_incLUC!$AD78</f>
        <v>35.411707541637114</v>
      </c>
      <c r="L78" s="5">
        <f>vals_co2_incLUC!$AJ78</f>
        <v>37.461424832480461</v>
      </c>
      <c r="M78" s="5">
        <f>vals_co2_incLUC!$S78</f>
        <v>47.69904245985969</v>
      </c>
      <c r="N78" s="5">
        <f>vals_co2_incLUC!$Y78</f>
        <v>50.89400493649385</v>
      </c>
      <c r="O78" s="5">
        <f>vals_co2_incLUC!$AE78</f>
        <v>47.708660232935465</v>
      </c>
      <c r="P78" s="5">
        <f>vals_co2_incLUC!$AK78</f>
        <v>49.260966729133521</v>
      </c>
      <c r="Q78" s="9">
        <f t="shared" si="23"/>
        <v>3.19496247663416</v>
      </c>
      <c r="R78" s="9">
        <v>36.677</v>
      </c>
      <c r="S78" s="9">
        <v>49.213999999999999</v>
      </c>
    </row>
    <row r="79" spans="1:19" x14ac:dyDescent="0.35">
      <c r="A79" s="6">
        <f>vals_co2_incLUC!$A79</f>
        <v>1926</v>
      </c>
      <c r="B79" s="7">
        <f t="shared" si="16"/>
        <v>35.337541542377394</v>
      </c>
      <c r="C79" s="7">
        <f t="shared" si="17"/>
        <v>39.398562097367879</v>
      </c>
      <c r="D79" s="7">
        <f t="shared" si="18"/>
        <v>47.631942643311874</v>
      </c>
      <c r="E79" s="7">
        <f t="shared" si="19"/>
        <v>50.837828572027696</v>
      </c>
      <c r="F79" s="7">
        <f t="shared" si="20"/>
        <v>4.0610205549904848</v>
      </c>
      <c r="G79" s="7">
        <f t="shared" si="21"/>
        <v>0</v>
      </c>
      <c r="H79" s="7">
        <f t="shared" si="22"/>
        <v>8.2333805459439944</v>
      </c>
      <c r="I79" s="8">
        <f>vals_co2_incLUC!$R79</f>
        <v>35.337541542377394</v>
      </c>
      <c r="J79" s="8">
        <f>vals_co2_incLUC!$X79</f>
        <v>39.398562097367879</v>
      </c>
      <c r="K79" s="8">
        <f>vals_co2_incLUC!$AD79</f>
        <v>35.344696706741054</v>
      </c>
      <c r="L79" s="8">
        <f>vals_co2_incLUC!$AJ79</f>
        <v>37.387532637108208</v>
      </c>
      <c r="M79" s="8">
        <f>vals_co2_incLUC!$S79</f>
        <v>47.631942643311874</v>
      </c>
      <c r="N79" s="8">
        <f>vals_co2_incLUC!$Y79</f>
        <v>50.837828572027696</v>
      </c>
      <c r="O79" s="8">
        <f>vals_co2_incLUC!$AE79</f>
        <v>47.641587195503035</v>
      </c>
      <c r="P79" s="8">
        <f>vals_co2_incLUC!$AK79</f>
        <v>49.199612171219279</v>
      </c>
      <c r="Q79" s="9">
        <f t="shared" si="23"/>
        <v>3.2058859287158228</v>
      </c>
      <c r="R79" s="9">
        <v>36.604999999999997</v>
      </c>
      <c r="S79" s="9">
        <v>49.148000000000003</v>
      </c>
    </row>
    <row r="80" spans="1:19" x14ac:dyDescent="0.35">
      <c r="A80" s="3">
        <f>vals_co2_incLUC!$A80</f>
        <v>1927</v>
      </c>
      <c r="B80" s="4">
        <f t="shared" si="16"/>
        <v>35.274383413877835</v>
      </c>
      <c r="C80" s="4">
        <f t="shared" si="17"/>
        <v>39.336630037890323</v>
      </c>
      <c r="D80" s="4">
        <f t="shared" si="18"/>
        <v>47.566554828491093</v>
      </c>
      <c r="E80" s="4">
        <f t="shared" si="19"/>
        <v>50.783205926554167</v>
      </c>
      <c r="F80" s="4">
        <f t="shared" si="20"/>
        <v>4.0622466240124879</v>
      </c>
      <c r="G80" s="4">
        <f t="shared" si="21"/>
        <v>0</v>
      </c>
      <c r="H80" s="4">
        <f t="shared" si="22"/>
        <v>8.2299247906007693</v>
      </c>
      <c r="I80" s="5">
        <f>vals_co2_incLUC!$R80</f>
        <v>35.274383413877835</v>
      </c>
      <c r="J80" s="5">
        <f>vals_co2_incLUC!$X80</f>
        <v>39.336630037890323</v>
      </c>
      <c r="K80" s="5">
        <f>vals_co2_incLUC!$AD80</f>
        <v>35.28155580970698</v>
      </c>
      <c r="L80" s="5">
        <f>vals_co2_incLUC!$AJ80</f>
        <v>37.316588716982544</v>
      </c>
      <c r="M80" s="5">
        <f>vals_co2_incLUC!$S80</f>
        <v>47.566554828491093</v>
      </c>
      <c r="N80" s="5">
        <f>vals_co2_incLUC!$Y80</f>
        <v>50.783205926554167</v>
      </c>
      <c r="O80" s="5">
        <f>vals_co2_incLUC!$AE80</f>
        <v>47.576226621683723</v>
      </c>
      <c r="P80" s="5">
        <f>vals_co2_incLUC!$AK80</f>
        <v>49.139539937371538</v>
      </c>
      <c r="Q80" s="9">
        <f t="shared" si="23"/>
        <v>3.2166510980630747</v>
      </c>
      <c r="R80" s="9">
        <v>36.537999999999997</v>
      </c>
      <c r="S80" s="9">
        <v>49.082999999999998</v>
      </c>
    </row>
    <row r="81" spans="1:19" x14ac:dyDescent="0.35">
      <c r="A81" s="6">
        <f>vals_co2_incLUC!$A81</f>
        <v>1928</v>
      </c>
      <c r="B81" s="7">
        <f t="shared" si="16"/>
        <v>35.205182216690559</v>
      </c>
      <c r="C81" s="7">
        <f t="shared" si="17"/>
        <v>39.261434138380416</v>
      </c>
      <c r="D81" s="7">
        <f t="shared" si="18"/>
        <v>47.494836219855472</v>
      </c>
      <c r="E81" s="7">
        <f t="shared" si="19"/>
        <v>50.715902031720596</v>
      </c>
      <c r="F81" s="7">
        <f t="shared" si="20"/>
        <v>4.0562519216898565</v>
      </c>
      <c r="G81" s="7">
        <f t="shared" si="21"/>
        <v>0</v>
      </c>
      <c r="H81" s="7">
        <f t="shared" si="22"/>
        <v>8.2334020814750559</v>
      </c>
      <c r="I81" s="8">
        <f>vals_co2_incLUC!$R81</f>
        <v>35.205182216690559</v>
      </c>
      <c r="J81" s="8">
        <f>vals_co2_incLUC!$X81</f>
        <v>39.261434138380416</v>
      </c>
      <c r="K81" s="8">
        <f>vals_co2_incLUC!$AD81</f>
        <v>35.21237180590385</v>
      </c>
      <c r="L81" s="8">
        <f>vals_co2_incLUC!$AJ81</f>
        <v>37.238837084476643</v>
      </c>
      <c r="M81" s="8">
        <f>vals_co2_incLUC!$S81</f>
        <v>47.494836219855472</v>
      </c>
      <c r="N81" s="8">
        <f>vals_co2_incLUC!$Y81</f>
        <v>50.715902031720596</v>
      </c>
      <c r="O81" s="8">
        <f>vals_co2_incLUC!$AE81</f>
        <v>47.504535608381474</v>
      </c>
      <c r="P81" s="8">
        <f>vals_co2_incLUC!$AK81</f>
        <v>49.072955810399804</v>
      </c>
      <c r="Q81" s="9">
        <f t="shared" si="23"/>
        <v>3.2210658118651239</v>
      </c>
      <c r="R81" s="9">
        <v>36.463000000000001</v>
      </c>
      <c r="S81" s="9">
        <v>49.011000000000003</v>
      </c>
    </row>
    <row r="82" spans="1:19" x14ac:dyDescent="0.35">
      <c r="A82" s="3">
        <f>vals_co2_incLUC!$A82</f>
        <v>1929</v>
      </c>
      <c r="B82" s="4">
        <f t="shared" si="16"/>
        <v>35.138457130574139</v>
      </c>
      <c r="C82" s="4">
        <f t="shared" si="17"/>
        <v>39.188717325523385</v>
      </c>
      <c r="D82" s="4">
        <f t="shared" si="18"/>
        <v>47.424717465999841</v>
      </c>
      <c r="E82" s="4">
        <f t="shared" si="19"/>
        <v>50.649989882680423</v>
      </c>
      <c r="F82" s="4">
        <f t="shared" si="20"/>
        <v>4.0502601949492458</v>
      </c>
      <c r="G82" s="4">
        <f t="shared" si="21"/>
        <v>0</v>
      </c>
      <c r="H82" s="4">
        <f t="shared" si="22"/>
        <v>8.236000140476456</v>
      </c>
      <c r="I82" s="5">
        <f>vals_co2_incLUC!$R82</f>
        <v>35.138457130574139</v>
      </c>
      <c r="J82" s="5">
        <f>vals_co2_incLUC!$X82</f>
        <v>39.188717325523385</v>
      </c>
      <c r="K82" s="5">
        <f>vals_co2_incLUC!$AD82</f>
        <v>35.14566472638235</v>
      </c>
      <c r="L82" s="5">
        <f>vals_co2_incLUC!$AJ82</f>
        <v>37.16300907883064</v>
      </c>
      <c r="M82" s="5">
        <f>vals_co2_incLUC!$S82</f>
        <v>47.424717465999841</v>
      </c>
      <c r="N82" s="5">
        <f>vals_co2_incLUC!$Y82</f>
        <v>50.649989882680423</v>
      </c>
      <c r="O82" s="5">
        <f>vals_co2_incLUC!$AE82</f>
        <v>47.434445228620376</v>
      </c>
      <c r="P82" s="5">
        <f>vals_co2_incLUC!$AK82</f>
        <v>49.007990601775951</v>
      </c>
      <c r="Q82" s="9">
        <f t="shared" si="23"/>
        <v>3.225272416680582</v>
      </c>
      <c r="R82" s="9">
        <v>36.390999999999998</v>
      </c>
      <c r="S82" s="9">
        <v>48.941000000000003</v>
      </c>
    </row>
    <row r="83" spans="1:19" x14ac:dyDescent="0.35">
      <c r="A83" s="6">
        <f>vals_co2_incLUC!$A83</f>
        <v>1930</v>
      </c>
      <c r="B83" s="7">
        <f t="shared" si="16"/>
        <v>35.066740952829996</v>
      </c>
      <c r="C83" s="7">
        <f t="shared" si="17"/>
        <v>39.105490127557324</v>
      </c>
      <c r="D83" s="7">
        <f t="shared" si="18"/>
        <v>47.347428451195348</v>
      </c>
      <c r="E83" s="7">
        <f t="shared" si="19"/>
        <v>50.574541841105528</v>
      </c>
      <c r="F83" s="7">
        <f t="shared" si="20"/>
        <v>4.0387491747273288</v>
      </c>
      <c r="G83" s="7">
        <f t="shared" si="21"/>
        <v>0</v>
      </c>
      <c r="H83" s="7">
        <f t="shared" si="22"/>
        <v>8.2419383236380241</v>
      </c>
      <c r="I83" s="8">
        <f>vals_co2_incLUC!$R83</f>
        <v>35.066740952829996</v>
      </c>
      <c r="J83" s="8">
        <f>vals_co2_incLUC!$X83</f>
        <v>39.105490127557324</v>
      </c>
      <c r="K83" s="8">
        <f>vals_co2_incLUC!$AD83</f>
        <v>35.07396677147991</v>
      </c>
      <c r="L83" s="8">
        <f>vals_co2_incLUC!$AJ83</f>
        <v>37.081759335541129</v>
      </c>
      <c r="M83" s="8">
        <f>vals_co2_incLUC!$S83</f>
        <v>47.347428451195348</v>
      </c>
      <c r="N83" s="8">
        <f>vals_co2_incLUC!$Y83</f>
        <v>50.574541841105528</v>
      </c>
      <c r="O83" s="8">
        <f>vals_co2_incLUC!$AE83</f>
        <v>47.35718482700991</v>
      </c>
      <c r="P83" s="8">
        <f>vals_co2_incLUC!$AK83</f>
        <v>48.935693561669659</v>
      </c>
      <c r="Q83" s="9">
        <f t="shared" si="23"/>
        <v>3.2271133899101798</v>
      </c>
      <c r="R83" s="9">
        <v>36.314</v>
      </c>
      <c r="S83" s="9">
        <v>48.863999999999997</v>
      </c>
    </row>
    <row r="84" spans="1:19" x14ac:dyDescent="0.35">
      <c r="A84" s="3">
        <f>vals_co2_incLUC!$A84</f>
        <v>1931</v>
      </c>
      <c r="B84" s="4">
        <f t="shared" si="16"/>
        <v>35.012352970059119</v>
      </c>
      <c r="C84" s="4">
        <f t="shared" si="17"/>
        <v>39.025611503966942</v>
      </c>
      <c r="D84" s="4">
        <f t="shared" si="18"/>
        <v>47.275763996254675</v>
      </c>
      <c r="E84" s="4">
        <f t="shared" si="19"/>
        <v>50.501298682077369</v>
      </c>
      <c r="F84" s="4">
        <f t="shared" si="20"/>
        <v>4.0132585339078233</v>
      </c>
      <c r="G84" s="4">
        <f t="shared" si="21"/>
        <v>0</v>
      </c>
      <c r="H84" s="4">
        <f t="shared" si="22"/>
        <v>8.2501524922877323</v>
      </c>
      <c r="I84" s="5">
        <f>vals_co2_incLUC!$R84</f>
        <v>35.012352970059119</v>
      </c>
      <c r="J84" s="5">
        <f>vals_co2_incLUC!$X84</f>
        <v>39.025611503966942</v>
      </c>
      <c r="K84" s="5">
        <f>vals_co2_incLUC!$AD84</f>
        <v>35.019599894502392</v>
      </c>
      <c r="L84" s="5">
        <f>vals_co2_incLUC!$AJ84</f>
        <v>37.011532423083779</v>
      </c>
      <c r="M84" s="5">
        <f>vals_co2_incLUC!$S84</f>
        <v>47.275763996254675</v>
      </c>
      <c r="N84" s="5">
        <f>vals_co2_incLUC!$Y84</f>
        <v>50.501298682077369</v>
      </c>
      <c r="O84" s="5">
        <f>vals_co2_incLUC!$AE84</f>
        <v>47.285549235837955</v>
      </c>
      <c r="P84" s="5">
        <f>vals_co2_incLUC!$AK84</f>
        <v>48.869872299364218</v>
      </c>
      <c r="Q84" s="9">
        <f t="shared" si="23"/>
        <v>3.2255346858226943</v>
      </c>
      <c r="R84" s="9">
        <v>36.250999999999998</v>
      </c>
      <c r="S84" s="9">
        <v>48.792000000000002</v>
      </c>
    </row>
    <row r="85" spans="1:19" x14ac:dyDescent="0.35">
      <c r="A85" s="6">
        <f>vals_co2_incLUC!$A85</f>
        <v>1932</v>
      </c>
      <c r="B85" s="7">
        <f t="shared" si="16"/>
        <v>34.973682297051511</v>
      </c>
      <c r="C85" s="7">
        <f t="shared" si="17"/>
        <v>38.961645835171829</v>
      </c>
      <c r="D85" s="7">
        <f t="shared" si="18"/>
        <v>47.212920190859137</v>
      </c>
      <c r="E85" s="7">
        <f t="shared" si="19"/>
        <v>50.440139833071655</v>
      </c>
      <c r="F85" s="7">
        <f t="shared" si="20"/>
        <v>3.9879635381203187</v>
      </c>
      <c r="G85" s="7">
        <f t="shared" si="21"/>
        <v>0</v>
      </c>
      <c r="H85" s="7">
        <f t="shared" si="22"/>
        <v>8.2512743556873076</v>
      </c>
      <c r="I85" s="8">
        <f>vals_co2_incLUC!$R85</f>
        <v>34.973682297051511</v>
      </c>
      <c r="J85" s="8">
        <f>vals_co2_incLUC!$X85</f>
        <v>38.961645835171829</v>
      </c>
      <c r="K85" s="8">
        <f>vals_co2_incLUC!$AD85</f>
        <v>34.98095270852491</v>
      </c>
      <c r="L85" s="8">
        <f>vals_co2_incLUC!$AJ85</f>
        <v>36.953647669055542</v>
      </c>
      <c r="M85" s="8">
        <f>vals_co2_incLUC!$S85</f>
        <v>47.212920190859137</v>
      </c>
      <c r="N85" s="8">
        <f>vals_co2_incLUC!$Y85</f>
        <v>50.440139833071655</v>
      </c>
      <c r="O85" s="8">
        <f>vals_co2_incLUC!$AE85</f>
        <v>47.222734934692248</v>
      </c>
      <c r="P85" s="8">
        <f>vals_co2_incLUC!$AK85</f>
        <v>48.81205381501298</v>
      </c>
      <c r="Q85" s="9">
        <f t="shared" si="23"/>
        <v>3.2272196422125177</v>
      </c>
      <c r="R85" s="9">
        <v>36.201999999999998</v>
      </c>
      <c r="S85" s="9">
        <v>48.728000000000002</v>
      </c>
    </row>
    <row r="86" spans="1:19" x14ac:dyDescent="0.35">
      <c r="A86" s="3">
        <f>vals_co2_incLUC!$A86</f>
        <v>1933</v>
      </c>
      <c r="B86" s="4">
        <f t="shared" si="16"/>
        <v>34.948489697695152</v>
      </c>
      <c r="C86" s="4">
        <f t="shared" si="17"/>
        <v>38.921988307757744</v>
      </c>
      <c r="D86" s="4">
        <f t="shared" si="18"/>
        <v>47.15867740580039</v>
      </c>
      <c r="E86" s="4">
        <f t="shared" si="19"/>
        <v>50.398671140323827</v>
      </c>
      <c r="F86" s="4">
        <f t="shared" si="20"/>
        <v>3.9734986100625918</v>
      </c>
      <c r="G86" s="4">
        <f t="shared" si="21"/>
        <v>0</v>
      </c>
      <c r="H86" s="4">
        <f t="shared" si="22"/>
        <v>8.2366890980426462</v>
      </c>
      <c r="I86" s="5">
        <f>vals_co2_incLUC!$R86</f>
        <v>34.948489697695152</v>
      </c>
      <c r="J86" s="5">
        <f>vals_co2_incLUC!$X86</f>
        <v>38.921988307757744</v>
      </c>
      <c r="K86" s="5">
        <f>vals_co2_incLUC!$AD86</f>
        <v>34.955785623859171</v>
      </c>
      <c r="L86" s="5">
        <f>vals_co2_incLUC!$AJ86</f>
        <v>36.907879280243385</v>
      </c>
      <c r="M86" s="5">
        <f>vals_co2_incLUC!$S86</f>
        <v>47.15867740580039</v>
      </c>
      <c r="N86" s="5">
        <f>vals_co2_incLUC!$Y86</f>
        <v>50.398671140323827</v>
      </c>
      <c r="O86" s="5">
        <f>vals_co2_incLUC!$AE86</f>
        <v>47.168522369431273</v>
      </c>
      <c r="P86" s="5">
        <f>vals_co2_incLUC!$AK86</f>
        <v>48.764376625147229</v>
      </c>
      <c r="Q86" s="9">
        <f t="shared" si="23"/>
        <v>3.2399937345234378</v>
      </c>
      <c r="R86" s="9">
        <v>36.167000000000002</v>
      </c>
      <c r="S86" s="9">
        <v>48.673000000000002</v>
      </c>
    </row>
    <row r="87" spans="1:19" x14ac:dyDescent="0.35">
      <c r="A87" s="6">
        <f>vals_co2_incLUC!$A87</f>
        <v>1934</v>
      </c>
      <c r="B87" s="7">
        <f t="shared" si="16"/>
        <v>34.921524828715171</v>
      </c>
      <c r="C87" s="7">
        <f t="shared" si="17"/>
        <v>38.879927843776876</v>
      </c>
      <c r="D87" s="7">
        <f t="shared" si="18"/>
        <v>47.102043768881174</v>
      </c>
      <c r="E87" s="7">
        <f t="shared" si="19"/>
        <v>50.354675855036902</v>
      </c>
      <c r="F87" s="7">
        <f t="shared" si="20"/>
        <v>3.9584030150617053</v>
      </c>
      <c r="G87" s="7">
        <f t="shared" si="21"/>
        <v>0</v>
      </c>
      <c r="H87" s="7">
        <f t="shared" si="22"/>
        <v>8.2221159251042977</v>
      </c>
      <c r="I87" s="8">
        <f>vals_co2_incLUC!$R87</f>
        <v>34.921524828715171</v>
      </c>
      <c r="J87" s="8">
        <f>vals_co2_incLUC!$X87</f>
        <v>38.879927843776876</v>
      </c>
      <c r="K87" s="8">
        <f>vals_co2_incLUC!$AD87</f>
        <v>34.928846467280515</v>
      </c>
      <c r="L87" s="8">
        <f>vals_co2_incLUC!$AJ87</f>
        <v>36.858307753216096</v>
      </c>
      <c r="M87" s="8">
        <f>vals_co2_incLUC!$S87</f>
        <v>47.102043768881174</v>
      </c>
      <c r="N87" s="8">
        <f>vals_co2_incLUC!$Y87</f>
        <v>50.354675855036902</v>
      </c>
      <c r="O87" s="8">
        <f>vals_co2_incLUC!$AE87</f>
        <v>47.11191918323582</v>
      </c>
      <c r="P87" s="8">
        <f>vals_co2_incLUC!$AK87</f>
        <v>48.713732283791728</v>
      </c>
      <c r="Q87" s="9">
        <f t="shared" si="23"/>
        <v>3.2526320861557281</v>
      </c>
      <c r="R87" s="9">
        <v>36.128</v>
      </c>
      <c r="S87" s="9">
        <v>48.615000000000002</v>
      </c>
    </row>
    <row r="88" spans="1:19" x14ac:dyDescent="0.35">
      <c r="A88" s="3">
        <f>vals_co2_incLUC!$A88</f>
        <v>1935</v>
      </c>
      <c r="B88" s="4">
        <f t="shared" si="16"/>
        <v>34.891844398546695</v>
      </c>
      <c r="C88" s="4">
        <f t="shared" si="17"/>
        <v>38.833300390794435</v>
      </c>
      <c r="D88" s="4">
        <f t="shared" si="18"/>
        <v>47.040497248014326</v>
      </c>
      <c r="E88" s="4">
        <f t="shared" si="19"/>
        <v>50.305222006955297</v>
      </c>
      <c r="F88" s="4">
        <f t="shared" si="20"/>
        <v>3.9414559922477395</v>
      </c>
      <c r="G88" s="4">
        <f t="shared" si="21"/>
        <v>0</v>
      </c>
      <c r="H88" s="4">
        <f t="shared" si="22"/>
        <v>8.2071968572198912</v>
      </c>
      <c r="I88" s="5">
        <f>vals_co2_incLUC!$R88</f>
        <v>34.891844398546695</v>
      </c>
      <c r="J88" s="5">
        <f>vals_co2_incLUC!$X88</f>
        <v>38.833300390794435</v>
      </c>
      <c r="K88" s="5">
        <f>vals_co2_incLUC!$AD88</f>
        <v>34.89919251080746</v>
      </c>
      <c r="L88" s="5">
        <f>vals_co2_incLUC!$AJ88</f>
        <v>36.804115015728748</v>
      </c>
      <c r="M88" s="5">
        <f>vals_co2_incLUC!$S88</f>
        <v>47.040497248014326</v>
      </c>
      <c r="N88" s="5">
        <f>vals_co2_incLUC!$Y88</f>
        <v>50.305222006955297</v>
      </c>
      <c r="O88" s="5">
        <f>vals_co2_incLUC!$AE88</f>
        <v>47.050403839483948</v>
      </c>
      <c r="P88" s="5">
        <f>vals_co2_incLUC!$AK88</f>
        <v>48.659205965497691</v>
      </c>
      <c r="Q88" s="9">
        <f t="shared" si="23"/>
        <v>3.2647247589409716</v>
      </c>
      <c r="R88" s="9">
        <v>36.085999999999999</v>
      </c>
      <c r="S88" s="9">
        <v>48.552</v>
      </c>
    </row>
    <row r="89" spans="1:19" x14ac:dyDescent="0.35">
      <c r="A89" s="6">
        <f>vals_co2_incLUC!$A89</f>
        <v>1936</v>
      </c>
      <c r="B89" s="7">
        <f t="shared" si="16"/>
        <v>34.861531602912592</v>
      </c>
      <c r="C89" s="7">
        <f t="shared" si="17"/>
        <v>38.7847166289448</v>
      </c>
      <c r="D89" s="7">
        <f t="shared" si="18"/>
        <v>46.974810116689866</v>
      </c>
      <c r="E89" s="7">
        <f t="shared" si="19"/>
        <v>50.253347918565794</v>
      </c>
      <c r="F89" s="7">
        <f t="shared" si="20"/>
        <v>3.9231850260322076</v>
      </c>
      <c r="G89" s="7">
        <f t="shared" si="21"/>
        <v>0</v>
      </c>
      <c r="H89" s="7">
        <f t="shared" si="22"/>
        <v>8.1900934877450666</v>
      </c>
      <c r="I89" s="8">
        <f>vals_co2_incLUC!$R89</f>
        <v>34.861531602912592</v>
      </c>
      <c r="J89" s="8">
        <f>vals_co2_incLUC!$X89</f>
        <v>38.7847166289448</v>
      </c>
      <c r="K89" s="8">
        <f>vals_co2_incLUC!$AD89</f>
        <v>34.868906646807986</v>
      </c>
      <c r="L89" s="8">
        <f>vals_co2_incLUC!$AJ89</f>
        <v>36.747423014120642</v>
      </c>
      <c r="M89" s="8">
        <f>vals_co2_incLUC!$S89</f>
        <v>46.974810116689866</v>
      </c>
      <c r="N89" s="8">
        <f>vals_co2_incLUC!$Y89</f>
        <v>50.253347918565794</v>
      </c>
      <c r="O89" s="8">
        <f>vals_co2_incLUC!$AE89</f>
        <v>46.984747766329029</v>
      </c>
      <c r="P89" s="8">
        <f>vals_co2_incLUC!$AK89</f>
        <v>48.599988705678143</v>
      </c>
      <c r="Q89" s="9">
        <f t="shared" si="23"/>
        <v>3.2785378018759275</v>
      </c>
      <c r="R89" s="9">
        <v>36.042999999999999</v>
      </c>
      <c r="S89" s="9">
        <v>48.484999999999999</v>
      </c>
    </row>
    <row r="90" spans="1:19" x14ac:dyDescent="0.35">
      <c r="A90" s="3">
        <f>vals_co2_incLUC!$A90</f>
        <v>1937</v>
      </c>
      <c r="B90" s="4">
        <f t="shared" si="16"/>
        <v>34.826549072767357</v>
      </c>
      <c r="C90" s="4">
        <f t="shared" si="17"/>
        <v>38.72972513256267</v>
      </c>
      <c r="D90" s="4">
        <f t="shared" si="18"/>
        <v>46.901187000521197</v>
      </c>
      <c r="E90" s="4">
        <f t="shared" si="19"/>
        <v>50.195201792385191</v>
      </c>
      <c r="F90" s="4">
        <f t="shared" si="20"/>
        <v>3.9031760597953138</v>
      </c>
      <c r="G90" s="4">
        <f t="shared" si="21"/>
        <v>0</v>
      </c>
      <c r="H90" s="4">
        <f t="shared" si="22"/>
        <v>8.1714618679585271</v>
      </c>
      <c r="I90" s="5">
        <f>vals_co2_incLUC!$R90</f>
        <v>34.826549072767357</v>
      </c>
      <c r="J90" s="5">
        <f>vals_co2_incLUC!$X90</f>
        <v>38.72972513256267</v>
      </c>
      <c r="K90" s="5">
        <f>vals_co2_incLUC!$AD90</f>
        <v>34.833951989525403</v>
      </c>
      <c r="L90" s="5">
        <f>vals_co2_incLUC!$AJ90</f>
        <v>36.684481330957226</v>
      </c>
      <c r="M90" s="5">
        <f>vals_co2_incLUC!$S90</f>
        <v>46.901187000521197</v>
      </c>
      <c r="N90" s="5">
        <f>vals_co2_incLUC!$Y90</f>
        <v>50.195201792385191</v>
      </c>
      <c r="O90" s="5">
        <f>vals_co2_incLUC!$AE90</f>
        <v>46.911156519168465</v>
      </c>
      <c r="P90" s="5">
        <f>vals_co2_incLUC!$AK90</f>
        <v>48.53297642853596</v>
      </c>
      <c r="Q90" s="9">
        <f t="shared" si="23"/>
        <v>3.2940147918639937</v>
      </c>
      <c r="R90" s="9">
        <v>35.994</v>
      </c>
      <c r="S90" s="9">
        <v>48.411000000000001</v>
      </c>
    </row>
    <row r="91" spans="1:19" x14ac:dyDescent="0.35">
      <c r="A91" s="6">
        <f>vals_co2_incLUC!$A91</f>
        <v>1938</v>
      </c>
      <c r="B91" s="7">
        <f t="shared" si="16"/>
        <v>34.787434347803107</v>
      </c>
      <c r="C91" s="7">
        <f t="shared" si="17"/>
        <v>38.670941900626559</v>
      </c>
      <c r="D91" s="7">
        <f t="shared" si="18"/>
        <v>46.82302049516894</v>
      </c>
      <c r="E91" s="7">
        <f t="shared" si="19"/>
        <v>50.134044518677776</v>
      </c>
      <c r="F91" s="7">
        <f t="shared" si="20"/>
        <v>3.8835075528234526</v>
      </c>
      <c r="G91" s="7">
        <f t="shared" si="21"/>
        <v>0</v>
      </c>
      <c r="H91" s="7">
        <f t="shared" si="22"/>
        <v>8.152078594542381</v>
      </c>
      <c r="I91" s="8">
        <f>vals_co2_incLUC!$R91</f>
        <v>34.787434347803107</v>
      </c>
      <c r="J91" s="8">
        <f>vals_co2_incLUC!$X91</f>
        <v>38.670941900626559</v>
      </c>
      <c r="K91" s="8">
        <f>vals_co2_incLUC!$AD91</f>
        <v>34.794865377191755</v>
      </c>
      <c r="L91" s="8">
        <f>vals_co2_incLUC!$AJ91</f>
        <v>36.615691852432569</v>
      </c>
      <c r="M91" s="8">
        <f>vals_co2_incLUC!$S91</f>
        <v>46.82302049516894</v>
      </c>
      <c r="N91" s="8">
        <f>vals_co2_incLUC!$Y91</f>
        <v>50.134044518677776</v>
      </c>
      <c r="O91" s="8">
        <f>vals_co2_incLUC!$AE91</f>
        <v>46.833022428210178</v>
      </c>
      <c r="P91" s="8">
        <f>vals_co2_incLUC!$AK91</f>
        <v>48.461325297541819</v>
      </c>
      <c r="Q91" s="9">
        <f t="shared" si="23"/>
        <v>3.3110240235088355</v>
      </c>
      <c r="R91" s="9">
        <v>35.941000000000003</v>
      </c>
      <c r="S91" s="9">
        <v>48.331000000000003</v>
      </c>
    </row>
    <row r="92" spans="1:19" x14ac:dyDescent="0.35">
      <c r="A92" s="3">
        <f>vals_co2_incLUC!$A92</f>
        <v>1939</v>
      </c>
      <c r="B92" s="4">
        <f t="shared" si="16"/>
        <v>34.758423864908323</v>
      </c>
      <c r="C92" s="4">
        <f t="shared" si="17"/>
        <v>38.62368121933617</v>
      </c>
      <c r="D92" s="4">
        <f t="shared" si="18"/>
        <v>46.750279735243808</v>
      </c>
      <c r="E92" s="4">
        <f t="shared" si="19"/>
        <v>50.081484632632701</v>
      </c>
      <c r="F92" s="4">
        <f t="shared" si="20"/>
        <v>3.8652573544278468</v>
      </c>
      <c r="G92" s="4">
        <f t="shared" si="21"/>
        <v>0</v>
      </c>
      <c r="H92" s="4">
        <f t="shared" si="22"/>
        <v>8.1265985159076379</v>
      </c>
      <c r="I92" s="5">
        <f>vals_co2_incLUC!$R92</f>
        <v>34.758423864908323</v>
      </c>
      <c r="J92" s="5">
        <f>vals_co2_incLUC!$X92</f>
        <v>38.62368121933617</v>
      </c>
      <c r="K92" s="5">
        <f>vals_co2_incLUC!$AD92</f>
        <v>34.765884671856227</v>
      </c>
      <c r="L92" s="5">
        <f>vals_co2_incLUC!$AJ92</f>
        <v>36.556283241307455</v>
      </c>
      <c r="M92" s="5">
        <f>vals_co2_incLUC!$S92</f>
        <v>46.750279735243808</v>
      </c>
      <c r="N92" s="5">
        <f>vals_co2_incLUC!$Y92</f>
        <v>50.081484632632701</v>
      </c>
      <c r="O92" s="5">
        <f>vals_co2_incLUC!$AE92</f>
        <v>46.760314515969952</v>
      </c>
      <c r="P92" s="5">
        <f>vals_co2_incLUC!$AK92</f>
        <v>48.396181070938773</v>
      </c>
      <c r="Q92" s="9">
        <f t="shared" si="23"/>
        <v>3.3312048973888935</v>
      </c>
      <c r="R92" s="9">
        <v>35.898000000000003</v>
      </c>
      <c r="S92" s="9">
        <v>48.258000000000003</v>
      </c>
    </row>
    <row r="93" spans="1:19" x14ac:dyDescent="0.35">
      <c r="A93" s="6">
        <f>vals_co2_incLUC!$A93</f>
        <v>1940</v>
      </c>
      <c r="B93" s="7">
        <f t="shared" si="16"/>
        <v>34.724683700176911</v>
      </c>
      <c r="C93" s="7">
        <f t="shared" si="17"/>
        <v>38.56997285087288</v>
      </c>
      <c r="D93" s="7">
        <f t="shared" si="18"/>
        <v>46.673116538067916</v>
      </c>
      <c r="E93" s="7">
        <f t="shared" si="19"/>
        <v>50.024529197680799</v>
      </c>
      <c r="F93" s="7">
        <f t="shared" si="20"/>
        <v>3.8452891506959688</v>
      </c>
      <c r="G93" s="7">
        <f t="shared" si="21"/>
        <v>0</v>
      </c>
      <c r="H93" s="7">
        <f t="shared" si="22"/>
        <v>8.1031436871950362</v>
      </c>
      <c r="I93" s="8">
        <f>vals_co2_incLUC!$R93</f>
        <v>34.724683700176911</v>
      </c>
      <c r="J93" s="8">
        <f>vals_co2_incLUC!$X93</f>
        <v>38.56997285087288</v>
      </c>
      <c r="K93" s="8">
        <f>vals_co2_incLUC!$AD93</f>
        <v>34.732174245109</v>
      </c>
      <c r="L93" s="8">
        <f>vals_co2_incLUC!$AJ93</f>
        <v>36.490635135326805</v>
      </c>
      <c r="M93" s="8">
        <f>vals_co2_incLUC!$S93</f>
        <v>46.673116538067916</v>
      </c>
      <c r="N93" s="8">
        <f>vals_co2_incLUC!$Y93</f>
        <v>50.024529197680799</v>
      </c>
      <c r="O93" s="8">
        <f>vals_co2_incLUC!$AE93</f>
        <v>46.6831844606874</v>
      </c>
      <c r="P93" s="8">
        <f>vals_co2_incLUC!$AK93</f>
        <v>48.326799626085254</v>
      </c>
      <c r="Q93" s="9">
        <f t="shared" si="23"/>
        <v>3.3514126596128833</v>
      </c>
      <c r="R93" s="9">
        <v>35.848999999999997</v>
      </c>
      <c r="S93" s="9">
        <v>48.18</v>
      </c>
    </row>
    <row r="94" spans="1:19" x14ac:dyDescent="0.35">
      <c r="A94" s="3">
        <f>vals_co2_incLUC!$A94</f>
        <v>1941</v>
      </c>
      <c r="B94" s="4">
        <f t="shared" si="16"/>
        <v>34.690686110595855</v>
      </c>
      <c r="C94" s="4">
        <f t="shared" si="17"/>
        <v>38.517237226743717</v>
      </c>
      <c r="D94" s="4">
        <f t="shared" si="18"/>
        <v>46.609153636304427</v>
      </c>
      <c r="E94" s="4">
        <f t="shared" si="19"/>
        <v>49.960206601390546</v>
      </c>
      <c r="F94" s="4">
        <f t="shared" si="20"/>
        <v>3.8265511161478614</v>
      </c>
      <c r="G94" s="4">
        <f t="shared" si="21"/>
        <v>0</v>
      </c>
      <c r="H94" s="4">
        <f t="shared" si="22"/>
        <v>8.0919164095607101</v>
      </c>
      <c r="I94" s="5">
        <f>vals_co2_incLUC!$R94</f>
        <v>34.690686110595855</v>
      </c>
      <c r="J94" s="5">
        <f>vals_co2_incLUC!$X94</f>
        <v>38.517237226743717</v>
      </c>
      <c r="K94" s="5">
        <f>vals_co2_incLUC!$AD94</f>
        <v>34.698208658023837</v>
      </c>
      <c r="L94" s="5">
        <f>vals_co2_incLUC!$AJ94</f>
        <v>36.423417115681147</v>
      </c>
      <c r="M94" s="5">
        <f>vals_co2_incLUC!$S94</f>
        <v>46.609153636304427</v>
      </c>
      <c r="N94" s="5">
        <f>vals_co2_incLUC!$Y94</f>
        <v>49.960206601390546</v>
      </c>
      <c r="O94" s="5">
        <f>vals_co2_incLUC!$AE94</f>
        <v>46.619260551705061</v>
      </c>
      <c r="P94" s="5">
        <f>vals_co2_incLUC!$AK94</f>
        <v>48.254373974128001</v>
      </c>
      <c r="Q94" s="9">
        <f t="shared" si="23"/>
        <v>3.3510529650861187</v>
      </c>
      <c r="R94" s="9">
        <v>35.799999999999997</v>
      </c>
      <c r="S94" s="9">
        <v>48.109000000000002</v>
      </c>
    </row>
    <row r="95" spans="1:19" x14ac:dyDescent="0.35">
      <c r="A95" s="6">
        <f>vals_co2_incLUC!$A95</f>
        <v>1942</v>
      </c>
      <c r="B95" s="7">
        <f t="shared" si="16"/>
        <v>34.652604590971613</v>
      </c>
      <c r="C95" s="7">
        <f t="shared" si="17"/>
        <v>38.456836511327722</v>
      </c>
      <c r="D95" s="7">
        <f t="shared" si="18"/>
        <v>46.553482611933944</v>
      </c>
      <c r="E95" s="7">
        <f t="shared" si="19"/>
        <v>49.894734640842906</v>
      </c>
      <c r="F95" s="7">
        <f t="shared" si="20"/>
        <v>3.8042319203561092</v>
      </c>
      <c r="G95" s="7">
        <f t="shared" si="21"/>
        <v>0</v>
      </c>
      <c r="H95" s="7">
        <f t="shared" si="22"/>
        <v>8.0966461006062218</v>
      </c>
      <c r="I95" s="8">
        <f>vals_co2_incLUC!$R95</f>
        <v>34.652604590971613</v>
      </c>
      <c r="J95" s="8">
        <f>vals_co2_incLUC!$X95</f>
        <v>38.456836511327722</v>
      </c>
      <c r="K95" s="8">
        <f>vals_co2_incLUC!$AD95</f>
        <v>34.660159457703784</v>
      </c>
      <c r="L95" s="8">
        <f>vals_co2_incLUC!$AJ95</f>
        <v>36.352352213138168</v>
      </c>
      <c r="M95" s="8">
        <f>vals_co2_incLUC!$S95</f>
        <v>46.553482611933944</v>
      </c>
      <c r="N95" s="8">
        <f>vals_co2_incLUC!$Y95</f>
        <v>49.894734640842906</v>
      </c>
      <c r="O95" s="8">
        <f>vals_co2_incLUC!$AE95</f>
        <v>46.563631967443072</v>
      </c>
      <c r="P95" s="8">
        <f>vals_co2_incLUC!$AK95</f>
        <v>48.183979851734392</v>
      </c>
      <c r="Q95" s="9">
        <f t="shared" si="23"/>
        <v>3.3412520289089613</v>
      </c>
      <c r="R95" s="9">
        <v>35.746000000000002</v>
      </c>
      <c r="S95" s="9">
        <v>48.043999999999997</v>
      </c>
    </row>
    <row r="96" spans="1:19" x14ac:dyDescent="0.35">
      <c r="A96" s="3">
        <f>vals_co2_incLUC!$A96</f>
        <v>1943</v>
      </c>
      <c r="B96" s="4">
        <f t="shared" si="16"/>
        <v>34.606521476790959</v>
      </c>
      <c r="C96" s="4">
        <f t="shared" si="17"/>
        <v>38.386548767321017</v>
      </c>
      <c r="D96" s="4">
        <f t="shared" si="18"/>
        <v>46.504128443565207</v>
      </c>
      <c r="E96" s="4">
        <f t="shared" si="19"/>
        <v>49.826511198069561</v>
      </c>
      <c r="F96" s="4">
        <f t="shared" si="20"/>
        <v>3.7800272905300574</v>
      </c>
      <c r="G96" s="4">
        <f t="shared" si="21"/>
        <v>0</v>
      </c>
      <c r="H96" s="4">
        <f t="shared" si="22"/>
        <v>8.1175796762441905</v>
      </c>
      <c r="I96" s="5">
        <f>vals_co2_incLUC!$R96</f>
        <v>34.606521476790959</v>
      </c>
      <c r="J96" s="5">
        <f>vals_co2_incLUC!$X96</f>
        <v>38.386548767321017</v>
      </c>
      <c r="K96" s="5">
        <f>vals_co2_incLUC!$AD96</f>
        <v>34.614107254893682</v>
      </c>
      <c r="L96" s="5">
        <f>vals_co2_incLUC!$AJ96</f>
        <v>36.273386208550527</v>
      </c>
      <c r="M96" s="5">
        <f>vals_co2_incLUC!$S96</f>
        <v>46.504128443565207</v>
      </c>
      <c r="N96" s="5">
        <f>vals_co2_incLUC!$Y96</f>
        <v>49.826511198069561</v>
      </c>
      <c r="O96" s="5">
        <f>vals_co2_incLUC!$AE96</f>
        <v>46.514322077917889</v>
      </c>
      <c r="P96" s="5">
        <f>vals_co2_incLUC!$AK96</f>
        <v>48.115452082329668</v>
      </c>
      <c r="Q96" s="9">
        <f t="shared" si="23"/>
        <v>3.3223827545043534</v>
      </c>
      <c r="R96" s="9">
        <v>35.685000000000002</v>
      </c>
      <c r="S96" s="9">
        <v>47.982999999999997</v>
      </c>
    </row>
    <row r="97" spans="1:19" x14ac:dyDescent="0.35">
      <c r="A97" s="6">
        <f>vals_co2_incLUC!$A97</f>
        <v>1944</v>
      </c>
      <c r="B97" s="7">
        <f t="shared" si="16"/>
        <v>34.558546164425039</v>
      </c>
      <c r="C97" s="7">
        <f t="shared" si="17"/>
        <v>38.319089432584228</v>
      </c>
      <c r="D97" s="7">
        <f t="shared" si="18"/>
        <v>46.457727543533558</v>
      </c>
      <c r="E97" s="7">
        <f t="shared" si="19"/>
        <v>49.757942813656349</v>
      </c>
      <c r="F97" s="7">
        <f t="shared" si="20"/>
        <v>3.7605432681591893</v>
      </c>
      <c r="G97" s="7">
        <f t="shared" si="21"/>
        <v>0</v>
      </c>
      <c r="H97" s="7">
        <f t="shared" si="22"/>
        <v>8.13863811094933</v>
      </c>
      <c r="I97" s="8">
        <f>vals_co2_incLUC!$R97</f>
        <v>34.558546164425039</v>
      </c>
      <c r="J97" s="8">
        <f>vals_co2_incLUC!$X97</f>
        <v>38.319089432584228</v>
      </c>
      <c r="K97" s="8">
        <f>vals_co2_incLUC!$AD97</f>
        <v>34.566163138771614</v>
      </c>
      <c r="L97" s="8">
        <f>vals_co2_incLUC!$AJ97</f>
        <v>36.193545823225826</v>
      </c>
      <c r="M97" s="8">
        <f>vals_co2_incLUC!$S97</f>
        <v>46.457727543533558</v>
      </c>
      <c r="N97" s="8">
        <f>vals_co2_incLUC!$Y97</f>
        <v>49.757942813656349</v>
      </c>
      <c r="O97" s="8">
        <f>vals_co2_incLUC!$AE97</f>
        <v>46.467967080893047</v>
      </c>
      <c r="P97" s="8">
        <f>vals_co2_incLUC!$AK97</f>
        <v>48.046563204206898</v>
      </c>
      <c r="Q97" s="9">
        <f t="shared" si="23"/>
        <v>3.3002152701227914</v>
      </c>
      <c r="R97" s="9">
        <v>35.622</v>
      </c>
      <c r="S97" s="9">
        <v>47.923999999999999</v>
      </c>
    </row>
    <row r="98" spans="1:19" x14ac:dyDescent="0.35">
      <c r="A98" s="3">
        <f>vals_co2_incLUC!$A98</f>
        <v>1945</v>
      </c>
      <c r="B98" s="4">
        <f t="shared" si="16"/>
        <v>34.510450905202823</v>
      </c>
      <c r="C98" s="4">
        <f t="shared" si="17"/>
        <v>38.253521603261945</v>
      </c>
      <c r="D98" s="4">
        <f t="shared" si="18"/>
        <v>46.415201981415272</v>
      </c>
      <c r="E98" s="4">
        <f t="shared" si="19"/>
        <v>49.694943822922426</v>
      </c>
      <c r="F98" s="4">
        <f t="shared" si="20"/>
        <v>3.7430706980591211</v>
      </c>
      <c r="G98" s="4">
        <f t="shared" si="21"/>
        <v>0</v>
      </c>
      <c r="H98" s="4">
        <f t="shared" si="22"/>
        <v>8.1616803781533278</v>
      </c>
      <c r="I98" s="5">
        <f>vals_co2_incLUC!$R98</f>
        <v>34.510450905202823</v>
      </c>
      <c r="J98" s="5">
        <f>vals_co2_incLUC!$X98</f>
        <v>38.253521603261945</v>
      </c>
      <c r="K98" s="5">
        <f>vals_co2_incLUC!$AD98</f>
        <v>34.518099423031821</v>
      </c>
      <c r="L98" s="5">
        <f>vals_co2_incLUC!$AJ98</f>
        <v>36.114897908637936</v>
      </c>
      <c r="M98" s="5">
        <f>vals_co2_incLUC!$S98</f>
        <v>46.415201981415272</v>
      </c>
      <c r="N98" s="5">
        <f>vals_co2_incLUC!$Y98</f>
        <v>49.694943822922426</v>
      </c>
      <c r="O98" s="5">
        <f>vals_co2_incLUC!$AE98</f>
        <v>46.425488827092806</v>
      </c>
      <c r="P98" s="5">
        <f>vals_co2_incLUC!$AK98</f>
        <v>47.97824312171047</v>
      </c>
      <c r="Q98" s="9">
        <f t="shared" si="23"/>
        <v>3.2797418415071533</v>
      </c>
      <c r="R98" s="9">
        <v>35.558</v>
      </c>
      <c r="S98" s="9">
        <v>47.866999999999997</v>
      </c>
    </row>
    <row r="99" spans="1:19" x14ac:dyDescent="0.35">
      <c r="A99" s="6">
        <f>vals_co2_incLUC!$A99</f>
        <v>1946</v>
      </c>
      <c r="B99" s="7">
        <f t="shared" ref="B99:B130" si="24">IFERROR(_xlfn.AGGREGATE(5,6,I99:L99),"")</f>
        <v>34.479363885344014</v>
      </c>
      <c r="C99" s="7">
        <f t="shared" ref="C99:C130" si="25">IFERROR(_xlfn.AGGREGATE(4,6,I99:L99),"")</f>
        <v>38.210417181996043</v>
      </c>
      <c r="D99" s="7">
        <f t="shared" ref="D99:D130" si="26">IFERROR(_xlfn.AGGREGATE(5,6,M99:P99),"")</f>
        <v>46.395460134039681</v>
      </c>
      <c r="E99" s="7">
        <f t="shared" ref="E99:E130" si="27">IFERROR(_xlfn.AGGREGATE(4,6,M99:P99),"")</f>
        <v>49.659137830729676</v>
      </c>
      <c r="F99" s="7">
        <f t="shared" ref="F99:F130" si="28">IFERROR(MIN(C99,D99)-B99,"")</f>
        <v>3.7310532966520285</v>
      </c>
      <c r="G99" s="7">
        <f t="shared" ref="G99:G130" si="29">IFERROR(MAX(0,C99-D99),"")</f>
        <v>0</v>
      </c>
      <c r="H99" s="7">
        <f t="shared" ref="H99:H130" si="30">IFERROR(MAX(0,D99-C99),"")</f>
        <v>8.1850429520436379</v>
      </c>
      <c r="I99" s="8">
        <f>vals_co2_incLUC!$R99</f>
        <v>34.479363885344014</v>
      </c>
      <c r="J99" s="8">
        <f>vals_co2_incLUC!$X99</f>
        <v>38.210417181996043</v>
      </c>
      <c r="K99" s="8">
        <f>vals_co2_incLUC!$AD99</f>
        <v>34.48704506421516</v>
      </c>
      <c r="L99" s="8">
        <f>vals_co2_incLUC!$AJ99</f>
        <v>36.055183979408682</v>
      </c>
      <c r="M99" s="8">
        <f>vals_co2_incLUC!$S99</f>
        <v>46.395460134039681</v>
      </c>
      <c r="N99" s="8">
        <f>vals_co2_incLUC!$Y99</f>
        <v>49.659137830729676</v>
      </c>
      <c r="O99" s="8">
        <f>vals_co2_incLUC!$AE99</f>
        <v>46.405795823198673</v>
      </c>
      <c r="P99" s="8">
        <f>vals_co2_incLUC!$AK99</f>
        <v>47.930160673562661</v>
      </c>
      <c r="Q99" s="9">
        <f t="shared" ref="Q99:Q130" si="31">IFERROR(MAX(0,$E99-MAX($C99,$D99)),"")</f>
        <v>3.2636776966899959</v>
      </c>
      <c r="R99" s="9">
        <v>35.512999999999998</v>
      </c>
      <c r="S99" s="9">
        <v>47.832000000000001</v>
      </c>
    </row>
    <row r="100" spans="1:19" x14ac:dyDescent="0.35">
      <c r="A100" s="3">
        <f>vals_co2_incLUC!$A100</f>
        <v>1947</v>
      </c>
      <c r="B100" s="4">
        <f t="shared" si="24"/>
        <v>34.443193369534278</v>
      </c>
      <c r="C100" s="4">
        <f t="shared" si="25"/>
        <v>38.169868623236184</v>
      </c>
      <c r="D100" s="4">
        <f t="shared" si="26"/>
        <v>46.372852770590079</v>
      </c>
      <c r="E100" s="4">
        <f t="shared" si="27"/>
        <v>49.625713937355435</v>
      </c>
      <c r="F100" s="4">
        <f t="shared" si="28"/>
        <v>3.7266752537019059</v>
      </c>
      <c r="G100" s="4">
        <f t="shared" si="29"/>
        <v>0</v>
      </c>
      <c r="H100" s="4">
        <f t="shared" si="30"/>
        <v>8.2029841473538951</v>
      </c>
      <c r="I100" s="5">
        <f>vals_co2_incLUC!$R100</f>
        <v>34.443193369534278</v>
      </c>
      <c r="J100" s="5">
        <f>vals_co2_incLUC!$X100</f>
        <v>38.169868623236184</v>
      </c>
      <c r="K100" s="5">
        <f>vals_co2_incLUC!$AD100</f>
        <v>34.450907360521988</v>
      </c>
      <c r="L100" s="5">
        <f>vals_co2_incLUC!$AJ100</f>
        <v>35.991309932033168</v>
      </c>
      <c r="M100" s="5">
        <f>vals_co2_incLUC!$S100</f>
        <v>46.372852770590079</v>
      </c>
      <c r="N100" s="5">
        <f>vals_co2_incLUC!$Y100</f>
        <v>49.625713937355435</v>
      </c>
      <c r="O100" s="5">
        <f>vals_co2_incLUC!$AE100</f>
        <v>46.383238448221007</v>
      </c>
      <c r="P100" s="5">
        <f>vals_co2_incLUC!$AK100</f>
        <v>47.876024370960003</v>
      </c>
      <c r="Q100" s="9">
        <f t="shared" si="31"/>
        <v>3.2528611667653564</v>
      </c>
      <c r="R100" s="9">
        <v>35.462000000000003</v>
      </c>
      <c r="S100" s="9">
        <v>47.792000000000002</v>
      </c>
    </row>
    <row r="101" spans="1:19" x14ac:dyDescent="0.35">
      <c r="A101" s="6">
        <f>vals_co2_incLUC!$A101</f>
        <v>1948</v>
      </c>
      <c r="B101" s="7">
        <f t="shared" si="24"/>
        <v>34.395019124767281</v>
      </c>
      <c r="C101" s="7">
        <f t="shared" si="25"/>
        <v>38.114924949841765</v>
      </c>
      <c r="D101" s="7">
        <f t="shared" si="26"/>
        <v>46.342801484522305</v>
      </c>
      <c r="E101" s="7">
        <f t="shared" si="27"/>
        <v>49.578657283999782</v>
      </c>
      <c r="F101" s="7">
        <f t="shared" si="28"/>
        <v>3.7199058250744841</v>
      </c>
      <c r="G101" s="7">
        <f t="shared" si="29"/>
        <v>0</v>
      </c>
      <c r="H101" s="7">
        <f t="shared" si="30"/>
        <v>8.22787653468054</v>
      </c>
      <c r="I101" s="8">
        <f>vals_co2_incLUC!$R101</f>
        <v>34.395019124767281</v>
      </c>
      <c r="J101" s="8">
        <f>vals_co2_incLUC!$X101</f>
        <v>38.114924949841765</v>
      </c>
      <c r="K101" s="8">
        <f>vals_co2_incLUC!$AD101</f>
        <v>34.402765300336362</v>
      </c>
      <c r="L101" s="8">
        <f>vals_co2_incLUC!$AJ101</f>
        <v>35.91623941832659</v>
      </c>
      <c r="M101" s="8">
        <f>vals_co2_incLUC!$S101</f>
        <v>46.342801484522305</v>
      </c>
      <c r="N101" s="8">
        <f>vals_co2_incLUC!$Y101</f>
        <v>49.578657283999782</v>
      </c>
      <c r="O101" s="8">
        <f>vals_co2_incLUC!$AE101</f>
        <v>46.353238332440903</v>
      </c>
      <c r="P101" s="8">
        <f>vals_co2_incLUC!$AK101</f>
        <v>47.811950388763194</v>
      </c>
      <c r="Q101" s="9">
        <f t="shared" si="31"/>
        <v>3.235855799477477</v>
      </c>
      <c r="R101" s="9">
        <v>35.4</v>
      </c>
      <c r="S101" s="9">
        <v>47.744999999999997</v>
      </c>
    </row>
    <row r="102" spans="1:19" x14ac:dyDescent="0.35">
      <c r="A102" s="3">
        <f>vals_co2_incLUC!$A102</f>
        <v>1949</v>
      </c>
      <c r="B102" s="4">
        <f t="shared" si="24"/>
        <v>34.338764036197119</v>
      </c>
      <c r="C102" s="4">
        <f t="shared" si="25"/>
        <v>38.053936144186459</v>
      </c>
      <c r="D102" s="4">
        <f t="shared" si="26"/>
        <v>46.308645645260526</v>
      </c>
      <c r="E102" s="4">
        <f t="shared" si="27"/>
        <v>49.525824117774782</v>
      </c>
      <c r="F102" s="4">
        <f t="shared" si="28"/>
        <v>3.7151721079893392</v>
      </c>
      <c r="G102" s="4">
        <f t="shared" si="29"/>
        <v>0</v>
      </c>
      <c r="H102" s="4">
        <f t="shared" si="30"/>
        <v>8.2547095010740676</v>
      </c>
      <c r="I102" s="5">
        <f>vals_co2_incLUC!$R102</f>
        <v>34.338764036197119</v>
      </c>
      <c r="J102" s="5">
        <f>vals_co2_incLUC!$X102</f>
        <v>38.053936144186459</v>
      </c>
      <c r="K102" s="5">
        <f>vals_co2_incLUC!$AD102</f>
        <v>34.34654174064363</v>
      </c>
      <c r="L102" s="5">
        <f>vals_co2_incLUC!$AJ102</f>
        <v>35.833809010088878</v>
      </c>
      <c r="M102" s="5">
        <f>vals_co2_incLUC!$S102</f>
        <v>46.308645645260526</v>
      </c>
      <c r="N102" s="5">
        <f>vals_co2_incLUC!$Y102</f>
        <v>49.525824117774782</v>
      </c>
      <c r="O102" s="5">
        <f>vals_co2_incLUC!$AE102</f>
        <v>46.319134404739046</v>
      </c>
      <c r="P102" s="5">
        <f>vals_co2_incLUC!$AK102</f>
        <v>47.741651220484982</v>
      </c>
      <c r="Q102" s="9">
        <f t="shared" si="31"/>
        <v>3.2171784725142558</v>
      </c>
      <c r="R102" s="9">
        <v>35.33</v>
      </c>
      <c r="S102" s="9">
        <v>47.692</v>
      </c>
    </row>
    <row r="103" spans="1:19" x14ac:dyDescent="0.35">
      <c r="A103" s="6">
        <f>vals_co2_incLUC!$A103</f>
        <v>1950</v>
      </c>
      <c r="B103" s="7">
        <f t="shared" si="24"/>
        <v>34.294253553987375</v>
      </c>
      <c r="C103" s="7">
        <f t="shared" si="25"/>
        <v>38.009293326358858</v>
      </c>
      <c r="D103" s="7">
        <f t="shared" si="26"/>
        <v>46.285592714782013</v>
      </c>
      <c r="E103" s="7">
        <f t="shared" si="27"/>
        <v>49.483386786326896</v>
      </c>
      <c r="F103" s="7">
        <f t="shared" si="28"/>
        <v>3.7150397723714832</v>
      </c>
      <c r="G103" s="7">
        <f t="shared" si="29"/>
        <v>0</v>
      </c>
      <c r="H103" s="7">
        <f t="shared" si="30"/>
        <v>8.2762993884231548</v>
      </c>
      <c r="I103" s="8">
        <f>vals_co2_incLUC!$R103</f>
        <v>34.294253553987375</v>
      </c>
      <c r="J103" s="8">
        <f>vals_co2_incLUC!$X103</f>
        <v>38.009293326358858</v>
      </c>
      <c r="K103" s="8">
        <f>vals_co2_incLUC!$AD103</f>
        <v>34.302064537375543</v>
      </c>
      <c r="L103" s="8">
        <f>vals_co2_incLUC!$AJ103</f>
        <v>35.76332191939629</v>
      </c>
      <c r="M103" s="8">
        <f>vals_co2_incLUC!$S103</f>
        <v>46.285592714782013</v>
      </c>
      <c r="N103" s="8">
        <f>vals_co2_incLUC!$Y103</f>
        <v>49.483386786326896</v>
      </c>
      <c r="O103" s="8">
        <f>vals_co2_incLUC!$AE103</f>
        <v>46.296134837319229</v>
      </c>
      <c r="P103" s="8">
        <f>vals_co2_incLUC!$AK103</f>
        <v>47.679288106749873</v>
      </c>
      <c r="Q103" s="9">
        <f t="shared" si="31"/>
        <v>3.1977940715448838</v>
      </c>
      <c r="R103" s="9">
        <v>35.271999999999998</v>
      </c>
      <c r="S103" s="9">
        <v>47.649000000000001</v>
      </c>
    </row>
    <row r="104" spans="1:19" x14ac:dyDescent="0.35">
      <c r="A104" s="3">
        <f>vals_co2_incLUC!$A104</f>
        <v>1951</v>
      </c>
      <c r="B104" s="4">
        <f t="shared" si="24"/>
        <v>34.257703333250419</v>
      </c>
      <c r="C104" s="4">
        <f t="shared" si="25"/>
        <v>37.947881111865762</v>
      </c>
      <c r="D104" s="4">
        <f t="shared" si="26"/>
        <v>46.265055047581541</v>
      </c>
      <c r="E104" s="4">
        <f t="shared" si="27"/>
        <v>49.423221796059643</v>
      </c>
      <c r="F104" s="4">
        <f t="shared" si="28"/>
        <v>3.6901777786153431</v>
      </c>
      <c r="G104" s="4">
        <f t="shared" si="29"/>
        <v>0</v>
      </c>
      <c r="H104" s="4">
        <f t="shared" si="30"/>
        <v>8.317173935715779</v>
      </c>
      <c r="I104" s="5">
        <f>vals_co2_incLUC!$R104</f>
        <v>34.257703333250419</v>
      </c>
      <c r="J104" s="5">
        <f>vals_co2_incLUC!$X104</f>
        <v>37.947881111865762</v>
      </c>
      <c r="K104" s="5">
        <f>vals_co2_incLUC!$AD104</f>
        <v>34.265556884942256</v>
      </c>
      <c r="L104" s="5">
        <f>vals_co2_incLUC!$AJ104</f>
        <v>35.68974779322339</v>
      </c>
      <c r="M104" s="5">
        <f>vals_co2_incLUC!$S104</f>
        <v>46.265055047581541</v>
      </c>
      <c r="N104" s="5">
        <f>vals_co2_incLUC!$Y104</f>
        <v>49.423221796059643</v>
      </c>
      <c r="O104" s="5">
        <f>vals_co2_incLUC!$AE104</f>
        <v>46.275661222999794</v>
      </c>
      <c r="P104" s="5">
        <f>vals_co2_incLUC!$AK104</f>
        <v>47.611625411057318</v>
      </c>
      <c r="Q104" s="9">
        <f t="shared" si="31"/>
        <v>3.1581667484781022</v>
      </c>
      <c r="R104" s="9">
        <v>35.216999999999999</v>
      </c>
      <c r="S104" s="9">
        <v>47.606000000000002</v>
      </c>
    </row>
    <row r="105" spans="1:19" x14ac:dyDescent="0.35">
      <c r="A105" s="6">
        <f>vals_co2_incLUC!$A105</f>
        <v>1952</v>
      </c>
      <c r="B105" s="7">
        <f t="shared" si="24"/>
        <v>34.22736376409776</v>
      </c>
      <c r="C105" s="7">
        <f t="shared" si="25"/>
        <v>37.886675888312205</v>
      </c>
      <c r="D105" s="7">
        <f t="shared" si="26"/>
        <v>46.246441355094589</v>
      </c>
      <c r="E105" s="7">
        <f t="shared" si="27"/>
        <v>49.346012938746405</v>
      </c>
      <c r="F105" s="7">
        <f t="shared" si="28"/>
        <v>3.6593121242144449</v>
      </c>
      <c r="G105" s="7">
        <f t="shared" si="29"/>
        <v>0</v>
      </c>
      <c r="H105" s="7">
        <f t="shared" si="30"/>
        <v>8.3597654667823846</v>
      </c>
      <c r="I105" s="8">
        <f>vals_co2_incLUC!$R105</f>
        <v>34.22736376409776</v>
      </c>
      <c r="J105" s="8">
        <f>vals_co2_incLUC!$X105</f>
        <v>37.886675888312205</v>
      </c>
      <c r="K105" s="8">
        <f>vals_co2_incLUC!$AD105</f>
        <v>34.235266075874328</v>
      </c>
      <c r="L105" s="8">
        <f>vals_co2_incLUC!$AJ105</f>
        <v>35.617965133571239</v>
      </c>
      <c r="M105" s="8">
        <f>vals_co2_incLUC!$S105</f>
        <v>46.246441355094589</v>
      </c>
      <c r="N105" s="8">
        <f>vals_co2_incLUC!$Y105</f>
        <v>49.346012938746405</v>
      </c>
      <c r="O105" s="8">
        <f>vals_co2_incLUC!$AE105</f>
        <v>46.257118542878686</v>
      </c>
      <c r="P105" s="8">
        <f>vals_co2_incLUC!$AK105</f>
        <v>47.543931208667594</v>
      </c>
      <c r="Q105" s="9">
        <f t="shared" si="31"/>
        <v>3.0995715836518158</v>
      </c>
      <c r="R105" s="9">
        <v>35.167000000000002</v>
      </c>
      <c r="S105" s="9">
        <v>47.564</v>
      </c>
    </row>
    <row r="106" spans="1:19" x14ac:dyDescent="0.35">
      <c r="A106" s="3">
        <f>vals_co2_incLUC!$A106</f>
        <v>1953</v>
      </c>
      <c r="B106" s="4">
        <f t="shared" si="24"/>
        <v>34.200295600480466</v>
      </c>
      <c r="C106" s="4">
        <f t="shared" si="25"/>
        <v>37.839474087677907</v>
      </c>
      <c r="D106" s="4">
        <f t="shared" si="26"/>
        <v>46.225241742629535</v>
      </c>
      <c r="E106" s="4">
        <f t="shared" si="27"/>
        <v>49.275176085388452</v>
      </c>
      <c r="F106" s="4">
        <f t="shared" si="28"/>
        <v>3.6391784871974409</v>
      </c>
      <c r="G106" s="4">
        <f t="shared" si="29"/>
        <v>0</v>
      </c>
      <c r="H106" s="4">
        <f t="shared" si="30"/>
        <v>8.3857676549516285</v>
      </c>
      <c r="I106" s="5">
        <f>vals_co2_incLUC!$R106</f>
        <v>34.200295600480466</v>
      </c>
      <c r="J106" s="5">
        <f>vals_co2_incLUC!$X106</f>
        <v>37.839474087677907</v>
      </c>
      <c r="K106" s="5">
        <f>vals_co2_incLUC!$AD106</f>
        <v>34.208248814332102</v>
      </c>
      <c r="L106" s="5">
        <f>vals_co2_incLUC!$AJ106</f>
        <v>35.550149511803198</v>
      </c>
      <c r="M106" s="5">
        <f>vals_co2_incLUC!$S106</f>
        <v>46.225241742629535</v>
      </c>
      <c r="N106" s="5">
        <f>vals_co2_incLUC!$Y106</f>
        <v>49.275176085388452</v>
      </c>
      <c r="O106" s="5">
        <f>vals_co2_incLUC!$AE106</f>
        <v>46.235991281559187</v>
      </c>
      <c r="P106" s="5">
        <f>vals_co2_incLUC!$AK106</f>
        <v>47.476666175152424</v>
      </c>
      <c r="Q106" s="9">
        <f t="shared" si="31"/>
        <v>3.0499343427589167</v>
      </c>
      <c r="R106" s="9">
        <v>35.119999999999997</v>
      </c>
      <c r="S106" s="9">
        <v>47.518999999999998</v>
      </c>
    </row>
    <row r="107" spans="1:19" x14ac:dyDescent="0.35">
      <c r="A107" s="6">
        <f>vals_co2_incLUC!$A107</f>
        <v>1954</v>
      </c>
      <c r="B107" s="7">
        <f t="shared" si="24"/>
        <v>34.17493675308431</v>
      </c>
      <c r="C107" s="7">
        <f t="shared" si="25"/>
        <v>37.793911681840321</v>
      </c>
      <c r="D107" s="7">
        <f t="shared" si="26"/>
        <v>46.200213914653169</v>
      </c>
      <c r="E107" s="7">
        <f t="shared" si="27"/>
        <v>49.198416969485564</v>
      </c>
      <c r="F107" s="7">
        <f t="shared" si="28"/>
        <v>3.6189749287560105</v>
      </c>
      <c r="G107" s="7">
        <f t="shared" si="29"/>
        <v>0</v>
      </c>
      <c r="H107" s="7">
        <f t="shared" si="30"/>
        <v>8.4063022328128483</v>
      </c>
      <c r="I107" s="8">
        <f>vals_co2_incLUC!$R107</f>
        <v>34.17493675308431</v>
      </c>
      <c r="J107" s="8">
        <f>vals_co2_incLUC!$X107</f>
        <v>37.793911681840321</v>
      </c>
      <c r="K107" s="8">
        <f>vals_co2_incLUC!$AD107</f>
        <v>34.182943435985635</v>
      </c>
      <c r="L107" s="8">
        <f>vals_co2_incLUC!$AJ107</f>
        <v>35.482024365443408</v>
      </c>
      <c r="M107" s="8">
        <f>vals_co2_incLUC!$S107</f>
        <v>46.200213914653169</v>
      </c>
      <c r="N107" s="8">
        <f>vals_co2_incLUC!$Y107</f>
        <v>49.198416969485564</v>
      </c>
      <c r="O107" s="8">
        <f>vals_co2_incLUC!$AE107</f>
        <v>46.211037888565748</v>
      </c>
      <c r="P107" s="8">
        <f>vals_co2_incLUC!$AK107</f>
        <v>47.407047218755196</v>
      </c>
      <c r="Q107" s="9">
        <f t="shared" si="31"/>
        <v>2.9982030548323948</v>
      </c>
      <c r="R107" s="9">
        <v>35.073999999999998</v>
      </c>
      <c r="S107" s="9">
        <v>47.472000000000001</v>
      </c>
    </row>
    <row r="108" spans="1:19" x14ac:dyDescent="0.35">
      <c r="A108" s="3">
        <f>vals_co2_incLUC!$A108</f>
        <v>1955</v>
      </c>
      <c r="B108" s="4">
        <f t="shared" si="24"/>
        <v>34.163021061792463</v>
      </c>
      <c r="C108" s="4">
        <f t="shared" si="25"/>
        <v>37.756401648311744</v>
      </c>
      <c r="D108" s="4">
        <f t="shared" si="26"/>
        <v>46.184219347355935</v>
      </c>
      <c r="E108" s="4">
        <f t="shared" si="27"/>
        <v>49.121864919936463</v>
      </c>
      <c r="F108" s="4">
        <f t="shared" si="28"/>
        <v>3.5933805865192809</v>
      </c>
      <c r="G108" s="4">
        <f t="shared" si="29"/>
        <v>0</v>
      </c>
      <c r="H108" s="4">
        <f t="shared" si="30"/>
        <v>8.4278176990441906</v>
      </c>
      <c r="I108" s="5">
        <f>vals_co2_incLUC!$R108</f>
        <v>34.163021061792463</v>
      </c>
      <c r="J108" s="5">
        <f>vals_co2_incLUC!$X108</f>
        <v>37.756401648311744</v>
      </c>
      <c r="K108" s="5">
        <f>vals_co2_incLUC!$AD108</f>
        <v>34.171088098975552</v>
      </c>
      <c r="L108" s="5">
        <f>vals_co2_incLUC!$AJ108</f>
        <v>35.421663244467076</v>
      </c>
      <c r="M108" s="5">
        <f>vals_co2_incLUC!$S108</f>
        <v>46.184219347355935</v>
      </c>
      <c r="N108" s="5">
        <f>vals_co2_incLUC!$Y108</f>
        <v>49.121864919936463</v>
      </c>
      <c r="O108" s="5">
        <f>vals_co2_incLUC!$AE108</f>
        <v>46.195124939143881</v>
      </c>
      <c r="P108" s="5">
        <f>vals_co2_incLUC!$AK108</f>
        <v>47.340546858574037</v>
      </c>
      <c r="Q108" s="9">
        <f t="shared" si="31"/>
        <v>2.9376455725805286</v>
      </c>
      <c r="R108" s="9">
        <v>35.04</v>
      </c>
      <c r="S108" s="9">
        <v>47.430999999999997</v>
      </c>
    </row>
    <row r="109" spans="1:19" x14ac:dyDescent="0.35">
      <c r="A109" s="6">
        <f>vals_co2_incLUC!$A109</f>
        <v>1956</v>
      </c>
      <c r="B109" s="7">
        <f t="shared" si="24"/>
        <v>34.145682176339569</v>
      </c>
      <c r="C109" s="7">
        <f t="shared" si="25"/>
        <v>37.714270202688283</v>
      </c>
      <c r="D109" s="7">
        <f t="shared" si="26"/>
        <v>46.157941745484308</v>
      </c>
      <c r="E109" s="7">
        <f t="shared" si="27"/>
        <v>49.033430909185164</v>
      </c>
      <c r="F109" s="7">
        <f t="shared" si="28"/>
        <v>3.5685880263487135</v>
      </c>
      <c r="G109" s="7">
        <f t="shared" si="29"/>
        <v>0</v>
      </c>
      <c r="H109" s="7">
        <f t="shared" si="30"/>
        <v>8.4436715427960252</v>
      </c>
      <c r="I109" s="8">
        <f>vals_co2_incLUC!$R109</f>
        <v>34.145682176339569</v>
      </c>
      <c r="J109" s="8">
        <f>vals_co2_incLUC!$X109</f>
        <v>37.714270202688283</v>
      </c>
      <c r="K109" s="8">
        <f>vals_co2_incLUC!$AD109</f>
        <v>34.153812423136714</v>
      </c>
      <c r="L109" s="8">
        <f>vals_co2_incLUC!$AJ109</f>
        <v>35.356019070929882</v>
      </c>
      <c r="M109" s="8">
        <f>vals_co2_incLUC!$S109</f>
        <v>46.157941745484308</v>
      </c>
      <c r="N109" s="8">
        <f>vals_co2_incLUC!$Y109</f>
        <v>49.033430909185164</v>
      </c>
      <c r="O109" s="8">
        <f>vals_co2_incLUC!$AE109</f>
        <v>46.168932112862976</v>
      </c>
      <c r="P109" s="8">
        <f>vals_co2_incLUC!$AK109</f>
        <v>47.266133193083618</v>
      </c>
      <c r="Q109" s="9">
        <f t="shared" si="31"/>
        <v>2.8754891637008555</v>
      </c>
      <c r="R109" s="9">
        <v>35</v>
      </c>
      <c r="S109" s="9">
        <v>47.381</v>
      </c>
    </row>
    <row r="110" spans="1:19" x14ac:dyDescent="0.35">
      <c r="A110" s="3">
        <f>vals_co2_incLUC!$A110</f>
        <v>1957</v>
      </c>
      <c r="B110" s="4">
        <f t="shared" si="24"/>
        <v>34.124470864009616</v>
      </c>
      <c r="C110" s="4">
        <f t="shared" si="25"/>
        <v>37.668348903850315</v>
      </c>
      <c r="D110" s="4">
        <f t="shared" si="26"/>
        <v>46.122967686758734</v>
      </c>
      <c r="E110" s="4">
        <f t="shared" si="27"/>
        <v>48.933385063153061</v>
      </c>
      <c r="F110" s="4">
        <f t="shared" si="28"/>
        <v>3.543878039840699</v>
      </c>
      <c r="G110" s="4">
        <f t="shared" si="29"/>
        <v>0</v>
      </c>
      <c r="H110" s="4">
        <f t="shared" si="30"/>
        <v>8.454618782908419</v>
      </c>
      <c r="I110" s="5">
        <f>vals_co2_incLUC!$R110</f>
        <v>34.124470864009616</v>
      </c>
      <c r="J110" s="5">
        <f>vals_co2_incLUC!$X110</f>
        <v>37.668348903850315</v>
      </c>
      <c r="K110" s="5">
        <f>vals_co2_incLUC!$AD110</f>
        <v>34.132666661357675</v>
      </c>
      <c r="L110" s="5">
        <f>vals_co2_incLUC!$AJ110</f>
        <v>35.286477411333891</v>
      </c>
      <c r="M110" s="5">
        <f>vals_co2_incLUC!$S110</f>
        <v>46.122967686758734</v>
      </c>
      <c r="N110" s="5">
        <f>vals_co2_incLUC!$Y110</f>
        <v>48.933385063153061</v>
      </c>
      <c r="O110" s="5">
        <f>vals_co2_incLUC!$AE110</f>
        <v>46.134045151315405</v>
      </c>
      <c r="P110" s="5">
        <f>vals_co2_incLUC!$AK110</f>
        <v>47.184994300395559</v>
      </c>
      <c r="Q110" s="9">
        <f t="shared" si="31"/>
        <v>2.8104173763943265</v>
      </c>
      <c r="R110" s="9">
        <v>34.956000000000003</v>
      </c>
      <c r="S110" s="9">
        <v>47.323</v>
      </c>
    </row>
    <row r="111" spans="1:19" x14ac:dyDescent="0.35">
      <c r="A111" s="6">
        <f>vals_co2_incLUC!$A111</f>
        <v>1958</v>
      </c>
      <c r="B111" s="7">
        <f t="shared" si="24"/>
        <v>34.109864780083257</v>
      </c>
      <c r="C111" s="7">
        <f t="shared" si="25"/>
        <v>37.629652342613142</v>
      </c>
      <c r="D111" s="7">
        <f t="shared" si="26"/>
        <v>46.088861038504454</v>
      </c>
      <c r="E111" s="7">
        <f t="shared" si="27"/>
        <v>48.829299395256356</v>
      </c>
      <c r="F111" s="7">
        <f t="shared" si="28"/>
        <v>3.5197875625298849</v>
      </c>
      <c r="G111" s="7">
        <f t="shared" si="29"/>
        <v>0</v>
      </c>
      <c r="H111" s="7">
        <f t="shared" si="30"/>
        <v>8.4592086958913129</v>
      </c>
      <c r="I111" s="8">
        <f>vals_co2_incLUC!$R111</f>
        <v>34.109864780083257</v>
      </c>
      <c r="J111" s="8">
        <f>vals_co2_incLUC!$X111</f>
        <v>37.629652342613142</v>
      </c>
      <c r="K111" s="8">
        <f>vals_co2_incLUC!$AD111</f>
        <v>34.11813098631113</v>
      </c>
      <c r="L111" s="8">
        <f>vals_co2_incLUC!$AJ111</f>
        <v>35.222237874103861</v>
      </c>
      <c r="M111" s="8">
        <f>vals_co2_incLUC!$S111</f>
        <v>46.088861038504454</v>
      </c>
      <c r="N111" s="8">
        <f>vals_co2_incLUC!$Y111</f>
        <v>48.829299395256356</v>
      </c>
      <c r="O111" s="8">
        <f>vals_co2_incLUC!$AE111</f>
        <v>46.100030186813221</v>
      </c>
      <c r="P111" s="8">
        <f>vals_co2_incLUC!$AK111</f>
        <v>47.104961650820769</v>
      </c>
      <c r="Q111" s="9">
        <f t="shared" si="31"/>
        <v>2.7404383567519019</v>
      </c>
      <c r="R111" s="9">
        <v>34.918999999999997</v>
      </c>
      <c r="S111" s="9">
        <v>47.265999999999998</v>
      </c>
    </row>
    <row r="112" spans="1:19" x14ac:dyDescent="0.35">
      <c r="A112" s="3">
        <f>vals_co2_incLUC!$A112</f>
        <v>1959</v>
      </c>
      <c r="B112" s="4">
        <f t="shared" si="24"/>
        <v>34.106458329900526</v>
      </c>
      <c r="C112" s="4">
        <f t="shared" si="25"/>
        <v>37.602416081526087</v>
      </c>
      <c r="D112" s="4">
        <f t="shared" si="26"/>
        <v>46.06033813832029</v>
      </c>
      <c r="E112" s="4">
        <f t="shared" si="27"/>
        <v>48.728209438176783</v>
      </c>
      <c r="F112" s="4">
        <f t="shared" si="28"/>
        <v>3.4959577516255607</v>
      </c>
      <c r="G112" s="4">
        <f t="shared" si="29"/>
        <v>0</v>
      </c>
      <c r="H112" s="4">
        <f t="shared" si="30"/>
        <v>8.4579220567942031</v>
      </c>
      <c r="I112" s="5">
        <f>vals_co2_incLUC!$R112</f>
        <v>34.106458329900526</v>
      </c>
      <c r="J112" s="5">
        <f>vals_co2_incLUC!$X112</f>
        <v>37.602416081526087</v>
      </c>
      <c r="K112" s="5">
        <f>vals_co2_incLUC!$AD112</f>
        <v>34.114799587033197</v>
      </c>
      <c r="L112" s="5">
        <f>vals_co2_incLUC!$AJ112</f>
        <v>35.172090180410599</v>
      </c>
      <c r="M112" s="5">
        <f>vals_co2_incLUC!$S112</f>
        <v>46.06033813832029</v>
      </c>
      <c r="N112" s="5">
        <f>vals_co2_incLUC!$Y112</f>
        <v>48.728209438176783</v>
      </c>
      <c r="O112" s="5">
        <f>vals_co2_incLUC!$AE112</f>
        <v>46.071602844221673</v>
      </c>
      <c r="P112" s="5">
        <f>vals_co2_incLUC!$AK112</f>
        <v>47.034133599222876</v>
      </c>
      <c r="Q112" s="9">
        <f t="shared" si="31"/>
        <v>2.6678712998564933</v>
      </c>
      <c r="R112" s="9">
        <v>34.893999999999998</v>
      </c>
      <c r="S112" s="9">
        <v>47.216000000000001</v>
      </c>
    </row>
    <row r="113" spans="1:19" x14ac:dyDescent="0.35">
      <c r="A113" s="6">
        <f>vals_co2_incLUC!$A113</f>
        <v>1960</v>
      </c>
      <c r="B113" s="7">
        <f t="shared" si="24"/>
        <v>34.120083091103027</v>
      </c>
      <c r="C113" s="7">
        <f t="shared" si="25"/>
        <v>37.576915282537477</v>
      </c>
      <c r="D113" s="7">
        <f t="shared" si="26"/>
        <v>46.025225745013117</v>
      </c>
      <c r="E113" s="7">
        <f t="shared" si="27"/>
        <v>48.636943267820691</v>
      </c>
      <c r="F113" s="7">
        <f t="shared" si="28"/>
        <v>3.4568321914344509</v>
      </c>
      <c r="G113" s="7">
        <f t="shared" si="29"/>
        <v>0</v>
      </c>
      <c r="H113" s="7">
        <f t="shared" si="30"/>
        <v>8.4483104624756393</v>
      </c>
      <c r="I113" s="8">
        <f>vals_co2_incLUC!$R113</f>
        <v>34.120083091103027</v>
      </c>
      <c r="J113" s="8">
        <f>vals_co2_incLUC!$X113</f>
        <v>37.576915282537477</v>
      </c>
      <c r="K113" s="8">
        <f>vals_co2_incLUC!$AD113</f>
        <v>34.128509596782472</v>
      </c>
      <c r="L113" s="8">
        <f>vals_co2_incLUC!$AJ113</f>
        <v>35.129637394686114</v>
      </c>
      <c r="M113" s="8">
        <f>vals_co2_incLUC!$S113</f>
        <v>46.025225745013117</v>
      </c>
      <c r="N113" s="8">
        <f>vals_co2_incLUC!$Y113</f>
        <v>48.636943267820691</v>
      </c>
      <c r="O113" s="8">
        <f>vals_co2_incLUC!$AE113</f>
        <v>46.036592362157556</v>
      </c>
      <c r="P113" s="8">
        <f>vals_co2_incLUC!$AK113</f>
        <v>46.967586319156752</v>
      </c>
      <c r="Q113" s="9">
        <f t="shared" si="31"/>
        <v>2.6117175228075737</v>
      </c>
      <c r="R113" s="9">
        <v>34.883000000000003</v>
      </c>
      <c r="S113" s="9">
        <v>47.164999999999999</v>
      </c>
    </row>
    <row r="114" spans="1:19" x14ac:dyDescent="0.35">
      <c r="A114" s="3">
        <f>vals_co2_incLUC!$A114</f>
        <v>1961</v>
      </c>
      <c r="B114" s="4">
        <f t="shared" si="24"/>
        <v>34.103294052130622</v>
      </c>
      <c r="C114" s="4">
        <f t="shared" si="25"/>
        <v>37.54509723071601</v>
      </c>
      <c r="D114" s="4">
        <f t="shared" si="26"/>
        <v>45.971582095349021</v>
      </c>
      <c r="E114" s="4">
        <f t="shared" si="27"/>
        <v>48.535511865623107</v>
      </c>
      <c r="F114" s="4">
        <f t="shared" si="28"/>
        <v>3.4418031785853884</v>
      </c>
      <c r="G114" s="4">
        <f t="shared" si="29"/>
        <v>0</v>
      </c>
      <c r="H114" s="4">
        <f t="shared" si="30"/>
        <v>8.4264848646330108</v>
      </c>
      <c r="I114" s="5">
        <f>vals_co2_incLUC!$R114</f>
        <v>34.103294052130622</v>
      </c>
      <c r="J114" s="5">
        <f>vals_co2_incLUC!$X114</f>
        <v>37.54509723071601</v>
      </c>
      <c r="K114" s="5">
        <f>vals_co2_incLUC!$AD114</f>
        <v>34.11179471655376</v>
      </c>
      <c r="L114" s="5">
        <f>vals_co2_incLUC!$AJ114</f>
        <v>35.079308247397037</v>
      </c>
      <c r="M114" s="5">
        <f>vals_co2_incLUC!$S114</f>
        <v>45.971582095349021</v>
      </c>
      <c r="N114" s="5">
        <f>vals_co2_incLUC!$Y114</f>
        <v>48.535511865623107</v>
      </c>
      <c r="O114" s="5">
        <f>vals_co2_incLUC!$AE114</f>
        <v>45.983041020104267</v>
      </c>
      <c r="P114" s="5">
        <f>vals_co2_incLUC!$AK114</f>
        <v>46.88944410930506</v>
      </c>
      <c r="Q114" s="9">
        <f t="shared" si="31"/>
        <v>2.5639297702740862</v>
      </c>
      <c r="R114" s="9">
        <v>34.85</v>
      </c>
      <c r="S114" s="9">
        <v>47.097000000000001</v>
      </c>
    </row>
    <row r="115" spans="1:19" x14ac:dyDescent="0.35">
      <c r="A115" s="6">
        <f>vals_co2_incLUC!$A115</f>
        <v>1962</v>
      </c>
      <c r="B115" s="7">
        <f t="shared" si="24"/>
        <v>34.088398427337665</v>
      </c>
      <c r="C115" s="7">
        <f t="shared" si="25"/>
        <v>37.515683007546983</v>
      </c>
      <c r="D115" s="7">
        <f t="shared" si="26"/>
        <v>45.914961436298491</v>
      </c>
      <c r="E115" s="7">
        <f t="shared" si="27"/>
        <v>48.434024753158575</v>
      </c>
      <c r="F115" s="7">
        <f t="shared" si="28"/>
        <v>3.4272845802093173</v>
      </c>
      <c r="G115" s="7">
        <f t="shared" si="29"/>
        <v>0</v>
      </c>
      <c r="H115" s="7">
        <f t="shared" si="30"/>
        <v>8.3992784287515079</v>
      </c>
      <c r="I115" s="8">
        <f>vals_co2_incLUC!$R115</f>
        <v>34.088398427337665</v>
      </c>
      <c r="J115" s="8">
        <f>vals_co2_incLUC!$X115</f>
        <v>37.515683007546983</v>
      </c>
      <c r="K115" s="8">
        <f>vals_co2_incLUC!$AD115</f>
        <v>34.09697493274129</v>
      </c>
      <c r="L115" s="8">
        <f>vals_co2_incLUC!$AJ115</f>
        <v>35.023550838163999</v>
      </c>
      <c r="M115" s="8">
        <f>vals_co2_incLUC!$S115</f>
        <v>45.914961436298491</v>
      </c>
      <c r="N115" s="8">
        <f>vals_co2_incLUC!$Y115</f>
        <v>48.434024753158575</v>
      </c>
      <c r="O115" s="8">
        <f>vals_co2_incLUC!$AE115</f>
        <v>45.926513401636591</v>
      </c>
      <c r="P115" s="8">
        <f>vals_co2_incLUC!$AK115</f>
        <v>46.803023055867321</v>
      </c>
      <c r="Q115" s="9">
        <f t="shared" si="31"/>
        <v>2.519063316860084</v>
      </c>
      <c r="R115" s="9">
        <v>34.816000000000003</v>
      </c>
      <c r="S115" s="9">
        <v>47.024000000000001</v>
      </c>
    </row>
    <row r="116" spans="1:19" x14ac:dyDescent="0.35">
      <c r="A116" s="3">
        <f>vals_co2_incLUC!$A116</f>
        <v>1963</v>
      </c>
      <c r="B116" s="4">
        <f t="shared" si="24"/>
        <v>34.05277437573254</v>
      </c>
      <c r="C116" s="4">
        <f t="shared" si="25"/>
        <v>37.475130685578037</v>
      </c>
      <c r="D116" s="4">
        <f t="shared" si="26"/>
        <v>45.84821733517942</v>
      </c>
      <c r="E116" s="4">
        <f t="shared" si="27"/>
        <v>48.316098920862999</v>
      </c>
      <c r="F116" s="4">
        <f t="shared" si="28"/>
        <v>3.4223563098454974</v>
      </c>
      <c r="G116" s="4">
        <f t="shared" si="29"/>
        <v>0</v>
      </c>
      <c r="H116" s="4">
        <f t="shared" si="30"/>
        <v>8.3730866496013832</v>
      </c>
      <c r="I116" s="5">
        <f>vals_co2_incLUC!$R116</f>
        <v>34.05277437573254</v>
      </c>
      <c r="J116" s="5">
        <f>vals_co2_incLUC!$X116</f>
        <v>37.475130685578037</v>
      </c>
      <c r="K116" s="5">
        <f>vals_co2_incLUC!$AD116</f>
        <v>34.061421584313422</v>
      </c>
      <c r="L116" s="5">
        <f>vals_co2_incLUC!$AJ116</f>
        <v>34.95327715560623</v>
      </c>
      <c r="M116" s="5">
        <f>vals_co2_incLUC!$S116</f>
        <v>45.84821733517942</v>
      </c>
      <c r="N116" s="5">
        <f>vals_co2_incLUC!$Y116</f>
        <v>48.316098920862999</v>
      </c>
      <c r="O116" s="5">
        <f>vals_co2_incLUC!$AE116</f>
        <v>45.859859768952326</v>
      </c>
      <c r="P116" s="5">
        <f>vals_co2_incLUC!$AK116</f>
        <v>46.707825842853609</v>
      </c>
      <c r="Q116" s="9">
        <f t="shared" si="31"/>
        <v>2.4678815856835783</v>
      </c>
      <c r="R116" s="9">
        <v>34.762</v>
      </c>
      <c r="S116" s="9">
        <v>46.94</v>
      </c>
    </row>
    <row r="117" spans="1:19" x14ac:dyDescent="0.35">
      <c r="A117" s="6">
        <f>vals_co2_incLUC!$A117</f>
        <v>1964</v>
      </c>
      <c r="B117" s="7">
        <f t="shared" si="24"/>
        <v>34.010209804268939</v>
      </c>
      <c r="C117" s="7">
        <f t="shared" si="25"/>
        <v>37.427100719761142</v>
      </c>
      <c r="D117" s="7">
        <f t="shared" si="26"/>
        <v>45.771704568216052</v>
      </c>
      <c r="E117" s="7">
        <f t="shared" si="27"/>
        <v>48.184499595774547</v>
      </c>
      <c r="F117" s="7">
        <f t="shared" si="28"/>
        <v>3.4168909154922034</v>
      </c>
      <c r="G117" s="7">
        <f t="shared" si="29"/>
        <v>0</v>
      </c>
      <c r="H117" s="7">
        <f t="shared" si="30"/>
        <v>8.3446038484549092</v>
      </c>
      <c r="I117" s="8">
        <f>vals_co2_incLUC!$R117</f>
        <v>34.010209804268939</v>
      </c>
      <c r="J117" s="8">
        <f>vals_co2_incLUC!$X117</f>
        <v>37.427100719761142</v>
      </c>
      <c r="K117" s="8">
        <f>vals_co2_incLUC!$AD117</f>
        <v>34.018928409301289</v>
      </c>
      <c r="L117" s="8">
        <f>vals_co2_incLUC!$AJ117</f>
        <v>34.877516757544946</v>
      </c>
      <c r="M117" s="8">
        <f>vals_co2_incLUC!$S117</f>
        <v>45.771704568216052</v>
      </c>
      <c r="N117" s="8">
        <f>vals_co2_incLUC!$Y117</f>
        <v>48.184499595774547</v>
      </c>
      <c r="O117" s="8">
        <f>vals_co2_incLUC!$AE117</f>
        <v>45.78343820579569</v>
      </c>
      <c r="P117" s="8">
        <f>vals_co2_incLUC!$AK117</f>
        <v>46.600881131194477</v>
      </c>
      <c r="Q117" s="9">
        <f t="shared" si="31"/>
        <v>2.4127950275584951</v>
      </c>
      <c r="R117" s="9">
        <v>34.703000000000003</v>
      </c>
      <c r="S117" s="9">
        <v>46.844999999999999</v>
      </c>
    </row>
    <row r="118" spans="1:19" x14ac:dyDescent="0.35">
      <c r="A118" s="3">
        <f>vals_co2_incLUC!$A118</f>
        <v>1965</v>
      </c>
      <c r="B118" s="4">
        <f t="shared" si="24"/>
        <v>33.952169747836805</v>
      </c>
      <c r="C118" s="4">
        <f t="shared" si="25"/>
        <v>37.372991215638166</v>
      </c>
      <c r="D118" s="4">
        <f t="shared" si="26"/>
        <v>45.677136438754879</v>
      </c>
      <c r="E118" s="4">
        <f t="shared" si="27"/>
        <v>48.040046214414808</v>
      </c>
      <c r="F118" s="4">
        <f t="shared" si="28"/>
        <v>3.4208214678013604</v>
      </c>
      <c r="G118" s="4">
        <f t="shared" si="29"/>
        <v>0</v>
      </c>
      <c r="H118" s="4">
        <f t="shared" si="30"/>
        <v>8.3041452231167128</v>
      </c>
      <c r="I118" s="5">
        <f>vals_co2_incLUC!$R118</f>
        <v>33.952169747836805</v>
      </c>
      <c r="J118" s="5">
        <f>vals_co2_incLUC!$X118</f>
        <v>37.372991215638166</v>
      </c>
      <c r="K118" s="5">
        <f>vals_co2_incLUC!$AD118</f>
        <v>33.960957466345491</v>
      </c>
      <c r="L118" s="5">
        <f>vals_co2_incLUC!$AJ118</f>
        <v>34.793433203167716</v>
      </c>
      <c r="M118" s="5">
        <f>vals_co2_incLUC!$S118</f>
        <v>45.677136438754879</v>
      </c>
      <c r="N118" s="5">
        <f>vals_co2_incLUC!$Y118</f>
        <v>48.040046214414808</v>
      </c>
      <c r="O118" s="5">
        <f>vals_co2_incLUC!$AE118</f>
        <v>45.688958831021409</v>
      </c>
      <c r="P118" s="5">
        <f>vals_co2_incLUC!$AK118</f>
        <v>46.482602967741798</v>
      </c>
      <c r="Q118" s="9">
        <f t="shared" si="31"/>
        <v>2.3629097756599293</v>
      </c>
      <c r="R118" s="9">
        <v>34.631</v>
      </c>
      <c r="S118" s="9">
        <v>46.734999999999999</v>
      </c>
    </row>
    <row r="119" spans="1:19" x14ac:dyDescent="0.35">
      <c r="A119" s="6">
        <f>vals_co2_incLUC!$A119</f>
        <v>1966</v>
      </c>
      <c r="B119" s="7">
        <f t="shared" si="24"/>
        <v>33.883677326155365</v>
      </c>
      <c r="C119" s="7">
        <f t="shared" si="25"/>
        <v>37.316182168362239</v>
      </c>
      <c r="D119" s="7">
        <f t="shared" si="26"/>
        <v>45.569942560913866</v>
      </c>
      <c r="E119" s="7">
        <f t="shared" si="27"/>
        <v>47.887773646743135</v>
      </c>
      <c r="F119" s="7">
        <f t="shared" si="28"/>
        <v>3.4325048422068747</v>
      </c>
      <c r="G119" s="7">
        <f t="shared" si="29"/>
        <v>0</v>
      </c>
      <c r="H119" s="7">
        <f t="shared" si="30"/>
        <v>8.2537603925516265</v>
      </c>
      <c r="I119" s="8">
        <f>vals_co2_incLUC!$R119</f>
        <v>33.883677326155365</v>
      </c>
      <c r="J119" s="8">
        <f>vals_co2_incLUC!$X119</f>
        <v>37.316182168362239</v>
      </c>
      <c r="K119" s="8">
        <f>vals_co2_incLUC!$AD119</f>
        <v>33.892533361845082</v>
      </c>
      <c r="L119" s="8">
        <f>vals_co2_incLUC!$AJ119</f>
        <v>34.700564832656511</v>
      </c>
      <c r="M119" s="8">
        <f>vals_co2_incLUC!$S119</f>
        <v>45.569942560913866</v>
      </c>
      <c r="N119" s="8">
        <f>vals_co2_incLUC!$Y119</f>
        <v>47.887773646743135</v>
      </c>
      <c r="O119" s="8">
        <f>vals_co2_incLUC!$AE119</f>
        <v>45.581852929290712</v>
      </c>
      <c r="P119" s="8">
        <f>vals_co2_incLUC!$AK119</f>
        <v>46.351262025303782</v>
      </c>
      <c r="Q119" s="9">
        <f t="shared" si="31"/>
        <v>2.317831085829269</v>
      </c>
      <c r="R119" s="9">
        <v>34.549999999999997</v>
      </c>
      <c r="S119" s="9">
        <v>46.613</v>
      </c>
    </row>
    <row r="120" spans="1:19" x14ac:dyDescent="0.35">
      <c r="A120" s="3">
        <f>vals_co2_incLUC!$A120</f>
        <v>1967</v>
      </c>
      <c r="B120" s="4">
        <f t="shared" si="24"/>
        <v>33.80362773057356</v>
      </c>
      <c r="C120" s="4">
        <f t="shared" si="25"/>
        <v>37.249301536809206</v>
      </c>
      <c r="D120" s="4">
        <f t="shared" si="26"/>
        <v>45.448454075948746</v>
      </c>
      <c r="E120" s="4">
        <f t="shared" si="27"/>
        <v>47.721939304656416</v>
      </c>
      <c r="F120" s="4">
        <f t="shared" si="28"/>
        <v>3.4456738062356465</v>
      </c>
      <c r="G120" s="4">
        <f t="shared" si="29"/>
        <v>0</v>
      </c>
      <c r="H120" s="4">
        <f t="shared" si="30"/>
        <v>8.1991525391395399</v>
      </c>
      <c r="I120" s="5">
        <f>vals_co2_incLUC!$R120</f>
        <v>33.80362773057356</v>
      </c>
      <c r="J120" s="5">
        <f>vals_co2_incLUC!$X120</f>
        <v>37.249301536809206</v>
      </c>
      <c r="K120" s="5">
        <f>vals_co2_incLUC!$AD120</f>
        <v>33.812550088532291</v>
      </c>
      <c r="L120" s="5">
        <f>vals_co2_incLUC!$AJ120</f>
        <v>34.598100443576314</v>
      </c>
      <c r="M120" s="5">
        <f>vals_co2_incLUC!$S120</f>
        <v>45.448454075948746</v>
      </c>
      <c r="N120" s="5">
        <f>vals_co2_incLUC!$Y120</f>
        <v>47.721939304656416</v>
      </c>
      <c r="O120" s="5">
        <f>vals_co2_incLUC!$AE120</f>
        <v>45.46044993521835</v>
      </c>
      <c r="P120" s="5">
        <f>vals_co2_incLUC!$AK120</f>
        <v>46.20788977747786</v>
      </c>
      <c r="Q120" s="9">
        <f t="shared" si="31"/>
        <v>2.2734852287076706</v>
      </c>
      <c r="R120" s="9">
        <v>34.457000000000001</v>
      </c>
      <c r="S120" s="9">
        <v>46.476999999999997</v>
      </c>
    </row>
    <row r="121" spans="1:19" x14ac:dyDescent="0.35">
      <c r="A121" s="6">
        <f>vals_co2_incLUC!$A121</f>
        <v>1968</v>
      </c>
      <c r="B121" s="7">
        <f t="shared" si="24"/>
        <v>33.687345999279842</v>
      </c>
      <c r="C121" s="7">
        <f t="shared" si="25"/>
        <v>37.171341710169003</v>
      </c>
      <c r="D121" s="7">
        <f t="shared" si="26"/>
        <v>45.287569357501127</v>
      </c>
      <c r="E121" s="7">
        <f t="shared" si="27"/>
        <v>47.540278941269221</v>
      </c>
      <c r="F121" s="7">
        <f t="shared" si="28"/>
        <v>3.483995710889161</v>
      </c>
      <c r="G121" s="7">
        <f t="shared" si="29"/>
        <v>0</v>
      </c>
      <c r="H121" s="7">
        <f t="shared" si="30"/>
        <v>8.1162276473321242</v>
      </c>
      <c r="I121" s="8">
        <f>vals_co2_incLUC!$R121</f>
        <v>33.687345999279842</v>
      </c>
      <c r="J121" s="8">
        <f>vals_co2_incLUC!$X121</f>
        <v>37.171341710169003</v>
      </c>
      <c r="K121" s="8">
        <f>vals_co2_incLUC!$AD121</f>
        <v>33.696330387697401</v>
      </c>
      <c r="L121" s="8">
        <f>vals_co2_incLUC!$AJ121</f>
        <v>34.47937249432762</v>
      </c>
      <c r="M121" s="8">
        <f>vals_co2_incLUC!$S121</f>
        <v>45.287569357501127</v>
      </c>
      <c r="N121" s="8">
        <f>vals_co2_incLUC!$Y121</f>
        <v>47.540278941269221</v>
      </c>
      <c r="O121" s="8">
        <f>vals_co2_incLUC!$AE121</f>
        <v>45.299647402269642</v>
      </c>
      <c r="P121" s="8">
        <f>vals_co2_incLUC!$AK121</f>
        <v>46.044312552550714</v>
      </c>
      <c r="Q121" s="9">
        <f t="shared" si="31"/>
        <v>2.2527095837680946</v>
      </c>
      <c r="R121" s="9">
        <v>34.334000000000003</v>
      </c>
      <c r="S121" s="9">
        <v>46.308999999999997</v>
      </c>
    </row>
    <row r="122" spans="1:19" x14ac:dyDescent="0.35">
      <c r="A122" s="3">
        <f>vals_co2_incLUC!$A122</f>
        <v>1969</v>
      </c>
      <c r="B122" s="4">
        <f t="shared" si="24"/>
        <v>33.552673540394338</v>
      </c>
      <c r="C122" s="4">
        <f t="shared" si="25"/>
        <v>37.075041661891881</v>
      </c>
      <c r="D122" s="4">
        <f t="shared" si="26"/>
        <v>45.100181896233963</v>
      </c>
      <c r="E122" s="4">
        <f t="shared" si="27"/>
        <v>47.336471033790005</v>
      </c>
      <c r="F122" s="4">
        <f t="shared" si="28"/>
        <v>3.5223681214975429</v>
      </c>
      <c r="G122" s="4">
        <f t="shared" si="29"/>
        <v>0</v>
      </c>
      <c r="H122" s="4">
        <f t="shared" si="30"/>
        <v>8.0251402343420821</v>
      </c>
      <c r="I122" s="5">
        <f>vals_co2_incLUC!$R122</f>
        <v>33.552673540394338</v>
      </c>
      <c r="J122" s="5">
        <f>vals_co2_incLUC!$X122</f>
        <v>37.075041661891881</v>
      </c>
      <c r="K122" s="5">
        <f>vals_co2_incLUC!$AD122</f>
        <v>33.561719687119094</v>
      </c>
      <c r="L122" s="5">
        <f>vals_co2_incLUC!$AJ122</f>
        <v>34.347148444881491</v>
      </c>
      <c r="M122" s="5">
        <f>vals_co2_incLUC!$S122</f>
        <v>45.100181896233963</v>
      </c>
      <c r="N122" s="5">
        <f>vals_co2_incLUC!$Y122</f>
        <v>47.336471033790005</v>
      </c>
      <c r="O122" s="5">
        <f>vals_co2_incLUC!$AE122</f>
        <v>45.112341255066582</v>
      </c>
      <c r="P122" s="5">
        <f>vals_co2_incLUC!$AK122</f>
        <v>45.863113742532761</v>
      </c>
      <c r="Q122" s="9">
        <f t="shared" si="31"/>
        <v>2.2362891375560423</v>
      </c>
      <c r="R122" s="9">
        <v>34.195999999999998</v>
      </c>
      <c r="S122" s="9">
        <v>46.118000000000002</v>
      </c>
    </row>
    <row r="123" spans="1:19" x14ac:dyDescent="0.35">
      <c r="A123" s="6">
        <f>vals_co2_incLUC!$A123</f>
        <v>1970</v>
      </c>
      <c r="B123" s="7">
        <f t="shared" si="24"/>
        <v>33.44621785355222</v>
      </c>
      <c r="C123" s="7">
        <f t="shared" si="25"/>
        <v>36.962105460748433</v>
      </c>
      <c r="D123" s="7">
        <f t="shared" si="26"/>
        <v>44.948087908415282</v>
      </c>
      <c r="E123" s="7">
        <f t="shared" si="27"/>
        <v>47.112236479086519</v>
      </c>
      <c r="F123" s="7">
        <f t="shared" si="28"/>
        <v>3.5158876071962126</v>
      </c>
      <c r="G123" s="7">
        <f t="shared" si="29"/>
        <v>0</v>
      </c>
      <c r="H123" s="7">
        <f t="shared" si="30"/>
        <v>7.9859824476668493</v>
      </c>
      <c r="I123" s="8">
        <f>vals_co2_incLUC!$R123</f>
        <v>33.44621785355222</v>
      </c>
      <c r="J123" s="8">
        <f>vals_co2_incLUC!$X123</f>
        <v>36.962105460748433</v>
      </c>
      <c r="K123" s="8">
        <f>vals_co2_incLUC!$AD123</f>
        <v>33.455341874703663</v>
      </c>
      <c r="L123" s="8">
        <f>vals_co2_incLUC!$AJ123</f>
        <v>34.211279054190697</v>
      </c>
      <c r="M123" s="8">
        <f>vals_co2_incLUC!$S123</f>
        <v>44.948087908415282</v>
      </c>
      <c r="N123" s="8">
        <f>vals_co2_incLUC!$Y123</f>
        <v>47.112236479086519</v>
      </c>
      <c r="O123" s="8">
        <f>vals_co2_incLUC!$AE123</f>
        <v>44.960349486388687</v>
      </c>
      <c r="P123" s="8">
        <f>vals_co2_incLUC!$AK123</f>
        <v>45.676544572954562</v>
      </c>
      <c r="Q123" s="9">
        <f t="shared" si="31"/>
        <v>2.1641485706712373</v>
      </c>
      <c r="R123" s="9">
        <v>34.075000000000003</v>
      </c>
      <c r="S123" s="9">
        <v>45.948999999999998</v>
      </c>
    </row>
    <row r="124" spans="1:19" x14ac:dyDescent="0.35">
      <c r="A124" s="3">
        <f>vals_co2_incLUC!$A124</f>
        <v>1971</v>
      </c>
      <c r="B124" s="4">
        <f t="shared" si="24"/>
        <v>33.328789756605978</v>
      </c>
      <c r="C124" s="4">
        <f t="shared" si="25"/>
        <v>36.832303065974131</v>
      </c>
      <c r="D124" s="4">
        <f t="shared" si="26"/>
        <v>44.771240973027311</v>
      </c>
      <c r="E124" s="4">
        <f t="shared" si="27"/>
        <v>46.871935957592484</v>
      </c>
      <c r="F124" s="4">
        <f t="shared" si="28"/>
        <v>3.5035133093681523</v>
      </c>
      <c r="G124" s="4">
        <f t="shared" si="29"/>
        <v>0</v>
      </c>
      <c r="H124" s="4">
        <f t="shared" si="30"/>
        <v>7.9389379070531803</v>
      </c>
      <c r="I124" s="5">
        <f>vals_co2_incLUC!$R124</f>
        <v>33.328789756605978</v>
      </c>
      <c r="J124" s="5">
        <f>vals_co2_incLUC!$X124</f>
        <v>36.832303065974131</v>
      </c>
      <c r="K124" s="5">
        <f>vals_co2_incLUC!$AD124</f>
        <v>33.337992536767779</v>
      </c>
      <c r="L124" s="5">
        <f>vals_co2_incLUC!$AJ124</f>
        <v>34.071133149310548</v>
      </c>
      <c r="M124" s="5">
        <f>vals_co2_incLUC!$S124</f>
        <v>44.771240973027311</v>
      </c>
      <c r="N124" s="5">
        <f>vals_co2_incLUC!$Y124</f>
        <v>46.871935957592484</v>
      </c>
      <c r="O124" s="5">
        <f>vals_co2_incLUC!$AE124</f>
        <v>44.783603136964686</v>
      </c>
      <c r="P124" s="5">
        <f>vals_co2_incLUC!$AK124</f>
        <v>45.480531085827053</v>
      </c>
      <c r="Q124" s="9">
        <f t="shared" si="31"/>
        <v>2.1006949845651732</v>
      </c>
      <c r="R124" s="9">
        <v>33.944000000000003</v>
      </c>
      <c r="S124" s="9">
        <v>45.76</v>
      </c>
    </row>
    <row r="125" spans="1:19" x14ac:dyDescent="0.35">
      <c r="A125" s="6">
        <f>vals_co2_incLUC!$A125</f>
        <v>1972</v>
      </c>
      <c r="B125" s="7">
        <f t="shared" si="24"/>
        <v>33.203316859159607</v>
      </c>
      <c r="C125" s="7">
        <f t="shared" si="25"/>
        <v>36.707476543801889</v>
      </c>
      <c r="D125" s="7">
        <f t="shared" si="26"/>
        <v>44.585771467622855</v>
      </c>
      <c r="E125" s="7">
        <f t="shared" si="27"/>
        <v>46.628036602789159</v>
      </c>
      <c r="F125" s="7">
        <f t="shared" si="28"/>
        <v>3.504159684642282</v>
      </c>
      <c r="G125" s="7">
        <f t="shared" si="29"/>
        <v>0</v>
      </c>
      <c r="H125" s="7">
        <f t="shared" si="30"/>
        <v>7.8782949238209667</v>
      </c>
      <c r="I125" s="8">
        <f>vals_co2_incLUC!$R125</f>
        <v>33.203316859159607</v>
      </c>
      <c r="J125" s="8">
        <f>vals_co2_incLUC!$X125</f>
        <v>36.707476543801889</v>
      </c>
      <c r="K125" s="8">
        <f>vals_co2_incLUC!$AD125</f>
        <v>33.21259739140249</v>
      </c>
      <c r="L125" s="8">
        <f>vals_co2_incLUC!$AJ125</f>
        <v>33.921118247616754</v>
      </c>
      <c r="M125" s="8">
        <f>vals_co2_incLUC!$S125</f>
        <v>44.585771467622855</v>
      </c>
      <c r="N125" s="8">
        <f>vals_co2_incLUC!$Y125</f>
        <v>46.628036602789159</v>
      </c>
      <c r="O125" s="8">
        <f>vals_co2_incLUC!$AE125</f>
        <v>44.598233424917701</v>
      </c>
      <c r="P125" s="8">
        <f>vals_co2_incLUC!$AK125</f>
        <v>45.274564028872042</v>
      </c>
      <c r="Q125" s="9">
        <f t="shared" si="31"/>
        <v>2.0422651351663035</v>
      </c>
      <c r="R125" s="9">
        <v>33.802999999999997</v>
      </c>
      <c r="S125" s="9">
        <v>45.56</v>
      </c>
    </row>
    <row r="126" spans="1:19" x14ac:dyDescent="0.35">
      <c r="A126" s="3">
        <f>vals_co2_incLUC!$A126</f>
        <v>1973</v>
      </c>
      <c r="B126" s="4">
        <f t="shared" si="24"/>
        <v>33.086904314514612</v>
      </c>
      <c r="C126" s="4">
        <f t="shared" si="25"/>
        <v>36.566307221706538</v>
      </c>
      <c r="D126" s="4">
        <f t="shared" si="26"/>
        <v>44.410852810432715</v>
      </c>
      <c r="E126" s="4">
        <f t="shared" si="27"/>
        <v>46.360161435874062</v>
      </c>
      <c r="F126" s="4">
        <f t="shared" si="28"/>
        <v>3.4794029071919255</v>
      </c>
      <c r="G126" s="4">
        <f t="shared" si="29"/>
        <v>0</v>
      </c>
      <c r="H126" s="4">
        <f t="shared" si="30"/>
        <v>7.8445455887261772</v>
      </c>
      <c r="I126" s="5">
        <f>vals_co2_incLUC!$R126</f>
        <v>33.086904314514612</v>
      </c>
      <c r="J126" s="5">
        <f>vals_co2_incLUC!$X126</f>
        <v>36.566307221706538</v>
      </c>
      <c r="K126" s="5">
        <f>vals_co2_incLUC!$AD126</f>
        <v>33.096274248223914</v>
      </c>
      <c r="L126" s="5">
        <f>vals_co2_incLUC!$AJ126</f>
        <v>33.761864110171189</v>
      </c>
      <c r="M126" s="5">
        <f>vals_co2_incLUC!$S126</f>
        <v>44.410852810432715</v>
      </c>
      <c r="N126" s="5">
        <f>vals_co2_incLUC!$Y126</f>
        <v>46.360161435874062</v>
      </c>
      <c r="O126" s="5">
        <f>vals_co2_incLUC!$AE126</f>
        <v>44.423429490896474</v>
      </c>
      <c r="P126" s="5">
        <f>vals_co2_incLUC!$AK126</f>
        <v>45.05380148018147</v>
      </c>
      <c r="Q126" s="9">
        <f t="shared" si="31"/>
        <v>1.949308625441347</v>
      </c>
      <c r="R126" s="9">
        <v>33.661999999999999</v>
      </c>
      <c r="S126" s="9">
        <v>45.359000000000002</v>
      </c>
    </row>
    <row r="127" spans="1:19" x14ac:dyDescent="0.35">
      <c r="A127" s="6">
        <f>vals_co2_incLUC!$A127</f>
        <v>1974</v>
      </c>
      <c r="B127" s="7">
        <f t="shared" si="24"/>
        <v>32.9528987934575</v>
      </c>
      <c r="C127" s="7">
        <f t="shared" si="25"/>
        <v>36.413548766397902</v>
      </c>
      <c r="D127" s="7">
        <f t="shared" si="26"/>
        <v>44.209876970333838</v>
      </c>
      <c r="E127" s="7">
        <f t="shared" si="27"/>
        <v>46.075393864896419</v>
      </c>
      <c r="F127" s="7">
        <f t="shared" si="28"/>
        <v>3.4606499729404021</v>
      </c>
      <c r="G127" s="7">
        <f t="shared" si="29"/>
        <v>0</v>
      </c>
      <c r="H127" s="7">
        <f t="shared" si="30"/>
        <v>7.7963282039359356</v>
      </c>
      <c r="I127" s="8">
        <f>vals_co2_incLUC!$R127</f>
        <v>32.9528987934575</v>
      </c>
      <c r="J127" s="8">
        <f>vals_co2_incLUC!$X127</f>
        <v>36.413548766397902</v>
      </c>
      <c r="K127" s="8">
        <f>vals_co2_incLUC!$AD127</f>
        <v>32.96235847875144</v>
      </c>
      <c r="L127" s="8">
        <f>vals_co2_incLUC!$AJ127</f>
        <v>33.591097753563169</v>
      </c>
      <c r="M127" s="8">
        <f>vals_co2_incLUC!$S127</f>
        <v>44.209876970333838</v>
      </c>
      <c r="N127" s="8">
        <f>vals_co2_incLUC!$Y127</f>
        <v>46.075393864896419</v>
      </c>
      <c r="O127" s="8">
        <f>vals_co2_incLUC!$AE127</f>
        <v>44.222568059353897</v>
      </c>
      <c r="P127" s="8">
        <f>vals_co2_incLUC!$AK127</f>
        <v>44.817000741207345</v>
      </c>
      <c r="Q127" s="9">
        <f t="shared" si="31"/>
        <v>1.8655168945625817</v>
      </c>
      <c r="R127" s="9">
        <v>33.506</v>
      </c>
      <c r="S127" s="9">
        <v>45.136000000000003</v>
      </c>
    </row>
    <row r="128" spans="1:19" x14ac:dyDescent="0.35">
      <c r="A128" s="3">
        <f>vals_co2_incLUC!$A128</f>
        <v>1975</v>
      </c>
      <c r="B128" s="4">
        <f t="shared" si="24"/>
        <v>32.828668109101649</v>
      </c>
      <c r="C128" s="4">
        <f t="shared" si="25"/>
        <v>36.276624625266827</v>
      </c>
      <c r="D128" s="4">
        <f t="shared" si="26"/>
        <v>44.010984531668441</v>
      </c>
      <c r="E128" s="4">
        <f t="shared" si="27"/>
        <v>45.796738163950089</v>
      </c>
      <c r="F128" s="4">
        <f t="shared" si="28"/>
        <v>3.4479565161651777</v>
      </c>
      <c r="G128" s="4">
        <f t="shared" si="29"/>
        <v>0</v>
      </c>
      <c r="H128" s="4">
        <f t="shared" si="30"/>
        <v>7.7343599064016146</v>
      </c>
      <c r="I128" s="5">
        <f>vals_co2_incLUC!$R128</f>
        <v>32.828668109101649</v>
      </c>
      <c r="J128" s="5">
        <f>vals_co2_incLUC!$X128</f>
        <v>36.276624625266827</v>
      </c>
      <c r="K128" s="5">
        <f>vals_co2_incLUC!$AD128</f>
        <v>32.838221129695114</v>
      </c>
      <c r="L128" s="5">
        <f>vals_co2_incLUC!$AJ128</f>
        <v>33.431647125038452</v>
      </c>
      <c r="M128" s="5">
        <f>vals_co2_incLUC!$S128</f>
        <v>44.010984531668441</v>
      </c>
      <c r="N128" s="5">
        <f>vals_co2_incLUC!$Y128</f>
        <v>45.796738163950089</v>
      </c>
      <c r="O128" s="5">
        <f>vals_co2_incLUC!$AE128</f>
        <v>44.023791461990243</v>
      </c>
      <c r="P128" s="5">
        <f>vals_co2_incLUC!$AK128</f>
        <v>44.581556513161338</v>
      </c>
      <c r="Q128" s="9">
        <f t="shared" si="31"/>
        <v>1.7857536322816472</v>
      </c>
      <c r="R128" s="9">
        <v>33.360999999999997</v>
      </c>
      <c r="S128" s="9">
        <v>44.914000000000001</v>
      </c>
    </row>
    <row r="129" spans="1:19" x14ac:dyDescent="0.35">
      <c r="A129" s="6">
        <f>vals_co2_incLUC!$A129</f>
        <v>1976</v>
      </c>
      <c r="B129" s="7">
        <f t="shared" si="24"/>
        <v>32.716013381223327</v>
      </c>
      <c r="C129" s="7">
        <f t="shared" si="25"/>
        <v>36.165143787565071</v>
      </c>
      <c r="D129" s="7">
        <f t="shared" si="26"/>
        <v>43.810166719774749</v>
      </c>
      <c r="E129" s="7">
        <f t="shared" si="27"/>
        <v>45.526764683162348</v>
      </c>
      <c r="F129" s="7">
        <f t="shared" si="28"/>
        <v>3.4491304063417445</v>
      </c>
      <c r="G129" s="7">
        <f t="shared" si="29"/>
        <v>0</v>
      </c>
      <c r="H129" s="7">
        <f t="shared" si="30"/>
        <v>7.6450229322096774</v>
      </c>
      <c r="I129" s="8">
        <f>vals_co2_incLUC!$R129</f>
        <v>32.716013381223327</v>
      </c>
      <c r="J129" s="8">
        <f>vals_co2_incLUC!$X129</f>
        <v>36.165143787565071</v>
      </c>
      <c r="K129" s="8">
        <f>vals_co2_incLUC!$AD129</f>
        <v>32.725664232904265</v>
      </c>
      <c r="L129" s="8">
        <f>vals_co2_incLUC!$AJ129</f>
        <v>33.290800155578118</v>
      </c>
      <c r="M129" s="8">
        <f>vals_co2_incLUC!$S129</f>
        <v>43.810166719774749</v>
      </c>
      <c r="N129" s="8">
        <f>vals_co2_incLUC!$Y129</f>
        <v>45.526764683162348</v>
      </c>
      <c r="O129" s="8">
        <f>vals_co2_incLUC!$AE129</f>
        <v>43.823090116583472</v>
      </c>
      <c r="P129" s="8">
        <f>vals_co2_incLUC!$AK129</f>
        <v>44.355173686353652</v>
      </c>
      <c r="Q129" s="9">
        <f t="shared" si="31"/>
        <v>1.7165979633875992</v>
      </c>
      <c r="R129" s="9">
        <v>33.229999999999997</v>
      </c>
      <c r="S129" s="9">
        <v>44.695</v>
      </c>
    </row>
    <row r="130" spans="1:19" x14ac:dyDescent="0.35">
      <c r="A130" s="3">
        <f>vals_co2_incLUC!$A130</f>
        <v>1977</v>
      </c>
      <c r="B130" s="4">
        <f t="shared" si="24"/>
        <v>32.584731957039779</v>
      </c>
      <c r="C130" s="4">
        <f t="shared" si="25"/>
        <v>36.03811717789155</v>
      </c>
      <c r="D130" s="4">
        <f t="shared" si="26"/>
        <v>43.581977998629888</v>
      </c>
      <c r="E130" s="4">
        <f t="shared" si="27"/>
        <v>45.232191138855896</v>
      </c>
      <c r="F130" s="4">
        <f t="shared" si="28"/>
        <v>3.4533852208517715</v>
      </c>
      <c r="G130" s="4">
        <f t="shared" si="29"/>
        <v>0</v>
      </c>
      <c r="H130" s="4">
        <f t="shared" si="30"/>
        <v>7.5438608207383382</v>
      </c>
      <c r="I130" s="5">
        <f>vals_co2_incLUC!$R130</f>
        <v>32.584731957039779</v>
      </c>
      <c r="J130" s="5">
        <f>vals_co2_incLUC!$X130</f>
        <v>36.03811717789155</v>
      </c>
      <c r="K130" s="5">
        <f>vals_co2_incLUC!$AD130</f>
        <v>32.594484133135396</v>
      </c>
      <c r="L130" s="5">
        <f>vals_co2_incLUC!$AJ130</f>
        <v>33.136531449452008</v>
      </c>
      <c r="M130" s="5">
        <f>vals_co2_incLUC!$S130</f>
        <v>43.581977998629888</v>
      </c>
      <c r="N130" s="5">
        <f>vals_co2_incLUC!$Y130</f>
        <v>45.232191138855896</v>
      </c>
      <c r="O130" s="5">
        <f>vals_co2_incLUC!$AE130</f>
        <v>43.595021398996266</v>
      </c>
      <c r="P130" s="5">
        <f>vals_co2_incLUC!$AK130</f>
        <v>44.106374456165405</v>
      </c>
      <c r="Q130" s="9">
        <f t="shared" si="31"/>
        <v>1.6502131402260076</v>
      </c>
      <c r="R130" s="9">
        <v>33.082999999999998</v>
      </c>
      <c r="S130" s="9">
        <v>44.451000000000001</v>
      </c>
    </row>
    <row r="131" spans="1:19" x14ac:dyDescent="0.35">
      <c r="A131" s="6">
        <f>vals_co2_incLUC!$A131</f>
        <v>1978</v>
      </c>
      <c r="B131" s="7">
        <f t="shared" ref="B131:B162" si="32">IFERROR(_xlfn.AGGREGATE(5,6,I131:L131),"")</f>
        <v>32.454913392966859</v>
      </c>
      <c r="C131" s="7">
        <f t="shared" ref="C131:C162" si="33">IFERROR(_xlfn.AGGREGATE(4,6,I131:L131),"")</f>
        <v>35.912290359419622</v>
      </c>
      <c r="D131" s="7">
        <f t="shared" ref="D131:D162" si="34">IFERROR(_xlfn.AGGREGATE(5,6,M131:P131),"")</f>
        <v>43.355562250445601</v>
      </c>
      <c r="E131" s="7">
        <f t="shared" ref="E131:E162" si="35">IFERROR(_xlfn.AGGREGATE(4,6,M131:P131),"")</f>
        <v>44.927923664420234</v>
      </c>
      <c r="F131" s="7">
        <f t="shared" ref="F131:F162" si="36">IFERROR(MIN(C131,D131)-B131,"")</f>
        <v>3.4573769664527632</v>
      </c>
      <c r="G131" s="7">
        <f t="shared" ref="G131:G162" si="37">IFERROR(MAX(0,C131-D131),"")</f>
        <v>0</v>
      </c>
      <c r="H131" s="7">
        <f t="shared" ref="H131:H162" si="38">IFERROR(MAX(0,D131-C131),"")</f>
        <v>7.4432718910259794</v>
      </c>
      <c r="I131" s="8">
        <f>vals_co2_incLUC!$R131</f>
        <v>32.454913392966859</v>
      </c>
      <c r="J131" s="8">
        <f>vals_co2_incLUC!$X131</f>
        <v>35.912290359419622</v>
      </c>
      <c r="K131" s="8">
        <f>vals_co2_incLUC!$AD131</f>
        <v>32.464778647153281</v>
      </c>
      <c r="L131" s="8">
        <f>vals_co2_incLUC!$AJ131</f>
        <v>32.982985756457246</v>
      </c>
      <c r="M131" s="8">
        <f>vals_co2_incLUC!$S131</f>
        <v>43.355562250445601</v>
      </c>
      <c r="N131" s="8">
        <f>vals_co2_incLUC!$Y131</f>
        <v>44.927923664420234</v>
      </c>
      <c r="O131" s="8">
        <f>vals_co2_incLUC!$AE131</f>
        <v>43.368740846628548</v>
      </c>
      <c r="P131" s="8">
        <f>vals_co2_incLUC!$AK131</f>
        <v>43.851621747473558</v>
      </c>
      <c r="Q131" s="9">
        <f t="shared" ref="Q131:Q162" si="39">IFERROR(MAX(0,$E131-MAX($C131,$D131)),"")</f>
        <v>1.5723614139746331</v>
      </c>
      <c r="R131" s="9">
        <v>32.936999999999998</v>
      </c>
      <c r="S131" s="9">
        <v>44.206000000000003</v>
      </c>
    </row>
    <row r="132" spans="1:19" x14ac:dyDescent="0.35">
      <c r="A132" s="3">
        <f>vals_co2_incLUC!$A132</f>
        <v>1979</v>
      </c>
      <c r="B132" s="4">
        <f t="shared" si="32"/>
        <v>32.327220773303075</v>
      </c>
      <c r="C132" s="4">
        <f t="shared" si="33"/>
        <v>35.779995731488903</v>
      </c>
      <c r="D132" s="4">
        <f t="shared" si="34"/>
        <v>43.121522389843861</v>
      </c>
      <c r="E132" s="4">
        <f t="shared" si="35"/>
        <v>44.605773791159884</v>
      </c>
      <c r="F132" s="4">
        <f t="shared" si="36"/>
        <v>3.4527749581858274</v>
      </c>
      <c r="G132" s="4">
        <f t="shared" si="37"/>
        <v>0</v>
      </c>
      <c r="H132" s="4">
        <f t="shared" si="38"/>
        <v>7.3415266583549581</v>
      </c>
      <c r="I132" s="5">
        <f>vals_co2_incLUC!$R132</f>
        <v>32.327220773303075</v>
      </c>
      <c r="J132" s="5">
        <f>vals_co2_incLUC!$X132</f>
        <v>35.779995731488903</v>
      </c>
      <c r="K132" s="5">
        <f>vals_co2_incLUC!$AD132</f>
        <v>32.337208556997403</v>
      </c>
      <c r="L132" s="5">
        <f>vals_co2_incLUC!$AJ132</f>
        <v>32.827573106998457</v>
      </c>
      <c r="M132" s="5">
        <f>vals_co2_incLUC!$S132</f>
        <v>43.121522389843861</v>
      </c>
      <c r="N132" s="5">
        <f>vals_co2_incLUC!$Y132</f>
        <v>44.605773791159884</v>
      </c>
      <c r="O132" s="5">
        <f>vals_co2_incLUC!$AE132</f>
        <v>43.134845147900272</v>
      </c>
      <c r="P132" s="5">
        <f>vals_co2_incLUC!$AK132</f>
        <v>43.588775253193504</v>
      </c>
      <c r="Q132" s="9">
        <f t="shared" si="39"/>
        <v>1.4842514013160226</v>
      </c>
      <c r="R132" s="9">
        <v>32.792000000000002</v>
      </c>
      <c r="S132" s="9">
        <v>43.953000000000003</v>
      </c>
    </row>
    <row r="133" spans="1:19" x14ac:dyDescent="0.35">
      <c r="A133" s="6">
        <f>vals_co2_incLUC!$A133</f>
        <v>1980</v>
      </c>
      <c r="B133" s="7">
        <f t="shared" si="32"/>
        <v>32.169300080968952</v>
      </c>
      <c r="C133" s="7">
        <f t="shared" si="33"/>
        <v>35.633107781401812</v>
      </c>
      <c r="D133" s="7">
        <f t="shared" si="34"/>
        <v>42.853035575827526</v>
      </c>
      <c r="E133" s="7">
        <f t="shared" si="35"/>
        <v>44.263211783163172</v>
      </c>
      <c r="F133" s="7">
        <f t="shared" si="36"/>
        <v>3.4638077004328593</v>
      </c>
      <c r="G133" s="7">
        <f t="shared" si="37"/>
        <v>0</v>
      </c>
      <c r="H133" s="7">
        <f t="shared" si="38"/>
        <v>7.2199277944257148</v>
      </c>
      <c r="I133" s="8">
        <f>vals_co2_incLUC!$R133</f>
        <v>32.169300080968952</v>
      </c>
      <c r="J133" s="8">
        <f>vals_co2_incLUC!$X133</f>
        <v>35.633107781401812</v>
      </c>
      <c r="K133" s="8">
        <f>vals_co2_incLUC!$AD133</f>
        <v>32.179401185181106</v>
      </c>
      <c r="L133" s="8">
        <f>vals_co2_incLUC!$AJ133</f>
        <v>32.655432775131409</v>
      </c>
      <c r="M133" s="8">
        <f>vals_co2_incLUC!$S133</f>
        <v>42.853035575827526</v>
      </c>
      <c r="N133" s="8">
        <f>vals_co2_incLUC!$Y133</f>
        <v>44.263211783163172</v>
      </c>
      <c r="O133" s="8">
        <f>vals_co2_incLUC!$AE133</f>
        <v>42.866491332923395</v>
      </c>
      <c r="P133" s="8">
        <f>vals_co2_incLUC!$AK133</f>
        <v>43.307264800416398</v>
      </c>
      <c r="Q133" s="9">
        <f t="shared" si="39"/>
        <v>1.4101762073356454</v>
      </c>
      <c r="R133" s="9">
        <v>32.622</v>
      </c>
      <c r="S133" s="9">
        <v>43.671999999999997</v>
      </c>
    </row>
    <row r="134" spans="1:19" x14ac:dyDescent="0.35">
      <c r="A134" s="3">
        <f>vals_co2_incLUC!$A134</f>
        <v>1981</v>
      </c>
      <c r="B134" s="4">
        <f t="shared" si="32"/>
        <v>32.025353147682274</v>
      </c>
      <c r="C134" s="4">
        <f t="shared" si="33"/>
        <v>35.501807807970096</v>
      </c>
      <c r="D134" s="4">
        <f t="shared" si="34"/>
        <v>42.576608555555055</v>
      </c>
      <c r="E134" s="4">
        <f t="shared" si="35"/>
        <v>43.916315702540906</v>
      </c>
      <c r="F134" s="4">
        <f t="shared" si="36"/>
        <v>3.4764546602878212</v>
      </c>
      <c r="G134" s="4">
        <f t="shared" si="37"/>
        <v>0</v>
      </c>
      <c r="H134" s="4">
        <f t="shared" si="38"/>
        <v>7.074800747584959</v>
      </c>
      <c r="I134" s="5">
        <f>vals_co2_incLUC!$R134</f>
        <v>32.025353147682274</v>
      </c>
      <c r="J134" s="5">
        <f>vals_co2_incLUC!$X134</f>
        <v>35.501807807970096</v>
      </c>
      <c r="K134" s="5">
        <f>vals_co2_incLUC!$AD134</f>
        <v>32.035576094655944</v>
      </c>
      <c r="L134" s="5">
        <f>vals_co2_incLUC!$AJ134</f>
        <v>32.493822999649375</v>
      </c>
      <c r="M134" s="5">
        <f>vals_co2_incLUC!$S134</f>
        <v>42.576608555555055</v>
      </c>
      <c r="N134" s="5">
        <f>vals_co2_incLUC!$Y134</f>
        <v>43.916315702540906</v>
      </c>
      <c r="O134" s="5">
        <f>vals_co2_incLUC!$AE134</f>
        <v>42.590199591789968</v>
      </c>
      <c r="P134" s="5">
        <f>vals_co2_incLUC!$AK134</f>
        <v>43.016143567564647</v>
      </c>
      <c r="Q134" s="9">
        <f t="shared" si="39"/>
        <v>1.3397071469858517</v>
      </c>
      <c r="R134" s="9">
        <v>32.466000000000001</v>
      </c>
      <c r="S134" s="9">
        <v>43.383000000000003</v>
      </c>
    </row>
    <row r="135" spans="1:19" x14ac:dyDescent="0.35">
      <c r="A135" s="6">
        <f>vals_co2_incLUC!$A135</f>
        <v>1982</v>
      </c>
      <c r="B135" s="7">
        <f t="shared" si="32"/>
        <v>31.888211126547656</v>
      </c>
      <c r="C135" s="7">
        <f t="shared" si="33"/>
        <v>35.38504260006772</v>
      </c>
      <c r="D135" s="7">
        <f t="shared" si="34"/>
        <v>42.316415626054976</v>
      </c>
      <c r="E135" s="7">
        <f t="shared" si="35"/>
        <v>43.583894677936073</v>
      </c>
      <c r="F135" s="7">
        <f t="shared" si="36"/>
        <v>3.4968314735200643</v>
      </c>
      <c r="G135" s="7">
        <f t="shared" si="37"/>
        <v>0</v>
      </c>
      <c r="H135" s="7">
        <f t="shared" si="38"/>
        <v>6.9313730259872557</v>
      </c>
      <c r="I135" s="8">
        <f>vals_co2_incLUC!$R135</f>
        <v>31.888211126547656</v>
      </c>
      <c r="J135" s="8">
        <f>vals_co2_incLUC!$X135</f>
        <v>35.38504260006772</v>
      </c>
      <c r="K135" s="8">
        <f>vals_co2_incLUC!$AD135</f>
        <v>31.898557853405901</v>
      </c>
      <c r="L135" s="8">
        <f>vals_co2_incLUC!$AJ135</f>
        <v>32.341103847599825</v>
      </c>
      <c r="M135" s="8">
        <f>vals_co2_incLUC!$S135</f>
        <v>42.316415626054976</v>
      </c>
      <c r="N135" s="8">
        <f>vals_co2_incLUC!$Y135</f>
        <v>43.583894677936073</v>
      </c>
      <c r="O135" s="8">
        <f>vals_co2_incLUC!$AE135</f>
        <v>42.330145868503308</v>
      </c>
      <c r="P135" s="8">
        <f>vals_co2_incLUC!$AK135</f>
        <v>42.740165683683706</v>
      </c>
      <c r="Q135" s="9">
        <f t="shared" si="39"/>
        <v>1.2674790518810966</v>
      </c>
      <c r="R135" s="9">
        <v>32.317</v>
      </c>
      <c r="S135" s="9">
        <v>43.109000000000002</v>
      </c>
    </row>
    <row r="136" spans="1:19" x14ac:dyDescent="0.35">
      <c r="A136" s="3">
        <f>vals_co2_incLUC!$A136</f>
        <v>1983</v>
      </c>
      <c r="B136" s="4">
        <f t="shared" si="32"/>
        <v>31.767187294359445</v>
      </c>
      <c r="C136" s="4">
        <f t="shared" si="33"/>
        <v>35.318209322982788</v>
      </c>
      <c r="D136" s="4">
        <f t="shared" si="34"/>
        <v>42.057844700484367</v>
      </c>
      <c r="E136" s="4">
        <f t="shared" si="35"/>
        <v>43.290320367162764</v>
      </c>
      <c r="F136" s="4">
        <f t="shared" si="36"/>
        <v>3.5510220286233434</v>
      </c>
      <c r="G136" s="4">
        <f t="shared" si="37"/>
        <v>0</v>
      </c>
      <c r="H136" s="4">
        <f t="shared" si="38"/>
        <v>6.7396353775015783</v>
      </c>
      <c r="I136" s="5">
        <f>vals_co2_incLUC!$R136</f>
        <v>31.767187294359445</v>
      </c>
      <c r="J136" s="5">
        <f>vals_co2_incLUC!$X136</f>
        <v>35.318209322982788</v>
      </c>
      <c r="K136" s="5">
        <f>vals_co2_incLUC!$AD136</f>
        <v>31.777663782144781</v>
      </c>
      <c r="L136" s="5">
        <f>vals_co2_incLUC!$AJ136</f>
        <v>32.209672390093914</v>
      </c>
      <c r="M136" s="5">
        <f>vals_co2_incLUC!$S136</f>
        <v>42.057844700484367</v>
      </c>
      <c r="N136" s="5">
        <f>vals_co2_incLUC!$Y136</f>
        <v>43.290320367162764</v>
      </c>
      <c r="O136" s="5">
        <f>vals_co2_incLUC!$AE136</f>
        <v>42.071714828672306</v>
      </c>
      <c r="P136" s="5">
        <f>vals_co2_incLUC!$AK136</f>
        <v>42.473071410387156</v>
      </c>
      <c r="Q136" s="9">
        <f t="shared" si="39"/>
        <v>1.2324756666783969</v>
      </c>
      <c r="R136" s="9">
        <v>32.186999999999998</v>
      </c>
      <c r="S136" s="9">
        <v>42.84</v>
      </c>
    </row>
    <row r="137" spans="1:19" x14ac:dyDescent="0.35">
      <c r="A137" s="6">
        <f>vals_co2_incLUC!$A137</f>
        <v>1984</v>
      </c>
      <c r="B137" s="7">
        <f t="shared" si="32"/>
        <v>31.648633007822006</v>
      </c>
      <c r="C137" s="7">
        <f t="shared" si="33"/>
        <v>35.264327107933354</v>
      </c>
      <c r="D137" s="7">
        <f t="shared" si="34"/>
        <v>41.795774850559617</v>
      </c>
      <c r="E137" s="7">
        <f t="shared" si="35"/>
        <v>42.998178074504054</v>
      </c>
      <c r="F137" s="7">
        <f t="shared" si="36"/>
        <v>3.6156941001113481</v>
      </c>
      <c r="G137" s="7">
        <f t="shared" si="37"/>
        <v>0</v>
      </c>
      <c r="H137" s="7">
        <f t="shared" si="38"/>
        <v>6.5314477426262627</v>
      </c>
      <c r="I137" s="8">
        <f>vals_co2_incLUC!$R137</f>
        <v>31.648633007822006</v>
      </c>
      <c r="J137" s="8">
        <f>vals_co2_incLUC!$X137</f>
        <v>35.264327107933354</v>
      </c>
      <c r="K137" s="8">
        <f>vals_co2_incLUC!$AD137</f>
        <v>31.659249758984515</v>
      </c>
      <c r="L137" s="8">
        <f>vals_co2_incLUC!$AJ137</f>
        <v>32.08670251235889</v>
      </c>
      <c r="M137" s="8">
        <f>vals_co2_incLUC!$S137</f>
        <v>41.795774850559617</v>
      </c>
      <c r="N137" s="8">
        <f>vals_co2_incLUC!$Y137</f>
        <v>42.998178074504054</v>
      </c>
      <c r="O137" s="8">
        <f>vals_co2_incLUC!$AE137</f>
        <v>41.809795325600739</v>
      </c>
      <c r="P137" s="8">
        <f>vals_co2_incLUC!$AK137</f>
        <v>42.211212292108414</v>
      </c>
      <c r="Q137" s="9">
        <f t="shared" si="39"/>
        <v>1.2024032239444367</v>
      </c>
      <c r="R137" s="9">
        <v>32.063000000000002</v>
      </c>
      <c r="S137" s="9">
        <v>42.572000000000003</v>
      </c>
    </row>
    <row r="138" spans="1:19" x14ac:dyDescent="0.35">
      <c r="A138" s="3">
        <f>vals_co2_incLUC!$A138</f>
        <v>1985</v>
      </c>
      <c r="B138" s="4">
        <f t="shared" si="32"/>
        <v>31.543811358439434</v>
      </c>
      <c r="C138" s="4">
        <f t="shared" si="33"/>
        <v>35.212010501691296</v>
      </c>
      <c r="D138" s="4">
        <f t="shared" si="34"/>
        <v>41.547696813283117</v>
      </c>
      <c r="E138" s="4">
        <f t="shared" si="35"/>
        <v>42.697641691137846</v>
      </c>
      <c r="F138" s="4">
        <f t="shared" si="36"/>
        <v>3.6681991432518615</v>
      </c>
      <c r="G138" s="4">
        <f t="shared" si="37"/>
        <v>0</v>
      </c>
      <c r="H138" s="4">
        <f t="shared" si="38"/>
        <v>6.3356863115918216</v>
      </c>
      <c r="I138" s="5">
        <f>vals_co2_incLUC!$R138</f>
        <v>31.543811358439434</v>
      </c>
      <c r="J138" s="5">
        <f>vals_co2_incLUC!$X138</f>
        <v>35.212010501691296</v>
      </c>
      <c r="K138" s="5">
        <f>vals_co2_incLUC!$AD138</f>
        <v>31.554589587418402</v>
      </c>
      <c r="L138" s="5">
        <f>vals_co2_incLUC!$AJ138</f>
        <v>31.960246249974496</v>
      </c>
      <c r="M138" s="5">
        <f>vals_co2_incLUC!$S138</f>
        <v>41.547696813283117</v>
      </c>
      <c r="N138" s="5">
        <f>vals_co2_incLUC!$Y138</f>
        <v>42.697641691137846</v>
      </c>
      <c r="O138" s="5">
        <f>vals_co2_incLUC!$AE138</f>
        <v>41.561893070638881</v>
      </c>
      <c r="P138" s="5">
        <f>vals_co2_incLUC!$AK138</f>
        <v>41.942637058179507</v>
      </c>
      <c r="Q138" s="9">
        <f t="shared" si="39"/>
        <v>1.149944877854729</v>
      </c>
      <c r="R138" s="9">
        <v>31.945</v>
      </c>
      <c r="S138" s="9">
        <v>42.308999999999997</v>
      </c>
    </row>
    <row r="139" spans="1:19" x14ac:dyDescent="0.35">
      <c r="A139" s="6">
        <f>vals_co2_incLUC!$A139</f>
        <v>1986</v>
      </c>
      <c r="B139" s="7">
        <f t="shared" si="32"/>
        <v>31.458240197468061</v>
      </c>
      <c r="C139" s="7">
        <f t="shared" si="33"/>
        <v>35.176829640679173</v>
      </c>
      <c r="D139" s="7">
        <f t="shared" si="34"/>
        <v>41.299176850509163</v>
      </c>
      <c r="E139" s="7">
        <f t="shared" si="35"/>
        <v>42.383743103583527</v>
      </c>
      <c r="F139" s="7">
        <f t="shared" si="36"/>
        <v>3.718589443211112</v>
      </c>
      <c r="G139" s="7">
        <f t="shared" si="37"/>
        <v>0</v>
      </c>
      <c r="H139" s="7">
        <f t="shared" si="38"/>
        <v>6.1223472098299894</v>
      </c>
      <c r="I139" s="8">
        <f>vals_co2_incLUC!$R139</f>
        <v>31.458240197468061</v>
      </c>
      <c r="J139" s="8">
        <f>vals_co2_incLUC!$X139</f>
        <v>35.176829640679173</v>
      </c>
      <c r="K139" s="8">
        <f>vals_co2_incLUC!$AD139</f>
        <v>31.469200552956174</v>
      </c>
      <c r="L139" s="8">
        <f>vals_co2_incLUC!$AJ139</f>
        <v>31.851150497218661</v>
      </c>
      <c r="M139" s="8">
        <f>vals_co2_incLUC!$S139</f>
        <v>41.299176850509163</v>
      </c>
      <c r="N139" s="8">
        <f>vals_co2_incLUC!$Y139</f>
        <v>42.383743103583527</v>
      </c>
      <c r="O139" s="8">
        <f>vals_co2_incLUC!$AE139</f>
        <v>41.313565697218699</v>
      </c>
      <c r="P139" s="8">
        <f>vals_co2_incLUC!$AK139</f>
        <v>41.670728008014521</v>
      </c>
      <c r="Q139" s="9">
        <f t="shared" si="39"/>
        <v>1.0845662530743638</v>
      </c>
      <c r="R139" s="9">
        <v>31.847000000000001</v>
      </c>
      <c r="S139" s="9">
        <v>42.046999999999997</v>
      </c>
    </row>
    <row r="140" spans="1:19" x14ac:dyDescent="0.35">
      <c r="A140" s="3">
        <f>vals_co2_incLUC!$A140</f>
        <v>1987</v>
      </c>
      <c r="B140" s="4">
        <f t="shared" si="32"/>
        <v>31.389259841058891</v>
      </c>
      <c r="C140" s="4">
        <f t="shared" si="33"/>
        <v>35.153374220622027</v>
      </c>
      <c r="D140" s="4">
        <f t="shared" si="34"/>
        <v>41.060715642010479</v>
      </c>
      <c r="E140" s="4">
        <f t="shared" si="35"/>
        <v>42.065627216846075</v>
      </c>
      <c r="F140" s="4">
        <f t="shared" si="36"/>
        <v>3.7641143795631358</v>
      </c>
      <c r="G140" s="4">
        <f t="shared" si="37"/>
        <v>0</v>
      </c>
      <c r="H140" s="4">
        <f t="shared" si="38"/>
        <v>5.9073414213884519</v>
      </c>
      <c r="I140" s="5">
        <f>vals_co2_incLUC!$R140</f>
        <v>31.389259841058891</v>
      </c>
      <c r="J140" s="5">
        <f>vals_co2_incLUC!$X140</f>
        <v>35.153374220622027</v>
      </c>
      <c r="K140" s="5">
        <f>vals_co2_incLUC!$AD140</f>
        <v>31.400420120574523</v>
      </c>
      <c r="L140" s="5">
        <f>vals_co2_incLUC!$AJ140</f>
        <v>31.750527207867862</v>
      </c>
      <c r="M140" s="5">
        <f>vals_co2_incLUC!$S140</f>
        <v>41.060715642010479</v>
      </c>
      <c r="N140" s="5">
        <f>vals_co2_incLUC!$Y140</f>
        <v>42.065627216846075</v>
      </c>
      <c r="O140" s="5">
        <f>vals_co2_incLUC!$AE140</f>
        <v>41.07531436616695</v>
      </c>
      <c r="P140" s="5">
        <f>vals_co2_incLUC!$AK140</f>
        <v>41.405058328553395</v>
      </c>
      <c r="Q140" s="9">
        <f t="shared" si="39"/>
        <v>1.0049115748355959</v>
      </c>
      <c r="R140" s="9">
        <v>31.760999999999999</v>
      </c>
      <c r="S140" s="9">
        <v>41.790999999999997</v>
      </c>
    </row>
    <row r="141" spans="1:19" x14ac:dyDescent="0.35">
      <c r="A141" s="6">
        <f>vals_co2_incLUC!$A141</f>
        <v>1988</v>
      </c>
      <c r="B141" s="7">
        <f t="shared" si="32"/>
        <v>31.296543013190814</v>
      </c>
      <c r="C141" s="7">
        <f t="shared" si="33"/>
        <v>35.123445080698538</v>
      </c>
      <c r="D141" s="7">
        <f t="shared" si="34"/>
        <v>40.794044825009969</v>
      </c>
      <c r="E141" s="7">
        <f t="shared" si="35"/>
        <v>41.727688291398366</v>
      </c>
      <c r="F141" s="7">
        <f t="shared" si="36"/>
        <v>3.8269020675077243</v>
      </c>
      <c r="G141" s="7">
        <f t="shared" si="37"/>
        <v>0</v>
      </c>
      <c r="H141" s="7">
        <f t="shared" si="38"/>
        <v>5.6705997443114313</v>
      </c>
      <c r="I141" s="8">
        <f>vals_co2_incLUC!$R141</f>
        <v>31.296543013190814</v>
      </c>
      <c r="J141" s="8">
        <f>vals_co2_incLUC!$X141</f>
        <v>35.123445080698538</v>
      </c>
      <c r="K141" s="8">
        <f>vals_co2_incLUC!$AD141</f>
        <v>31.30790196300336</v>
      </c>
      <c r="L141" s="8">
        <f>vals_co2_incLUC!$AJ141</f>
        <v>31.636943057770505</v>
      </c>
      <c r="M141" s="8">
        <f>vals_co2_incLUC!$S141</f>
        <v>40.794044825009969</v>
      </c>
      <c r="N141" s="8">
        <f>vals_co2_incLUC!$Y141</f>
        <v>41.727688291398366</v>
      </c>
      <c r="O141" s="8">
        <f>vals_co2_incLUC!$AE141</f>
        <v>40.808850662750821</v>
      </c>
      <c r="P141" s="8">
        <f>vals_co2_incLUC!$AK141</f>
        <v>41.12079914324412</v>
      </c>
      <c r="Q141" s="9">
        <f t="shared" si="39"/>
        <v>0.93364346638839635</v>
      </c>
      <c r="R141" s="9">
        <v>31.655999999999999</v>
      </c>
      <c r="S141" s="9">
        <v>41.51</v>
      </c>
    </row>
    <row r="142" spans="1:19" x14ac:dyDescent="0.35">
      <c r="A142" s="3">
        <f>vals_co2_incLUC!$A142</f>
        <v>1989</v>
      </c>
      <c r="B142" s="4">
        <f t="shared" si="32"/>
        <v>31.184945216985305</v>
      </c>
      <c r="C142" s="4">
        <f t="shared" si="33"/>
        <v>35.085311121027878</v>
      </c>
      <c r="D142" s="4">
        <f t="shared" si="34"/>
        <v>40.500568652346814</v>
      </c>
      <c r="E142" s="4">
        <f t="shared" si="35"/>
        <v>41.369213908238059</v>
      </c>
      <c r="F142" s="4">
        <f t="shared" si="36"/>
        <v>3.9003659040425731</v>
      </c>
      <c r="G142" s="4">
        <f t="shared" si="37"/>
        <v>0</v>
      </c>
      <c r="H142" s="4">
        <f t="shared" si="38"/>
        <v>5.4152575313189359</v>
      </c>
      <c r="I142" s="5">
        <f>vals_co2_incLUC!$R142</f>
        <v>31.184945216985305</v>
      </c>
      <c r="J142" s="5">
        <f>vals_co2_incLUC!$X142</f>
        <v>35.085311121027878</v>
      </c>
      <c r="K142" s="5">
        <f>vals_co2_incLUC!$AD142</f>
        <v>31.196507043037585</v>
      </c>
      <c r="L142" s="5">
        <f>vals_co2_incLUC!$AJ142</f>
        <v>31.511367247852064</v>
      </c>
      <c r="M142" s="5">
        <f>vals_co2_incLUC!$S142</f>
        <v>40.500568652346814</v>
      </c>
      <c r="N142" s="5">
        <f>vals_co2_incLUC!$Y142</f>
        <v>41.369213908238059</v>
      </c>
      <c r="O142" s="5">
        <f>vals_co2_incLUC!$AE142</f>
        <v>40.515584054960883</v>
      </c>
      <c r="P142" s="5">
        <f>vals_co2_incLUC!$AK142</f>
        <v>40.820488022556084</v>
      </c>
      <c r="Q142" s="9">
        <f t="shared" si="39"/>
        <v>0.86864525589124497</v>
      </c>
      <c r="R142" s="9">
        <v>31.532</v>
      </c>
      <c r="S142" s="9">
        <v>41.204999999999998</v>
      </c>
    </row>
    <row r="143" spans="1:19" x14ac:dyDescent="0.35">
      <c r="A143" s="6">
        <f>vals_co2_incLUC!$A143</f>
        <v>1990</v>
      </c>
      <c r="B143" s="7">
        <f t="shared" si="32"/>
        <v>31.052867974667421</v>
      </c>
      <c r="C143" s="7">
        <f t="shared" si="33"/>
        <v>35.036616696137081</v>
      </c>
      <c r="D143" s="7">
        <f t="shared" si="34"/>
        <v>40.190704126896989</v>
      </c>
      <c r="E143" s="7">
        <f t="shared" si="35"/>
        <v>40.99801767151888</v>
      </c>
      <c r="F143" s="7">
        <f t="shared" si="36"/>
        <v>3.9837487214696594</v>
      </c>
      <c r="G143" s="7">
        <f t="shared" si="37"/>
        <v>0</v>
      </c>
      <c r="H143" s="7">
        <f t="shared" si="38"/>
        <v>5.1540874307599083</v>
      </c>
      <c r="I143" s="8">
        <f>vals_co2_incLUC!$R143</f>
        <v>31.052867974667421</v>
      </c>
      <c r="J143" s="8">
        <f>vals_co2_incLUC!$X143</f>
        <v>35.036616696137081</v>
      </c>
      <c r="K143" s="8">
        <f>vals_co2_incLUC!$AD143</f>
        <v>31.064632742323152</v>
      </c>
      <c r="L143" s="8">
        <f>vals_co2_incLUC!$AJ143</f>
        <v>31.369357683235659</v>
      </c>
      <c r="M143" s="8">
        <f>vals_co2_incLUC!$S143</f>
        <v>40.190704126896989</v>
      </c>
      <c r="N143" s="8">
        <f>vals_co2_incLUC!$Y143</f>
        <v>40.99801767151888</v>
      </c>
      <c r="O143" s="8">
        <f>vals_co2_incLUC!$AE143</f>
        <v>40.205930682478431</v>
      </c>
      <c r="P143" s="8">
        <f>vals_co2_incLUC!$AK143</f>
        <v>40.50834215155438</v>
      </c>
      <c r="Q143" s="9">
        <f t="shared" si="39"/>
        <v>0.80731354462189131</v>
      </c>
      <c r="R143" s="9">
        <v>31.388000000000002</v>
      </c>
      <c r="S143" s="9">
        <v>40.884</v>
      </c>
    </row>
    <row r="144" spans="1:19" x14ac:dyDescent="0.35">
      <c r="A144" s="3">
        <f>vals_co2_incLUC!$A144</f>
        <v>1991</v>
      </c>
      <c r="B144" s="4">
        <f t="shared" si="32"/>
        <v>30.880852101726685</v>
      </c>
      <c r="C144" s="4">
        <f t="shared" si="33"/>
        <v>34.89706029339424</v>
      </c>
      <c r="D144" s="4">
        <f t="shared" si="34"/>
        <v>39.829229474921057</v>
      </c>
      <c r="E144" s="4">
        <f t="shared" si="35"/>
        <v>40.623053711248538</v>
      </c>
      <c r="F144" s="4">
        <f t="shared" si="36"/>
        <v>4.0162081916675554</v>
      </c>
      <c r="G144" s="4">
        <f t="shared" si="37"/>
        <v>0</v>
      </c>
      <c r="H144" s="4">
        <f t="shared" si="38"/>
        <v>4.9321691815268167</v>
      </c>
      <c r="I144" s="5">
        <f>vals_co2_incLUC!$R144</f>
        <v>30.880852101726685</v>
      </c>
      <c r="J144" s="5">
        <f>vals_co2_incLUC!$X144</f>
        <v>34.89706029339424</v>
      </c>
      <c r="K144" s="5">
        <f>vals_co2_incLUC!$AD144</f>
        <v>30.892815873539618</v>
      </c>
      <c r="L144" s="5">
        <f>vals_co2_incLUC!$AJ144</f>
        <v>31.192717880355008</v>
      </c>
      <c r="M144" s="5">
        <f>vals_co2_incLUC!$S144</f>
        <v>39.829229474921057</v>
      </c>
      <c r="N144" s="5">
        <f>vals_co2_incLUC!$Y144</f>
        <v>40.623053711248538</v>
      </c>
      <c r="O144" s="5">
        <f>vals_co2_incLUC!$AE144</f>
        <v>39.844659803263426</v>
      </c>
      <c r="P144" s="5">
        <f>vals_co2_incLUC!$AK144</f>
        <v>40.153196171392068</v>
      </c>
      <c r="Q144" s="9">
        <f t="shared" si="39"/>
        <v>0.793824236327481</v>
      </c>
      <c r="R144" s="9">
        <v>31.204999999999998</v>
      </c>
      <c r="S144" s="9">
        <v>40.512999999999998</v>
      </c>
    </row>
    <row r="145" spans="1:19" x14ac:dyDescent="0.35">
      <c r="A145" s="6">
        <f>vals_co2_incLUC!$A145</f>
        <v>1992</v>
      </c>
      <c r="B145" s="7">
        <f t="shared" si="32"/>
        <v>30.716103181067279</v>
      </c>
      <c r="C145" s="7">
        <f t="shared" si="33"/>
        <v>34.769625365856143</v>
      </c>
      <c r="D145" s="7">
        <f t="shared" si="34"/>
        <v>39.492385392176246</v>
      </c>
      <c r="E145" s="7">
        <f t="shared" si="35"/>
        <v>40.304897997458028</v>
      </c>
      <c r="F145" s="7">
        <f t="shared" si="36"/>
        <v>4.0535221847888643</v>
      </c>
      <c r="G145" s="7">
        <f t="shared" si="37"/>
        <v>0</v>
      </c>
      <c r="H145" s="7">
        <f t="shared" si="38"/>
        <v>4.7227600263201026</v>
      </c>
      <c r="I145" s="8">
        <f>vals_co2_incLUC!$R145</f>
        <v>30.716103181067279</v>
      </c>
      <c r="J145" s="8">
        <f>vals_co2_incLUC!$X145</f>
        <v>34.769625365856143</v>
      </c>
      <c r="K145" s="8">
        <f>vals_co2_incLUC!$AD145</f>
        <v>30.71610614184333</v>
      </c>
      <c r="L145" s="8">
        <f>vals_co2_incLUC!$AJ145</f>
        <v>31.007328801224897</v>
      </c>
      <c r="M145" s="8">
        <f>vals_co2_incLUC!$S145</f>
        <v>39.492385392176246</v>
      </c>
      <c r="N145" s="8">
        <f>vals_co2_incLUC!$Y145</f>
        <v>40.304897997458028</v>
      </c>
      <c r="O145" s="8">
        <f>vals_co2_incLUC!$AE145</f>
        <v>39.492388914689222</v>
      </c>
      <c r="P145" s="8">
        <f>vals_co2_incLUC!$AK145</f>
        <v>39.804773150474162</v>
      </c>
      <c r="Q145" s="9">
        <f t="shared" si="39"/>
        <v>0.81251260528178193</v>
      </c>
      <c r="R145" s="9">
        <v>31.027999999999999</v>
      </c>
      <c r="S145" s="9">
        <v>40.167999999999999</v>
      </c>
    </row>
    <row r="146" spans="1:19" x14ac:dyDescent="0.35">
      <c r="A146" s="3">
        <f>vals_co2_incLUC!$A146</f>
        <v>1993</v>
      </c>
      <c r="B146" s="4">
        <f t="shared" si="32"/>
        <v>30.528076451789882</v>
      </c>
      <c r="C146" s="4">
        <f t="shared" si="33"/>
        <v>34.612345174048365</v>
      </c>
      <c r="D146" s="4">
        <f t="shared" si="34"/>
        <v>39.179522867013915</v>
      </c>
      <c r="E146" s="4">
        <f t="shared" si="35"/>
        <v>40.012331874142987</v>
      </c>
      <c r="F146" s="4">
        <f t="shared" si="36"/>
        <v>4.0842687222584821</v>
      </c>
      <c r="G146" s="4">
        <f t="shared" si="37"/>
        <v>0</v>
      </c>
      <c r="H146" s="4">
        <f t="shared" si="38"/>
        <v>4.5671776929655508</v>
      </c>
      <c r="I146" s="5">
        <f>vals_co2_incLUC!$R146</f>
        <v>30.528076451789882</v>
      </c>
      <c r="J146" s="5">
        <f>vals_co2_incLUC!$X146</f>
        <v>34.612345174048365</v>
      </c>
      <c r="K146" s="5">
        <f>vals_co2_incLUC!$AD146</f>
        <v>30.528079079368496</v>
      </c>
      <c r="L146" s="5">
        <f>vals_co2_incLUC!$AJ146</f>
        <v>30.804347418662186</v>
      </c>
      <c r="M146" s="5">
        <f>vals_co2_incLUC!$S146</f>
        <v>39.179522867013915</v>
      </c>
      <c r="N146" s="5">
        <f>vals_co2_incLUC!$Y146</f>
        <v>40.012331874142987</v>
      </c>
      <c r="O146" s="5">
        <f>vals_co2_incLUC!$AE146</f>
        <v>39.179526034028264</v>
      </c>
      <c r="P146" s="5">
        <f>vals_co2_incLUC!$AK146</f>
        <v>39.478084270208505</v>
      </c>
      <c r="Q146" s="9">
        <f t="shared" si="39"/>
        <v>0.83280900712907169</v>
      </c>
      <c r="R146" s="9">
        <v>30.827999999999999</v>
      </c>
      <c r="S146" s="9">
        <v>39.841999999999999</v>
      </c>
    </row>
    <row r="147" spans="1:19" x14ac:dyDescent="0.35">
      <c r="A147" s="6">
        <f>vals_co2_incLUC!$A147</f>
        <v>1994</v>
      </c>
      <c r="B147" s="7">
        <f t="shared" si="32"/>
        <v>30.324423879822511</v>
      </c>
      <c r="C147" s="7">
        <f t="shared" si="33"/>
        <v>34.446097692142395</v>
      </c>
      <c r="D147" s="7">
        <f t="shared" si="34"/>
        <v>38.866116046227219</v>
      </c>
      <c r="E147" s="7">
        <f t="shared" si="35"/>
        <v>39.745004894308913</v>
      </c>
      <c r="F147" s="7">
        <f t="shared" si="36"/>
        <v>4.1216738123198837</v>
      </c>
      <c r="G147" s="7">
        <f t="shared" si="37"/>
        <v>0</v>
      </c>
      <c r="H147" s="7">
        <f t="shared" si="38"/>
        <v>4.4200183540848244</v>
      </c>
      <c r="I147" s="8">
        <f>vals_co2_incLUC!$R147</f>
        <v>30.324423879822511</v>
      </c>
      <c r="J147" s="8">
        <f>vals_co2_incLUC!$X147</f>
        <v>34.446097692142395</v>
      </c>
      <c r="K147" s="8">
        <f>vals_co2_incLUC!$AD147</f>
        <v>30.324426100823555</v>
      </c>
      <c r="L147" s="8">
        <f>vals_co2_incLUC!$AJ147</f>
        <v>30.594112929132027</v>
      </c>
      <c r="M147" s="8">
        <f>vals_co2_incLUC!$S147</f>
        <v>38.866116046227219</v>
      </c>
      <c r="N147" s="8">
        <f>vals_co2_incLUC!$Y147</f>
        <v>39.745004894308913</v>
      </c>
      <c r="O147" s="8">
        <f>vals_co2_incLUC!$AE147</f>
        <v>38.866118707821059</v>
      </c>
      <c r="P147" s="8">
        <f>vals_co2_incLUC!$AK147</f>
        <v>39.162930212746772</v>
      </c>
      <c r="Q147" s="9">
        <f t="shared" si="39"/>
        <v>0.87888884808169365</v>
      </c>
      <c r="R147" s="9">
        <v>30.616</v>
      </c>
      <c r="S147" s="9">
        <v>39.521999999999998</v>
      </c>
    </row>
    <row r="148" spans="1:19" x14ac:dyDescent="0.35">
      <c r="A148" s="3">
        <f>vals_co2_incLUC!$A148</f>
        <v>1995</v>
      </c>
      <c r="B148" s="4">
        <f t="shared" si="32"/>
        <v>30.133912544564478</v>
      </c>
      <c r="C148" s="4">
        <f t="shared" si="33"/>
        <v>34.155105762088809</v>
      </c>
      <c r="D148" s="4">
        <f t="shared" si="34"/>
        <v>38.605850987795606</v>
      </c>
      <c r="E148" s="4">
        <f t="shared" si="35"/>
        <v>39.398076402941165</v>
      </c>
      <c r="F148" s="4">
        <f t="shared" si="36"/>
        <v>4.0211932175243312</v>
      </c>
      <c r="G148" s="4">
        <f t="shared" si="37"/>
        <v>0</v>
      </c>
      <c r="H148" s="4">
        <f t="shared" si="38"/>
        <v>4.4507452257067968</v>
      </c>
      <c r="I148" s="5">
        <f>vals_co2_incLUC!$R148</f>
        <v>30.133912544564478</v>
      </c>
      <c r="J148" s="5">
        <f>vals_co2_incLUC!$X148</f>
        <v>34.155105762088809</v>
      </c>
      <c r="K148" s="5">
        <f>vals_co2_incLUC!$AD148</f>
        <v>30.133914435811459</v>
      </c>
      <c r="L148" s="5">
        <f>vals_co2_incLUC!$AJ148</f>
        <v>30.375423367975507</v>
      </c>
      <c r="M148" s="5">
        <f>vals_co2_incLUC!$S148</f>
        <v>38.605850987795606</v>
      </c>
      <c r="N148" s="5">
        <f>vals_co2_incLUC!$Y148</f>
        <v>39.398076402941165</v>
      </c>
      <c r="O148" s="5">
        <f>vals_co2_incLUC!$AE148</f>
        <v>38.605853221009021</v>
      </c>
      <c r="P148" s="5">
        <f>vals_co2_incLUC!$AK148</f>
        <v>38.873405141824449</v>
      </c>
      <c r="Q148" s="9">
        <f t="shared" si="39"/>
        <v>0.792225415145559</v>
      </c>
      <c r="R148" s="9">
        <v>30.413</v>
      </c>
      <c r="S148" s="9">
        <v>39.249000000000002</v>
      </c>
    </row>
    <row r="149" spans="1:19" x14ac:dyDescent="0.35">
      <c r="A149" s="6">
        <f>vals_co2_incLUC!$A149</f>
        <v>1996</v>
      </c>
      <c r="B149" s="7">
        <f t="shared" si="32"/>
        <v>29.912513388444957</v>
      </c>
      <c r="C149" s="7">
        <f t="shared" si="33"/>
        <v>33.875112467903925</v>
      </c>
      <c r="D149" s="7">
        <f t="shared" si="34"/>
        <v>38.326225991321614</v>
      </c>
      <c r="E149" s="7">
        <f t="shared" si="35"/>
        <v>39.083063807096821</v>
      </c>
      <c r="F149" s="7">
        <f t="shared" si="36"/>
        <v>3.9625990794589683</v>
      </c>
      <c r="G149" s="7">
        <f t="shared" si="37"/>
        <v>0</v>
      </c>
      <c r="H149" s="7">
        <f t="shared" si="38"/>
        <v>4.4511135234176891</v>
      </c>
      <c r="I149" s="8">
        <f>vals_co2_incLUC!$R149</f>
        <v>29.912513388444957</v>
      </c>
      <c r="J149" s="8">
        <f>vals_co2_incLUC!$X149</f>
        <v>33.875112467903925</v>
      </c>
      <c r="K149" s="8">
        <f>vals_co2_incLUC!$AD149</f>
        <v>29.912515210124784</v>
      </c>
      <c r="L149" s="8">
        <f>vals_co2_incLUC!$AJ149</f>
        <v>30.145950907666087</v>
      </c>
      <c r="M149" s="8">
        <f>vals_co2_incLUC!$S149</f>
        <v>38.326225991321614</v>
      </c>
      <c r="N149" s="8">
        <f>vals_co2_incLUC!$Y149</f>
        <v>39.083063807096821</v>
      </c>
      <c r="O149" s="8">
        <f>vals_co2_incLUC!$AE149</f>
        <v>38.326228130408246</v>
      </c>
      <c r="P149" s="8">
        <f>vals_co2_incLUC!$AK149</f>
        <v>38.581000463733936</v>
      </c>
      <c r="Q149" s="9">
        <f t="shared" si="39"/>
        <v>0.75683781577520648</v>
      </c>
      <c r="R149" s="9">
        <v>30.184999999999999</v>
      </c>
      <c r="S149" s="9">
        <v>38.962000000000003</v>
      </c>
    </row>
    <row r="150" spans="1:19" x14ac:dyDescent="0.35">
      <c r="A150" s="3">
        <f>vals_co2_incLUC!$A150</f>
        <v>1997</v>
      </c>
      <c r="B150" s="4">
        <f t="shared" si="32"/>
        <v>29.675334776059437</v>
      </c>
      <c r="C150" s="4">
        <f t="shared" si="33"/>
        <v>33.558800741761615</v>
      </c>
      <c r="D150" s="4">
        <f t="shared" si="34"/>
        <v>37.99807348713874</v>
      </c>
      <c r="E150" s="4">
        <f t="shared" si="35"/>
        <v>38.703208294235928</v>
      </c>
      <c r="F150" s="4">
        <f t="shared" si="36"/>
        <v>3.8834659657021788</v>
      </c>
      <c r="G150" s="4">
        <f t="shared" si="37"/>
        <v>0</v>
      </c>
      <c r="H150" s="4">
        <f t="shared" si="38"/>
        <v>4.4392727453771244</v>
      </c>
      <c r="I150" s="5">
        <f>vals_co2_incLUC!$R150</f>
        <v>29.675334776059437</v>
      </c>
      <c r="J150" s="5">
        <f>vals_co2_incLUC!$X150</f>
        <v>33.558800741761615</v>
      </c>
      <c r="K150" s="5">
        <f>vals_co2_incLUC!$AD150</f>
        <v>29.675336526661074</v>
      </c>
      <c r="L150" s="5">
        <f>vals_co2_incLUC!$AJ150</f>
        <v>29.901851899423004</v>
      </c>
      <c r="M150" s="5">
        <f>vals_co2_incLUC!$S150</f>
        <v>37.99807348713874</v>
      </c>
      <c r="N150" s="5">
        <f>vals_co2_incLUC!$Y150</f>
        <v>38.703208294235928</v>
      </c>
      <c r="O150" s="5">
        <f>vals_co2_incLUC!$AE150</f>
        <v>37.998075528373327</v>
      </c>
      <c r="P150" s="5">
        <f>vals_co2_incLUC!$AK150</f>
        <v>38.251428835547827</v>
      </c>
      <c r="Q150" s="9">
        <f t="shared" si="39"/>
        <v>0.70513480709718834</v>
      </c>
      <c r="R150" s="9">
        <v>29.942</v>
      </c>
      <c r="S150" s="9">
        <v>38.628999999999998</v>
      </c>
    </row>
    <row r="151" spans="1:19" x14ac:dyDescent="0.35">
      <c r="A151" s="6">
        <f>vals_co2_incLUC!$A151</f>
        <v>1998</v>
      </c>
      <c r="B151" s="7">
        <f t="shared" si="32"/>
        <v>29.474288099490675</v>
      </c>
      <c r="C151" s="7">
        <f t="shared" si="33"/>
        <v>33.197548946717404</v>
      </c>
      <c r="D151" s="7">
        <f t="shared" si="34"/>
        <v>37.766672331328081</v>
      </c>
      <c r="E151" s="7">
        <f t="shared" si="35"/>
        <v>38.321162656078457</v>
      </c>
      <c r="F151" s="7">
        <f t="shared" si="36"/>
        <v>3.7232608472267295</v>
      </c>
      <c r="G151" s="7">
        <f t="shared" si="37"/>
        <v>0</v>
      </c>
      <c r="H151" s="7">
        <f t="shared" si="38"/>
        <v>4.5691233846106769</v>
      </c>
      <c r="I151" s="8">
        <f>vals_co2_incLUC!$R151</f>
        <v>29.474288099490675</v>
      </c>
      <c r="J151" s="8">
        <f>vals_co2_incLUC!$X151</f>
        <v>33.197548946717404</v>
      </c>
      <c r="K151" s="8">
        <f>vals_co2_incLUC!$AD151</f>
        <v>29.474289683405573</v>
      </c>
      <c r="L151" s="8">
        <f>vals_co2_incLUC!$AJ151</f>
        <v>29.695161191747548</v>
      </c>
      <c r="M151" s="8">
        <f>vals_co2_incLUC!$S151</f>
        <v>37.766672331328081</v>
      </c>
      <c r="N151" s="8">
        <f>vals_co2_incLUC!$Y151</f>
        <v>38.321162656078457</v>
      </c>
      <c r="O151" s="8">
        <f>vals_co2_incLUC!$AE151</f>
        <v>37.766674278665349</v>
      </c>
      <c r="P151" s="8">
        <f>vals_co2_incLUC!$AK151</f>
        <v>38.01154242404391</v>
      </c>
      <c r="Q151" s="9">
        <f t="shared" si="39"/>
        <v>0.55449032475037541</v>
      </c>
      <c r="R151" s="9">
        <v>29.736999999999998</v>
      </c>
      <c r="S151" s="9">
        <v>38.393999999999998</v>
      </c>
    </row>
    <row r="152" spans="1:19" x14ac:dyDescent="0.35">
      <c r="A152" s="3">
        <f>vals_co2_incLUC!$A152</f>
        <v>1999</v>
      </c>
      <c r="B152" s="4">
        <f t="shared" si="32"/>
        <v>29.20810938012588</v>
      </c>
      <c r="C152" s="4">
        <f t="shared" si="33"/>
        <v>32.830652414615827</v>
      </c>
      <c r="D152" s="4">
        <f t="shared" si="34"/>
        <v>37.46267322382095</v>
      </c>
      <c r="E152" s="4">
        <f t="shared" si="35"/>
        <v>37.908329628574243</v>
      </c>
      <c r="F152" s="4">
        <f t="shared" si="36"/>
        <v>3.6225430344899472</v>
      </c>
      <c r="G152" s="4">
        <f t="shared" si="37"/>
        <v>0</v>
      </c>
      <c r="H152" s="4">
        <f t="shared" si="38"/>
        <v>4.6320208092051232</v>
      </c>
      <c r="I152" s="5">
        <f>vals_co2_incLUC!$R152</f>
        <v>29.20810938012588</v>
      </c>
      <c r="J152" s="5">
        <f>vals_co2_incLUC!$X152</f>
        <v>32.830652414615827</v>
      </c>
      <c r="K152" s="5">
        <f>vals_co2_incLUC!$AD152</f>
        <v>29.208110942986863</v>
      </c>
      <c r="L152" s="5">
        <f>vals_co2_incLUC!$AJ152</f>
        <v>29.413395630800103</v>
      </c>
      <c r="M152" s="5">
        <f>vals_co2_incLUC!$S152</f>
        <v>37.46267322382095</v>
      </c>
      <c r="N152" s="5">
        <f>vals_co2_incLUC!$Y152</f>
        <v>37.908329628574243</v>
      </c>
      <c r="O152" s="5">
        <f>vals_co2_incLUC!$AE152</f>
        <v>37.462675042760772</v>
      </c>
      <c r="P152" s="5">
        <f>vals_co2_incLUC!$AK152</f>
        <v>37.682271012898212</v>
      </c>
      <c r="Q152" s="9">
        <f t="shared" si="39"/>
        <v>0.4456564047532936</v>
      </c>
      <c r="R152" s="9">
        <v>29.463000000000001</v>
      </c>
      <c r="S152" s="9">
        <v>38.081000000000003</v>
      </c>
    </row>
    <row r="153" spans="1:19" x14ac:dyDescent="0.35">
      <c r="A153" s="6">
        <f>vals_co2_incLUC!$A153</f>
        <v>2000</v>
      </c>
      <c r="B153" s="7">
        <f t="shared" si="32"/>
        <v>28.919861544689439</v>
      </c>
      <c r="C153" s="7">
        <f t="shared" si="33"/>
        <v>32.419885627194731</v>
      </c>
      <c r="D153" s="7">
        <f t="shared" si="34"/>
        <v>37.139394759564439</v>
      </c>
      <c r="E153" s="7">
        <f t="shared" si="35"/>
        <v>37.50727601369212</v>
      </c>
      <c r="F153" s="7">
        <f t="shared" si="36"/>
        <v>3.5000240825052913</v>
      </c>
      <c r="G153" s="7">
        <f t="shared" si="37"/>
        <v>0</v>
      </c>
      <c r="H153" s="7">
        <f t="shared" si="38"/>
        <v>4.7195091323697085</v>
      </c>
      <c r="I153" s="8">
        <f>vals_co2_incLUC!$R153</f>
        <v>28.919861544689439</v>
      </c>
      <c r="J153" s="8">
        <f>vals_co2_incLUC!$X153</f>
        <v>32.419885627194731</v>
      </c>
      <c r="K153" s="8">
        <f>vals_co2_incLUC!$AD153</f>
        <v>28.919862951854054</v>
      </c>
      <c r="L153" s="8">
        <f>vals_co2_incLUC!$AJ153</f>
        <v>29.120856674392449</v>
      </c>
      <c r="M153" s="8">
        <f>vals_co2_incLUC!$S153</f>
        <v>37.139394759564439</v>
      </c>
      <c r="N153" s="8">
        <f>vals_co2_incLUC!$Y153</f>
        <v>37.50727601369212</v>
      </c>
      <c r="O153" s="8">
        <f>vals_co2_incLUC!$AE153</f>
        <v>37.139396507716185</v>
      </c>
      <c r="P153" s="8">
        <f>vals_co2_incLUC!$AK153</f>
        <v>37.347881222126396</v>
      </c>
      <c r="Q153" s="9">
        <f t="shared" si="39"/>
        <v>0.36788125412768125</v>
      </c>
      <c r="R153" s="9">
        <v>29.17</v>
      </c>
      <c r="S153" s="9">
        <v>37.750999999999998</v>
      </c>
    </row>
    <row r="154" spans="1:19" x14ac:dyDescent="0.35">
      <c r="A154" s="3">
        <f>vals_co2_incLUC!$A154</f>
        <v>2001</v>
      </c>
      <c r="B154" s="4">
        <f t="shared" si="32"/>
        <v>28.578601891407839</v>
      </c>
      <c r="C154" s="4">
        <f t="shared" si="33"/>
        <v>31.944212162273921</v>
      </c>
      <c r="D154" s="4">
        <f t="shared" si="34"/>
        <v>36.778839009663642</v>
      </c>
      <c r="E154" s="4">
        <f t="shared" si="35"/>
        <v>37.027842307523848</v>
      </c>
      <c r="F154" s="4">
        <f t="shared" si="36"/>
        <v>3.3656102708660818</v>
      </c>
      <c r="G154" s="4">
        <f t="shared" si="37"/>
        <v>0</v>
      </c>
      <c r="H154" s="4">
        <f t="shared" si="38"/>
        <v>4.8346268473897211</v>
      </c>
      <c r="I154" s="5">
        <f>vals_co2_incLUC!$R154</f>
        <v>28.578601891407839</v>
      </c>
      <c r="J154" s="5">
        <f>vals_co2_incLUC!$X154</f>
        <v>31.944212162273921</v>
      </c>
      <c r="K154" s="5">
        <f>vals_co2_incLUC!$AD154</f>
        <v>28.578603239675065</v>
      </c>
      <c r="L154" s="5">
        <f>vals_co2_incLUC!$AJ154</f>
        <v>28.779013886981115</v>
      </c>
      <c r="M154" s="5">
        <f>vals_co2_incLUC!$S154</f>
        <v>36.778839009663642</v>
      </c>
      <c r="N154" s="5">
        <f>vals_co2_incLUC!$Y154</f>
        <v>37.027842307523848</v>
      </c>
      <c r="O154" s="5">
        <f>vals_co2_incLUC!$AE154</f>
        <v>36.778840683263631</v>
      </c>
      <c r="P154" s="5">
        <f>vals_co2_incLUC!$AK154</f>
        <v>36.973088399396133</v>
      </c>
      <c r="Q154" s="9">
        <f t="shared" si="39"/>
        <v>0.24900329786020592</v>
      </c>
      <c r="R154" s="9">
        <v>28.826000000000001</v>
      </c>
      <c r="S154" s="9">
        <v>37.384999999999998</v>
      </c>
    </row>
    <row r="155" spans="1:19" x14ac:dyDescent="0.35">
      <c r="A155" s="6">
        <f>vals_co2_incLUC!$A155</f>
        <v>2002</v>
      </c>
      <c r="B155" s="7">
        <f t="shared" si="32"/>
        <v>28.221661575956634</v>
      </c>
      <c r="C155" s="7">
        <f t="shared" si="33"/>
        <v>31.465315560461697</v>
      </c>
      <c r="D155" s="7">
        <f t="shared" si="34"/>
        <v>36.394636181808487</v>
      </c>
      <c r="E155" s="7">
        <f t="shared" si="35"/>
        <v>36.571908389799262</v>
      </c>
      <c r="F155" s="7">
        <f t="shared" si="36"/>
        <v>3.2436539845050625</v>
      </c>
      <c r="G155" s="7">
        <f t="shared" si="37"/>
        <v>0</v>
      </c>
      <c r="H155" s="7">
        <f t="shared" si="38"/>
        <v>4.9293206213467897</v>
      </c>
      <c r="I155" s="8">
        <f>vals_co2_incLUC!$R155</f>
        <v>28.221661575956634</v>
      </c>
      <c r="J155" s="8">
        <f>vals_co2_incLUC!$X155</f>
        <v>31.465315560461697</v>
      </c>
      <c r="K155" s="8">
        <f>vals_co2_incLUC!$AD155</f>
        <v>28.221662861825425</v>
      </c>
      <c r="L155" s="8">
        <f>vals_co2_incLUC!$AJ155</f>
        <v>28.418915042831038</v>
      </c>
      <c r="M155" s="8">
        <f>vals_co2_incLUC!$S155</f>
        <v>36.394636181808487</v>
      </c>
      <c r="N155" s="8">
        <f>vals_co2_incLUC!$Y155</f>
        <v>36.552040838417369</v>
      </c>
      <c r="O155" s="8">
        <f>vals_co2_incLUC!$AE155</f>
        <v>36.394637775833758</v>
      </c>
      <c r="P155" s="8">
        <f>vals_co2_incLUC!$AK155</f>
        <v>36.571908389799262</v>
      </c>
      <c r="Q155" s="9">
        <f t="shared" si="39"/>
        <v>0.17727220799077514</v>
      </c>
      <c r="R155" s="9">
        <v>28.466999999999999</v>
      </c>
      <c r="S155" s="9">
        <v>36.993000000000002</v>
      </c>
    </row>
    <row r="156" spans="1:19" x14ac:dyDescent="0.35">
      <c r="A156" s="3">
        <f>vals_co2_incLUC!$A156</f>
        <v>2003</v>
      </c>
      <c r="B156" s="4">
        <f t="shared" si="32"/>
        <v>27.872692373232518</v>
      </c>
      <c r="C156" s="4">
        <f t="shared" si="33"/>
        <v>30.984293125790842</v>
      </c>
      <c r="D156" s="4">
        <f t="shared" si="34"/>
        <v>36.038021837037704</v>
      </c>
      <c r="E156" s="4">
        <f t="shared" si="35"/>
        <v>36.17960333061226</v>
      </c>
      <c r="F156" s="4">
        <f t="shared" si="36"/>
        <v>3.1116007525583242</v>
      </c>
      <c r="G156" s="4">
        <f t="shared" si="37"/>
        <v>0</v>
      </c>
      <c r="H156" s="4">
        <f t="shared" si="38"/>
        <v>5.0537287112468618</v>
      </c>
      <c r="I156" s="5">
        <f>vals_co2_incLUC!$R156</f>
        <v>27.872692373232518</v>
      </c>
      <c r="J156" s="5">
        <f>vals_co2_incLUC!$X156</f>
        <v>30.984293125790842</v>
      </c>
      <c r="K156" s="5">
        <f>vals_co2_incLUC!$AD156</f>
        <v>27.872693564774963</v>
      </c>
      <c r="L156" s="5">
        <f>vals_co2_incLUC!$AJ156</f>
        <v>28.056036749234693</v>
      </c>
      <c r="M156" s="5">
        <f>vals_co2_incLUC!$S156</f>
        <v>36.038021837037704</v>
      </c>
      <c r="N156" s="5">
        <f>vals_co2_incLUC!$Y156</f>
        <v>36.077522185057717</v>
      </c>
      <c r="O156" s="5">
        <f>vals_co2_incLUC!$AE156</f>
        <v>36.038023310268542</v>
      </c>
      <c r="P156" s="5">
        <f>vals_co2_incLUC!$AK156</f>
        <v>36.17960333061226</v>
      </c>
      <c r="Q156" s="9">
        <f t="shared" si="39"/>
        <v>0.14158149357455585</v>
      </c>
      <c r="R156" s="9">
        <v>28.113</v>
      </c>
      <c r="S156" s="9">
        <v>36.625</v>
      </c>
    </row>
    <row r="157" spans="1:19" x14ac:dyDescent="0.35">
      <c r="A157" s="6">
        <f>vals_co2_incLUC!$A157</f>
        <v>2004</v>
      </c>
      <c r="B157" s="7">
        <f t="shared" si="32"/>
        <v>27.536860949508345</v>
      </c>
      <c r="C157" s="7">
        <f t="shared" si="33"/>
        <v>30.56252788697239</v>
      </c>
      <c r="D157" s="7">
        <f t="shared" si="34"/>
        <v>35.649704520402224</v>
      </c>
      <c r="E157" s="7">
        <f t="shared" si="35"/>
        <v>35.786048809237656</v>
      </c>
      <c r="F157" s="7">
        <f t="shared" si="36"/>
        <v>3.0256669374640452</v>
      </c>
      <c r="G157" s="7">
        <f t="shared" si="37"/>
        <v>0</v>
      </c>
      <c r="H157" s="7">
        <f t="shared" si="38"/>
        <v>5.0871766334298343</v>
      </c>
      <c r="I157" s="8">
        <f>vals_co2_incLUC!$R157</f>
        <v>27.536860949508345</v>
      </c>
      <c r="J157" s="8">
        <f>vals_co2_incLUC!$X157</f>
        <v>30.56252788697239</v>
      </c>
      <c r="K157" s="8">
        <f>vals_co2_incLUC!$AD157</f>
        <v>27.536862080032538</v>
      </c>
      <c r="L157" s="8">
        <f>vals_co2_incLUC!$AJ157</f>
        <v>27.693553061801467</v>
      </c>
      <c r="M157" s="8">
        <f>vals_co2_incLUC!$S157</f>
        <v>35.700301559100104</v>
      </c>
      <c r="N157" s="8">
        <f>vals_co2_incLUC!$Y157</f>
        <v>35.649704520402224</v>
      </c>
      <c r="O157" s="8">
        <f>vals_co2_incLUC!$AE157</f>
        <v>35.700302953729604</v>
      </c>
      <c r="P157" s="8">
        <f>vals_co2_incLUC!$AK157</f>
        <v>35.786048809237656</v>
      </c>
      <c r="Q157" s="9">
        <f t="shared" si="39"/>
        <v>0.13634428883543137</v>
      </c>
      <c r="R157" s="9">
        <v>27.771999999999998</v>
      </c>
      <c r="S157" s="9">
        <v>36.276000000000003</v>
      </c>
    </row>
    <row r="158" spans="1:19" x14ac:dyDescent="0.35">
      <c r="A158" s="3">
        <f>vals_co2_incLUC!$A158</f>
        <v>2005</v>
      </c>
      <c r="B158" s="4">
        <f t="shared" si="32"/>
        <v>27.163263024261852</v>
      </c>
      <c r="C158" s="4">
        <f t="shared" si="33"/>
        <v>30.146960955766428</v>
      </c>
      <c r="D158" s="4">
        <f t="shared" si="34"/>
        <v>35.298857121196143</v>
      </c>
      <c r="E158" s="4">
        <f t="shared" si="35"/>
        <v>35.376613747444488</v>
      </c>
      <c r="F158" s="4">
        <f t="shared" si="36"/>
        <v>2.983697931504576</v>
      </c>
      <c r="G158" s="4">
        <f t="shared" si="37"/>
        <v>0</v>
      </c>
      <c r="H158" s="4">
        <f t="shared" si="38"/>
        <v>5.1518961654297151</v>
      </c>
      <c r="I158" s="5">
        <f>vals_co2_incLUC!$R158</f>
        <v>27.163263024261852</v>
      </c>
      <c r="J158" s="5">
        <f>vals_co2_incLUC!$X158</f>
        <v>30.146960955766428</v>
      </c>
      <c r="K158" s="5">
        <f>vals_co2_incLUC!$AD158</f>
        <v>27.163263953685668</v>
      </c>
      <c r="L158" s="5">
        <f>vals_co2_incLUC!$AJ158</f>
        <v>27.309642178921262</v>
      </c>
      <c r="M158" s="5">
        <f>vals_co2_incLUC!$S158</f>
        <v>35.325865535319437</v>
      </c>
      <c r="N158" s="5">
        <f>vals_co2_incLUC!$Y158</f>
        <v>35.298857121196143</v>
      </c>
      <c r="O158" s="5">
        <f>vals_co2_incLUC!$AE158</f>
        <v>35.325866668883485</v>
      </c>
      <c r="P158" s="5">
        <f>vals_co2_incLUC!$AK158</f>
        <v>35.376613747444488</v>
      </c>
      <c r="Q158" s="9">
        <f t="shared" si="39"/>
        <v>7.7756626248344674E-2</v>
      </c>
      <c r="R158" s="9">
        <v>27.396000000000001</v>
      </c>
      <c r="S158" s="9">
        <v>35.892000000000003</v>
      </c>
    </row>
    <row r="159" spans="1:19" x14ac:dyDescent="0.35">
      <c r="A159" s="6">
        <f>vals_co2_incLUC!$A159</f>
        <v>2006</v>
      </c>
      <c r="B159" s="7">
        <f t="shared" si="32"/>
        <v>26.762976412415235</v>
      </c>
      <c r="C159" s="7">
        <f t="shared" si="33"/>
        <v>29.698743306672498</v>
      </c>
      <c r="D159" s="7">
        <f t="shared" si="34"/>
        <v>34.906713234270512</v>
      </c>
      <c r="E159" s="7">
        <f t="shared" si="35"/>
        <v>34.941870886941359</v>
      </c>
      <c r="F159" s="7">
        <f t="shared" si="36"/>
        <v>2.935766894257263</v>
      </c>
      <c r="G159" s="7">
        <f t="shared" si="37"/>
        <v>0</v>
      </c>
      <c r="H159" s="7">
        <f t="shared" si="38"/>
        <v>5.2079699275980147</v>
      </c>
      <c r="I159" s="8">
        <f>vals_co2_incLUC!$R159</f>
        <v>26.762976412415235</v>
      </c>
      <c r="J159" s="8">
        <f>vals_co2_incLUC!$X159</f>
        <v>29.698743306672498</v>
      </c>
      <c r="K159" s="8">
        <f>vals_co2_incLUC!$AD159</f>
        <v>26.762977129113313</v>
      </c>
      <c r="L159" s="8">
        <f>vals_co2_incLUC!$AJ159</f>
        <v>26.90533875240358</v>
      </c>
      <c r="M159" s="8">
        <f>vals_co2_incLUC!$S159</f>
        <v>34.920848624855715</v>
      </c>
      <c r="N159" s="8">
        <f>vals_co2_incLUC!$Y159</f>
        <v>34.906713234270512</v>
      </c>
      <c r="O159" s="8">
        <f>vals_co2_incLUC!$AE159</f>
        <v>34.920849480274207</v>
      </c>
      <c r="P159" s="8">
        <f>vals_co2_incLUC!$AK159</f>
        <v>34.941870886941359</v>
      </c>
      <c r="Q159" s="9">
        <f t="shared" si="39"/>
        <v>3.5157652670847028E-2</v>
      </c>
      <c r="R159" s="9">
        <v>26.998000000000001</v>
      </c>
      <c r="S159" s="9">
        <v>35.479999999999997</v>
      </c>
    </row>
    <row r="160" spans="1:19" x14ac:dyDescent="0.35">
      <c r="A160" s="3">
        <f>vals_co2_incLUC!$A160</f>
        <v>2007</v>
      </c>
      <c r="B160" s="4">
        <f t="shared" si="32"/>
        <v>26.438686512322562</v>
      </c>
      <c r="C160" s="4">
        <f t="shared" si="33"/>
        <v>29.245419160465776</v>
      </c>
      <c r="D160" s="4">
        <f t="shared" si="34"/>
        <v>34.501598369084029</v>
      </c>
      <c r="E160" s="4">
        <f t="shared" si="35"/>
        <v>34.585971641122789</v>
      </c>
      <c r="F160" s="4">
        <f t="shared" si="36"/>
        <v>2.806732648143214</v>
      </c>
      <c r="G160" s="4">
        <f t="shared" si="37"/>
        <v>0</v>
      </c>
      <c r="H160" s="4">
        <f t="shared" si="38"/>
        <v>5.2561792086182528</v>
      </c>
      <c r="I160" s="5">
        <f>vals_co2_incLUC!$R160</f>
        <v>26.438686512322562</v>
      </c>
      <c r="J160" s="5">
        <f>vals_co2_incLUC!$X160</f>
        <v>29.245419160465776</v>
      </c>
      <c r="K160" s="5">
        <f>vals_co2_incLUC!$AD160</f>
        <v>26.43868696838857</v>
      </c>
      <c r="L160" s="5">
        <f>vals_co2_incLUC!$AJ160</f>
        <v>26.534569794871469</v>
      </c>
      <c r="M160" s="5">
        <f>vals_co2_incLUC!$S160</f>
        <v>34.58597112913003</v>
      </c>
      <c r="N160" s="5">
        <f>vals_co2_incLUC!$Y160</f>
        <v>34.501598369084029</v>
      </c>
      <c r="O160" s="5">
        <f>vals_co2_incLUC!$AE160</f>
        <v>34.585971641122789</v>
      </c>
      <c r="P160" s="5">
        <f>vals_co2_incLUC!$AK160</f>
        <v>34.537247433973882</v>
      </c>
      <c r="Q160" s="9">
        <f t="shared" si="39"/>
        <v>8.4373272038760661E-2</v>
      </c>
      <c r="R160" s="9">
        <v>26.664000000000001</v>
      </c>
      <c r="S160" s="9">
        <v>35.128999999999998</v>
      </c>
    </row>
    <row r="161" spans="1:19" x14ac:dyDescent="0.35">
      <c r="A161" s="6">
        <f>vals_co2_incLUC!$A161</f>
        <v>2008</v>
      </c>
      <c r="B161" s="7">
        <f t="shared" si="32"/>
        <v>26.069762722257206</v>
      </c>
      <c r="C161" s="7">
        <f t="shared" si="33"/>
        <v>28.738440646685575</v>
      </c>
      <c r="D161" s="7">
        <f t="shared" si="34"/>
        <v>34.049342885847935</v>
      </c>
      <c r="E161" s="7">
        <f t="shared" si="35"/>
        <v>34.189571995774855</v>
      </c>
      <c r="F161" s="7">
        <f t="shared" si="36"/>
        <v>2.6686779244283692</v>
      </c>
      <c r="G161" s="7">
        <f t="shared" si="37"/>
        <v>0</v>
      </c>
      <c r="H161" s="7">
        <f t="shared" si="38"/>
        <v>5.3109022391623597</v>
      </c>
      <c r="I161" s="8">
        <f>vals_co2_incLUC!$R161</f>
        <v>26.069762722257206</v>
      </c>
      <c r="J161" s="8">
        <f>vals_co2_incLUC!$X161</f>
        <v>28.738440646685575</v>
      </c>
      <c r="K161" s="8">
        <f>vals_co2_incLUC!$AD161</f>
        <v>26.069762822930372</v>
      </c>
      <c r="L161" s="8">
        <f>vals_co2_incLUC!$AJ161</f>
        <v>26.133228947167193</v>
      </c>
      <c r="M161" s="8">
        <f>vals_co2_incLUC!$S161</f>
        <v>34.189571953783165</v>
      </c>
      <c r="N161" s="8">
        <f>vals_co2_incLUC!$Y161</f>
        <v>34.049342885847935</v>
      </c>
      <c r="O161" s="8">
        <f>vals_co2_incLUC!$AE161</f>
        <v>34.189571995774855</v>
      </c>
      <c r="P161" s="8">
        <f>vals_co2_incLUC!$AK161</f>
        <v>34.089974155485443</v>
      </c>
      <c r="Q161" s="9">
        <f t="shared" si="39"/>
        <v>0.14022910992692061</v>
      </c>
      <c r="R161" s="9">
        <v>26.289000000000001</v>
      </c>
      <c r="S161" s="9">
        <v>34.720999999999997</v>
      </c>
    </row>
    <row r="162" spans="1:19" x14ac:dyDescent="0.35">
      <c r="A162" s="3">
        <f>vals_co2_incLUC!$A162</f>
        <v>2009</v>
      </c>
      <c r="B162" s="4">
        <f t="shared" si="32"/>
        <v>25.710279732739572</v>
      </c>
      <c r="C162" s="4">
        <f t="shared" si="33"/>
        <v>28.275833458804506</v>
      </c>
      <c r="D162" s="4">
        <f t="shared" si="34"/>
        <v>33.63411395026511</v>
      </c>
      <c r="E162" s="4">
        <f t="shared" si="35"/>
        <v>33.822505585929271</v>
      </c>
      <c r="F162" s="4">
        <f t="shared" si="36"/>
        <v>2.5655537260649339</v>
      </c>
      <c r="G162" s="4">
        <f t="shared" si="37"/>
        <v>0</v>
      </c>
      <c r="H162" s="4">
        <f t="shared" si="38"/>
        <v>5.3582804914606044</v>
      </c>
      <c r="I162" s="5">
        <f>vals_co2_incLUC!$R162</f>
        <v>25.710279732739572</v>
      </c>
      <c r="J162" s="5">
        <f>vals_co2_incLUC!$X162</f>
        <v>28.275833458804506</v>
      </c>
      <c r="K162" s="5">
        <f>vals_co2_incLUC!$AD162</f>
        <v>25.710279994749431</v>
      </c>
      <c r="L162" s="5">
        <f>vals_co2_incLUC!$AJ162</f>
        <v>25.767046916033031</v>
      </c>
      <c r="M162" s="5">
        <f>vals_co2_incLUC!$S162</f>
        <v>33.822505538726652</v>
      </c>
      <c r="N162" s="5">
        <f>vals_co2_incLUC!$Y162</f>
        <v>33.63411395026511</v>
      </c>
      <c r="O162" s="5">
        <f>vals_co2_incLUC!$AE162</f>
        <v>33.822505585929271</v>
      </c>
      <c r="P162" s="5">
        <f>vals_co2_incLUC!$AK162</f>
        <v>33.692989189298757</v>
      </c>
      <c r="Q162" s="9">
        <f t="shared" si="39"/>
        <v>0.18839163566416062</v>
      </c>
      <c r="R162" s="9">
        <v>25.931999999999999</v>
      </c>
      <c r="S162" s="9">
        <v>34.347999999999999</v>
      </c>
    </row>
    <row r="163" spans="1:19" x14ac:dyDescent="0.35">
      <c r="A163" s="6">
        <f>vals_co2_incLUC!$A163</f>
        <v>2010</v>
      </c>
      <c r="B163" s="7">
        <f t="shared" ref="B163:B177" si="40">IFERROR(_xlfn.AGGREGATE(5,6,I163:L163),"")</f>
        <v>25.488630396642193</v>
      </c>
      <c r="C163" s="7">
        <f t="shared" ref="C163:C177" si="41">IFERROR(_xlfn.AGGREGATE(4,6,I163:L163),"")</f>
        <v>27.857843749943072</v>
      </c>
      <c r="D163" s="7">
        <f t="shared" ref="D163:D177" si="42">IFERROR(_xlfn.AGGREGATE(5,6,M163:P163),"")</f>
        <v>33.31436807147066</v>
      </c>
      <c r="E163" s="7">
        <f t="shared" ref="E163:E177" si="43">IFERROR(_xlfn.AGGREGATE(4,6,M163:P163),"")</f>
        <v>33.586183725426153</v>
      </c>
      <c r="F163" s="7">
        <f t="shared" ref="F163:F177" si="44">IFERROR(MIN(C163,D163)-B163,"")</f>
        <v>2.3692133533008786</v>
      </c>
      <c r="G163" s="7">
        <f t="shared" ref="G163:G177" si="45">IFERROR(MAX(0,C163-D163),"")</f>
        <v>0</v>
      </c>
      <c r="H163" s="7">
        <f t="shared" ref="H163:H177" si="46">IFERROR(MAX(0,D163-C163),"")</f>
        <v>5.4565243215275885</v>
      </c>
      <c r="I163" s="8">
        <f>vals_co2_incLUC!$R163</f>
        <v>25.488630396642193</v>
      </c>
      <c r="J163" s="8">
        <f>vals_co2_incLUC!$X163</f>
        <v>27.857843749943072</v>
      </c>
      <c r="K163" s="8">
        <f>vals_co2_incLUC!$AD163</f>
        <v>25.488630759162266</v>
      </c>
      <c r="L163" s="8">
        <f>vals_co2_incLUC!$AJ163</f>
        <v>25.505885619635528</v>
      </c>
      <c r="M163" s="8">
        <f>vals_co2_incLUC!$S163</f>
        <v>33.586183725426153</v>
      </c>
      <c r="N163" s="8">
        <f>vals_co2_incLUC!$Y163</f>
        <v>33.31436807147066</v>
      </c>
      <c r="O163" s="8">
        <f>vals_co2_incLUC!$AE163</f>
        <v>33.586183724195948</v>
      </c>
      <c r="P163" s="8">
        <f>vals_co2_incLUC!$AK163</f>
        <v>33.406012858160764</v>
      </c>
      <c r="Q163" s="9">
        <f t="shared" ref="Q163:Q177" si="47">IFERROR(MAX(0,$E163-MAX($C163,$D163)),"")</f>
        <v>0.27181565395549256</v>
      </c>
      <c r="R163" s="9">
        <v>25.699000000000002</v>
      </c>
      <c r="S163" s="9">
        <v>34.100999999999999</v>
      </c>
    </row>
    <row r="164" spans="1:19" x14ac:dyDescent="0.35">
      <c r="A164" s="3">
        <f>vals_co2_incLUC!$A164</f>
        <v>2011</v>
      </c>
      <c r="B164" s="4">
        <f t="shared" si="40"/>
        <v>25.170366440815062</v>
      </c>
      <c r="C164" s="4">
        <f t="shared" si="41"/>
        <v>27.382433045643754</v>
      </c>
      <c r="D164" s="4">
        <f t="shared" si="42"/>
        <v>32.930276236768265</v>
      </c>
      <c r="E164" s="4">
        <f t="shared" si="43"/>
        <v>33.232384324457847</v>
      </c>
      <c r="F164" s="4">
        <f t="shared" si="44"/>
        <v>2.2120666048286921</v>
      </c>
      <c r="G164" s="4">
        <f t="shared" si="45"/>
        <v>0</v>
      </c>
      <c r="H164" s="4">
        <f t="shared" si="46"/>
        <v>5.5478431911245103</v>
      </c>
      <c r="I164" s="5">
        <f>vals_co2_incLUC!$R164</f>
        <v>25.170366440815062</v>
      </c>
      <c r="J164" s="5">
        <f>vals_co2_incLUC!$X164</f>
        <v>27.382433045643754</v>
      </c>
      <c r="K164" s="5">
        <f>vals_co2_incLUC!$AD164</f>
        <v>25.170366829776512</v>
      </c>
      <c r="L164" s="5">
        <f>vals_co2_incLUC!$AJ164</f>
        <v>25.226322806955316</v>
      </c>
      <c r="M164" s="5">
        <f>vals_co2_incLUC!$S164</f>
        <v>33.232384323933118</v>
      </c>
      <c r="N164" s="5">
        <f>vals_co2_incLUC!$Y164</f>
        <v>32.930276236768265</v>
      </c>
      <c r="O164" s="5">
        <f>vals_co2_incLUC!$AE164</f>
        <v>33.232384324457847</v>
      </c>
      <c r="P164" s="5">
        <f>vals_co2_incLUC!$AK164</f>
        <v>33.076038199347771</v>
      </c>
      <c r="Q164" s="9">
        <f t="shared" si="47"/>
        <v>0.30210808768958231</v>
      </c>
      <c r="R164" s="9">
        <v>25.405000000000001</v>
      </c>
      <c r="S164" s="9">
        <v>33.771999999999998</v>
      </c>
    </row>
    <row r="165" spans="1:19" x14ac:dyDescent="0.35">
      <c r="A165" s="6">
        <f>vals_co2_incLUC!$A165</f>
        <v>2012</v>
      </c>
      <c r="B165" s="7">
        <f t="shared" si="40"/>
        <v>24.959043079523298</v>
      </c>
      <c r="C165" s="7">
        <f t="shared" si="41"/>
        <v>27.055470144460759</v>
      </c>
      <c r="D165" s="7">
        <f t="shared" si="42"/>
        <v>32.6241595169069</v>
      </c>
      <c r="E165" s="7">
        <f t="shared" si="43"/>
        <v>33.030898243539433</v>
      </c>
      <c r="F165" s="7">
        <f t="shared" si="44"/>
        <v>2.0964270649374619</v>
      </c>
      <c r="G165" s="7">
        <f t="shared" si="45"/>
        <v>0</v>
      </c>
      <c r="H165" s="7">
        <f t="shared" si="46"/>
        <v>5.5686893724461406</v>
      </c>
      <c r="I165" s="8">
        <f>vals_co2_incLUC!$R165</f>
        <v>24.959043079523298</v>
      </c>
      <c r="J165" s="8">
        <f>vals_co2_incLUC!$X165</f>
        <v>27.055470144460759</v>
      </c>
      <c r="K165" s="8">
        <f>vals_co2_incLUC!$AD165</f>
        <v>24.959043498836913</v>
      </c>
      <c r="L165" s="8">
        <f>vals_co2_incLUC!$AJ165</f>
        <v>25.000402239718195</v>
      </c>
      <c r="M165" s="8">
        <f>vals_co2_incLUC!$S165</f>
        <v>33.030898241849478</v>
      </c>
      <c r="N165" s="8">
        <f>vals_co2_incLUC!$Y165</f>
        <v>32.6241595169069</v>
      </c>
      <c r="O165" s="8">
        <f>vals_co2_incLUC!$AE165</f>
        <v>33.030898243539433</v>
      </c>
      <c r="P165" s="8">
        <f>vals_co2_incLUC!$AK165</f>
        <v>32.835723741784498</v>
      </c>
      <c r="Q165" s="9">
        <f t="shared" si="47"/>
        <v>0.40673872663253263</v>
      </c>
      <c r="R165" s="9">
        <v>25.204999999999998</v>
      </c>
      <c r="S165" s="9">
        <v>33.575000000000003</v>
      </c>
    </row>
    <row r="166" spans="1:19" x14ac:dyDescent="0.35">
      <c r="A166" s="3">
        <f>vals_co2_incLUC!$A166</f>
        <v>2013</v>
      </c>
      <c r="B166" s="4">
        <f t="shared" si="40"/>
        <v>24.798386706762972</v>
      </c>
      <c r="C166" s="4">
        <f t="shared" si="41"/>
        <v>26.790246194895161</v>
      </c>
      <c r="D166" s="4">
        <f t="shared" si="42"/>
        <v>32.297018918173841</v>
      </c>
      <c r="E166" s="4">
        <f t="shared" si="43"/>
        <v>32.833833825149348</v>
      </c>
      <c r="F166" s="4">
        <f t="shared" si="44"/>
        <v>1.9918594881321887</v>
      </c>
      <c r="G166" s="4">
        <f t="shared" si="45"/>
        <v>0</v>
      </c>
      <c r="H166" s="4">
        <f t="shared" si="46"/>
        <v>5.5067727232786794</v>
      </c>
      <c r="I166" s="5">
        <f>vals_co2_incLUC!$R166</f>
        <v>24.798386706762972</v>
      </c>
      <c r="J166" s="5">
        <f>vals_co2_incLUC!$X166</f>
        <v>26.790246194895161</v>
      </c>
      <c r="K166" s="5">
        <f>vals_co2_incLUC!$AD166</f>
        <v>24.798387060172512</v>
      </c>
      <c r="L166" s="5">
        <f>vals_co2_incLUC!$AJ166</f>
        <v>24.807456617146112</v>
      </c>
      <c r="M166" s="5">
        <f>vals_co2_incLUC!$S166</f>
        <v>32.833833825149348</v>
      </c>
      <c r="N166" s="5">
        <f>vals_co2_incLUC!$Y166</f>
        <v>32.297018918173841</v>
      </c>
      <c r="O166" s="5">
        <f>vals_co2_incLUC!$AE166</f>
        <v>32.833833758918281</v>
      </c>
      <c r="P166" s="5">
        <f>vals_co2_incLUC!$AK166</f>
        <v>32.594590776437805</v>
      </c>
      <c r="Q166" s="9">
        <f t="shared" si="47"/>
        <v>0.53681490697550771</v>
      </c>
      <c r="R166" s="9">
        <v>25.047999999999998</v>
      </c>
      <c r="S166" s="9">
        <v>33.384</v>
      </c>
    </row>
    <row r="167" spans="1:19" x14ac:dyDescent="0.35">
      <c r="A167" s="6">
        <f>vals_co2_incLUC!$A167</f>
        <v>2014</v>
      </c>
      <c r="B167" s="7">
        <f t="shared" si="40"/>
        <v>24.57659826189979</v>
      </c>
      <c r="C167" s="7">
        <f t="shared" si="41"/>
        <v>26.427814070188404</v>
      </c>
      <c r="D167" s="7">
        <f t="shared" si="42"/>
        <v>32.013367566251524</v>
      </c>
      <c r="E167" s="7">
        <f t="shared" si="43"/>
        <v>32.650821349307719</v>
      </c>
      <c r="F167" s="7">
        <f t="shared" si="44"/>
        <v>1.8512158082886145</v>
      </c>
      <c r="G167" s="7">
        <f t="shared" si="45"/>
        <v>0</v>
      </c>
      <c r="H167" s="7">
        <f t="shared" si="46"/>
        <v>5.5855534960631203</v>
      </c>
      <c r="I167" s="8">
        <f>vals_co2_incLUC!$R167</f>
        <v>24.603965445510976</v>
      </c>
      <c r="J167" s="8">
        <f>vals_co2_incLUC!$X167</f>
        <v>26.427814070188404</v>
      </c>
      <c r="K167" s="8">
        <f>vals_co2_incLUC!$AD167</f>
        <v>24.603965831393303</v>
      </c>
      <c r="L167" s="8">
        <f>vals_co2_incLUC!$AJ167</f>
        <v>24.57659826189979</v>
      </c>
      <c r="M167" s="8">
        <f>vals_co2_incLUC!$S167</f>
        <v>32.650821349307719</v>
      </c>
      <c r="N167" s="8">
        <f>vals_co2_incLUC!$Y167</f>
        <v>32.013367566251524</v>
      </c>
      <c r="O167" s="8">
        <f>vals_co2_incLUC!$AE167</f>
        <v>32.650821277473845</v>
      </c>
      <c r="P167" s="8">
        <f>vals_co2_incLUC!$AK167</f>
        <v>32.353766212912824</v>
      </c>
      <c r="Q167" s="9">
        <f t="shared" si="47"/>
        <v>0.63745378305619482</v>
      </c>
      <c r="R167" s="9">
        <v>24.853000000000002</v>
      </c>
      <c r="S167" s="9">
        <v>33.192999999999998</v>
      </c>
    </row>
    <row r="168" spans="1:19" x14ac:dyDescent="0.35">
      <c r="A168" s="3">
        <f>vals_co2_incLUC!$A168</f>
        <v>2015</v>
      </c>
      <c r="B168" s="4">
        <f t="shared" si="40"/>
        <v>24.362925447182938</v>
      </c>
      <c r="C168" s="4">
        <f t="shared" si="41"/>
        <v>26.092226222622106</v>
      </c>
      <c r="D168" s="4">
        <f t="shared" si="42"/>
        <v>31.733936156816672</v>
      </c>
      <c r="E168" s="4">
        <f t="shared" si="43"/>
        <v>32.536245021770718</v>
      </c>
      <c r="F168" s="4">
        <f t="shared" si="44"/>
        <v>1.7293007754391674</v>
      </c>
      <c r="G168" s="4">
        <f t="shared" si="45"/>
        <v>0</v>
      </c>
      <c r="H168" s="4">
        <f t="shared" si="46"/>
        <v>5.6417099341945658</v>
      </c>
      <c r="I168" s="5">
        <f>vals_co2_incLUC!$R168</f>
        <v>24.426951843022813</v>
      </c>
      <c r="J168" s="5">
        <f>vals_co2_incLUC!$X168</f>
        <v>26.092226222622106</v>
      </c>
      <c r="K168" s="5">
        <f>vals_co2_incLUC!$AD168</f>
        <v>24.426952268105538</v>
      </c>
      <c r="L168" s="5">
        <f>vals_co2_incLUC!$AJ168</f>
        <v>24.362925447182938</v>
      </c>
      <c r="M168" s="5">
        <f>vals_co2_incLUC!$S168</f>
        <v>32.536244858433129</v>
      </c>
      <c r="N168" s="5">
        <f>vals_co2_incLUC!$Y168</f>
        <v>31.733936156816672</v>
      </c>
      <c r="O168" s="5">
        <f>vals_co2_incLUC!$AE168</f>
        <v>32.536245021770718</v>
      </c>
      <c r="P168" s="5">
        <f>vals_co2_incLUC!$AK168</f>
        <v>32.170840298916161</v>
      </c>
      <c r="Q168" s="9">
        <f t="shared" si="47"/>
        <v>0.80230886495404619</v>
      </c>
      <c r="R168" s="9">
        <v>24.672000000000001</v>
      </c>
      <c r="S168" s="9">
        <v>33.061</v>
      </c>
    </row>
    <row r="169" spans="1:19" x14ac:dyDescent="0.35">
      <c r="A169" s="6">
        <f>vals_co2_incLUC!$A169</f>
        <v>2016</v>
      </c>
      <c r="B169" s="7">
        <f t="shared" si="40"/>
        <v>24.172586129022719</v>
      </c>
      <c r="C169" s="7">
        <f t="shared" si="41"/>
        <v>25.809829479185154</v>
      </c>
      <c r="D169" s="7">
        <f t="shared" si="42"/>
        <v>31.52469120447882</v>
      </c>
      <c r="E169" s="7">
        <f t="shared" si="43"/>
        <v>32.366397337452497</v>
      </c>
      <c r="F169" s="7">
        <f t="shared" si="44"/>
        <v>1.6372433501624357</v>
      </c>
      <c r="G169" s="7">
        <f t="shared" si="45"/>
        <v>0</v>
      </c>
      <c r="H169" s="7">
        <f t="shared" si="46"/>
        <v>5.714861725293666</v>
      </c>
      <c r="I169" s="8">
        <f>vals_co2_incLUC!$R169</f>
        <v>24.266808217998523</v>
      </c>
      <c r="J169" s="8">
        <f>vals_co2_incLUC!$X169</f>
        <v>25.809829479185154</v>
      </c>
      <c r="K169" s="8">
        <f>vals_co2_incLUC!$AD169</f>
        <v>24.266808487168927</v>
      </c>
      <c r="L169" s="8">
        <f>vals_co2_incLUC!$AJ169</f>
        <v>24.172586129022719</v>
      </c>
      <c r="M169" s="8">
        <f>vals_co2_incLUC!$S169</f>
        <v>32.366397337452497</v>
      </c>
      <c r="N169" s="8">
        <f>vals_co2_incLUC!$Y169</f>
        <v>31.52469120447882</v>
      </c>
      <c r="O169" s="8">
        <f>vals_co2_incLUC!$AE169</f>
        <v>32.366397337452497</v>
      </c>
      <c r="P169" s="8">
        <f>vals_co2_incLUC!$AK169</f>
        <v>31.977504520747413</v>
      </c>
      <c r="Q169" s="9">
        <f t="shared" si="47"/>
        <v>0.8417061329736768</v>
      </c>
      <c r="R169" s="9">
        <v>24.509</v>
      </c>
      <c r="S169" s="9">
        <v>32.884999999999998</v>
      </c>
    </row>
    <row r="170" spans="1:19" x14ac:dyDescent="0.35">
      <c r="A170" s="3">
        <f>vals_co2_incLUC!$A170</f>
        <v>2017</v>
      </c>
      <c r="B170" s="4">
        <f t="shared" si="40"/>
        <v>23.89648893190207</v>
      </c>
      <c r="C170" s="4">
        <f t="shared" si="41"/>
        <v>25.506587338926661</v>
      </c>
      <c r="D170" s="4">
        <f t="shared" si="42"/>
        <v>31.241474151005868</v>
      </c>
      <c r="E170" s="4">
        <f t="shared" si="43"/>
        <v>32.064112009184583</v>
      </c>
      <c r="F170" s="4">
        <f t="shared" si="44"/>
        <v>1.6100984070245907</v>
      </c>
      <c r="G170" s="4">
        <f t="shared" si="45"/>
        <v>0</v>
      </c>
      <c r="H170" s="4">
        <f t="shared" si="46"/>
        <v>5.7348868120792069</v>
      </c>
      <c r="I170" s="5">
        <f>vals_co2_incLUC!$R170</f>
        <v>24.012088601028925</v>
      </c>
      <c r="J170" s="5">
        <f>vals_co2_incLUC!$X170</f>
        <v>25.506587338926661</v>
      </c>
      <c r="K170" s="5">
        <f>vals_co2_incLUC!$AD170</f>
        <v>24.012088903037373</v>
      </c>
      <c r="L170" s="5">
        <f>vals_co2_incLUC!$AJ170</f>
        <v>23.89648893190207</v>
      </c>
      <c r="M170" s="5">
        <f>vals_co2_incLUC!$S170</f>
        <v>32.064112009184583</v>
      </c>
      <c r="N170" s="5">
        <f>vals_co2_incLUC!$Y170</f>
        <v>31.241474151005868</v>
      </c>
      <c r="O170" s="5">
        <f>vals_co2_incLUC!$AE170</f>
        <v>32.064112009184583</v>
      </c>
      <c r="P170" s="5">
        <f>vals_co2_incLUC!$AK170</f>
        <v>31.662286013329886</v>
      </c>
      <c r="Q170" s="9">
        <f t="shared" si="47"/>
        <v>0.82263785817871593</v>
      </c>
      <c r="R170" s="9">
        <v>24.244</v>
      </c>
      <c r="S170" s="9">
        <v>32.567</v>
      </c>
    </row>
    <row r="171" spans="1:19" x14ac:dyDescent="0.35">
      <c r="A171" s="6">
        <f>vals_co2_incLUC!$A171</f>
        <v>2018</v>
      </c>
      <c r="B171" s="7">
        <f t="shared" si="40"/>
        <v>23.589357318824966</v>
      </c>
      <c r="C171" s="7">
        <f t="shared" si="41"/>
        <v>25.152846845203474</v>
      </c>
      <c r="D171" s="7">
        <f t="shared" si="42"/>
        <v>30.938184849518318</v>
      </c>
      <c r="E171" s="7">
        <f t="shared" si="43"/>
        <v>31.711098955256965</v>
      </c>
      <c r="F171" s="7">
        <f t="shared" si="44"/>
        <v>1.5634895263785076</v>
      </c>
      <c r="G171" s="7">
        <f t="shared" si="45"/>
        <v>0</v>
      </c>
      <c r="H171" s="7">
        <f t="shared" si="46"/>
        <v>5.7853380043148448</v>
      </c>
      <c r="I171" s="8">
        <f>vals_co2_incLUC!$R171</f>
        <v>23.722462780522573</v>
      </c>
      <c r="J171" s="8">
        <f>vals_co2_incLUC!$X171</f>
        <v>25.152846845203474</v>
      </c>
      <c r="K171" s="8">
        <f>vals_co2_incLUC!$AD171</f>
        <v>23.722463125191329</v>
      </c>
      <c r="L171" s="8">
        <f>vals_co2_incLUC!$AJ171</f>
        <v>23.589357318824966</v>
      </c>
      <c r="M171" s="8">
        <f>vals_co2_incLUC!$S171</f>
        <v>31.711098955256965</v>
      </c>
      <c r="N171" s="8">
        <f>vals_co2_incLUC!$Y171</f>
        <v>30.938184849518318</v>
      </c>
      <c r="O171" s="8">
        <f>vals_co2_incLUC!$AE171</f>
        <v>31.711098955256965</v>
      </c>
      <c r="P171" s="8">
        <f>vals_co2_incLUC!$AK171</f>
        <v>31.306019379637682</v>
      </c>
      <c r="Q171" s="9">
        <f t="shared" si="47"/>
        <v>0.77291410573864638</v>
      </c>
      <c r="R171" s="9">
        <v>23.946000000000002</v>
      </c>
      <c r="S171" s="9">
        <v>32.201999999999998</v>
      </c>
    </row>
    <row r="172" spans="1:19" x14ac:dyDescent="0.35">
      <c r="A172" s="3">
        <f>vals_co2_incLUC!$A172</f>
        <v>2019</v>
      </c>
      <c r="B172" s="4">
        <f t="shared" si="40"/>
        <v>23.227155859235886</v>
      </c>
      <c r="C172" s="4">
        <f t="shared" si="41"/>
        <v>24.68733069750898</v>
      </c>
      <c r="D172" s="4">
        <f t="shared" si="42"/>
        <v>30.46494517730164</v>
      </c>
      <c r="E172" s="4">
        <f t="shared" si="43"/>
        <v>31.290988163328553</v>
      </c>
      <c r="F172" s="4">
        <f t="shared" si="44"/>
        <v>1.4601748382730939</v>
      </c>
      <c r="G172" s="4">
        <f t="shared" si="45"/>
        <v>0</v>
      </c>
      <c r="H172" s="4">
        <f t="shared" si="46"/>
        <v>5.7776144797926605</v>
      </c>
      <c r="I172" s="5">
        <f>vals_co2_incLUC!$R172</f>
        <v>23.360947358219445</v>
      </c>
      <c r="J172" s="5">
        <f>vals_co2_incLUC!$X172</f>
        <v>24.68733069750898</v>
      </c>
      <c r="K172" s="5">
        <f>vals_co2_incLUC!$AD172</f>
        <v>23.360947759907397</v>
      </c>
      <c r="L172" s="5">
        <f>vals_co2_incLUC!$AJ172</f>
        <v>23.227155859235886</v>
      </c>
      <c r="M172" s="5">
        <f>vals_co2_incLUC!$S172</f>
        <v>31.290988163328553</v>
      </c>
      <c r="N172" s="5">
        <f>vals_co2_incLUC!$Y172</f>
        <v>30.46494517730164</v>
      </c>
      <c r="O172" s="5">
        <f>vals_co2_incLUC!$AE172</f>
        <v>31.290988163328553</v>
      </c>
      <c r="P172" s="5">
        <f>vals_co2_incLUC!$AK172</f>
        <v>30.889519521140958</v>
      </c>
      <c r="Q172" s="9">
        <f t="shared" si="47"/>
        <v>0.82604298602691273</v>
      </c>
      <c r="R172" s="9">
        <v>23.582999999999998</v>
      </c>
      <c r="S172" s="9">
        <v>31.783999999999999</v>
      </c>
    </row>
    <row r="173" spans="1:19" x14ac:dyDescent="0.35">
      <c r="A173" s="6">
        <f>vals_co2_incLUC!$A173</f>
        <v>2020</v>
      </c>
      <c r="B173" s="7">
        <f t="shared" si="40"/>
        <v>22.906560361826831</v>
      </c>
      <c r="C173" s="7">
        <f t="shared" si="41"/>
        <v>24.281157805768995</v>
      </c>
      <c r="D173" s="7">
        <f t="shared" si="42"/>
        <v>30.028802647280795</v>
      </c>
      <c r="E173" s="7">
        <f t="shared" si="43"/>
        <v>30.98920706633999</v>
      </c>
      <c r="F173" s="7">
        <f t="shared" si="44"/>
        <v>1.3745974439421644</v>
      </c>
      <c r="G173" s="7">
        <f t="shared" si="45"/>
        <v>0</v>
      </c>
      <c r="H173" s="7">
        <f t="shared" si="46"/>
        <v>5.7476448415118</v>
      </c>
      <c r="I173" s="8">
        <f>vals_co2_incLUC!$R173</f>
        <v>23.061424255855162</v>
      </c>
      <c r="J173" s="8">
        <f>vals_co2_incLUC!$X173</f>
        <v>24.281157805768995</v>
      </c>
      <c r="K173" s="8">
        <f>vals_co2_incLUC!$AD173</f>
        <v>23.061424255855162</v>
      </c>
      <c r="L173" s="8">
        <f>vals_co2_incLUC!$AJ173</f>
        <v>22.906560361826831</v>
      </c>
      <c r="M173" s="8">
        <f>vals_co2_incLUC!$S173</f>
        <v>30.98920706633999</v>
      </c>
      <c r="N173" s="8">
        <f>vals_co2_incLUC!$Y173</f>
        <v>30.028802647280795</v>
      </c>
      <c r="O173" s="8">
        <f>vals_co2_incLUC!$AE173</f>
        <v>30.98920706633999</v>
      </c>
      <c r="P173" s="8">
        <f>vals_co2_incLUC!$AK173</f>
        <v>30.549240545326541</v>
      </c>
      <c r="Q173" s="9">
        <f t="shared" si="47"/>
        <v>0.96040441905919494</v>
      </c>
      <c r="R173" s="9">
        <v>23.265999999999998</v>
      </c>
      <c r="S173" s="9">
        <v>31.456</v>
      </c>
    </row>
    <row r="174" spans="1:19" x14ac:dyDescent="0.35">
      <c r="A174" s="3">
        <f>vals_co2_incLUC!$A174</f>
        <v>2021</v>
      </c>
      <c r="B174" s="4">
        <f t="shared" si="40"/>
        <v>22.747009664836209</v>
      </c>
      <c r="C174" s="4">
        <f t="shared" si="41"/>
        <v>24.01114276907041</v>
      </c>
      <c r="D174" s="4">
        <f t="shared" si="42"/>
        <v>29.848521892347051</v>
      </c>
      <c r="E174" s="4">
        <f t="shared" si="43"/>
        <v>30.838415870449165</v>
      </c>
      <c r="F174" s="4">
        <f t="shared" si="44"/>
        <v>1.264133104234201</v>
      </c>
      <c r="G174" s="4">
        <f t="shared" si="45"/>
        <v>0</v>
      </c>
      <c r="H174" s="4">
        <f t="shared" si="46"/>
        <v>5.8373791232766408</v>
      </c>
      <c r="I174" s="5">
        <f>vals_co2_incLUC!$R174</f>
        <v>22.907117743249916</v>
      </c>
      <c r="J174" s="5">
        <f>vals_co2_incLUC!$X174</f>
        <v>24.01114276907041</v>
      </c>
      <c r="K174" s="5">
        <f>vals_co2_incLUC!$AD174</f>
        <v>22.907117743249916</v>
      </c>
      <c r="L174" s="5">
        <f>vals_co2_incLUC!$AJ174</f>
        <v>22.747009664836209</v>
      </c>
      <c r="M174" s="5">
        <f>vals_co2_incLUC!$S174</f>
        <v>30.838415870449165</v>
      </c>
      <c r="N174" s="5">
        <f>vals_co2_incLUC!$Y174</f>
        <v>29.848521892347051</v>
      </c>
      <c r="O174" s="5">
        <f>vals_co2_incLUC!$AE174</f>
        <v>30.838415870449165</v>
      </c>
      <c r="P174" s="5">
        <f>vals_co2_incLUC!$AK174</f>
        <v>30.390968784989848</v>
      </c>
      <c r="Q174" s="9">
        <f t="shared" si="47"/>
        <v>0.98989397810211344</v>
      </c>
      <c r="R174" s="9">
        <v>23.103000000000002</v>
      </c>
      <c r="S174" s="9">
        <v>31.286999999999999</v>
      </c>
    </row>
    <row r="175" spans="1:19" x14ac:dyDescent="0.35">
      <c r="A175" s="6">
        <f>vals_co2_incLUC!$A175</f>
        <v>2022</v>
      </c>
      <c r="B175" s="7">
        <f t="shared" si="40"/>
        <v>22.387911496811206</v>
      </c>
      <c r="C175" s="7">
        <f t="shared" si="41"/>
        <v>23.746205739106056</v>
      </c>
      <c r="D175" s="7">
        <f t="shared" si="42"/>
        <v>29.418852105423611</v>
      </c>
      <c r="E175" s="7">
        <f t="shared" si="43"/>
        <v>30.445237901558674</v>
      </c>
      <c r="F175" s="7">
        <f t="shared" si="44"/>
        <v>1.3582942422948499</v>
      </c>
      <c r="G175" s="7">
        <f t="shared" si="45"/>
        <v>0</v>
      </c>
      <c r="H175" s="7">
        <f t="shared" si="46"/>
        <v>5.6726463663175544</v>
      </c>
      <c r="I175" s="8">
        <f>vals_co2_incLUC!$R175</f>
        <v>22.539002597379074</v>
      </c>
      <c r="J175" s="8">
        <f>vals_co2_incLUC!$X175</f>
        <v>23.746205739106056</v>
      </c>
      <c r="K175" s="8">
        <f>vals_co2_incLUC!$AD175</f>
        <v>22.539002597379074</v>
      </c>
      <c r="L175" s="8">
        <f>vals_co2_incLUC!$AJ175</f>
        <v>22.387911496811206</v>
      </c>
      <c r="M175" s="8">
        <f>vals_co2_incLUC!$S175</f>
        <v>30.445237901558674</v>
      </c>
      <c r="N175" s="8">
        <f>vals_co2_incLUC!$Y175</f>
        <v>29.418852105423611</v>
      </c>
      <c r="O175" s="8">
        <f>vals_co2_incLUC!$AE175</f>
        <v>30.445237901558674</v>
      </c>
      <c r="P175" s="8">
        <f>vals_co2_incLUC!$AK175</f>
        <v>29.992352323293492</v>
      </c>
      <c r="Q175" s="9">
        <f t="shared" si="47"/>
        <v>1.0263857961350631</v>
      </c>
      <c r="R175" s="9">
        <v>22.744</v>
      </c>
      <c r="S175" s="9">
        <v>30.89</v>
      </c>
    </row>
    <row r="176" spans="1:19" x14ac:dyDescent="0.35">
      <c r="A176" s="3">
        <f>vals_co2_incLUC!$A176</f>
        <v>2023</v>
      </c>
      <c r="B176" s="4">
        <f t="shared" si="40"/>
        <v>21.965089458153631</v>
      </c>
      <c r="C176" s="4">
        <f t="shared" si="41"/>
        <v>23.555166969232626</v>
      </c>
      <c r="D176" s="4">
        <f t="shared" si="42"/>
        <v>29.586139667905005</v>
      </c>
      <c r="E176" s="4">
        <f t="shared" si="43"/>
        <v>30.030372735144788</v>
      </c>
      <c r="F176" s="4">
        <f t="shared" si="44"/>
        <v>1.5900775110789951</v>
      </c>
      <c r="G176" s="4">
        <f t="shared" si="45"/>
        <v>0</v>
      </c>
      <c r="H176" s="4">
        <f t="shared" si="46"/>
        <v>6.0309726986723788</v>
      </c>
      <c r="I176" s="5">
        <f>vals_co2_incLUC!$R176</f>
        <v>22.114438124317843</v>
      </c>
      <c r="J176" s="5">
        <f>vals_co2_incLUC!$X176</f>
        <v>23.555166969232626</v>
      </c>
      <c r="K176" s="5">
        <f>vals_co2_incLUC!$AD176</f>
        <v>22.114438124317843</v>
      </c>
      <c r="L176" s="5">
        <f>vals_co2_incLUC!$AJ176</f>
        <v>21.965089458153631</v>
      </c>
      <c r="M176" s="5">
        <f>vals_co2_incLUC!$S176</f>
        <v>30.030372735144788</v>
      </c>
      <c r="N176" s="5">
        <f>vals_co2_incLUC!$Y176</f>
        <v>29.77482006647233</v>
      </c>
      <c r="O176" s="5">
        <f>vals_co2_incLUC!$AE176</f>
        <v>30.030372735144788</v>
      </c>
      <c r="P176" s="5">
        <f>vals_co2_incLUC!$AK176</f>
        <v>29.586139667905005</v>
      </c>
      <c r="Q176" s="9">
        <f t="shared" si="47"/>
        <v>0.44423306723978229</v>
      </c>
      <c r="R176" s="9">
        <v>22.321000000000002</v>
      </c>
      <c r="S176" s="9">
        <v>30.475999999999999</v>
      </c>
    </row>
    <row r="177" spans="1:19" x14ac:dyDescent="0.35">
      <c r="A177" s="6">
        <f>vals_co2_incLUC!$A177</f>
        <v>2024</v>
      </c>
      <c r="B177" s="7">
        <f t="shared" si="40"/>
        <v>21.805425820005762</v>
      </c>
      <c r="C177" s="7">
        <f t="shared" si="41"/>
        <v>24.3249699518258</v>
      </c>
      <c r="D177" s="7">
        <f t="shared" si="42"/>
        <v>29.466406243298731</v>
      </c>
      <c r="E177" s="7">
        <f t="shared" si="43"/>
        <v>32.229402668729954</v>
      </c>
      <c r="F177" s="7">
        <f t="shared" si="44"/>
        <v>2.5195441318200373</v>
      </c>
      <c r="G177" s="7">
        <f t="shared" si="45"/>
        <v>0</v>
      </c>
      <c r="H177" s="7">
        <f t="shared" si="46"/>
        <v>5.1414362914729317</v>
      </c>
      <c r="I177" s="8">
        <f>vals_co2_incLUC!$R177</f>
        <v>21.925255817135675</v>
      </c>
      <c r="J177" s="8">
        <f>vals_co2_incLUC!$X177</f>
        <v>24.3249699518258</v>
      </c>
      <c r="K177" s="8">
        <f>vals_co2_incLUC!$AD177</f>
        <v>21.925255817135675</v>
      </c>
      <c r="L177" s="8">
        <f>vals_co2_incLUC!$AJ177</f>
        <v>21.805425820005762</v>
      </c>
      <c r="M177" s="8">
        <f>vals_co2_incLUC!$S177</f>
        <v>29.876931803382977</v>
      </c>
      <c r="N177" s="8">
        <f>vals_co2_incLUC!$Y177</f>
        <v>32.229402668729954</v>
      </c>
      <c r="O177" s="8">
        <f>vals_co2_incLUC!$AE177</f>
        <v>29.876931803382977</v>
      </c>
      <c r="P177" s="8">
        <f>vals_co2_incLUC!$AK177</f>
        <v>29.466406243298731</v>
      </c>
      <c r="Q177" s="9">
        <f t="shared" si="47"/>
        <v>2.762996425431222</v>
      </c>
      <c r="R177" s="9">
        <v>22.143999999999998</v>
      </c>
      <c r="S177" s="9">
        <v>30.327999999999999</v>
      </c>
    </row>
  </sheetData>
  <mergeCells count="1">
    <mergeCell ref="A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CA58-BD07-4FB2-B3AF-83AF85AB1728}">
  <sheetPr>
    <tabColor rgb="FF0B4C5B"/>
  </sheetPr>
  <dimension ref="A1:S177"/>
  <sheetViews>
    <sheetView workbookViewId="0"/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0" t="s">
        <v>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14</v>
      </c>
      <c r="J2" s="1" t="s">
        <v>20</v>
      </c>
      <c r="K2" s="1" t="s">
        <v>26</v>
      </c>
      <c r="L2" s="1"/>
      <c r="M2" s="1" t="s">
        <v>15</v>
      </c>
      <c r="N2" s="1" t="s">
        <v>21</v>
      </c>
      <c r="O2" s="1" t="s">
        <v>27</v>
      </c>
      <c r="P2" s="1"/>
      <c r="Q2" s="2" t="s">
        <v>35</v>
      </c>
      <c r="R2" t="s">
        <v>73</v>
      </c>
      <c r="S2" t="s">
        <v>74</v>
      </c>
    </row>
    <row r="3" spans="1:19" x14ac:dyDescent="0.35">
      <c r="A3" s="6">
        <f>vals_co2_excLUC!$A3</f>
        <v>1850</v>
      </c>
      <c r="B3" s="7">
        <f t="shared" ref="B3:B34" si="0">IFERROR(_xlfn.AGGREGATE(5,6,I3:L3),"")</f>
        <v>48.501612141772895</v>
      </c>
      <c r="C3" s="7">
        <f t="shared" ref="C3:C34" si="1">IFERROR(_xlfn.AGGREGATE(4,6,I3:L3),"")</f>
        <v>48.634529780665289</v>
      </c>
      <c r="D3" s="7">
        <f t="shared" ref="D3:D34" si="2">IFERROR(_xlfn.AGGREGATE(5,6,M3:P3),"")</f>
        <v>62.091743207812513</v>
      </c>
      <c r="E3" s="7">
        <f t="shared" ref="E3:E34" si="3">IFERROR(_xlfn.AGGREGATE(4,6,M3:P3),"")</f>
        <v>62.172529548298364</v>
      </c>
      <c r="F3" s="7">
        <f t="shared" ref="F3:F34" si="4">IFERROR(MIN(C3,D3)-B3,"")</f>
        <v>0.13291763889239405</v>
      </c>
      <c r="G3" s="7">
        <f t="shared" ref="G3:G34" si="5">IFERROR(MAX(0,C3-D3),"")</f>
        <v>0</v>
      </c>
      <c r="H3" s="7">
        <f t="shared" ref="H3:H34" si="6">IFERROR(MAX(0,D3-C3),"")</f>
        <v>13.457213427147224</v>
      </c>
      <c r="I3" s="8">
        <f>vals_co2_excLUC!$R3</f>
        <v>48.621447498541478</v>
      </c>
      <c r="J3" s="8">
        <f>vals_co2_excLUC!$X3</f>
        <v>48.501612141772895</v>
      </c>
      <c r="K3" s="8">
        <f>vals_co2_excLUC!$AD3</f>
        <v>48.634529780665289</v>
      </c>
      <c r="L3" s="8"/>
      <c r="M3" s="8">
        <f>vals_co2_excLUC!$S3</f>
        <v>62.091743207812513</v>
      </c>
      <c r="N3" s="8">
        <f>vals_co2_excLUC!$Y3</f>
        <v>62.172529548298364</v>
      </c>
      <c r="O3" s="8">
        <f>vals_co2_excLUC!$AE3</f>
        <v>62.108450170722151</v>
      </c>
      <c r="P3" s="8"/>
      <c r="Q3" s="9">
        <f t="shared" ref="Q3:Q34" si="7">IFERROR(MAX(0,$E3-MAX($C3,$D3)),"")</f>
        <v>8.0786340485850872E-2</v>
      </c>
      <c r="R3" s="9">
        <v>48.619</v>
      </c>
      <c r="S3" s="9">
        <v>62.091999999999999</v>
      </c>
    </row>
    <row r="4" spans="1:19" x14ac:dyDescent="0.35">
      <c r="A4" s="3">
        <f>vals_co2_excLUC!$A4</f>
        <v>1851</v>
      </c>
      <c r="B4" s="4">
        <f t="shared" si="0"/>
        <v>48.496162864785717</v>
      </c>
      <c r="C4" s="4">
        <f t="shared" si="1"/>
        <v>48.629095835040964</v>
      </c>
      <c r="D4" s="4">
        <f t="shared" si="2"/>
        <v>62.087600163508917</v>
      </c>
      <c r="E4" s="4">
        <f t="shared" si="3"/>
        <v>62.16839401370887</v>
      </c>
      <c r="F4" s="4">
        <f t="shared" si="4"/>
        <v>0.13293297025524708</v>
      </c>
      <c r="G4" s="4">
        <f t="shared" si="5"/>
        <v>0</v>
      </c>
      <c r="H4" s="4">
        <f t="shared" si="6"/>
        <v>13.458504328467953</v>
      </c>
      <c r="I4" s="5">
        <f>vals_co2_excLUC!$R4</f>
        <v>48.616013582884591</v>
      </c>
      <c r="J4" s="5">
        <f>vals_co2_excLUC!$X4</f>
        <v>48.496162864785717</v>
      </c>
      <c r="K4" s="5">
        <f>vals_co2_excLUC!$AD4</f>
        <v>48.629095835040964</v>
      </c>
      <c r="L4" s="5"/>
      <c r="M4" s="5">
        <f>vals_co2_excLUC!$S4</f>
        <v>62.087600163508917</v>
      </c>
      <c r="N4" s="5">
        <f>vals_co2_excLUC!$Y4</f>
        <v>62.16839401370887</v>
      </c>
      <c r="O4" s="5">
        <f>vals_co2_excLUC!$AE4</f>
        <v>62.104307840656958</v>
      </c>
      <c r="P4" s="5"/>
      <c r="Q4" s="9">
        <f t="shared" si="7"/>
        <v>8.0793850199952999E-2</v>
      </c>
      <c r="R4" s="9">
        <v>48.619</v>
      </c>
      <c r="S4" s="9">
        <v>62.091999999999999</v>
      </c>
    </row>
    <row r="5" spans="1:19" x14ac:dyDescent="0.35">
      <c r="A5" s="6">
        <f>vals_co2_excLUC!$A5</f>
        <v>1852</v>
      </c>
      <c r="B5" s="7">
        <f t="shared" si="0"/>
        <v>48.490661635183308</v>
      </c>
      <c r="C5" s="7">
        <f t="shared" si="1"/>
        <v>48.623629685680122</v>
      </c>
      <c r="D5" s="7">
        <f t="shared" si="2"/>
        <v>62.083415518255812</v>
      </c>
      <c r="E5" s="7">
        <f t="shared" si="3"/>
        <v>62.164199683521694</v>
      </c>
      <c r="F5" s="7">
        <f t="shared" si="4"/>
        <v>0.13296805049681382</v>
      </c>
      <c r="G5" s="7">
        <f t="shared" si="5"/>
        <v>0</v>
      </c>
      <c r="H5" s="7">
        <f t="shared" si="6"/>
        <v>13.45978583257569</v>
      </c>
      <c r="I5" s="8">
        <f>vals_co2_excLUC!$R5</f>
        <v>48.610547458121758</v>
      </c>
      <c r="J5" s="8">
        <f>vals_co2_excLUC!$X5</f>
        <v>48.490661635183308</v>
      </c>
      <c r="K5" s="8">
        <f>vals_co2_excLUC!$AD5</f>
        <v>48.623629685680122</v>
      </c>
      <c r="L5" s="8"/>
      <c r="M5" s="8">
        <f>vals_co2_excLUC!$S5</f>
        <v>62.083415518255812</v>
      </c>
      <c r="N5" s="8">
        <f>vals_co2_excLUC!$Y5</f>
        <v>62.164199683521694</v>
      </c>
      <c r="O5" s="8">
        <f>vals_co2_excLUC!$AE5</f>
        <v>62.100123916539886</v>
      </c>
      <c r="P5" s="8"/>
      <c r="Q5" s="9">
        <f t="shared" si="7"/>
        <v>8.078416526588228E-2</v>
      </c>
      <c r="R5" s="9">
        <v>48.613999999999997</v>
      </c>
      <c r="S5" s="9">
        <v>62.088000000000001</v>
      </c>
    </row>
    <row r="6" spans="1:19" x14ac:dyDescent="0.35">
      <c r="A6" s="3">
        <f>vals_co2_excLUC!$A6</f>
        <v>1853</v>
      </c>
      <c r="B6" s="4">
        <f t="shared" si="0"/>
        <v>48.484939261005685</v>
      </c>
      <c r="C6" s="4">
        <f t="shared" si="1"/>
        <v>48.617955420069904</v>
      </c>
      <c r="D6" s="4">
        <f t="shared" si="2"/>
        <v>62.079047948436909</v>
      </c>
      <c r="E6" s="4">
        <f t="shared" si="3"/>
        <v>62.159811990123046</v>
      </c>
      <c r="F6" s="4">
        <f t="shared" si="4"/>
        <v>0.13301615906421915</v>
      </c>
      <c r="G6" s="4">
        <f t="shared" si="5"/>
        <v>0</v>
      </c>
      <c r="H6" s="4">
        <f t="shared" si="6"/>
        <v>13.461092528367004</v>
      </c>
      <c r="I6" s="5">
        <f>vals_co2_excLUC!$R6</f>
        <v>48.604873208966012</v>
      </c>
      <c r="J6" s="5">
        <f>vals_co2_excLUC!$X6</f>
        <v>48.484939261005685</v>
      </c>
      <c r="K6" s="5">
        <f>vals_co2_excLUC!$AD6</f>
        <v>48.617955420069904</v>
      </c>
      <c r="L6" s="5"/>
      <c r="M6" s="5">
        <f>vals_co2_excLUC!$S6</f>
        <v>62.079047948436909</v>
      </c>
      <c r="N6" s="5">
        <f>vals_co2_excLUC!$Y6</f>
        <v>62.159811990123046</v>
      </c>
      <c r="O6" s="5">
        <f>vals_co2_excLUC!$AE6</f>
        <v>62.095757100737906</v>
      </c>
      <c r="P6" s="5"/>
      <c r="Q6" s="9">
        <f t="shared" si="7"/>
        <v>8.0764041686137489E-2</v>
      </c>
      <c r="R6" s="9">
        <v>48.607999999999997</v>
      </c>
      <c r="S6" s="9">
        <v>62.082999999999998</v>
      </c>
    </row>
    <row r="7" spans="1:19" x14ac:dyDescent="0.35">
      <c r="A7" s="6">
        <f>vals_co2_excLUC!$A7</f>
        <v>1854</v>
      </c>
      <c r="B7" s="7">
        <f t="shared" si="0"/>
        <v>48.478939614799579</v>
      </c>
      <c r="C7" s="7">
        <f t="shared" si="1"/>
        <v>48.612010961482063</v>
      </c>
      <c r="D7" s="7">
        <f t="shared" si="2"/>
        <v>62.074472414178807</v>
      </c>
      <c r="E7" s="7">
        <f t="shared" si="3"/>
        <v>62.155211320174701</v>
      </c>
      <c r="F7" s="7">
        <f t="shared" si="4"/>
        <v>0.13307134668248466</v>
      </c>
      <c r="G7" s="7">
        <f t="shared" si="5"/>
        <v>0</v>
      </c>
      <c r="H7" s="7">
        <f t="shared" si="6"/>
        <v>13.462461452696743</v>
      </c>
      <c r="I7" s="8">
        <f>vals_co2_excLUC!$R7</f>
        <v>48.598928769389182</v>
      </c>
      <c r="J7" s="8">
        <f>vals_co2_excLUC!$X7</f>
        <v>48.478939614799579</v>
      </c>
      <c r="K7" s="8">
        <f>vals_co2_excLUC!$AD7</f>
        <v>48.612010961482063</v>
      </c>
      <c r="L7" s="8"/>
      <c r="M7" s="8">
        <f>vals_co2_excLUC!$S7</f>
        <v>62.074472414178807</v>
      </c>
      <c r="N7" s="8">
        <f>vals_co2_excLUC!$Y7</f>
        <v>62.155211320174701</v>
      </c>
      <c r="O7" s="8">
        <f>vals_co2_excLUC!$AE7</f>
        <v>62.091182354329597</v>
      </c>
      <c r="P7" s="8"/>
      <c r="Q7" s="9">
        <f t="shared" si="7"/>
        <v>8.0738905995893617E-2</v>
      </c>
      <c r="R7" s="9">
        <v>48.601999999999997</v>
      </c>
      <c r="S7" s="9">
        <v>62.079000000000001</v>
      </c>
    </row>
    <row r="8" spans="1:19" x14ac:dyDescent="0.35">
      <c r="A8" s="3">
        <f>vals_co2_excLUC!$A8</f>
        <v>1855</v>
      </c>
      <c r="B8" s="4">
        <f t="shared" si="0"/>
        <v>48.471878208879225</v>
      </c>
      <c r="C8" s="4">
        <f t="shared" si="1"/>
        <v>48.605008625869957</v>
      </c>
      <c r="D8" s="4">
        <f t="shared" si="2"/>
        <v>62.069091925455808</v>
      </c>
      <c r="E8" s="4">
        <f t="shared" si="3"/>
        <v>62.149807001770249</v>
      </c>
      <c r="F8" s="4">
        <f t="shared" si="4"/>
        <v>0.13313041699073125</v>
      </c>
      <c r="G8" s="4">
        <f t="shared" si="5"/>
        <v>0</v>
      </c>
      <c r="H8" s="4">
        <f t="shared" si="6"/>
        <v>13.464083299585852</v>
      </c>
      <c r="I8" s="5">
        <f>vals_co2_excLUC!$R8</f>
        <v>48.591926462425292</v>
      </c>
      <c r="J8" s="5">
        <f>vals_co2_excLUC!$X8</f>
        <v>48.471878208879225</v>
      </c>
      <c r="K8" s="5">
        <f>vals_co2_excLUC!$AD8</f>
        <v>48.605008625869957</v>
      </c>
      <c r="L8" s="5"/>
      <c r="M8" s="5">
        <f>vals_co2_excLUC!$S8</f>
        <v>62.069091925455808</v>
      </c>
      <c r="N8" s="5">
        <f>vals_co2_excLUC!$Y8</f>
        <v>62.149807001770249</v>
      </c>
      <c r="O8" s="5">
        <f>vals_co2_excLUC!$AE8</f>
        <v>62.085802788429426</v>
      </c>
      <c r="P8" s="5"/>
      <c r="Q8" s="9">
        <f t="shared" si="7"/>
        <v>8.0715076314440637E-2</v>
      </c>
      <c r="R8" s="9">
        <v>48.594999999999999</v>
      </c>
      <c r="S8" s="9">
        <v>62.073</v>
      </c>
    </row>
    <row r="9" spans="1:19" x14ac:dyDescent="0.35">
      <c r="A9" s="6">
        <f>vals_co2_excLUC!$A9</f>
        <v>1856</v>
      </c>
      <c r="B9" s="7">
        <f t="shared" si="0"/>
        <v>48.464714471940731</v>
      </c>
      <c r="C9" s="7">
        <f t="shared" si="1"/>
        <v>48.597930105429711</v>
      </c>
      <c r="D9" s="7">
        <f t="shared" si="2"/>
        <v>62.063610483056721</v>
      </c>
      <c r="E9" s="7">
        <f t="shared" si="3"/>
        <v>62.144290081071695</v>
      </c>
      <c r="F9" s="7">
        <f t="shared" si="4"/>
        <v>0.13321563348898025</v>
      </c>
      <c r="G9" s="7">
        <f t="shared" si="5"/>
        <v>0</v>
      </c>
      <c r="H9" s="7">
        <f t="shared" si="6"/>
        <v>13.46568037762701</v>
      </c>
      <c r="I9" s="8">
        <f>vals_co2_excLUC!$R9</f>
        <v>48.584847953140901</v>
      </c>
      <c r="J9" s="8">
        <f>vals_co2_excLUC!$X9</f>
        <v>48.464714471940731</v>
      </c>
      <c r="K9" s="8">
        <f>vals_co2_excLUC!$AD9</f>
        <v>48.597930105429711</v>
      </c>
      <c r="L9" s="8"/>
      <c r="M9" s="8">
        <f>vals_co2_excLUC!$S9</f>
        <v>62.063610483056721</v>
      </c>
      <c r="N9" s="8">
        <f>vals_co2_excLUC!$Y9</f>
        <v>62.144290081071695</v>
      </c>
      <c r="O9" s="8">
        <f>vals_co2_excLUC!$AE9</f>
        <v>62.080322290499353</v>
      </c>
      <c r="P9" s="8"/>
      <c r="Q9" s="9">
        <f t="shared" si="7"/>
        <v>8.0679598014974374E-2</v>
      </c>
      <c r="R9" s="9">
        <v>48.588000000000001</v>
      </c>
      <c r="S9" s="9">
        <v>62.067999999999998</v>
      </c>
    </row>
    <row r="10" spans="1:19" x14ac:dyDescent="0.35">
      <c r="A10" s="3">
        <f>vals_co2_excLUC!$A10</f>
        <v>1857</v>
      </c>
      <c r="B10" s="4">
        <f t="shared" si="0"/>
        <v>48.457079057286954</v>
      </c>
      <c r="C10" s="4">
        <f t="shared" si="1"/>
        <v>48.590400126981187</v>
      </c>
      <c r="D10" s="4">
        <f t="shared" si="2"/>
        <v>62.057789464772227</v>
      </c>
      <c r="E10" s="4">
        <f t="shared" si="3"/>
        <v>62.138397255916104</v>
      </c>
      <c r="F10" s="4">
        <f t="shared" si="4"/>
        <v>0.13332106969423307</v>
      </c>
      <c r="G10" s="4">
        <f t="shared" si="5"/>
        <v>0</v>
      </c>
      <c r="H10" s="4">
        <f t="shared" si="6"/>
        <v>13.46738933779104</v>
      </c>
      <c r="I10" s="5">
        <f>vals_co2_excLUC!$R10</f>
        <v>48.577317976473658</v>
      </c>
      <c r="J10" s="5">
        <f>vals_co2_excLUC!$X10</f>
        <v>48.457079057286954</v>
      </c>
      <c r="K10" s="5">
        <f>vals_co2_excLUC!$AD10</f>
        <v>48.590400126981187</v>
      </c>
      <c r="L10" s="5"/>
      <c r="M10" s="5">
        <f>vals_co2_excLUC!$S10</f>
        <v>62.057789464772227</v>
      </c>
      <c r="N10" s="5">
        <f>vals_co2_excLUC!$Y10</f>
        <v>62.138397255916104</v>
      </c>
      <c r="O10" s="5">
        <f>vals_co2_excLUC!$AE10</f>
        <v>62.074502292813627</v>
      </c>
      <c r="P10" s="5"/>
      <c r="Q10" s="9">
        <f t="shared" si="7"/>
        <v>8.0607791143876284E-2</v>
      </c>
      <c r="R10" s="9">
        <v>48.581000000000003</v>
      </c>
      <c r="S10" s="9">
        <v>62.061999999999998</v>
      </c>
    </row>
    <row r="11" spans="1:19" x14ac:dyDescent="0.35">
      <c r="A11" s="6">
        <f>vals_co2_excLUC!$A11</f>
        <v>1858</v>
      </c>
      <c r="B11" s="7">
        <f t="shared" si="0"/>
        <v>48.44938150997816</v>
      </c>
      <c r="C11" s="7">
        <f t="shared" si="1"/>
        <v>48.582826586025114</v>
      </c>
      <c r="D11" s="7">
        <f t="shared" si="2"/>
        <v>62.051921331714155</v>
      </c>
      <c r="E11" s="7">
        <f t="shared" si="3"/>
        <v>62.132438544407307</v>
      </c>
      <c r="F11" s="7">
        <f t="shared" si="4"/>
        <v>0.13344507604695366</v>
      </c>
      <c r="G11" s="7">
        <f t="shared" si="5"/>
        <v>0</v>
      </c>
      <c r="H11" s="7">
        <f t="shared" si="6"/>
        <v>13.469094745689041</v>
      </c>
      <c r="I11" s="8">
        <f>vals_co2_excLUC!$R11</f>
        <v>48.56974442765312</v>
      </c>
      <c r="J11" s="8">
        <f>vals_co2_excLUC!$X11</f>
        <v>48.44938150997816</v>
      </c>
      <c r="K11" s="8">
        <f>vals_co2_excLUC!$AD11</f>
        <v>48.582826586025114</v>
      </c>
      <c r="L11" s="8"/>
      <c r="M11" s="8">
        <f>vals_co2_excLUC!$S11</f>
        <v>62.051921331714155</v>
      </c>
      <c r="N11" s="8">
        <f>vals_co2_excLUC!$Y11</f>
        <v>62.132438544407307</v>
      </c>
      <c r="O11" s="8">
        <f>vals_co2_excLUC!$AE11</f>
        <v>62.068635195298526</v>
      </c>
      <c r="P11" s="8"/>
      <c r="Q11" s="9">
        <f t="shared" si="7"/>
        <v>8.0517212693152374E-2</v>
      </c>
      <c r="R11" s="9">
        <v>48.573</v>
      </c>
      <c r="S11" s="9">
        <v>62.055999999999997</v>
      </c>
    </row>
    <row r="12" spans="1:19" x14ac:dyDescent="0.35">
      <c r="A12" s="3">
        <f>vals_co2_excLUC!$A12</f>
        <v>1859</v>
      </c>
      <c r="B12" s="4">
        <f t="shared" si="0"/>
        <v>48.441629209052763</v>
      </c>
      <c r="C12" s="4">
        <f t="shared" si="1"/>
        <v>48.575224435860967</v>
      </c>
      <c r="D12" s="4">
        <f t="shared" si="2"/>
        <v>62.045988582244739</v>
      </c>
      <c r="E12" s="4">
        <f t="shared" si="3"/>
        <v>62.126408621590713</v>
      </c>
      <c r="F12" s="4">
        <f t="shared" si="4"/>
        <v>0.1335952268082039</v>
      </c>
      <c r="G12" s="4">
        <f t="shared" si="5"/>
        <v>0</v>
      </c>
      <c r="H12" s="4">
        <f t="shared" si="6"/>
        <v>13.470764146383772</v>
      </c>
      <c r="I12" s="5">
        <f>vals_co2_excLUC!$R12</f>
        <v>48.562142245519055</v>
      </c>
      <c r="J12" s="5">
        <f>vals_co2_excLUC!$X12</f>
        <v>48.441629209052763</v>
      </c>
      <c r="K12" s="5">
        <f>vals_co2_excLUC!$AD12</f>
        <v>48.575224435860967</v>
      </c>
      <c r="L12" s="5"/>
      <c r="M12" s="5">
        <f>vals_co2_excLUC!$S12</f>
        <v>62.045988582244739</v>
      </c>
      <c r="N12" s="5">
        <f>vals_co2_excLUC!$Y12</f>
        <v>62.126408621590713</v>
      </c>
      <c r="O12" s="5">
        <f>vals_co2_excLUC!$AE12</f>
        <v>62.06270350494075</v>
      </c>
      <c r="P12" s="5"/>
      <c r="Q12" s="9">
        <f t="shared" si="7"/>
        <v>8.0420039345973748E-2</v>
      </c>
      <c r="R12" s="9">
        <v>48.564999999999998</v>
      </c>
      <c r="S12" s="9">
        <v>62.05</v>
      </c>
    </row>
    <row r="13" spans="1:19" x14ac:dyDescent="0.35">
      <c r="A13" s="6">
        <f>vals_co2_excLUC!$A13</f>
        <v>1860</v>
      </c>
      <c r="B13" s="7">
        <f t="shared" si="0"/>
        <v>48.433392881258982</v>
      </c>
      <c r="C13" s="7">
        <f t="shared" si="1"/>
        <v>48.567122941579129</v>
      </c>
      <c r="D13" s="7">
        <f t="shared" si="2"/>
        <v>62.039694912950083</v>
      </c>
      <c r="E13" s="7">
        <f t="shared" si="3"/>
        <v>62.120035782227447</v>
      </c>
      <c r="F13" s="7">
        <f t="shared" si="4"/>
        <v>0.133730060320147</v>
      </c>
      <c r="G13" s="7">
        <f t="shared" si="5"/>
        <v>0</v>
      </c>
      <c r="H13" s="7">
        <f t="shared" si="6"/>
        <v>13.472571971370954</v>
      </c>
      <c r="I13" s="8">
        <f>vals_co2_excLUC!$R13</f>
        <v>48.554040729779388</v>
      </c>
      <c r="J13" s="8">
        <f>vals_co2_excLUC!$X13</f>
        <v>48.433392881258982</v>
      </c>
      <c r="K13" s="8">
        <f>vals_co2_excLUC!$AD13</f>
        <v>48.567122941579129</v>
      </c>
      <c r="L13" s="8"/>
      <c r="M13" s="8">
        <f>vals_co2_excLUC!$S13</f>
        <v>62.039694912950083</v>
      </c>
      <c r="N13" s="8">
        <f>vals_co2_excLUC!$Y13</f>
        <v>62.120035782227447</v>
      </c>
      <c r="O13" s="8">
        <f>vals_co2_excLUC!$AE13</f>
        <v>62.056410956313755</v>
      </c>
      <c r="P13" s="8"/>
      <c r="Q13" s="9">
        <f t="shared" si="7"/>
        <v>8.0340869277364391E-2</v>
      </c>
      <c r="R13" s="9">
        <v>48.557000000000002</v>
      </c>
      <c r="S13" s="9">
        <v>62.043999999999997</v>
      </c>
    </row>
    <row r="14" spans="1:19" x14ac:dyDescent="0.35">
      <c r="A14" s="3">
        <f>vals_co2_excLUC!$A14</f>
        <v>1861</v>
      </c>
      <c r="B14" s="4">
        <f t="shared" si="0"/>
        <v>48.424364983907545</v>
      </c>
      <c r="C14" s="4">
        <f t="shared" si="1"/>
        <v>48.558233846613192</v>
      </c>
      <c r="D14" s="4">
        <f t="shared" si="2"/>
        <v>62.03278632625436</v>
      </c>
      <c r="E14" s="4">
        <f t="shared" si="3"/>
        <v>62.113044321403329</v>
      </c>
      <c r="F14" s="4">
        <f t="shared" si="4"/>
        <v>0.13386886270564702</v>
      </c>
      <c r="G14" s="4">
        <f t="shared" si="5"/>
        <v>0</v>
      </c>
      <c r="H14" s="4">
        <f t="shared" si="6"/>
        <v>13.474552479641169</v>
      </c>
      <c r="I14" s="5">
        <f>vals_co2_excLUC!$R14</f>
        <v>48.545151608996129</v>
      </c>
      <c r="J14" s="5">
        <f>vals_co2_excLUC!$X14</f>
        <v>48.424364983907545</v>
      </c>
      <c r="K14" s="5">
        <f>vals_co2_excLUC!$AD14</f>
        <v>48.558233846613192</v>
      </c>
      <c r="L14" s="5"/>
      <c r="M14" s="5">
        <f>vals_co2_excLUC!$S14</f>
        <v>62.03278632625436</v>
      </c>
      <c r="N14" s="5">
        <f>vals_co2_excLUC!$Y14</f>
        <v>62.113044321403329</v>
      </c>
      <c r="O14" s="5">
        <f>vals_co2_excLUC!$AE14</f>
        <v>62.049503601736554</v>
      </c>
      <c r="P14" s="5"/>
      <c r="Q14" s="9">
        <f t="shared" si="7"/>
        <v>8.025799514896903E-2</v>
      </c>
      <c r="R14" s="9">
        <v>48.548000000000002</v>
      </c>
      <c r="S14" s="9">
        <v>62.036999999999999</v>
      </c>
    </row>
    <row r="15" spans="1:19" x14ac:dyDescent="0.35">
      <c r="A15" s="6">
        <f>vals_co2_excLUC!$A15</f>
        <v>1862</v>
      </c>
      <c r="B15" s="7">
        <f t="shared" si="0"/>
        <v>48.414869993224393</v>
      </c>
      <c r="C15" s="7">
        <f t="shared" si="1"/>
        <v>48.548910794437759</v>
      </c>
      <c r="D15" s="7">
        <f t="shared" si="2"/>
        <v>62.025515063172698</v>
      </c>
      <c r="E15" s="7">
        <f t="shared" si="3"/>
        <v>62.105665045559888</v>
      </c>
      <c r="F15" s="7">
        <f t="shared" si="4"/>
        <v>0.13404080121336648</v>
      </c>
      <c r="G15" s="7">
        <f t="shared" si="5"/>
        <v>0</v>
      </c>
      <c r="H15" s="7">
        <f t="shared" si="6"/>
        <v>13.476604268734938</v>
      </c>
      <c r="I15" s="8">
        <f>vals_co2_excLUC!$R15</f>
        <v>48.535828524847197</v>
      </c>
      <c r="J15" s="8">
        <f>vals_co2_excLUC!$X15</f>
        <v>48.414869993224393</v>
      </c>
      <c r="K15" s="8">
        <f>vals_co2_excLUC!$AD15</f>
        <v>48.548910794437759</v>
      </c>
      <c r="L15" s="8"/>
      <c r="M15" s="8">
        <f>vals_co2_excLUC!$S15</f>
        <v>62.025515063172698</v>
      </c>
      <c r="N15" s="8">
        <f>vals_co2_excLUC!$Y15</f>
        <v>62.105665045559888</v>
      </c>
      <c r="O15" s="8">
        <f>vals_co2_excLUC!$AE15</f>
        <v>62.042233630811694</v>
      </c>
      <c r="P15" s="8"/>
      <c r="Q15" s="9">
        <f t="shared" si="7"/>
        <v>8.0149982387190732E-2</v>
      </c>
      <c r="R15" s="9">
        <v>48.539000000000001</v>
      </c>
      <c r="S15" s="9">
        <v>62.03</v>
      </c>
    </row>
    <row r="16" spans="1:19" x14ac:dyDescent="0.35">
      <c r="A16" s="3">
        <f>vals_co2_excLUC!$A16</f>
        <v>1863</v>
      </c>
      <c r="B16" s="4">
        <f t="shared" si="0"/>
        <v>48.405281911605428</v>
      </c>
      <c r="C16" s="4">
        <f t="shared" si="1"/>
        <v>48.539501574870712</v>
      </c>
      <c r="D16" s="4">
        <f t="shared" si="2"/>
        <v>62.018104840218491</v>
      </c>
      <c r="E16" s="4">
        <f t="shared" si="3"/>
        <v>62.098141348341883</v>
      </c>
      <c r="F16" s="4">
        <f t="shared" si="4"/>
        <v>0.13421966326528434</v>
      </c>
      <c r="G16" s="4">
        <f t="shared" si="5"/>
        <v>0</v>
      </c>
      <c r="H16" s="4">
        <f t="shared" si="6"/>
        <v>13.478603265347779</v>
      </c>
      <c r="I16" s="5">
        <f>vals_co2_excLUC!$R16</f>
        <v>48.526419246962682</v>
      </c>
      <c r="J16" s="5">
        <f>vals_co2_excLUC!$X16</f>
        <v>48.405281911605428</v>
      </c>
      <c r="K16" s="5">
        <f>vals_co2_excLUC!$AD16</f>
        <v>48.539501574870712</v>
      </c>
      <c r="L16" s="5"/>
      <c r="M16" s="5">
        <f>vals_co2_excLUC!$S16</f>
        <v>62.018104840218491</v>
      </c>
      <c r="N16" s="5">
        <f>vals_co2_excLUC!$Y16</f>
        <v>62.098141348341883</v>
      </c>
      <c r="O16" s="5">
        <f>vals_co2_excLUC!$AE16</f>
        <v>62.034824726405937</v>
      </c>
      <c r="P16" s="5"/>
      <c r="Q16" s="9">
        <f t="shared" si="7"/>
        <v>8.0036508123392025E-2</v>
      </c>
      <c r="R16" s="9">
        <v>48.53</v>
      </c>
      <c r="S16" s="9">
        <v>62.021999999999998</v>
      </c>
    </row>
    <row r="17" spans="1:19" x14ac:dyDescent="0.35">
      <c r="A17" s="6">
        <f>vals_co2_excLUC!$A17</f>
        <v>1864</v>
      </c>
      <c r="B17" s="7">
        <f t="shared" si="0"/>
        <v>48.395127364908781</v>
      </c>
      <c r="C17" s="7">
        <f t="shared" si="1"/>
        <v>48.529517248928549</v>
      </c>
      <c r="D17" s="7">
        <f t="shared" si="2"/>
        <v>62.010188705632409</v>
      </c>
      <c r="E17" s="7">
        <f t="shared" si="3"/>
        <v>62.090122084633826</v>
      </c>
      <c r="F17" s="7">
        <f t="shared" si="4"/>
        <v>0.13438988401976815</v>
      </c>
      <c r="G17" s="7">
        <f t="shared" si="5"/>
        <v>0</v>
      </c>
      <c r="H17" s="7">
        <f t="shared" si="6"/>
        <v>13.48067145670386</v>
      </c>
      <c r="I17" s="8">
        <f>vals_co2_excLUC!$R17</f>
        <v>48.516434846100189</v>
      </c>
      <c r="J17" s="8">
        <f>vals_co2_excLUC!$X17</f>
        <v>48.395127364908781</v>
      </c>
      <c r="K17" s="8">
        <f>vals_co2_excLUC!$AD17</f>
        <v>48.529517248928549</v>
      </c>
      <c r="L17" s="8"/>
      <c r="M17" s="8">
        <f>vals_co2_excLUC!$S17</f>
        <v>62.010188705632409</v>
      </c>
      <c r="N17" s="8">
        <f>vals_co2_excLUC!$Y17</f>
        <v>62.090122084633826</v>
      </c>
      <c r="O17" s="8">
        <f>vals_co2_excLUC!$AE17</f>
        <v>62.026909993881382</v>
      </c>
      <c r="P17" s="8"/>
      <c r="Q17" s="9">
        <f t="shared" si="7"/>
        <v>7.9933379001417393E-2</v>
      </c>
      <c r="R17" s="9">
        <v>48.52</v>
      </c>
      <c r="S17" s="9">
        <v>62.014000000000003</v>
      </c>
    </row>
    <row r="18" spans="1:19" x14ac:dyDescent="0.35">
      <c r="A18" s="3">
        <f>vals_co2_excLUC!$A18</f>
        <v>1865</v>
      </c>
      <c r="B18" s="4">
        <f t="shared" si="0"/>
        <v>48.384222996400339</v>
      </c>
      <c r="C18" s="4">
        <f t="shared" si="1"/>
        <v>48.518795928964828</v>
      </c>
      <c r="D18" s="4">
        <f t="shared" si="2"/>
        <v>62.001657834271803</v>
      </c>
      <c r="E18" s="4">
        <f t="shared" si="3"/>
        <v>62.081474032883257</v>
      </c>
      <c r="F18" s="4">
        <f t="shared" si="4"/>
        <v>0.13457293256448821</v>
      </c>
      <c r="G18" s="4">
        <f t="shared" si="5"/>
        <v>0</v>
      </c>
      <c r="H18" s="4">
        <f t="shared" si="6"/>
        <v>13.482861905306976</v>
      </c>
      <c r="I18" s="5">
        <f>vals_co2_excLUC!$R18</f>
        <v>48.505713431254115</v>
      </c>
      <c r="J18" s="5">
        <f>vals_co2_excLUC!$X18</f>
        <v>48.384222996400339</v>
      </c>
      <c r="K18" s="5">
        <f>vals_co2_excLUC!$AD18</f>
        <v>48.518795928964828</v>
      </c>
      <c r="L18" s="5"/>
      <c r="M18" s="5">
        <f>vals_co2_excLUC!$S18</f>
        <v>62.001657834271803</v>
      </c>
      <c r="N18" s="5">
        <f>vals_co2_excLUC!$Y18</f>
        <v>62.081474032883257</v>
      </c>
      <c r="O18" s="5">
        <f>vals_co2_excLUC!$AE18</f>
        <v>62.018380638942581</v>
      </c>
      <c r="P18" s="5"/>
      <c r="Q18" s="9">
        <f t="shared" si="7"/>
        <v>7.9816198611453615E-2</v>
      </c>
      <c r="R18" s="9">
        <v>48.509</v>
      </c>
      <c r="S18" s="9">
        <v>62.006</v>
      </c>
    </row>
    <row r="19" spans="1:19" x14ac:dyDescent="0.35">
      <c r="A19" s="6">
        <f>vals_co2_excLUC!$A19</f>
        <v>1866</v>
      </c>
      <c r="B19" s="7">
        <f t="shared" si="0"/>
        <v>48.372690963053095</v>
      </c>
      <c r="C19" s="7">
        <f t="shared" si="1"/>
        <v>48.507462927078308</v>
      </c>
      <c r="D19" s="7">
        <f t="shared" si="2"/>
        <v>61.992596402399379</v>
      </c>
      <c r="E19" s="7">
        <f t="shared" si="3"/>
        <v>62.072283030754349</v>
      </c>
      <c r="F19" s="7">
        <f t="shared" si="4"/>
        <v>0.1347719640252123</v>
      </c>
      <c r="G19" s="7">
        <f t="shared" si="5"/>
        <v>0</v>
      </c>
      <c r="H19" s="7">
        <f t="shared" si="6"/>
        <v>13.485133475321071</v>
      </c>
      <c r="I19" s="8">
        <f>vals_co2_excLUC!$R19</f>
        <v>48.494380314713425</v>
      </c>
      <c r="J19" s="8">
        <f>vals_co2_excLUC!$X19</f>
        <v>48.372690963053095</v>
      </c>
      <c r="K19" s="8">
        <f>vals_co2_excLUC!$AD19</f>
        <v>48.507462927078308</v>
      </c>
      <c r="L19" s="8"/>
      <c r="M19" s="8">
        <f>vals_co2_excLUC!$S19</f>
        <v>61.992596402399379</v>
      </c>
      <c r="N19" s="8">
        <f>vals_co2_excLUC!$Y19</f>
        <v>62.072283030754349</v>
      </c>
      <c r="O19" s="8">
        <f>vals_co2_excLUC!$AE19</f>
        <v>62.009320817231547</v>
      </c>
      <c r="P19" s="8"/>
      <c r="Q19" s="9">
        <f t="shared" si="7"/>
        <v>7.9686628354970424E-2</v>
      </c>
      <c r="R19" s="9">
        <v>48.497999999999998</v>
      </c>
      <c r="S19" s="9">
        <v>61.997</v>
      </c>
    </row>
    <row r="20" spans="1:19" x14ac:dyDescent="0.35">
      <c r="A20" s="3">
        <f>vals_co2_excLUC!$A20</f>
        <v>1867</v>
      </c>
      <c r="B20" s="4">
        <f t="shared" si="0"/>
        <v>48.360908490006452</v>
      </c>
      <c r="C20" s="4">
        <f t="shared" si="1"/>
        <v>48.495886709856741</v>
      </c>
      <c r="D20" s="4">
        <f t="shared" si="2"/>
        <v>61.983276988767834</v>
      </c>
      <c r="E20" s="4">
        <f t="shared" si="3"/>
        <v>62.06282003784834</v>
      </c>
      <c r="F20" s="4">
        <f t="shared" si="4"/>
        <v>0.13497821985028935</v>
      </c>
      <c r="G20" s="4">
        <f t="shared" si="5"/>
        <v>0</v>
      </c>
      <c r="H20" s="4">
        <f t="shared" si="6"/>
        <v>13.487390278911093</v>
      </c>
      <c r="I20" s="5">
        <f>vals_co2_excLUC!$R20</f>
        <v>48.482803944702106</v>
      </c>
      <c r="J20" s="5">
        <f>vals_co2_excLUC!$X20</f>
        <v>48.360908490006452</v>
      </c>
      <c r="K20" s="5">
        <f>vals_co2_excLUC!$AD20</f>
        <v>48.495886709856741</v>
      </c>
      <c r="L20" s="5"/>
      <c r="M20" s="5">
        <f>vals_co2_excLUC!$S20</f>
        <v>61.983276988767834</v>
      </c>
      <c r="N20" s="5">
        <f>vals_co2_excLUC!$Y20</f>
        <v>62.06282003784834</v>
      </c>
      <c r="O20" s="5">
        <f>vals_co2_excLUC!$AE20</f>
        <v>62.000003077532348</v>
      </c>
      <c r="P20" s="5"/>
      <c r="Q20" s="9">
        <f t="shared" si="7"/>
        <v>7.9543049080506023E-2</v>
      </c>
      <c r="R20" s="9">
        <v>48.485999999999997</v>
      </c>
      <c r="S20" s="9">
        <v>61.987000000000002</v>
      </c>
    </row>
    <row r="21" spans="1:19" x14ac:dyDescent="0.35">
      <c r="A21" s="6">
        <f>vals_co2_excLUC!$A21</f>
        <v>1868</v>
      </c>
      <c r="B21" s="7">
        <f t="shared" si="0"/>
        <v>48.348298915667954</v>
      </c>
      <c r="C21" s="7">
        <f t="shared" si="1"/>
        <v>48.483500587959369</v>
      </c>
      <c r="D21" s="7">
        <f t="shared" si="2"/>
        <v>61.973254906831109</v>
      </c>
      <c r="E21" s="7">
        <f t="shared" si="3"/>
        <v>62.052653405800328</v>
      </c>
      <c r="F21" s="7">
        <f t="shared" si="4"/>
        <v>0.13520167229141578</v>
      </c>
      <c r="G21" s="7">
        <f t="shared" si="5"/>
        <v>0</v>
      </c>
      <c r="H21" s="7">
        <f t="shared" si="6"/>
        <v>13.489754318871739</v>
      </c>
      <c r="I21" s="8">
        <f>vals_co2_excLUC!$R21</f>
        <v>48.470417656839963</v>
      </c>
      <c r="J21" s="8">
        <f>vals_co2_excLUC!$X21</f>
        <v>48.348298915667954</v>
      </c>
      <c r="K21" s="8">
        <f>vals_co2_excLUC!$AD21</f>
        <v>48.483500587959369</v>
      </c>
      <c r="L21" s="8"/>
      <c r="M21" s="8">
        <f>vals_co2_excLUC!$S21</f>
        <v>61.973254906831109</v>
      </c>
      <c r="N21" s="8">
        <f>vals_co2_excLUC!$Y21</f>
        <v>62.052653405800328</v>
      </c>
      <c r="O21" s="8">
        <f>vals_co2_excLUC!$AE21</f>
        <v>61.989982776967167</v>
      </c>
      <c r="P21" s="8"/>
      <c r="Q21" s="9">
        <f t="shared" si="7"/>
        <v>7.9398498969219133E-2</v>
      </c>
      <c r="R21" s="9">
        <v>48.473999999999997</v>
      </c>
      <c r="S21" s="9">
        <v>61.976999999999997</v>
      </c>
    </row>
    <row r="22" spans="1:19" x14ac:dyDescent="0.35">
      <c r="A22" s="3">
        <f>vals_co2_excLUC!$A22</f>
        <v>1869</v>
      </c>
      <c r="B22" s="4">
        <f t="shared" si="0"/>
        <v>48.335397234575858</v>
      </c>
      <c r="C22" s="4">
        <f t="shared" si="1"/>
        <v>48.470840934203281</v>
      </c>
      <c r="D22" s="4">
        <f t="shared" si="2"/>
        <v>61.962949119754185</v>
      </c>
      <c r="E22" s="4">
        <f t="shared" si="3"/>
        <v>62.042188444557091</v>
      </c>
      <c r="F22" s="4">
        <f t="shared" si="4"/>
        <v>0.13544369962742309</v>
      </c>
      <c r="G22" s="4">
        <f t="shared" si="5"/>
        <v>0</v>
      </c>
      <c r="H22" s="4">
        <f t="shared" si="6"/>
        <v>13.492108185550904</v>
      </c>
      <c r="I22" s="5">
        <f>vals_co2_excLUC!$R22</f>
        <v>48.457757811021615</v>
      </c>
      <c r="J22" s="5">
        <f>vals_co2_excLUC!$X22</f>
        <v>48.335397234575858</v>
      </c>
      <c r="K22" s="5">
        <f>vals_co2_excLUC!$AD22</f>
        <v>48.470840934203281</v>
      </c>
      <c r="L22" s="5"/>
      <c r="M22" s="5">
        <f>vals_co2_excLUC!$S22</f>
        <v>61.962949119754185</v>
      </c>
      <c r="N22" s="5">
        <f>vals_co2_excLUC!$Y22</f>
        <v>62.042188444557091</v>
      </c>
      <c r="O22" s="5">
        <f>vals_co2_excLUC!$AE22</f>
        <v>61.979678823321663</v>
      </c>
      <c r="P22" s="5"/>
      <c r="Q22" s="9">
        <f t="shared" si="7"/>
        <v>7.9239324802905742E-2</v>
      </c>
      <c r="R22" s="9">
        <v>48.460999999999999</v>
      </c>
      <c r="S22" s="9">
        <v>61.966999999999999</v>
      </c>
    </row>
    <row r="23" spans="1:19" x14ac:dyDescent="0.35">
      <c r="A23" s="6">
        <f>vals_co2_excLUC!$A23</f>
        <v>1870</v>
      </c>
      <c r="B23" s="7">
        <f t="shared" si="0"/>
        <v>48.321749880091843</v>
      </c>
      <c r="C23" s="7">
        <f t="shared" si="1"/>
        <v>48.457423398458602</v>
      </c>
      <c r="D23" s="7">
        <f t="shared" si="2"/>
        <v>61.951993733318567</v>
      </c>
      <c r="E23" s="7">
        <f t="shared" si="3"/>
        <v>62.03108884653075</v>
      </c>
      <c r="F23" s="7">
        <f t="shared" si="4"/>
        <v>0.13567351836675812</v>
      </c>
      <c r="G23" s="7">
        <f t="shared" si="5"/>
        <v>0</v>
      </c>
      <c r="H23" s="7">
        <f t="shared" si="6"/>
        <v>13.494570334859965</v>
      </c>
      <c r="I23" s="8">
        <f>vals_co2_excLUC!$R23</f>
        <v>48.444340066966902</v>
      </c>
      <c r="J23" s="8">
        <f>vals_co2_excLUC!$X23</f>
        <v>48.321749880091843</v>
      </c>
      <c r="K23" s="8">
        <f>vals_co2_excLUC!$AD23</f>
        <v>48.457423398458602</v>
      </c>
      <c r="L23" s="8"/>
      <c r="M23" s="8">
        <f>vals_co2_excLUC!$S23</f>
        <v>61.951993733318567</v>
      </c>
      <c r="N23" s="8">
        <f>vals_co2_excLUC!$Y23</f>
        <v>62.03108884653075</v>
      </c>
      <c r="O23" s="8">
        <f>vals_co2_excLUC!$AE23</f>
        <v>61.968725378296817</v>
      </c>
      <c r="P23" s="8"/>
      <c r="Q23" s="9">
        <f t="shared" si="7"/>
        <v>7.9095113212183321E-2</v>
      </c>
      <c r="R23" s="9">
        <v>48.448</v>
      </c>
      <c r="S23" s="9">
        <v>61.956000000000003</v>
      </c>
    </row>
    <row r="24" spans="1:19" x14ac:dyDescent="0.35">
      <c r="A24" s="3">
        <f>vals_co2_excLUC!$A24</f>
        <v>1871</v>
      </c>
      <c r="B24" s="4">
        <f t="shared" si="0"/>
        <v>48.30786034641509</v>
      </c>
      <c r="C24" s="4">
        <f t="shared" si="1"/>
        <v>48.443783881820046</v>
      </c>
      <c r="D24" s="4">
        <f t="shared" si="2"/>
        <v>61.94079273309422</v>
      </c>
      <c r="E24" s="4">
        <f t="shared" si="3"/>
        <v>62.019731150356428</v>
      </c>
      <c r="F24" s="4">
        <f t="shared" si="4"/>
        <v>0.13592353540495594</v>
      </c>
      <c r="G24" s="4">
        <f t="shared" si="5"/>
        <v>0</v>
      </c>
      <c r="H24" s="4">
        <f t="shared" si="6"/>
        <v>13.497008851274174</v>
      </c>
      <c r="I24" s="5">
        <f>vals_co2_excLUC!$R24</f>
        <v>48.430700318641669</v>
      </c>
      <c r="J24" s="5">
        <f>vals_co2_excLUC!$X24</f>
        <v>48.30786034641509</v>
      </c>
      <c r="K24" s="5">
        <f>vals_co2_excLUC!$AD24</f>
        <v>48.443783881820046</v>
      </c>
      <c r="L24" s="5"/>
      <c r="M24" s="5">
        <f>vals_co2_excLUC!$S24</f>
        <v>61.94079273309422</v>
      </c>
      <c r="N24" s="5">
        <f>vals_co2_excLUC!$Y24</f>
        <v>62.019731150356428</v>
      </c>
      <c r="O24" s="5">
        <f>vals_co2_excLUC!$AE24</f>
        <v>61.957526360716685</v>
      </c>
      <c r="P24" s="5"/>
      <c r="Q24" s="9">
        <f t="shared" si="7"/>
        <v>7.8938417262207849E-2</v>
      </c>
      <c r="R24" s="9">
        <v>48.433999999999997</v>
      </c>
      <c r="S24" s="9">
        <v>61.945</v>
      </c>
    </row>
    <row r="25" spans="1:19" x14ac:dyDescent="0.35">
      <c r="A25" s="6">
        <f>vals_co2_excLUC!$A25</f>
        <v>1872</v>
      </c>
      <c r="B25" s="7">
        <f t="shared" si="0"/>
        <v>48.293247009330464</v>
      </c>
      <c r="C25" s="7">
        <f t="shared" si="1"/>
        <v>48.42944233602433</v>
      </c>
      <c r="D25" s="7">
        <f t="shared" si="2"/>
        <v>61.928885767788856</v>
      </c>
      <c r="E25" s="7">
        <f t="shared" si="3"/>
        <v>62.007656153049325</v>
      </c>
      <c r="F25" s="7">
        <f t="shared" si="4"/>
        <v>0.13619532669386558</v>
      </c>
      <c r="G25" s="7">
        <f t="shared" si="5"/>
        <v>0</v>
      </c>
      <c r="H25" s="7">
        <f t="shared" si="6"/>
        <v>13.499443431764526</v>
      </c>
      <c r="I25" s="8">
        <f>vals_co2_excLUC!$R25</f>
        <v>48.416358484821821</v>
      </c>
      <c r="J25" s="8">
        <f>vals_co2_excLUC!$X25</f>
        <v>48.293247009330464</v>
      </c>
      <c r="K25" s="8">
        <f>vals_co2_excLUC!$AD25</f>
        <v>48.42944233602433</v>
      </c>
      <c r="L25" s="8"/>
      <c r="M25" s="8">
        <f>vals_co2_excLUC!$S25</f>
        <v>61.928885767788856</v>
      </c>
      <c r="N25" s="8">
        <f>vals_co2_excLUC!$Y25</f>
        <v>62.007656153049325</v>
      </c>
      <c r="O25" s="8">
        <f>vals_co2_excLUC!$AE25</f>
        <v>61.945621503034445</v>
      </c>
      <c r="P25" s="8"/>
      <c r="Q25" s="9">
        <f t="shared" si="7"/>
        <v>7.8770385260469311E-2</v>
      </c>
      <c r="R25" s="9">
        <v>48.42</v>
      </c>
      <c r="S25" s="9">
        <v>61.933</v>
      </c>
    </row>
    <row r="26" spans="1:19" x14ac:dyDescent="0.35">
      <c r="A26" s="3">
        <f>vals_co2_excLUC!$A26</f>
        <v>1873</v>
      </c>
      <c r="B26" s="4">
        <f t="shared" si="0"/>
        <v>48.27700014284526</v>
      </c>
      <c r="C26" s="4">
        <f t="shared" si="1"/>
        <v>48.413518054829417</v>
      </c>
      <c r="D26" s="4">
        <f t="shared" si="2"/>
        <v>61.915714034740219</v>
      </c>
      <c r="E26" s="4">
        <f t="shared" si="3"/>
        <v>61.9942754610178</v>
      </c>
      <c r="F26" s="4">
        <f t="shared" si="4"/>
        <v>0.13651791198415708</v>
      </c>
      <c r="G26" s="4">
        <f t="shared" si="5"/>
        <v>0</v>
      </c>
      <c r="H26" s="4">
        <f t="shared" si="6"/>
        <v>13.502195979910802</v>
      </c>
      <c r="I26" s="5">
        <f>vals_co2_excLUC!$R26</f>
        <v>48.400433896001992</v>
      </c>
      <c r="J26" s="5">
        <f>vals_co2_excLUC!$X26</f>
        <v>48.27700014284526</v>
      </c>
      <c r="K26" s="5">
        <f>vals_co2_excLUC!$AD26</f>
        <v>48.413518054829417</v>
      </c>
      <c r="L26" s="5"/>
      <c r="M26" s="5">
        <f>vals_co2_excLUC!$S26</f>
        <v>61.915714034740219</v>
      </c>
      <c r="N26" s="5">
        <f>vals_co2_excLUC!$Y26</f>
        <v>61.9942754610178</v>
      </c>
      <c r="O26" s="5">
        <f>vals_co2_excLUC!$AE26</f>
        <v>61.932452109235101</v>
      </c>
      <c r="P26" s="5"/>
      <c r="Q26" s="9">
        <f t="shared" si="7"/>
        <v>7.8561426277580892E-2</v>
      </c>
      <c r="R26" s="9">
        <v>48.404000000000003</v>
      </c>
      <c r="S26" s="9">
        <v>61.92</v>
      </c>
    </row>
    <row r="27" spans="1:19" x14ac:dyDescent="0.35">
      <c r="A27" s="6">
        <f>vals_co2_excLUC!$A27</f>
        <v>1874</v>
      </c>
      <c r="B27" s="7">
        <f t="shared" si="0"/>
        <v>48.259720478424882</v>
      </c>
      <c r="C27" s="7">
        <f t="shared" si="1"/>
        <v>48.396579904963559</v>
      </c>
      <c r="D27" s="7">
        <f t="shared" si="2"/>
        <v>61.901707632651934</v>
      </c>
      <c r="E27" s="7">
        <f t="shared" si="3"/>
        <v>61.980047256642592</v>
      </c>
      <c r="F27" s="7">
        <f t="shared" si="4"/>
        <v>0.13685942653867755</v>
      </c>
      <c r="G27" s="7">
        <f t="shared" si="5"/>
        <v>0</v>
      </c>
      <c r="H27" s="7">
        <f t="shared" si="6"/>
        <v>13.505127727688375</v>
      </c>
      <c r="I27" s="8">
        <f>vals_co2_excLUC!$R27</f>
        <v>48.383495367678037</v>
      </c>
      <c r="J27" s="8">
        <f>vals_co2_excLUC!$X27</f>
        <v>48.259720478424882</v>
      </c>
      <c r="K27" s="8">
        <f>vals_co2_excLUC!$AD27</f>
        <v>48.396579904963559</v>
      </c>
      <c r="L27" s="8"/>
      <c r="M27" s="8">
        <f>vals_co2_excLUC!$S27</f>
        <v>61.901707632651934</v>
      </c>
      <c r="N27" s="8">
        <f>vals_co2_excLUC!$Y27</f>
        <v>61.980047256642592</v>
      </c>
      <c r="O27" s="8">
        <f>vals_co2_excLUC!$AE27</f>
        <v>61.91844819197825</v>
      </c>
      <c r="P27" s="8"/>
      <c r="Q27" s="9">
        <f t="shared" si="7"/>
        <v>7.8339623990657969E-2</v>
      </c>
      <c r="R27" s="9">
        <v>48.387</v>
      </c>
      <c r="S27" s="9">
        <v>61.905999999999999</v>
      </c>
    </row>
    <row r="28" spans="1:19" x14ac:dyDescent="0.35">
      <c r="A28" s="3">
        <f>vals_co2_excLUC!$A28</f>
        <v>1875</v>
      </c>
      <c r="B28" s="4">
        <f t="shared" si="0"/>
        <v>48.24388966645337</v>
      </c>
      <c r="C28" s="4">
        <f t="shared" si="1"/>
        <v>48.381056087901271</v>
      </c>
      <c r="D28" s="4">
        <f t="shared" si="2"/>
        <v>61.888614564976663</v>
      </c>
      <c r="E28" s="4">
        <f t="shared" si="3"/>
        <v>61.966744860368884</v>
      </c>
      <c r="F28" s="4">
        <f t="shared" si="4"/>
        <v>0.13716642144790114</v>
      </c>
      <c r="G28" s="4">
        <f t="shared" si="5"/>
        <v>0</v>
      </c>
      <c r="H28" s="4">
        <f t="shared" si="6"/>
        <v>13.507558477075392</v>
      </c>
      <c r="I28" s="5">
        <f>vals_co2_excLUC!$R28</f>
        <v>48.367971151032293</v>
      </c>
      <c r="J28" s="5">
        <f>vals_co2_excLUC!$X28</f>
        <v>48.24388966645337</v>
      </c>
      <c r="K28" s="5">
        <f>vals_co2_excLUC!$AD28</f>
        <v>48.381056087901271</v>
      </c>
      <c r="L28" s="5"/>
      <c r="M28" s="5">
        <f>vals_co2_excLUC!$S28</f>
        <v>61.888614564976663</v>
      </c>
      <c r="N28" s="5">
        <f>vals_co2_excLUC!$Y28</f>
        <v>61.966744860368884</v>
      </c>
      <c r="O28" s="5">
        <f>vals_co2_excLUC!$AE28</f>
        <v>61.905357466715373</v>
      </c>
      <c r="P28" s="5"/>
      <c r="Q28" s="9">
        <f t="shared" si="7"/>
        <v>7.8130295392220717E-2</v>
      </c>
      <c r="R28" s="9">
        <v>48.371000000000002</v>
      </c>
      <c r="S28" s="9">
        <v>61.893000000000001</v>
      </c>
    </row>
    <row r="29" spans="1:19" x14ac:dyDescent="0.35">
      <c r="A29" s="6">
        <f>vals_co2_excLUC!$A29</f>
        <v>1876</v>
      </c>
      <c r="B29" s="7">
        <f t="shared" si="0"/>
        <v>48.226527585633441</v>
      </c>
      <c r="C29" s="7">
        <f t="shared" si="1"/>
        <v>48.364051974143344</v>
      </c>
      <c r="D29" s="7">
        <f t="shared" si="2"/>
        <v>61.874374936291488</v>
      </c>
      <c r="E29" s="7">
        <f t="shared" si="3"/>
        <v>61.952270305901237</v>
      </c>
      <c r="F29" s="7">
        <f t="shared" si="4"/>
        <v>0.13752438850990245</v>
      </c>
      <c r="G29" s="7">
        <f t="shared" si="5"/>
        <v>0</v>
      </c>
      <c r="H29" s="7">
        <f t="shared" si="6"/>
        <v>13.510322962148145</v>
      </c>
      <c r="I29" s="8">
        <f>vals_co2_excLUC!$R29</f>
        <v>48.350966654592284</v>
      </c>
      <c r="J29" s="8">
        <f>vals_co2_excLUC!$X29</f>
        <v>48.226527585633441</v>
      </c>
      <c r="K29" s="8">
        <f>vals_co2_excLUC!$AD29</f>
        <v>48.364051974143344</v>
      </c>
      <c r="L29" s="8"/>
      <c r="M29" s="8">
        <f>vals_co2_excLUC!$S29</f>
        <v>61.874374936291488</v>
      </c>
      <c r="N29" s="8">
        <f>vals_co2_excLUC!$Y29</f>
        <v>61.952270305901237</v>
      </c>
      <c r="O29" s="8">
        <f>vals_co2_excLUC!$AE29</f>
        <v>61.891120362466687</v>
      </c>
      <c r="P29" s="8"/>
      <c r="Q29" s="9">
        <f t="shared" si="7"/>
        <v>7.7895369609748855E-2</v>
      </c>
      <c r="R29" s="9">
        <v>48.353999999999999</v>
      </c>
      <c r="S29" s="9">
        <v>61.878999999999998</v>
      </c>
    </row>
    <row r="30" spans="1:19" x14ac:dyDescent="0.35">
      <c r="A30" s="3">
        <f>vals_co2_excLUC!$A30</f>
        <v>1877</v>
      </c>
      <c r="B30" s="4">
        <f t="shared" si="0"/>
        <v>48.209386816578267</v>
      </c>
      <c r="C30" s="4">
        <f t="shared" si="1"/>
        <v>48.347266528784274</v>
      </c>
      <c r="D30" s="4">
        <f t="shared" si="2"/>
        <v>61.859926912424626</v>
      </c>
      <c r="E30" s="4">
        <f t="shared" si="3"/>
        <v>61.937575616679972</v>
      </c>
      <c r="F30" s="4">
        <f t="shared" si="4"/>
        <v>0.13787971220600781</v>
      </c>
      <c r="G30" s="4">
        <f t="shared" si="5"/>
        <v>0</v>
      </c>
      <c r="H30" s="4">
        <f t="shared" si="6"/>
        <v>13.512660383640352</v>
      </c>
      <c r="I30" s="5">
        <f>vals_co2_excLUC!$R30</f>
        <v>48.334180697281262</v>
      </c>
      <c r="J30" s="5">
        <f>vals_co2_excLUC!$X30</f>
        <v>48.209386816578267</v>
      </c>
      <c r="K30" s="5">
        <f>vals_co2_excLUC!$AD30</f>
        <v>48.347266528784274</v>
      </c>
      <c r="L30" s="5"/>
      <c r="M30" s="5">
        <f>vals_co2_excLUC!$S30</f>
        <v>61.859926912424626</v>
      </c>
      <c r="N30" s="5">
        <f>vals_co2_excLUC!$Y30</f>
        <v>61.937575616679972</v>
      </c>
      <c r="O30" s="5">
        <f>vals_co2_excLUC!$AE30</f>
        <v>61.876674897889231</v>
      </c>
      <c r="P30" s="5"/>
      <c r="Q30" s="9">
        <f t="shared" si="7"/>
        <v>7.7648704255345535E-2</v>
      </c>
      <c r="R30" s="9">
        <v>48.337000000000003</v>
      </c>
      <c r="S30" s="9">
        <v>61.863999999999997</v>
      </c>
    </row>
    <row r="31" spans="1:19" x14ac:dyDescent="0.35">
      <c r="A31" s="6">
        <f>vals_co2_excLUC!$A31</f>
        <v>1878</v>
      </c>
      <c r="B31" s="7">
        <f t="shared" si="0"/>
        <v>48.191827895504687</v>
      </c>
      <c r="C31" s="7">
        <f t="shared" si="1"/>
        <v>48.330061190245047</v>
      </c>
      <c r="D31" s="7">
        <f t="shared" si="2"/>
        <v>61.845172166500141</v>
      </c>
      <c r="E31" s="7">
        <f t="shared" si="3"/>
        <v>61.922578736203825</v>
      </c>
      <c r="F31" s="7">
        <f t="shared" si="4"/>
        <v>0.13823329474035972</v>
      </c>
      <c r="G31" s="7">
        <f t="shared" si="5"/>
        <v>0</v>
      </c>
      <c r="H31" s="7">
        <f t="shared" si="6"/>
        <v>13.515110976255094</v>
      </c>
      <c r="I31" s="8">
        <f>vals_co2_excLUC!$R31</f>
        <v>48.31697486157924</v>
      </c>
      <c r="J31" s="8">
        <f>vals_co2_excLUC!$X31</f>
        <v>48.191827895504687</v>
      </c>
      <c r="K31" s="8">
        <f>vals_co2_excLUC!$AD31</f>
        <v>48.330061190245047</v>
      </c>
      <c r="L31" s="8"/>
      <c r="M31" s="8">
        <f>vals_co2_excLUC!$S31</f>
        <v>61.845172166500141</v>
      </c>
      <c r="N31" s="8">
        <f>vals_co2_excLUC!$Y31</f>
        <v>61.922578736203825</v>
      </c>
      <c r="O31" s="8">
        <f>vals_co2_excLUC!$AE31</f>
        <v>61.861922756286184</v>
      </c>
      <c r="P31" s="8"/>
      <c r="Q31" s="9">
        <f t="shared" si="7"/>
        <v>7.7406569703683203E-2</v>
      </c>
      <c r="R31" s="9">
        <v>48.32</v>
      </c>
      <c r="S31" s="9">
        <v>61.848999999999997</v>
      </c>
    </row>
    <row r="32" spans="1:19" x14ac:dyDescent="0.35">
      <c r="A32" s="3">
        <f>vals_co2_excLUC!$A32</f>
        <v>1879</v>
      </c>
      <c r="B32" s="4">
        <f t="shared" si="0"/>
        <v>48.174431181906677</v>
      </c>
      <c r="C32" s="4">
        <f t="shared" si="1"/>
        <v>48.313040823216049</v>
      </c>
      <c r="D32" s="4">
        <f t="shared" si="2"/>
        <v>61.830408722556442</v>
      </c>
      <c r="E32" s="4">
        <f t="shared" si="3"/>
        <v>61.907527461086367</v>
      </c>
      <c r="F32" s="4">
        <f t="shared" si="4"/>
        <v>0.13860964130937248</v>
      </c>
      <c r="G32" s="4">
        <f t="shared" si="5"/>
        <v>0</v>
      </c>
      <c r="H32" s="4">
        <f t="shared" si="6"/>
        <v>13.517367899340393</v>
      </c>
      <c r="I32" s="5">
        <f>vals_co2_excLUC!$R32</f>
        <v>48.299953905743344</v>
      </c>
      <c r="J32" s="5">
        <f>vals_co2_excLUC!$X32</f>
        <v>48.174431181906677</v>
      </c>
      <c r="K32" s="5">
        <f>vals_co2_excLUC!$AD32</f>
        <v>48.313040823216049</v>
      </c>
      <c r="L32" s="5"/>
      <c r="M32" s="5">
        <f>vals_co2_excLUC!$S32</f>
        <v>61.830408722556442</v>
      </c>
      <c r="N32" s="5">
        <f>vals_co2_excLUC!$Y32</f>
        <v>61.907527461086367</v>
      </c>
      <c r="O32" s="5">
        <f>vals_co2_excLUC!$AE32</f>
        <v>61.847161969050092</v>
      </c>
      <c r="P32" s="5"/>
      <c r="Q32" s="9">
        <f t="shared" si="7"/>
        <v>7.7118738529925679E-2</v>
      </c>
      <c r="R32" s="9">
        <v>48.302999999999997</v>
      </c>
      <c r="S32" s="9">
        <v>61.835000000000001</v>
      </c>
    </row>
    <row r="33" spans="1:19" x14ac:dyDescent="0.35">
      <c r="A33" s="6">
        <f>vals_co2_excLUC!$A33</f>
        <v>1880</v>
      </c>
      <c r="B33" s="7">
        <f t="shared" si="0"/>
        <v>48.155720621742759</v>
      </c>
      <c r="C33" s="7">
        <f t="shared" si="1"/>
        <v>48.294758543875361</v>
      </c>
      <c r="D33" s="7">
        <f t="shared" si="2"/>
        <v>61.814565997271274</v>
      </c>
      <c r="E33" s="7">
        <f t="shared" si="3"/>
        <v>61.891358673584222</v>
      </c>
      <c r="F33" s="7">
        <f t="shared" si="4"/>
        <v>0.13903792213260147</v>
      </c>
      <c r="G33" s="7">
        <f t="shared" si="5"/>
        <v>0</v>
      </c>
      <c r="H33" s="7">
        <f t="shared" si="6"/>
        <v>13.519807453395913</v>
      </c>
      <c r="I33" s="8">
        <f>vals_co2_excLUC!$R33</f>
        <v>48.281671011512913</v>
      </c>
      <c r="J33" s="8">
        <f>vals_co2_excLUC!$X33</f>
        <v>48.155720621742759</v>
      </c>
      <c r="K33" s="8">
        <f>vals_co2_excLUC!$AD33</f>
        <v>48.294758543875361</v>
      </c>
      <c r="L33" s="8"/>
      <c r="M33" s="8">
        <f>vals_co2_excLUC!$S33</f>
        <v>61.814565997271274</v>
      </c>
      <c r="N33" s="8">
        <f>vals_co2_excLUC!$Y33</f>
        <v>61.891358673584222</v>
      </c>
      <c r="O33" s="8">
        <f>vals_co2_excLUC!$AE33</f>
        <v>61.83132208077329</v>
      </c>
      <c r="P33" s="8"/>
      <c r="Q33" s="9">
        <f t="shared" si="7"/>
        <v>7.6792676312948061E-2</v>
      </c>
      <c r="R33" s="9">
        <v>48.284999999999997</v>
      </c>
      <c r="S33" s="9">
        <v>61.819000000000003</v>
      </c>
    </row>
    <row r="34" spans="1:19" x14ac:dyDescent="0.35">
      <c r="A34" s="3">
        <f>vals_co2_excLUC!$A34</f>
        <v>1881</v>
      </c>
      <c r="B34" s="4">
        <f t="shared" si="0"/>
        <v>48.134211574835298</v>
      </c>
      <c r="C34" s="4">
        <f t="shared" si="1"/>
        <v>48.273835605135567</v>
      </c>
      <c r="D34" s="4">
        <f t="shared" si="2"/>
        <v>61.796648932434437</v>
      </c>
      <c r="E34" s="4">
        <f t="shared" si="3"/>
        <v>61.873001207761455</v>
      </c>
      <c r="F34" s="4">
        <f t="shared" si="4"/>
        <v>0.13962403030026849</v>
      </c>
      <c r="G34" s="4">
        <f t="shared" si="5"/>
        <v>0</v>
      </c>
      <c r="H34" s="4">
        <f t="shared" si="6"/>
        <v>13.52281332729887</v>
      </c>
      <c r="I34" s="5">
        <f>vals_co2_excLUC!$R34</f>
        <v>48.260747451380617</v>
      </c>
      <c r="J34" s="5">
        <f>vals_co2_excLUC!$X34</f>
        <v>48.134211574835298</v>
      </c>
      <c r="K34" s="5">
        <f>vals_co2_excLUC!$AD34</f>
        <v>48.273835605135567</v>
      </c>
      <c r="L34" s="5"/>
      <c r="M34" s="5">
        <f>vals_co2_excLUC!$S34</f>
        <v>61.796648932434437</v>
      </c>
      <c r="N34" s="5">
        <f>vals_co2_excLUC!$Y34</f>
        <v>61.873001207761455</v>
      </c>
      <c r="O34" s="5">
        <f>vals_co2_excLUC!$AE34</f>
        <v>61.813408217457031</v>
      </c>
      <c r="P34" s="5"/>
      <c r="Q34" s="9">
        <f t="shared" si="7"/>
        <v>7.6352275327018049E-2</v>
      </c>
      <c r="R34" s="9">
        <v>48.264000000000003</v>
      </c>
      <c r="S34" s="9">
        <v>61.801000000000002</v>
      </c>
    </row>
    <row r="35" spans="1:19" x14ac:dyDescent="0.35">
      <c r="A35" s="6">
        <f>vals_co2_excLUC!$A35</f>
        <v>1882</v>
      </c>
      <c r="B35" s="7">
        <f t="shared" ref="B35:B66" si="8">IFERROR(_xlfn.AGGREGATE(5,6,I35:L35),"")</f>
        <v>48.112032569583839</v>
      </c>
      <c r="C35" s="7">
        <f t="shared" ref="C35:C66" si="9">IFERROR(_xlfn.AGGREGATE(4,6,I35:L35),"")</f>
        <v>48.252152991186456</v>
      </c>
      <c r="D35" s="7">
        <f t="shared" ref="D35:D66" si="10">IFERROR(_xlfn.AGGREGATE(5,6,M35:P35),"")</f>
        <v>61.778091915419765</v>
      </c>
      <c r="E35" s="7">
        <f t="shared" ref="E35:E66" si="11">IFERROR(_xlfn.AGGREGATE(4,6,M35:P35),"")</f>
        <v>61.854065485760444</v>
      </c>
      <c r="F35" s="7">
        <f t="shared" ref="F35:F66" si="12">IFERROR(MIN(C35,D35)-B35,"")</f>
        <v>0.14012042160261728</v>
      </c>
      <c r="G35" s="7">
        <f t="shared" ref="G35:G66" si="13">IFERROR(MAX(0,C35-D35),"")</f>
        <v>0</v>
      </c>
      <c r="H35" s="7">
        <f t="shared" ref="H35:H66" si="14">IFERROR(MAX(0,D35-C35),"")</f>
        <v>13.525938924233309</v>
      </c>
      <c r="I35" s="8">
        <f>vals_co2_excLUC!$R35</f>
        <v>48.239064201775165</v>
      </c>
      <c r="J35" s="8">
        <f>vals_co2_excLUC!$X35</f>
        <v>48.112032569583839</v>
      </c>
      <c r="K35" s="8">
        <f>vals_co2_excLUC!$AD35</f>
        <v>48.252152991186456</v>
      </c>
      <c r="L35" s="8"/>
      <c r="M35" s="8">
        <f>vals_co2_excLUC!$S35</f>
        <v>61.778091915419765</v>
      </c>
      <c r="N35" s="8">
        <f>vals_co2_excLUC!$Y35</f>
        <v>61.854065485760444</v>
      </c>
      <c r="O35" s="8">
        <f>vals_co2_excLUC!$AE35</f>
        <v>61.794854512890176</v>
      </c>
      <c r="P35" s="8"/>
      <c r="Q35" s="9">
        <f t="shared" ref="Q35:Q66" si="15">IFERROR(MAX(0,$E35-MAX($C35,$D35)),"")</f>
        <v>7.5973570340678975E-2</v>
      </c>
      <c r="R35" s="9">
        <v>48.241999999999997</v>
      </c>
      <c r="S35" s="9">
        <v>61.781999999999996</v>
      </c>
    </row>
    <row r="36" spans="1:19" x14ac:dyDescent="0.35">
      <c r="A36" s="3">
        <f>vals_co2_excLUC!$A36</f>
        <v>1883</v>
      </c>
      <c r="B36" s="4">
        <f t="shared" si="8"/>
        <v>48.088490225912665</v>
      </c>
      <c r="C36" s="4">
        <f t="shared" si="9"/>
        <v>48.229161416862766</v>
      </c>
      <c r="D36" s="4">
        <f t="shared" si="10"/>
        <v>61.758476370515538</v>
      </c>
      <c r="E36" s="4">
        <f t="shared" si="11"/>
        <v>61.834032925860946</v>
      </c>
      <c r="F36" s="4">
        <f t="shared" si="12"/>
        <v>0.14067119095010128</v>
      </c>
      <c r="G36" s="4">
        <f t="shared" si="13"/>
        <v>0</v>
      </c>
      <c r="H36" s="4">
        <f t="shared" si="14"/>
        <v>13.529314953652772</v>
      </c>
      <c r="I36" s="5">
        <f>vals_co2_excLUC!$R36</f>
        <v>48.216071979398173</v>
      </c>
      <c r="J36" s="5">
        <f>vals_co2_excLUC!$X36</f>
        <v>48.088490225912665</v>
      </c>
      <c r="K36" s="5">
        <f>vals_co2_excLUC!$AD36</f>
        <v>48.229161416862766</v>
      </c>
      <c r="L36" s="5"/>
      <c r="M36" s="5">
        <f>vals_co2_excLUC!$S36</f>
        <v>61.758476370515538</v>
      </c>
      <c r="N36" s="5">
        <f>vals_co2_excLUC!$Y36</f>
        <v>61.834032925860946</v>
      </c>
      <c r="O36" s="5">
        <f>vals_co2_excLUC!$AE36</f>
        <v>61.775242466602364</v>
      </c>
      <c r="P36" s="5"/>
      <c r="Q36" s="9">
        <f t="shared" si="15"/>
        <v>7.5556555345407617E-2</v>
      </c>
      <c r="R36" s="9">
        <v>48.219000000000001</v>
      </c>
      <c r="S36" s="9">
        <v>61.762999999999998</v>
      </c>
    </row>
    <row r="37" spans="1:19" x14ac:dyDescent="0.35">
      <c r="A37" s="6">
        <f>vals_co2_excLUC!$A37</f>
        <v>1884</v>
      </c>
      <c r="B37" s="7">
        <f t="shared" si="8"/>
        <v>48.063572844200415</v>
      </c>
      <c r="C37" s="7">
        <f t="shared" si="9"/>
        <v>48.20483133588408</v>
      </c>
      <c r="D37" s="7">
        <f t="shared" si="10"/>
        <v>61.737601709547263</v>
      </c>
      <c r="E37" s="7">
        <f t="shared" si="11"/>
        <v>61.812714723024023</v>
      </c>
      <c r="F37" s="7">
        <f t="shared" si="12"/>
        <v>0.141258491683665</v>
      </c>
      <c r="G37" s="7">
        <f t="shared" si="13"/>
        <v>0</v>
      </c>
      <c r="H37" s="7">
        <f t="shared" si="14"/>
        <v>13.532770373663183</v>
      </c>
      <c r="I37" s="8">
        <f>vals_co2_excLUC!$R37</f>
        <v>48.191741174513915</v>
      </c>
      <c r="J37" s="8">
        <f>vals_co2_excLUC!$X37</f>
        <v>48.063572844200415</v>
      </c>
      <c r="K37" s="8">
        <f>vals_co2_excLUC!$AD37</f>
        <v>48.20483133588408</v>
      </c>
      <c r="L37" s="8"/>
      <c r="M37" s="8">
        <f>vals_co2_excLUC!$S37</f>
        <v>61.737601709547263</v>
      </c>
      <c r="N37" s="8">
        <f>vals_co2_excLUC!$Y37</f>
        <v>61.812714723024023</v>
      </c>
      <c r="O37" s="8">
        <f>vals_co2_excLUC!$AE37</f>
        <v>61.754371528024109</v>
      </c>
      <c r="P37" s="8"/>
      <c r="Q37" s="9">
        <f t="shared" si="15"/>
        <v>7.5113013476759249E-2</v>
      </c>
      <c r="R37" s="9">
        <v>48.195</v>
      </c>
      <c r="S37" s="9">
        <v>61.741999999999997</v>
      </c>
    </row>
    <row r="38" spans="1:19" x14ac:dyDescent="0.35">
      <c r="A38" s="3">
        <f>vals_co2_excLUC!$A38</f>
        <v>1885</v>
      </c>
      <c r="B38" s="4">
        <f t="shared" si="8"/>
        <v>48.038447055964156</v>
      </c>
      <c r="C38" s="4">
        <f t="shared" si="9"/>
        <v>48.180324896870339</v>
      </c>
      <c r="D38" s="4">
        <f t="shared" si="10"/>
        <v>61.716497649178351</v>
      </c>
      <c r="E38" s="4">
        <f t="shared" si="11"/>
        <v>61.791136025826354</v>
      </c>
      <c r="F38" s="4">
        <f t="shared" si="12"/>
        <v>0.14187784090618294</v>
      </c>
      <c r="G38" s="4">
        <f t="shared" si="13"/>
        <v>0</v>
      </c>
      <c r="H38" s="4">
        <f t="shared" si="14"/>
        <v>13.536172752308012</v>
      </c>
      <c r="I38" s="5">
        <f>vals_co2_excLUC!$R38</f>
        <v>48.167233971225485</v>
      </c>
      <c r="J38" s="5">
        <f>vals_co2_excLUC!$X38</f>
        <v>48.038447055964156</v>
      </c>
      <c r="K38" s="5">
        <f>vals_co2_excLUC!$AD38</f>
        <v>48.180324896870339</v>
      </c>
      <c r="L38" s="5"/>
      <c r="M38" s="5">
        <f>vals_co2_excLUC!$S38</f>
        <v>61.716497649178351</v>
      </c>
      <c r="N38" s="5">
        <f>vals_co2_excLUC!$Y38</f>
        <v>61.791136025826354</v>
      </c>
      <c r="O38" s="5">
        <f>vals_co2_excLUC!$AE38</f>
        <v>61.733271243985918</v>
      </c>
      <c r="P38" s="5"/>
      <c r="Q38" s="9">
        <f t="shared" si="15"/>
        <v>7.4638376648003657E-2</v>
      </c>
      <c r="R38" s="9">
        <v>48.170999999999999</v>
      </c>
      <c r="S38" s="9">
        <v>61.720999999999997</v>
      </c>
    </row>
    <row r="39" spans="1:19" x14ac:dyDescent="0.35">
      <c r="A39" s="6">
        <f>vals_co2_excLUC!$A39</f>
        <v>1886</v>
      </c>
      <c r="B39" s="7">
        <f t="shared" si="8"/>
        <v>48.013262351726546</v>
      </c>
      <c r="C39" s="7">
        <f t="shared" si="9"/>
        <v>48.155804355297036</v>
      </c>
      <c r="D39" s="7">
        <f t="shared" si="10"/>
        <v>61.695214568749257</v>
      </c>
      <c r="E39" s="7">
        <f t="shared" si="11"/>
        <v>61.769338501598789</v>
      </c>
      <c r="F39" s="7">
        <f t="shared" si="12"/>
        <v>0.14254200357049029</v>
      </c>
      <c r="G39" s="7">
        <f t="shared" si="13"/>
        <v>0</v>
      </c>
      <c r="H39" s="7">
        <f t="shared" si="14"/>
        <v>13.539410213452221</v>
      </c>
      <c r="I39" s="8">
        <f>vals_co2_excLUC!$R39</f>
        <v>48.142712611503057</v>
      </c>
      <c r="J39" s="8">
        <f>vals_co2_excLUC!$X39</f>
        <v>48.013262351726546</v>
      </c>
      <c r="K39" s="8">
        <f>vals_co2_excLUC!$AD39</f>
        <v>48.155804355297036</v>
      </c>
      <c r="L39" s="8"/>
      <c r="M39" s="8">
        <f>vals_co2_excLUC!$S39</f>
        <v>61.695214568749257</v>
      </c>
      <c r="N39" s="8">
        <f>vals_co2_excLUC!$Y39</f>
        <v>61.769338501598789</v>
      </c>
      <c r="O39" s="8">
        <f>vals_co2_excLUC!$AE39</f>
        <v>61.711991968355086</v>
      </c>
      <c r="P39" s="8"/>
      <c r="Q39" s="9">
        <f t="shared" si="15"/>
        <v>7.4123932849531116E-2</v>
      </c>
      <c r="R39" s="9">
        <v>48.146000000000001</v>
      </c>
      <c r="S39" s="9">
        <v>61.698999999999998</v>
      </c>
    </row>
    <row r="40" spans="1:19" x14ac:dyDescent="0.35">
      <c r="A40" s="3">
        <f>vals_co2_excLUC!$A40</f>
        <v>1887</v>
      </c>
      <c r="B40" s="4">
        <f t="shared" si="8"/>
        <v>47.987748424494619</v>
      </c>
      <c r="C40" s="4">
        <f t="shared" si="9"/>
        <v>48.130934825877155</v>
      </c>
      <c r="D40" s="4">
        <f t="shared" si="10"/>
        <v>61.673576845058307</v>
      </c>
      <c r="E40" s="4">
        <f t="shared" si="11"/>
        <v>61.747202868624285</v>
      </c>
      <c r="F40" s="4">
        <f t="shared" si="12"/>
        <v>0.14318640138253613</v>
      </c>
      <c r="G40" s="4">
        <f t="shared" si="13"/>
        <v>0</v>
      </c>
      <c r="H40" s="4">
        <f t="shared" si="14"/>
        <v>13.542642019181152</v>
      </c>
      <c r="I40" s="5">
        <f>vals_co2_excLUC!$R40</f>
        <v>48.117842243850355</v>
      </c>
      <c r="J40" s="5">
        <f>vals_co2_excLUC!$X40</f>
        <v>47.987748424494619</v>
      </c>
      <c r="K40" s="5">
        <f>vals_co2_excLUC!$AD40</f>
        <v>48.130934825877155</v>
      </c>
      <c r="L40" s="5"/>
      <c r="M40" s="5">
        <f>vals_co2_excLUC!$S40</f>
        <v>61.673576845058307</v>
      </c>
      <c r="N40" s="5">
        <f>vals_co2_excLUC!$Y40</f>
        <v>61.747202868624285</v>
      </c>
      <c r="O40" s="5">
        <f>vals_co2_excLUC!$AE40</f>
        <v>61.690358103579776</v>
      </c>
      <c r="P40" s="5"/>
      <c r="Q40" s="9">
        <f t="shared" si="15"/>
        <v>7.3626023565978471E-2</v>
      </c>
      <c r="R40" s="9">
        <v>48.121000000000002</v>
      </c>
      <c r="S40" s="9">
        <v>61.677999999999997</v>
      </c>
    </row>
    <row r="41" spans="1:19" x14ac:dyDescent="0.35">
      <c r="A41" s="6">
        <f>vals_co2_excLUC!$A41</f>
        <v>1888</v>
      </c>
      <c r="B41" s="7">
        <f t="shared" si="8"/>
        <v>47.960931987773684</v>
      </c>
      <c r="C41" s="7">
        <f t="shared" si="9"/>
        <v>48.104768437481056</v>
      </c>
      <c r="D41" s="7">
        <f t="shared" si="10"/>
        <v>61.650881945363288</v>
      </c>
      <c r="E41" s="7">
        <f t="shared" si="11"/>
        <v>61.724010217556035</v>
      </c>
      <c r="F41" s="7">
        <f t="shared" si="12"/>
        <v>0.14383644970737208</v>
      </c>
      <c r="G41" s="7">
        <f t="shared" si="13"/>
        <v>0</v>
      </c>
      <c r="H41" s="7">
        <f t="shared" si="14"/>
        <v>13.546113507882232</v>
      </c>
      <c r="I41" s="8">
        <f>vals_co2_excLUC!$R41</f>
        <v>48.091674991394065</v>
      </c>
      <c r="J41" s="8">
        <f>vals_co2_excLUC!$X41</f>
        <v>47.960931987773684</v>
      </c>
      <c r="K41" s="8">
        <f>vals_co2_excLUC!$AD41</f>
        <v>48.104768437481056</v>
      </c>
      <c r="L41" s="8"/>
      <c r="M41" s="8">
        <f>vals_co2_excLUC!$S41</f>
        <v>61.650881945363288</v>
      </c>
      <c r="N41" s="8">
        <f>vals_co2_excLUC!$Y41</f>
        <v>61.724010217556035</v>
      </c>
      <c r="O41" s="8">
        <f>vals_co2_excLUC!$AE41</f>
        <v>61.66766726396461</v>
      </c>
      <c r="P41" s="8"/>
      <c r="Q41" s="9">
        <f t="shared" si="15"/>
        <v>7.312827219274709E-2</v>
      </c>
      <c r="R41" s="9">
        <v>48.094999999999999</v>
      </c>
      <c r="S41" s="9">
        <v>61.655000000000001</v>
      </c>
    </row>
    <row r="42" spans="1:19" x14ac:dyDescent="0.35">
      <c r="A42" s="3">
        <f>vals_co2_excLUC!$A42</f>
        <v>1889</v>
      </c>
      <c r="B42" s="4">
        <f t="shared" si="8"/>
        <v>47.931056959052086</v>
      </c>
      <c r="C42" s="4">
        <f t="shared" si="9"/>
        <v>48.07564929204203</v>
      </c>
      <c r="D42" s="4">
        <f t="shared" si="10"/>
        <v>61.625730831812916</v>
      </c>
      <c r="E42" s="4">
        <f t="shared" si="11"/>
        <v>61.698270537461951</v>
      </c>
      <c r="F42" s="4">
        <f t="shared" si="12"/>
        <v>0.14459233298994434</v>
      </c>
      <c r="G42" s="4">
        <f t="shared" si="13"/>
        <v>0</v>
      </c>
      <c r="H42" s="4">
        <f t="shared" si="14"/>
        <v>13.550081539770886</v>
      </c>
      <c r="I42" s="5">
        <f>vals_co2_excLUC!$R42</f>
        <v>48.062554922206161</v>
      </c>
      <c r="J42" s="5">
        <f>vals_co2_excLUC!$X42</f>
        <v>47.931056959052086</v>
      </c>
      <c r="K42" s="5">
        <f>vals_co2_excLUC!$AD42</f>
        <v>48.07564929204203</v>
      </c>
      <c r="L42" s="5"/>
      <c r="M42" s="5">
        <f>vals_co2_excLUC!$S42</f>
        <v>61.625730831812916</v>
      </c>
      <c r="N42" s="5">
        <f>vals_co2_excLUC!$Y42</f>
        <v>61.698270537461951</v>
      </c>
      <c r="O42" s="5">
        <f>vals_co2_excLUC!$AE42</f>
        <v>61.642520652944199</v>
      </c>
      <c r="P42" s="5"/>
      <c r="Q42" s="9">
        <f t="shared" si="15"/>
        <v>7.2539705649035113E-2</v>
      </c>
      <c r="R42" s="9">
        <v>48.066000000000003</v>
      </c>
      <c r="S42" s="9">
        <v>61.63</v>
      </c>
    </row>
    <row r="43" spans="1:19" x14ac:dyDescent="0.35">
      <c r="A43" s="6">
        <f>vals_co2_excLUC!$A43</f>
        <v>1890</v>
      </c>
      <c r="B43" s="7">
        <f t="shared" si="8"/>
        <v>47.901577951085152</v>
      </c>
      <c r="C43" s="7">
        <f t="shared" si="9"/>
        <v>48.046977554381236</v>
      </c>
      <c r="D43" s="7">
        <f t="shared" si="10"/>
        <v>61.60065452896508</v>
      </c>
      <c r="E43" s="7">
        <f t="shared" si="11"/>
        <v>61.672559758896739</v>
      </c>
      <c r="F43" s="7">
        <f t="shared" si="12"/>
        <v>0.14539960329608448</v>
      </c>
      <c r="G43" s="7">
        <f t="shared" si="13"/>
        <v>0</v>
      </c>
      <c r="H43" s="7">
        <f t="shared" si="14"/>
        <v>13.553676974583844</v>
      </c>
      <c r="I43" s="8">
        <f>vals_co2_excLUC!$R43</f>
        <v>48.033882132018277</v>
      </c>
      <c r="J43" s="8">
        <f>vals_co2_excLUC!$X43</f>
        <v>47.901577951085152</v>
      </c>
      <c r="K43" s="8">
        <f>vals_co2_excLUC!$AD43</f>
        <v>48.046977554381236</v>
      </c>
      <c r="L43" s="8"/>
      <c r="M43" s="8">
        <f>vals_co2_excLUC!$S43</f>
        <v>61.60065452896508</v>
      </c>
      <c r="N43" s="8">
        <f>vals_co2_excLUC!$Y43</f>
        <v>61.672559758896739</v>
      </c>
      <c r="O43" s="8">
        <f>vals_co2_excLUC!$AE43</f>
        <v>61.617448886281501</v>
      </c>
      <c r="P43" s="8"/>
      <c r="Q43" s="9">
        <f t="shared" si="15"/>
        <v>7.190522993165871E-2</v>
      </c>
      <c r="R43" s="9">
        <v>48.036999999999999</v>
      </c>
      <c r="S43" s="9">
        <v>61.604999999999997</v>
      </c>
    </row>
    <row r="44" spans="1:19" x14ac:dyDescent="0.35">
      <c r="A44" s="3">
        <f>vals_co2_excLUC!$A44</f>
        <v>1891</v>
      </c>
      <c r="B44" s="4">
        <f t="shared" si="8"/>
        <v>47.869334554917984</v>
      </c>
      <c r="C44" s="4">
        <f t="shared" si="9"/>
        <v>48.015580973834751</v>
      </c>
      <c r="D44" s="4">
        <f t="shared" si="10"/>
        <v>61.573269314918512</v>
      </c>
      <c r="E44" s="4">
        <f t="shared" si="11"/>
        <v>61.644523898721793</v>
      </c>
      <c r="F44" s="4">
        <f t="shared" si="12"/>
        <v>0.1462464189167676</v>
      </c>
      <c r="G44" s="4">
        <f t="shared" si="13"/>
        <v>0</v>
      </c>
      <c r="H44" s="4">
        <f t="shared" si="14"/>
        <v>13.557688341083761</v>
      </c>
      <c r="I44" s="5">
        <f>vals_co2_excLUC!$R44</f>
        <v>48.002484464358972</v>
      </c>
      <c r="J44" s="5">
        <f>vals_co2_excLUC!$X44</f>
        <v>47.869334554917984</v>
      </c>
      <c r="K44" s="5">
        <f>vals_co2_excLUC!$AD44</f>
        <v>48.015580973834751</v>
      </c>
      <c r="L44" s="5"/>
      <c r="M44" s="5">
        <f>vals_co2_excLUC!$S44</f>
        <v>61.573269314918512</v>
      </c>
      <c r="N44" s="5">
        <f>vals_co2_excLUC!$Y44</f>
        <v>61.644523898721793</v>
      </c>
      <c r="O44" s="5">
        <f>vals_co2_excLUC!$AE44</f>
        <v>61.590068580761802</v>
      </c>
      <c r="P44" s="5"/>
      <c r="Q44" s="9">
        <f t="shared" si="15"/>
        <v>7.125458380328098E-2</v>
      </c>
      <c r="R44" s="9">
        <v>48.006</v>
      </c>
      <c r="S44" s="9">
        <v>61.576999999999998</v>
      </c>
    </row>
    <row r="45" spans="1:19" x14ac:dyDescent="0.35">
      <c r="A45" s="6">
        <f>vals_co2_excLUC!$A45</f>
        <v>1892</v>
      </c>
      <c r="B45" s="7">
        <f t="shared" si="8"/>
        <v>47.83569097985032</v>
      </c>
      <c r="C45" s="7">
        <f t="shared" si="9"/>
        <v>47.982846610068187</v>
      </c>
      <c r="D45" s="7">
        <f t="shared" si="10"/>
        <v>61.544593440968129</v>
      </c>
      <c r="E45" s="7">
        <f t="shared" si="11"/>
        <v>61.615141199389733</v>
      </c>
      <c r="F45" s="7">
        <f t="shared" si="12"/>
        <v>0.14715563021786693</v>
      </c>
      <c r="G45" s="7">
        <f t="shared" si="13"/>
        <v>0</v>
      </c>
      <c r="H45" s="7">
        <f t="shared" si="14"/>
        <v>13.561746830899942</v>
      </c>
      <c r="I45" s="8">
        <f>vals_co2_excLUC!$R45</f>
        <v>47.96974891636394</v>
      </c>
      <c r="J45" s="8">
        <f>vals_co2_excLUC!$X45</f>
        <v>47.83569097985032</v>
      </c>
      <c r="K45" s="8">
        <f>vals_co2_excLUC!$AD45</f>
        <v>47.982846610068187</v>
      </c>
      <c r="L45" s="8"/>
      <c r="M45" s="8">
        <f>vals_co2_excLUC!$S45</f>
        <v>61.544593440968129</v>
      </c>
      <c r="N45" s="8">
        <f>vals_co2_excLUC!$Y45</f>
        <v>61.615141199389733</v>
      </c>
      <c r="O45" s="8">
        <f>vals_co2_excLUC!$AE45</f>
        <v>61.561397861392834</v>
      </c>
      <c r="P45" s="8"/>
      <c r="Q45" s="9">
        <f t="shared" si="15"/>
        <v>7.0547758421604101E-2</v>
      </c>
      <c r="R45" s="9">
        <v>47.972999999999999</v>
      </c>
      <c r="S45" s="9">
        <v>61.548999999999999</v>
      </c>
    </row>
    <row r="46" spans="1:19" x14ac:dyDescent="0.35">
      <c r="A46" s="3">
        <f>vals_co2_excLUC!$A46</f>
        <v>1893</v>
      </c>
      <c r="B46" s="4">
        <f t="shared" si="8"/>
        <v>47.801778138157786</v>
      </c>
      <c r="C46" s="4">
        <f t="shared" si="9"/>
        <v>47.949857231683978</v>
      </c>
      <c r="D46" s="4">
        <f t="shared" si="10"/>
        <v>61.515753630658701</v>
      </c>
      <c r="E46" s="4">
        <f t="shared" si="11"/>
        <v>61.585578899275482</v>
      </c>
      <c r="F46" s="4">
        <f t="shared" si="12"/>
        <v>0.1480790935261922</v>
      </c>
      <c r="G46" s="4">
        <f t="shared" si="13"/>
        <v>0</v>
      </c>
      <c r="H46" s="4">
        <f t="shared" si="14"/>
        <v>13.565896398974722</v>
      </c>
      <c r="I46" s="5">
        <f>vals_co2_excLUC!$R46</f>
        <v>47.936758340696187</v>
      </c>
      <c r="J46" s="5">
        <f>vals_co2_excLUC!$X46</f>
        <v>47.801778138157786</v>
      </c>
      <c r="K46" s="5">
        <f>vals_co2_excLUC!$AD46</f>
        <v>47.949857231683978</v>
      </c>
      <c r="L46" s="5"/>
      <c r="M46" s="5">
        <f>vals_co2_excLUC!$S46</f>
        <v>61.515753630658701</v>
      </c>
      <c r="N46" s="5">
        <f>vals_co2_excLUC!$Y46</f>
        <v>61.585578899275482</v>
      </c>
      <c r="O46" s="5">
        <f>vals_co2_excLUC!$AE46</f>
        <v>61.532563272673947</v>
      </c>
      <c r="P46" s="5"/>
      <c r="Q46" s="9">
        <f t="shared" si="15"/>
        <v>6.9825268616781955E-2</v>
      </c>
      <c r="R46" s="9">
        <v>47.94</v>
      </c>
      <c r="S46" s="9">
        <v>61.52</v>
      </c>
    </row>
    <row r="47" spans="1:19" x14ac:dyDescent="0.35">
      <c r="A47" s="6">
        <f>vals_co2_excLUC!$A47</f>
        <v>1894</v>
      </c>
      <c r="B47" s="7">
        <f t="shared" si="8"/>
        <v>47.768897169632382</v>
      </c>
      <c r="C47" s="7">
        <f t="shared" si="9"/>
        <v>47.917943311797536</v>
      </c>
      <c r="D47" s="7">
        <f t="shared" si="10"/>
        <v>61.48740411894854</v>
      </c>
      <c r="E47" s="7">
        <f t="shared" si="11"/>
        <v>61.55647244338973</v>
      </c>
      <c r="F47" s="7">
        <f t="shared" si="12"/>
        <v>0.14904614216515455</v>
      </c>
      <c r="G47" s="7">
        <f t="shared" si="13"/>
        <v>0</v>
      </c>
      <c r="H47" s="7">
        <f t="shared" si="14"/>
        <v>13.569460807151003</v>
      </c>
      <c r="I47" s="8">
        <f>vals_co2_excLUC!$R47</f>
        <v>47.904843056111304</v>
      </c>
      <c r="J47" s="8">
        <f>vals_co2_excLUC!$X47</f>
        <v>47.768897169632382</v>
      </c>
      <c r="K47" s="8">
        <f>vals_co2_excLUC!$AD47</f>
        <v>47.917943311797536</v>
      </c>
      <c r="L47" s="8"/>
      <c r="M47" s="8">
        <f>vals_co2_excLUC!$S47</f>
        <v>61.48740411894854</v>
      </c>
      <c r="N47" s="8">
        <f>vals_co2_excLUC!$Y47</f>
        <v>61.55647244338973</v>
      </c>
      <c r="O47" s="8">
        <f>vals_co2_excLUC!$AE47</f>
        <v>61.504218959833338</v>
      </c>
      <c r="P47" s="8"/>
      <c r="Q47" s="9">
        <f t="shared" si="15"/>
        <v>6.9068324441190043E-2</v>
      </c>
      <c r="R47" s="9">
        <v>47.908000000000001</v>
      </c>
      <c r="S47" s="9">
        <v>61.491999999999997</v>
      </c>
    </row>
    <row r="48" spans="1:19" x14ac:dyDescent="0.35">
      <c r="A48" s="3">
        <f>vals_co2_excLUC!$A48</f>
        <v>1895</v>
      </c>
      <c r="B48" s="4">
        <f t="shared" si="8"/>
        <v>47.734727511783639</v>
      </c>
      <c r="C48" s="4">
        <f t="shared" si="9"/>
        <v>47.884832094642434</v>
      </c>
      <c r="D48" s="4">
        <f t="shared" si="10"/>
        <v>61.458089060989252</v>
      </c>
      <c r="E48" s="4">
        <f t="shared" si="11"/>
        <v>61.526319040649682</v>
      </c>
      <c r="F48" s="4">
        <f t="shared" si="12"/>
        <v>0.1501045828587948</v>
      </c>
      <c r="G48" s="4">
        <f t="shared" si="13"/>
        <v>0</v>
      </c>
      <c r="H48" s="4">
        <f t="shared" si="14"/>
        <v>13.573256966346818</v>
      </c>
      <c r="I48" s="5">
        <f>vals_co2_excLUC!$R48</f>
        <v>47.871730436354824</v>
      </c>
      <c r="J48" s="5">
        <f>vals_co2_excLUC!$X48</f>
        <v>47.734727511783639</v>
      </c>
      <c r="K48" s="5">
        <f>vals_co2_excLUC!$AD48</f>
        <v>47.884832094642434</v>
      </c>
      <c r="L48" s="5"/>
      <c r="M48" s="5">
        <f>vals_co2_excLUC!$S48</f>
        <v>61.458089060989252</v>
      </c>
      <c r="N48" s="5">
        <f>vals_co2_excLUC!$Y48</f>
        <v>61.526319040649682</v>
      </c>
      <c r="O48" s="5">
        <f>vals_co2_excLUC!$AE48</f>
        <v>61.474909311159706</v>
      </c>
      <c r="P48" s="5"/>
      <c r="Q48" s="9">
        <f t="shared" si="15"/>
        <v>6.8229979660429763E-2</v>
      </c>
      <c r="R48" s="9">
        <v>47.875</v>
      </c>
      <c r="S48" s="9">
        <v>61.462000000000003</v>
      </c>
    </row>
    <row r="49" spans="1:19" x14ac:dyDescent="0.35">
      <c r="A49" s="6">
        <f>vals_co2_excLUC!$A49</f>
        <v>1896</v>
      </c>
      <c r="B49" s="7">
        <f t="shared" si="8"/>
        <v>47.69875111395622</v>
      </c>
      <c r="C49" s="7">
        <f t="shared" si="9"/>
        <v>47.849932130533482</v>
      </c>
      <c r="D49" s="7">
        <f t="shared" si="10"/>
        <v>61.427090296364753</v>
      </c>
      <c r="E49" s="7">
        <f t="shared" si="11"/>
        <v>61.494477871669851</v>
      </c>
      <c r="F49" s="7">
        <f t="shared" si="12"/>
        <v>0.15118101657726157</v>
      </c>
      <c r="G49" s="7">
        <f t="shared" si="13"/>
        <v>0</v>
      </c>
      <c r="H49" s="7">
        <f t="shared" si="14"/>
        <v>13.577158165831271</v>
      </c>
      <c r="I49" s="8">
        <f>vals_co2_excLUC!$R49</f>
        <v>47.836828936231321</v>
      </c>
      <c r="J49" s="8">
        <f>vals_co2_excLUC!$X49</f>
        <v>47.69875111395622</v>
      </c>
      <c r="K49" s="8">
        <f>vals_co2_excLUC!$AD49</f>
        <v>47.849932130533482</v>
      </c>
      <c r="L49" s="8"/>
      <c r="M49" s="8">
        <f>vals_co2_excLUC!$S49</f>
        <v>61.427090296364753</v>
      </c>
      <c r="N49" s="8">
        <f>vals_co2_excLUC!$Y49</f>
        <v>61.494477871669851</v>
      </c>
      <c r="O49" s="8">
        <f>vals_co2_excLUC!$AE49</f>
        <v>61.443916300925615</v>
      </c>
      <c r="P49" s="8"/>
      <c r="Q49" s="9">
        <f t="shared" si="15"/>
        <v>6.7387575305097869E-2</v>
      </c>
      <c r="R49" s="9">
        <v>47.84</v>
      </c>
      <c r="S49" s="9">
        <v>61.430999999999997</v>
      </c>
    </row>
    <row r="50" spans="1:19" x14ac:dyDescent="0.35">
      <c r="A50" s="3">
        <f>vals_co2_excLUC!$A50</f>
        <v>1897</v>
      </c>
      <c r="B50" s="4">
        <f t="shared" si="8"/>
        <v>47.661697880120826</v>
      </c>
      <c r="C50" s="4">
        <f t="shared" si="9"/>
        <v>47.813996136212403</v>
      </c>
      <c r="D50" s="4">
        <f t="shared" si="10"/>
        <v>61.395101249885151</v>
      </c>
      <c r="E50" s="4">
        <f t="shared" si="11"/>
        <v>61.461613348393996</v>
      </c>
      <c r="F50" s="4">
        <f t="shared" si="12"/>
        <v>0.15229825609157643</v>
      </c>
      <c r="G50" s="4">
        <f t="shared" si="13"/>
        <v>0</v>
      </c>
      <c r="H50" s="4">
        <f t="shared" si="14"/>
        <v>13.581105113672749</v>
      </c>
      <c r="I50" s="5">
        <f>vals_co2_excLUC!$R50</f>
        <v>47.800891319878858</v>
      </c>
      <c r="J50" s="5">
        <f>vals_co2_excLUC!$X50</f>
        <v>47.661697880120826</v>
      </c>
      <c r="K50" s="5">
        <f>vals_co2_excLUC!$AD50</f>
        <v>47.813996136212403</v>
      </c>
      <c r="L50" s="5"/>
      <c r="M50" s="5">
        <f>vals_co2_excLUC!$S50</f>
        <v>61.395101249885151</v>
      </c>
      <c r="N50" s="5">
        <f>vals_co2_excLUC!$Y50</f>
        <v>61.461613348393996</v>
      </c>
      <c r="O50" s="5">
        <f>vals_co2_excLUC!$AE50</f>
        <v>61.411933219080069</v>
      </c>
      <c r="P50" s="5"/>
      <c r="Q50" s="9">
        <f t="shared" si="15"/>
        <v>6.6512098508844986E-2</v>
      </c>
      <c r="R50" s="9">
        <v>47.804000000000002</v>
      </c>
      <c r="S50" s="9">
        <v>61.399000000000001</v>
      </c>
    </row>
    <row r="51" spans="1:19" x14ac:dyDescent="0.35">
      <c r="A51" s="6">
        <f>vals_co2_excLUC!$A51</f>
        <v>1898</v>
      </c>
      <c r="B51" s="7">
        <f t="shared" si="8"/>
        <v>47.623098180542186</v>
      </c>
      <c r="C51" s="7">
        <f t="shared" si="9"/>
        <v>47.776585670723875</v>
      </c>
      <c r="D51" s="7">
        <f t="shared" si="10"/>
        <v>61.361596056135213</v>
      </c>
      <c r="E51" s="7">
        <f t="shared" si="11"/>
        <v>61.427174298724019</v>
      </c>
      <c r="F51" s="7">
        <f t="shared" si="12"/>
        <v>0.15348749018168917</v>
      </c>
      <c r="G51" s="7">
        <f t="shared" si="13"/>
        <v>0</v>
      </c>
      <c r="H51" s="7">
        <f t="shared" si="14"/>
        <v>13.585010385411337</v>
      </c>
      <c r="I51" s="8">
        <f>vals_co2_excLUC!$R51</f>
        <v>47.763479091865761</v>
      </c>
      <c r="J51" s="8">
        <f>vals_co2_excLUC!$X51</f>
        <v>47.623098180542186</v>
      </c>
      <c r="K51" s="8">
        <f>vals_co2_excLUC!$AD51</f>
        <v>47.776585670723875</v>
      </c>
      <c r="L51" s="8"/>
      <c r="M51" s="8">
        <f>vals_co2_excLUC!$S51</f>
        <v>61.361596056135213</v>
      </c>
      <c r="N51" s="8">
        <f>vals_co2_excLUC!$Y51</f>
        <v>61.427174298724019</v>
      </c>
      <c r="O51" s="8">
        <f>vals_co2_excLUC!$AE51</f>
        <v>61.378434281067186</v>
      </c>
      <c r="P51" s="8"/>
      <c r="Q51" s="9">
        <f t="shared" si="15"/>
        <v>6.557824258880629E-2</v>
      </c>
      <c r="R51" s="9">
        <v>47.767000000000003</v>
      </c>
      <c r="S51" s="9">
        <v>61.366</v>
      </c>
    </row>
    <row r="52" spans="1:19" x14ac:dyDescent="0.35">
      <c r="A52" s="3">
        <f>vals_co2_excLUC!$A52</f>
        <v>1899</v>
      </c>
      <c r="B52" s="4">
        <f t="shared" si="8"/>
        <v>47.582714938970227</v>
      </c>
      <c r="C52" s="4">
        <f t="shared" si="9"/>
        <v>47.737465021259133</v>
      </c>
      <c r="D52" s="4">
        <f t="shared" si="10"/>
        <v>61.326343286136535</v>
      </c>
      <c r="E52" s="4">
        <f t="shared" si="11"/>
        <v>61.390935348075359</v>
      </c>
      <c r="F52" s="4">
        <f t="shared" si="12"/>
        <v>0.1547500822889063</v>
      </c>
      <c r="G52" s="4">
        <f t="shared" si="13"/>
        <v>0</v>
      </c>
      <c r="H52" s="4">
        <f t="shared" si="14"/>
        <v>13.588878264877401</v>
      </c>
      <c r="I52" s="5">
        <f>vals_co2_excLUC!$R52</f>
        <v>47.724356487392171</v>
      </c>
      <c r="J52" s="5">
        <f>vals_co2_excLUC!$X52</f>
        <v>47.582714938970227</v>
      </c>
      <c r="K52" s="5">
        <f>vals_co2_excLUC!$AD52</f>
        <v>47.737465021259133</v>
      </c>
      <c r="L52" s="5"/>
      <c r="M52" s="5">
        <f>vals_co2_excLUC!$S52</f>
        <v>61.326343286136535</v>
      </c>
      <c r="N52" s="5">
        <f>vals_co2_excLUC!$Y52</f>
        <v>61.390935348075359</v>
      </c>
      <c r="O52" s="5">
        <f>vals_co2_excLUC!$AE52</f>
        <v>61.343188145168028</v>
      </c>
      <c r="P52" s="5"/>
      <c r="Q52" s="9">
        <f t="shared" si="15"/>
        <v>6.4592061938824941E-2</v>
      </c>
      <c r="R52" s="9">
        <v>47.728000000000002</v>
      </c>
      <c r="S52" s="9">
        <v>61.331000000000003</v>
      </c>
    </row>
    <row r="53" spans="1:19" x14ac:dyDescent="0.35">
      <c r="A53" s="6">
        <f>vals_co2_excLUC!$A53</f>
        <v>1900</v>
      </c>
      <c r="B53" s="7">
        <f t="shared" si="8"/>
        <v>47.538203995252609</v>
      </c>
      <c r="C53" s="7">
        <f t="shared" si="9"/>
        <v>47.694367108767047</v>
      </c>
      <c r="D53" s="7">
        <f t="shared" si="10"/>
        <v>61.28771805604778</v>
      </c>
      <c r="E53" s="7">
        <f t="shared" si="11"/>
        <v>61.351208439073716</v>
      </c>
      <c r="F53" s="7">
        <f t="shared" si="12"/>
        <v>0.15616311351443812</v>
      </c>
      <c r="G53" s="7">
        <f t="shared" si="13"/>
        <v>0</v>
      </c>
      <c r="H53" s="7">
        <f t="shared" si="14"/>
        <v>13.593350947280733</v>
      </c>
      <c r="I53" s="8">
        <f>vals_co2_excLUC!$R53</f>
        <v>47.681256536544716</v>
      </c>
      <c r="J53" s="8">
        <f>vals_co2_excLUC!$X53</f>
        <v>47.538203995252609</v>
      </c>
      <c r="K53" s="8">
        <f>vals_co2_excLUC!$AD53</f>
        <v>47.694367108767047</v>
      </c>
      <c r="L53" s="8"/>
      <c r="M53" s="8">
        <f>vals_co2_excLUC!$S53</f>
        <v>61.28771805604778</v>
      </c>
      <c r="N53" s="8">
        <f>vals_co2_excLUC!$Y53</f>
        <v>61.351208439073716</v>
      </c>
      <c r="O53" s="8">
        <f>vals_co2_excLUC!$AE53</f>
        <v>61.304570142685918</v>
      </c>
      <c r="P53" s="8"/>
      <c r="Q53" s="9">
        <f t="shared" si="15"/>
        <v>6.3490383025936126E-2</v>
      </c>
      <c r="R53" s="9">
        <v>47.685000000000002</v>
      </c>
      <c r="S53" s="9">
        <v>61.292000000000002</v>
      </c>
    </row>
    <row r="54" spans="1:19" x14ac:dyDescent="0.35">
      <c r="A54" s="3">
        <f>vals_co2_excLUC!$A54</f>
        <v>1901</v>
      </c>
      <c r="B54" s="4">
        <f t="shared" si="8"/>
        <v>47.491030618934602</v>
      </c>
      <c r="C54" s="4">
        <f t="shared" si="9"/>
        <v>47.648787732195821</v>
      </c>
      <c r="D54" s="4">
        <f t="shared" si="10"/>
        <v>61.246809252948253</v>
      </c>
      <c r="E54" s="4">
        <f t="shared" si="11"/>
        <v>61.309073970598291</v>
      </c>
      <c r="F54" s="4">
        <f t="shared" si="12"/>
        <v>0.15775711326121922</v>
      </c>
      <c r="G54" s="4">
        <f t="shared" si="13"/>
        <v>0</v>
      </c>
      <c r="H54" s="4">
        <f t="shared" si="14"/>
        <v>13.598021520752432</v>
      </c>
      <c r="I54" s="5">
        <f>vals_co2_excLUC!$R54</f>
        <v>47.635675065845199</v>
      </c>
      <c r="J54" s="5">
        <f>vals_co2_excLUC!$X54</f>
        <v>47.491030618934602</v>
      </c>
      <c r="K54" s="5">
        <f>vals_co2_excLUC!$AD54</f>
        <v>47.648787732195821</v>
      </c>
      <c r="L54" s="5"/>
      <c r="M54" s="5">
        <f>vals_co2_excLUC!$S54</f>
        <v>61.246809252948253</v>
      </c>
      <c r="N54" s="5">
        <f>vals_co2_excLUC!$Y54</f>
        <v>61.309073970598291</v>
      </c>
      <c r="O54" s="5">
        <f>vals_co2_excLUC!$AE54</f>
        <v>61.263668898345927</v>
      </c>
      <c r="P54" s="5"/>
      <c r="Q54" s="9">
        <f t="shared" si="15"/>
        <v>6.2264717650037937E-2</v>
      </c>
      <c r="R54" s="9">
        <v>47.639000000000003</v>
      </c>
      <c r="S54" s="9">
        <v>61.250999999999998</v>
      </c>
    </row>
    <row r="55" spans="1:19" x14ac:dyDescent="0.35">
      <c r="A55" s="6">
        <f>vals_co2_excLUC!$A55</f>
        <v>1902</v>
      </c>
      <c r="B55" s="7">
        <f t="shared" si="8"/>
        <v>47.442789048330638</v>
      </c>
      <c r="C55" s="7">
        <f t="shared" si="9"/>
        <v>47.601998011056914</v>
      </c>
      <c r="D55" s="7">
        <f t="shared" si="10"/>
        <v>61.204748762327043</v>
      </c>
      <c r="E55" s="7">
        <f t="shared" si="11"/>
        <v>61.265942610630333</v>
      </c>
      <c r="F55" s="7">
        <f t="shared" si="12"/>
        <v>0.15920896272627516</v>
      </c>
      <c r="G55" s="7">
        <f t="shared" si="13"/>
        <v>0</v>
      </c>
      <c r="H55" s="7">
        <f t="shared" si="14"/>
        <v>13.602750751270129</v>
      </c>
      <c r="I55" s="8">
        <f>vals_co2_excLUC!$R55</f>
        <v>47.588883110786355</v>
      </c>
      <c r="J55" s="8">
        <f>vals_co2_excLUC!$X55</f>
        <v>47.442789048330638</v>
      </c>
      <c r="K55" s="8">
        <f>vals_co2_excLUC!$AD55</f>
        <v>47.601998011056914</v>
      </c>
      <c r="L55" s="8"/>
      <c r="M55" s="8">
        <f>vals_co2_excLUC!$S55</f>
        <v>61.204748762327043</v>
      </c>
      <c r="N55" s="8">
        <f>vals_co2_excLUC!$Y55</f>
        <v>61.265942610630333</v>
      </c>
      <c r="O55" s="8">
        <f>vals_co2_excLUC!$AE55</f>
        <v>61.221616268806613</v>
      </c>
      <c r="P55" s="8"/>
      <c r="Q55" s="9">
        <f t="shared" si="15"/>
        <v>6.119384830329011E-2</v>
      </c>
      <c r="R55" s="9">
        <v>47.591999999999999</v>
      </c>
      <c r="S55" s="9">
        <v>61.209000000000003</v>
      </c>
    </row>
    <row r="56" spans="1:19" x14ac:dyDescent="0.35">
      <c r="A56" s="3">
        <f>vals_co2_excLUC!$A56</f>
        <v>1903</v>
      </c>
      <c r="B56" s="4">
        <f t="shared" si="8"/>
        <v>47.392865517444996</v>
      </c>
      <c r="C56" s="4">
        <f t="shared" si="9"/>
        <v>47.553527164922976</v>
      </c>
      <c r="D56" s="4">
        <f t="shared" si="10"/>
        <v>61.161632114677566</v>
      </c>
      <c r="E56" s="4">
        <f t="shared" si="11"/>
        <v>61.221761803899625</v>
      </c>
      <c r="F56" s="4">
        <f t="shared" si="12"/>
        <v>0.16066164747797984</v>
      </c>
      <c r="G56" s="4">
        <f t="shared" si="13"/>
        <v>0</v>
      </c>
      <c r="H56" s="4">
        <f t="shared" si="14"/>
        <v>13.608104949754591</v>
      </c>
      <c r="I56" s="5">
        <f>vals_co2_excLUC!$R56</f>
        <v>47.540410105449027</v>
      </c>
      <c r="J56" s="5">
        <f>vals_co2_excLUC!$X56</f>
        <v>47.392865517444996</v>
      </c>
      <c r="K56" s="5">
        <f>vals_co2_excLUC!$AD56</f>
        <v>47.553527164922976</v>
      </c>
      <c r="L56" s="5"/>
      <c r="M56" s="5">
        <f>vals_co2_excLUC!$S56</f>
        <v>61.161632114677566</v>
      </c>
      <c r="N56" s="5">
        <f>vals_co2_excLUC!$Y56</f>
        <v>61.221761803899625</v>
      </c>
      <c r="O56" s="5">
        <f>vals_co2_excLUC!$AE56</f>
        <v>61.178507702947115</v>
      </c>
      <c r="P56" s="5"/>
      <c r="Q56" s="9">
        <f t="shared" si="15"/>
        <v>6.0129689222058857E-2</v>
      </c>
      <c r="R56" s="9">
        <v>47.543999999999997</v>
      </c>
      <c r="S56" s="9">
        <v>61.165999999999997</v>
      </c>
    </row>
    <row r="57" spans="1:19" x14ac:dyDescent="0.35">
      <c r="A57" s="6">
        <f>vals_co2_excLUC!$A57</f>
        <v>1904</v>
      </c>
      <c r="B57" s="7">
        <f t="shared" si="8"/>
        <v>47.337593755153087</v>
      </c>
      <c r="C57" s="7">
        <f t="shared" si="9"/>
        <v>47.499788437305185</v>
      </c>
      <c r="D57" s="7">
        <f t="shared" si="10"/>
        <v>61.114534946629618</v>
      </c>
      <c r="E57" s="7">
        <f t="shared" si="11"/>
        <v>61.173578537284214</v>
      </c>
      <c r="F57" s="7">
        <f t="shared" si="12"/>
        <v>0.16219468215209787</v>
      </c>
      <c r="G57" s="7">
        <f t="shared" si="13"/>
        <v>0</v>
      </c>
      <c r="H57" s="7">
        <f t="shared" si="14"/>
        <v>13.614746509324434</v>
      </c>
      <c r="I57" s="8">
        <f>vals_co2_excLUC!$R57</f>
        <v>47.486669263247066</v>
      </c>
      <c r="J57" s="8">
        <f>vals_co2_excLUC!$X57</f>
        <v>47.337593755153087</v>
      </c>
      <c r="K57" s="8">
        <f>vals_co2_excLUC!$AD57</f>
        <v>47.499788437305185</v>
      </c>
      <c r="L57" s="8"/>
      <c r="M57" s="8">
        <f>vals_co2_excLUC!$S57</f>
        <v>61.114534946629618</v>
      </c>
      <c r="N57" s="8">
        <f>vals_co2_excLUC!$Y57</f>
        <v>61.173578537284214</v>
      </c>
      <c r="O57" s="8">
        <f>vals_co2_excLUC!$AE57</f>
        <v>61.131419345096617</v>
      </c>
      <c r="P57" s="8"/>
      <c r="Q57" s="9">
        <f t="shared" si="15"/>
        <v>5.9043590654596301E-2</v>
      </c>
      <c r="R57" s="9">
        <v>47.49</v>
      </c>
      <c r="S57" s="9">
        <v>61.119</v>
      </c>
    </row>
    <row r="58" spans="1:19" x14ac:dyDescent="0.35">
      <c r="A58" s="3">
        <f>vals_co2_excLUC!$A58</f>
        <v>1905</v>
      </c>
      <c r="B58" s="4">
        <f t="shared" si="8"/>
        <v>47.28229004810288</v>
      </c>
      <c r="C58" s="4">
        <f t="shared" si="9"/>
        <v>47.445976705298762</v>
      </c>
      <c r="D58" s="4">
        <f t="shared" si="10"/>
        <v>61.067060445334306</v>
      </c>
      <c r="E58" s="4">
        <f t="shared" si="11"/>
        <v>61.125047418784831</v>
      </c>
      <c r="F58" s="4">
        <f t="shared" si="12"/>
        <v>0.16368665719588193</v>
      </c>
      <c r="G58" s="4">
        <f t="shared" si="13"/>
        <v>0</v>
      </c>
      <c r="H58" s="4">
        <f t="shared" si="14"/>
        <v>13.621083740035544</v>
      </c>
      <c r="I58" s="5">
        <f>vals_co2_excLUC!$R58</f>
        <v>47.432855238897048</v>
      </c>
      <c r="J58" s="5">
        <f>vals_co2_excLUC!$X58</f>
        <v>47.28229004810288</v>
      </c>
      <c r="K58" s="5">
        <f>vals_co2_excLUC!$AD58</f>
        <v>47.445976705298762</v>
      </c>
      <c r="L58" s="5"/>
      <c r="M58" s="5">
        <f>vals_co2_excLUC!$S58</f>
        <v>61.067060445334306</v>
      </c>
      <c r="N58" s="5">
        <f>vals_co2_excLUC!$Y58</f>
        <v>61.125047418784831</v>
      </c>
      <c r="O58" s="5">
        <f>vals_co2_excLUC!$AE58</f>
        <v>61.083953820303861</v>
      </c>
      <c r="P58" s="5"/>
      <c r="Q58" s="9">
        <f t="shared" si="15"/>
        <v>5.798697345052517E-2</v>
      </c>
      <c r="R58" s="9">
        <v>47.436</v>
      </c>
      <c r="S58" s="9">
        <v>61.070999999999998</v>
      </c>
    </row>
    <row r="59" spans="1:19" x14ac:dyDescent="0.35">
      <c r="A59" s="6">
        <f>vals_co2_excLUC!$A59</f>
        <v>1906</v>
      </c>
      <c r="B59" s="7">
        <f t="shared" si="8"/>
        <v>47.222434369726123</v>
      </c>
      <c r="C59" s="7">
        <f t="shared" si="9"/>
        <v>47.387736387430166</v>
      </c>
      <c r="D59" s="7">
        <f t="shared" si="10"/>
        <v>61.016330306166367</v>
      </c>
      <c r="E59" s="7">
        <f t="shared" si="11"/>
        <v>61.073178100075843</v>
      </c>
      <c r="F59" s="7">
        <f t="shared" si="12"/>
        <v>0.16530201770404318</v>
      </c>
      <c r="G59" s="7">
        <f t="shared" si="13"/>
        <v>0</v>
      </c>
      <c r="H59" s="7">
        <f t="shared" si="14"/>
        <v>13.6285939187362</v>
      </c>
      <c r="I59" s="8">
        <f>vals_co2_excLUC!$R59</f>
        <v>47.374612719970855</v>
      </c>
      <c r="J59" s="8">
        <f>vals_co2_excLUC!$X59</f>
        <v>47.222434369726123</v>
      </c>
      <c r="K59" s="8">
        <f>vals_co2_excLUC!$AD59</f>
        <v>47.387736387430166</v>
      </c>
      <c r="L59" s="8"/>
      <c r="M59" s="8">
        <f>vals_co2_excLUC!$S59</f>
        <v>61.016330306166367</v>
      </c>
      <c r="N59" s="8">
        <f>vals_co2_excLUC!$Y59</f>
        <v>61.073178100075843</v>
      </c>
      <c r="O59" s="8">
        <f>vals_co2_excLUC!$AE59</f>
        <v>61.033233233988504</v>
      </c>
      <c r="P59" s="8"/>
      <c r="Q59" s="9">
        <f t="shared" si="15"/>
        <v>5.6847793909476252E-2</v>
      </c>
      <c r="R59" s="9">
        <v>47.378</v>
      </c>
      <c r="S59" s="9">
        <v>61.021000000000001</v>
      </c>
    </row>
    <row r="60" spans="1:19" x14ac:dyDescent="0.35">
      <c r="A60" s="3">
        <f>vals_co2_excLUC!$A60</f>
        <v>1907</v>
      </c>
      <c r="B60" s="4">
        <f t="shared" si="8"/>
        <v>47.160964532708874</v>
      </c>
      <c r="C60" s="4">
        <f t="shared" si="9"/>
        <v>47.327542335686474</v>
      </c>
      <c r="D60" s="4">
        <f t="shared" si="10"/>
        <v>60.963568159777601</v>
      </c>
      <c r="E60" s="4">
        <f t="shared" si="11"/>
        <v>61.01976087169745</v>
      </c>
      <c r="F60" s="4">
        <f t="shared" si="12"/>
        <v>0.16657780297759928</v>
      </c>
      <c r="G60" s="4">
        <f t="shared" si="13"/>
        <v>0</v>
      </c>
      <c r="H60" s="4">
        <f t="shared" si="14"/>
        <v>13.636025824091128</v>
      </c>
      <c r="I60" s="5">
        <f>vals_co2_excLUC!$R60</f>
        <v>47.314416187202497</v>
      </c>
      <c r="J60" s="5">
        <f>vals_co2_excLUC!$X60</f>
        <v>47.160964532708874</v>
      </c>
      <c r="K60" s="5">
        <f>vals_co2_excLUC!$AD60</f>
        <v>47.327542335686474</v>
      </c>
      <c r="L60" s="5"/>
      <c r="M60" s="5">
        <f>vals_co2_excLUC!$S60</f>
        <v>60.963568159777601</v>
      </c>
      <c r="N60" s="5">
        <f>vals_co2_excLUC!$Y60</f>
        <v>61.01976087169745</v>
      </c>
      <c r="O60" s="5">
        <f>vals_co2_excLUC!$AE60</f>
        <v>60.980481154732743</v>
      </c>
      <c r="P60" s="5"/>
      <c r="Q60" s="9">
        <f t="shared" si="15"/>
        <v>5.6192711919848648E-2</v>
      </c>
      <c r="R60" s="9">
        <v>47.317999999999998</v>
      </c>
      <c r="S60" s="9">
        <v>60.968000000000004</v>
      </c>
    </row>
    <row r="61" spans="1:19" x14ac:dyDescent="0.35">
      <c r="A61" s="6">
        <f>vals_co2_excLUC!$A61</f>
        <v>1908</v>
      </c>
      <c r="B61" s="7">
        <f t="shared" si="8"/>
        <v>47.090483565010715</v>
      </c>
      <c r="C61" s="7">
        <f t="shared" si="9"/>
        <v>47.259252870722371</v>
      </c>
      <c r="D61" s="7">
        <f t="shared" si="10"/>
        <v>60.90430866980897</v>
      </c>
      <c r="E61" s="7">
        <f t="shared" si="11"/>
        <v>60.958855460352879</v>
      </c>
      <c r="F61" s="7">
        <f t="shared" si="12"/>
        <v>0.16876930571165616</v>
      </c>
      <c r="G61" s="7">
        <f t="shared" si="13"/>
        <v>0</v>
      </c>
      <c r="H61" s="7">
        <f t="shared" si="14"/>
        <v>13.645055799086599</v>
      </c>
      <c r="I61" s="8">
        <f>vals_co2_excLUC!$R61</f>
        <v>47.246123799525222</v>
      </c>
      <c r="J61" s="8">
        <f>vals_co2_excLUC!$X61</f>
        <v>47.090483565010715</v>
      </c>
      <c r="K61" s="8">
        <f>vals_co2_excLUC!$AD61</f>
        <v>47.259252870722371</v>
      </c>
      <c r="L61" s="8"/>
      <c r="M61" s="8">
        <f>vals_co2_excLUC!$S61</f>
        <v>60.90430866980897</v>
      </c>
      <c r="N61" s="8">
        <f>vals_co2_excLUC!$Y61</f>
        <v>60.958855460352879</v>
      </c>
      <c r="O61" s="8">
        <f>vals_co2_excLUC!$AE61</f>
        <v>60.921233415781217</v>
      </c>
      <c r="P61" s="8"/>
      <c r="Q61" s="9">
        <f t="shared" si="15"/>
        <v>5.4546790543909651E-2</v>
      </c>
      <c r="R61" s="9">
        <v>47.249000000000002</v>
      </c>
      <c r="S61" s="9">
        <v>60.908999999999999</v>
      </c>
    </row>
    <row r="62" spans="1:19" x14ac:dyDescent="0.35">
      <c r="A62" s="3">
        <f>vals_co2_excLUC!$A62</f>
        <v>1909</v>
      </c>
      <c r="B62" s="4">
        <f t="shared" si="8"/>
        <v>47.024122890992935</v>
      </c>
      <c r="C62" s="4">
        <f t="shared" si="9"/>
        <v>47.195113364052212</v>
      </c>
      <c r="D62" s="4">
        <f t="shared" si="10"/>
        <v>60.847883761241441</v>
      </c>
      <c r="E62" s="4">
        <f t="shared" si="11"/>
        <v>60.900834451517518</v>
      </c>
      <c r="F62" s="4">
        <f t="shared" si="12"/>
        <v>0.17099047305927684</v>
      </c>
      <c r="G62" s="4">
        <f t="shared" si="13"/>
        <v>0</v>
      </c>
      <c r="H62" s="4">
        <f t="shared" si="14"/>
        <v>13.652770397189229</v>
      </c>
      <c r="I62" s="5">
        <f>vals_co2_excLUC!$R62</f>
        <v>47.181981070773674</v>
      </c>
      <c r="J62" s="5">
        <f>vals_co2_excLUC!$X62</f>
        <v>47.024122890992935</v>
      </c>
      <c r="K62" s="5">
        <f>vals_co2_excLUC!$AD62</f>
        <v>47.195113364052212</v>
      </c>
      <c r="L62" s="5"/>
      <c r="M62" s="5">
        <f>vals_co2_excLUC!$S62</f>
        <v>60.847883761241441</v>
      </c>
      <c r="N62" s="5">
        <f>vals_co2_excLUC!$Y62</f>
        <v>60.900834451517518</v>
      </c>
      <c r="O62" s="5">
        <f>vals_co2_excLUC!$AE62</f>
        <v>60.864819970359918</v>
      </c>
      <c r="P62" s="5"/>
      <c r="Q62" s="9">
        <f t="shared" si="15"/>
        <v>5.2950690276077239E-2</v>
      </c>
      <c r="R62" s="9">
        <v>47.185000000000002</v>
      </c>
      <c r="S62" s="9">
        <v>60.851999999999997</v>
      </c>
    </row>
    <row r="63" spans="1:19" x14ac:dyDescent="0.35">
      <c r="A63" s="6">
        <f>vals_co2_excLUC!$A63</f>
        <v>1910</v>
      </c>
      <c r="B63" s="7">
        <f t="shared" si="8"/>
        <v>46.95474264159666</v>
      </c>
      <c r="C63" s="7">
        <f t="shared" si="9"/>
        <v>47.127946807884392</v>
      </c>
      <c r="D63" s="7">
        <f t="shared" si="10"/>
        <v>60.788889878134334</v>
      </c>
      <c r="E63" s="7">
        <f t="shared" si="11"/>
        <v>60.8401873379809</v>
      </c>
      <c r="F63" s="7">
        <f t="shared" si="12"/>
        <v>0.17320416628773216</v>
      </c>
      <c r="G63" s="7">
        <f t="shared" si="13"/>
        <v>0</v>
      </c>
      <c r="H63" s="7">
        <f t="shared" si="14"/>
        <v>13.660943070249942</v>
      </c>
      <c r="I63" s="8">
        <f>vals_co2_excLUC!$R63</f>
        <v>47.114811273139004</v>
      </c>
      <c r="J63" s="8">
        <f>vals_co2_excLUC!$X63</f>
        <v>46.95474264159666</v>
      </c>
      <c r="K63" s="8">
        <f>vals_co2_excLUC!$AD63</f>
        <v>47.127946807884392</v>
      </c>
      <c r="L63" s="8"/>
      <c r="M63" s="8">
        <f>vals_co2_excLUC!$S63</f>
        <v>60.788889878134334</v>
      </c>
      <c r="N63" s="8">
        <f>vals_co2_excLUC!$Y63</f>
        <v>60.8401873379809</v>
      </c>
      <c r="O63" s="8">
        <f>vals_co2_excLUC!$AE63</f>
        <v>60.805837988274192</v>
      </c>
      <c r="P63" s="8"/>
      <c r="Q63" s="9">
        <f t="shared" si="15"/>
        <v>5.1297459846566085E-2</v>
      </c>
      <c r="R63" s="9">
        <v>47.118000000000002</v>
      </c>
      <c r="S63" s="9">
        <v>60.792999999999999</v>
      </c>
    </row>
    <row r="64" spans="1:19" x14ac:dyDescent="0.35">
      <c r="A64" s="3">
        <f>vals_co2_excLUC!$A64</f>
        <v>1911</v>
      </c>
      <c r="B64" s="4">
        <f t="shared" si="8"/>
        <v>46.880730359673976</v>
      </c>
      <c r="C64" s="4">
        <f t="shared" si="9"/>
        <v>47.056292693008231</v>
      </c>
      <c r="D64" s="4">
        <f t="shared" si="10"/>
        <v>60.72676639965556</v>
      </c>
      <c r="E64" s="4">
        <f t="shared" si="11"/>
        <v>60.77631328263152</v>
      </c>
      <c r="F64" s="4">
        <f t="shared" si="12"/>
        <v>0.17556233333425553</v>
      </c>
      <c r="G64" s="4">
        <f t="shared" si="13"/>
        <v>0</v>
      </c>
      <c r="H64" s="4">
        <f t="shared" si="14"/>
        <v>13.670473706647329</v>
      </c>
      <c r="I64" s="5">
        <f>vals_co2_excLUC!$R64</f>
        <v>47.043154042949553</v>
      </c>
      <c r="J64" s="5">
        <f>vals_co2_excLUC!$X64</f>
        <v>46.880730359673976</v>
      </c>
      <c r="K64" s="5">
        <f>vals_co2_excLUC!$AD64</f>
        <v>47.056292693008231</v>
      </c>
      <c r="L64" s="5"/>
      <c r="M64" s="5">
        <f>vals_co2_excLUC!$S64</f>
        <v>60.72676639965556</v>
      </c>
      <c r="N64" s="5">
        <f>vals_co2_excLUC!$Y64</f>
        <v>60.77631328263152</v>
      </c>
      <c r="O64" s="5">
        <f>vals_co2_excLUC!$AE64</f>
        <v>60.743727000855721</v>
      </c>
      <c r="P64" s="5"/>
      <c r="Q64" s="9">
        <f t="shared" si="15"/>
        <v>4.9546882975960216E-2</v>
      </c>
      <c r="R64" s="9">
        <v>47.045999999999999</v>
      </c>
      <c r="S64" s="9">
        <v>60.731000000000002</v>
      </c>
    </row>
    <row r="65" spans="1:19" x14ac:dyDescent="0.35">
      <c r="A65" s="6">
        <f>vals_co2_excLUC!$A65</f>
        <v>1912</v>
      </c>
      <c r="B65" s="7">
        <f t="shared" si="8"/>
        <v>46.806398301919131</v>
      </c>
      <c r="C65" s="7">
        <f t="shared" si="9"/>
        <v>46.984085131919379</v>
      </c>
      <c r="D65" s="7">
        <f t="shared" si="10"/>
        <v>60.663874626449669</v>
      </c>
      <c r="E65" s="7">
        <f t="shared" si="11"/>
        <v>60.711984375077478</v>
      </c>
      <c r="F65" s="7">
        <f t="shared" si="12"/>
        <v>0.17768683000024765</v>
      </c>
      <c r="G65" s="7">
        <f t="shared" si="13"/>
        <v>0</v>
      </c>
      <c r="H65" s="7">
        <f t="shared" si="14"/>
        <v>13.67978949453029</v>
      </c>
      <c r="I65" s="8">
        <f>vals_co2_excLUC!$R65</f>
        <v>46.970943153784525</v>
      </c>
      <c r="J65" s="8">
        <f>vals_co2_excLUC!$X65</f>
        <v>46.806398301919131</v>
      </c>
      <c r="K65" s="8">
        <f>vals_co2_excLUC!$AD65</f>
        <v>46.984085131919379</v>
      </c>
      <c r="L65" s="8"/>
      <c r="M65" s="8">
        <f>vals_co2_excLUC!$S65</f>
        <v>60.663874626449669</v>
      </c>
      <c r="N65" s="8">
        <f>vals_co2_excLUC!$Y65</f>
        <v>60.711984375077478</v>
      </c>
      <c r="O65" s="8">
        <f>vals_co2_excLUC!$AE65</f>
        <v>60.680848008482137</v>
      </c>
      <c r="P65" s="8"/>
      <c r="Q65" s="9">
        <f t="shared" si="15"/>
        <v>4.8109748627808813E-2</v>
      </c>
      <c r="R65" s="9">
        <v>46.973999999999997</v>
      </c>
      <c r="S65" s="9">
        <v>60.667999999999999</v>
      </c>
    </row>
    <row r="66" spans="1:19" x14ac:dyDescent="0.35">
      <c r="A66" s="3">
        <f>vals_co2_excLUC!$A66</f>
        <v>1913</v>
      </c>
      <c r="B66" s="4">
        <f t="shared" si="8"/>
        <v>46.727945644771459</v>
      </c>
      <c r="C66" s="4">
        <f t="shared" si="9"/>
        <v>46.90831103555076</v>
      </c>
      <c r="D66" s="4">
        <f t="shared" si="10"/>
        <v>60.597150064055903</v>
      </c>
      <c r="E66" s="4">
        <f t="shared" si="11"/>
        <v>60.643276481567142</v>
      </c>
      <c r="F66" s="4">
        <f t="shared" si="12"/>
        <v>0.18036539077930058</v>
      </c>
      <c r="G66" s="4">
        <f t="shared" si="13"/>
        <v>0</v>
      </c>
      <c r="H66" s="4">
        <f t="shared" si="14"/>
        <v>13.688839028505143</v>
      </c>
      <c r="I66" s="5">
        <f>vals_co2_excLUC!$R66</f>
        <v>46.895165523623625</v>
      </c>
      <c r="J66" s="5">
        <f>vals_co2_excLUC!$X66</f>
        <v>46.727945644771459</v>
      </c>
      <c r="K66" s="5">
        <f>vals_co2_excLUC!$AD66</f>
        <v>46.90831103555076</v>
      </c>
      <c r="L66" s="5"/>
      <c r="M66" s="5">
        <f>vals_co2_excLUC!$S66</f>
        <v>60.597150064055903</v>
      </c>
      <c r="N66" s="5">
        <f>vals_co2_excLUC!$Y66</f>
        <v>60.643276481567142</v>
      </c>
      <c r="O66" s="5">
        <f>vals_co2_excLUC!$AE66</f>
        <v>60.614136740734345</v>
      </c>
      <c r="P66" s="5"/>
      <c r="Q66" s="9">
        <f t="shared" si="15"/>
        <v>4.6126417511239026E-2</v>
      </c>
      <c r="R66" s="9">
        <v>46.898000000000003</v>
      </c>
      <c r="S66" s="9">
        <v>60.600999999999999</v>
      </c>
    </row>
    <row r="67" spans="1:19" x14ac:dyDescent="0.35">
      <c r="A67" s="6">
        <f>vals_co2_excLUC!$A67</f>
        <v>1914</v>
      </c>
      <c r="B67" s="7">
        <f t="shared" ref="B67:B98" si="16">IFERROR(_xlfn.AGGREGATE(5,6,I67:L67),"")</f>
        <v>46.642810312579826</v>
      </c>
      <c r="C67" s="7">
        <f t="shared" ref="C67:C98" si="17">IFERROR(_xlfn.AGGREGATE(4,6,I67:L67),"")</f>
        <v>46.826150338963821</v>
      </c>
      <c r="D67" s="7">
        <f t="shared" ref="D67:D98" si="18">IFERROR(_xlfn.AGGREGATE(5,6,M67:P67),"")</f>
        <v>60.525136297119545</v>
      </c>
      <c r="E67" s="7">
        <f t="shared" ref="E67:E98" si="19">IFERROR(_xlfn.AGGREGATE(4,6,M67:P67),"")</f>
        <v>60.569011387958462</v>
      </c>
      <c r="F67" s="7">
        <f t="shared" ref="F67:F98" si="20">IFERROR(MIN(C67,D67)-B67,"")</f>
        <v>0.18334002638399483</v>
      </c>
      <c r="G67" s="7">
        <f t="shared" ref="G67:G98" si="21">IFERROR(MAX(0,C67-D67),"")</f>
        <v>0</v>
      </c>
      <c r="H67" s="7">
        <f t="shared" ref="H67:H98" si="22">IFERROR(MAX(0,D67-C67),"")</f>
        <v>13.698985958155724</v>
      </c>
      <c r="I67" s="8">
        <f>vals_co2_excLUC!$R67</f>
        <v>46.813001063843608</v>
      </c>
      <c r="J67" s="8">
        <f>vals_co2_excLUC!$X67</f>
        <v>46.642810312579826</v>
      </c>
      <c r="K67" s="8">
        <f>vals_co2_excLUC!$AD67</f>
        <v>46.826150338963821</v>
      </c>
      <c r="L67" s="8"/>
      <c r="M67" s="8">
        <f>vals_co2_excLUC!$S67</f>
        <v>60.525136297119545</v>
      </c>
      <c r="N67" s="8">
        <f>vals_co2_excLUC!$Y67</f>
        <v>60.569011387958462</v>
      </c>
      <c r="O67" s="8">
        <f>vals_co2_excLUC!$AE67</f>
        <v>60.542137506779447</v>
      </c>
      <c r="P67" s="8"/>
      <c r="Q67" s="9">
        <f t="shared" ref="Q67:Q98" si="23">IFERROR(MAX(0,$E67-MAX($C67,$D67)),"")</f>
        <v>4.3875090838916719E-2</v>
      </c>
      <c r="R67" s="9">
        <v>46.816000000000003</v>
      </c>
      <c r="S67" s="9">
        <v>60.529000000000003</v>
      </c>
    </row>
    <row r="68" spans="1:19" x14ac:dyDescent="0.35">
      <c r="A68" s="3">
        <f>vals_co2_excLUC!$A68</f>
        <v>1915</v>
      </c>
      <c r="B68" s="4">
        <f t="shared" si="16"/>
        <v>46.565140051004107</v>
      </c>
      <c r="C68" s="4">
        <f t="shared" si="17"/>
        <v>46.751105934204041</v>
      </c>
      <c r="D68" s="4">
        <f t="shared" si="18"/>
        <v>60.459929528416424</v>
      </c>
      <c r="E68" s="4">
        <f t="shared" si="19"/>
        <v>60.501822312998002</v>
      </c>
      <c r="F68" s="4">
        <f t="shared" si="20"/>
        <v>0.18596588319993401</v>
      </c>
      <c r="G68" s="4">
        <f t="shared" si="21"/>
        <v>0</v>
      </c>
      <c r="H68" s="4">
        <f t="shared" si="22"/>
        <v>13.708823594212383</v>
      </c>
      <c r="I68" s="5">
        <f>vals_co2_excLUC!$R68</f>
        <v>46.737953321925232</v>
      </c>
      <c r="J68" s="5">
        <f>vals_co2_excLUC!$X68</f>
        <v>46.565140051004107</v>
      </c>
      <c r="K68" s="5">
        <f>vals_co2_excLUC!$AD68</f>
        <v>46.751105934204041</v>
      </c>
      <c r="L68" s="5"/>
      <c r="M68" s="5">
        <f>vals_co2_excLUC!$S68</f>
        <v>60.459929528416424</v>
      </c>
      <c r="N68" s="5">
        <f>vals_co2_excLUC!$Y68</f>
        <v>60.501822312998002</v>
      </c>
      <c r="O68" s="5">
        <f>vals_co2_excLUC!$AE68</f>
        <v>60.476944008974833</v>
      </c>
      <c r="P68" s="5"/>
      <c r="Q68" s="9">
        <f t="shared" si="23"/>
        <v>4.1892784581577303E-2</v>
      </c>
      <c r="R68" s="9">
        <v>46.741</v>
      </c>
      <c r="S68" s="9">
        <v>60.463999999999999</v>
      </c>
    </row>
    <row r="69" spans="1:19" x14ac:dyDescent="0.35">
      <c r="A69" s="6">
        <f>vals_co2_excLUC!$A69</f>
        <v>1916</v>
      </c>
      <c r="B69" s="7">
        <f t="shared" si="16"/>
        <v>46.488152729834454</v>
      </c>
      <c r="C69" s="7">
        <f t="shared" si="17"/>
        <v>46.676505154038907</v>
      </c>
      <c r="D69" s="7">
        <f t="shared" si="18"/>
        <v>60.395490107948632</v>
      </c>
      <c r="E69" s="7">
        <f t="shared" si="19"/>
        <v>60.435662504478685</v>
      </c>
      <c r="F69" s="7">
        <f t="shared" si="20"/>
        <v>0.18835242420445297</v>
      </c>
      <c r="G69" s="7">
        <f t="shared" si="21"/>
        <v>0</v>
      </c>
      <c r="H69" s="7">
        <f t="shared" si="22"/>
        <v>13.718984953909725</v>
      </c>
      <c r="I69" s="8">
        <f>vals_co2_excLUC!$R69</f>
        <v>46.66334944817963</v>
      </c>
      <c r="J69" s="8">
        <f>vals_co2_excLUC!$X69</f>
        <v>46.488152729834454</v>
      </c>
      <c r="K69" s="8">
        <f>vals_co2_excLUC!$AD69</f>
        <v>46.676505154038907</v>
      </c>
      <c r="L69" s="8"/>
      <c r="M69" s="8">
        <f>vals_co2_excLUC!$S69</f>
        <v>60.395490107948632</v>
      </c>
      <c r="N69" s="8">
        <f>vals_co2_excLUC!$Y69</f>
        <v>60.435662504478685</v>
      </c>
      <c r="O69" s="8">
        <f>vals_co2_excLUC!$AE69</f>
        <v>60.412517631872518</v>
      </c>
      <c r="P69" s="8"/>
      <c r="Q69" s="9">
        <f t="shared" si="23"/>
        <v>4.0172396530053334E-2</v>
      </c>
      <c r="R69" s="9">
        <v>46.667000000000002</v>
      </c>
      <c r="S69" s="9">
        <v>60.4</v>
      </c>
    </row>
    <row r="70" spans="1:19" x14ac:dyDescent="0.35">
      <c r="A70" s="3">
        <f>vals_co2_excLUC!$A70</f>
        <v>1917</v>
      </c>
      <c r="B70" s="4">
        <f t="shared" si="16"/>
        <v>46.405107966593675</v>
      </c>
      <c r="C70" s="4">
        <f t="shared" si="17"/>
        <v>46.595804248392554</v>
      </c>
      <c r="D70" s="4">
        <f t="shared" si="18"/>
        <v>60.325785508609243</v>
      </c>
      <c r="E70" s="4">
        <f t="shared" si="19"/>
        <v>60.364210128081474</v>
      </c>
      <c r="F70" s="4">
        <f t="shared" si="20"/>
        <v>0.19069628179887843</v>
      </c>
      <c r="G70" s="4">
        <f t="shared" si="21"/>
        <v>0</v>
      </c>
      <c r="H70" s="4">
        <f t="shared" si="22"/>
        <v>13.72998126021669</v>
      </c>
      <c r="I70" s="5">
        <f>vals_co2_excLUC!$R70</f>
        <v>46.582645223230948</v>
      </c>
      <c r="J70" s="5">
        <f>vals_co2_excLUC!$X70</f>
        <v>46.405107966593675</v>
      </c>
      <c r="K70" s="5">
        <f>vals_co2_excLUC!$AD70</f>
        <v>46.595804248392554</v>
      </c>
      <c r="L70" s="5"/>
      <c r="M70" s="5">
        <f>vals_co2_excLUC!$S70</f>
        <v>60.325785508609243</v>
      </c>
      <c r="N70" s="5">
        <f>vals_co2_excLUC!$Y70</f>
        <v>60.364210128081474</v>
      </c>
      <c r="O70" s="5">
        <f>vals_co2_excLUC!$AE70</f>
        <v>60.34282714571961</v>
      </c>
      <c r="P70" s="5"/>
      <c r="Q70" s="9">
        <f t="shared" si="23"/>
        <v>3.8424619472230859E-2</v>
      </c>
      <c r="R70" s="9">
        <v>46.585999999999999</v>
      </c>
      <c r="S70" s="9">
        <v>60.33</v>
      </c>
    </row>
    <row r="71" spans="1:19" x14ac:dyDescent="0.35">
      <c r="A71" s="6">
        <f>vals_co2_excLUC!$A71</f>
        <v>1918</v>
      </c>
      <c r="B71" s="7">
        <f t="shared" si="16"/>
        <v>46.318283804951434</v>
      </c>
      <c r="C71" s="7">
        <f t="shared" si="17"/>
        <v>46.510700540396257</v>
      </c>
      <c r="D71" s="7">
        <f t="shared" si="18"/>
        <v>60.252945291645446</v>
      </c>
      <c r="E71" s="7">
        <f t="shared" si="19"/>
        <v>60.290081753363381</v>
      </c>
      <c r="F71" s="7">
        <f t="shared" si="20"/>
        <v>0.19241673544482296</v>
      </c>
      <c r="G71" s="7">
        <f t="shared" si="21"/>
        <v>0</v>
      </c>
      <c r="H71" s="7">
        <f t="shared" si="22"/>
        <v>13.742244751249189</v>
      </c>
      <c r="I71" s="8">
        <f>vals_co2_excLUC!$R71</f>
        <v>46.497538225658289</v>
      </c>
      <c r="J71" s="8">
        <f>vals_co2_excLUC!$X71</f>
        <v>46.318283804951434</v>
      </c>
      <c r="K71" s="8">
        <f>vals_co2_excLUC!$AD71</f>
        <v>46.510700540396257</v>
      </c>
      <c r="L71" s="8"/>
      <c r="M71" s="8">
        <f>vals_co2_excLUC!$S71</f>
        <v>60.252945291645446</v>
      </c>
      <c r="N71" s="8">
        <f>vals_co2_excLUC!$Y71</f>
        <v>60.290081753363381</v>
      </c>
      <c r="O71" s="8">
        <f>vals_co2_excLUC!$AE71</f>
        <v>60.270001769832845</v>
      </c>
      <c r="P71" s="8"/>
      <c r="Q71" s="9">
        <f t="shared" si="23"/>
        <v>3.7136461717935276E-2</v>
      </c>
      <c r="R71" s="9">
        <v>46.500999999999998</v>
      </c>
      <c r="S71" s="9">
        <v>60.256999999999998</v>
      </c>
    </row>
    <row r="72" spans="1:19" x14ac:dyDescent="0.35">
      <c r="A72" s="3">
        <f>vals_co2_excLUC!$A72</f>
        <v>1919</v>
      </c>
      <c r="B72" s="4">
        <f t="shared" si="16"/>
        <v>46.227868368340694</v>
      </c>
      <c r="C72" s="4">
        <f t="shared" si="17"/>
        <v>46.42235213172988</v>
      </c>
      <c r="D72" s="4">
        <f t="shared" si="18"/>
        <v>60.181161911269434</v>
      </c>
      <c r="E72" s="4">
        <f t="shared" si="19"/>
        <v>60.2168278579313</v>
      </c>
      <c r="F72" s="4">
        <f t="shared" si="20"/>
        <v>0.19448376338918649</v>
      </c>
      <c r="G72" s="4">
        <f t="shared" si="21"/>
        <v>0</v>
      </c>
      <c r="H72" s="4">
        <f t="shared" si="22"/>
        <v>13.758809779539554</v>
      </c>
      <c r="I72" s="5">
        <f>vals_co2_excLUC!$R72</f>
        <v>46.409187822849255</v>
      </c>
      <c r="J72" s="5">
        <f>vals_co2_excLUC!$X72</f>
        <v>46.227868368340694</v>
      </c>
      <c r="K72" s="5">
        <f>vals_co2_excLUC!$AD72</f>
        <v>46.42235213172988</v>
      </c>
      <c r="L72" s="5"/>
      <c r="M72" s="5">
        <f>vals_co2_excLUC!$S72</f>
        <v>60.181161911269434</v>
      </c>
      <c r="N72" s="5">
        <f>vals_co2_excLUC!$Y72</f>
        <v>60.2168278579313</v>
      </c>
      <c r="O72" s="5">
        <f>vals_co2_excLUC!$AE72</f>
        <v>60.198233087646244</v>
      </c>
      <c r="P72" s="5"/>
      <c r="Q72" s="9">
        <f t="shared" si="23"/>
        <v>3.5665946661865178E-2</v>
      </c>
      <c r="R72" s="9">
        <v>46.412999999999997</v>
      </c>
      <c r="S72" s="9">
        <v>60.185000000000002</v>
      </c>
    </row>
    <row r="73" spans="1:19" x14ac:dyDescent="0.35">
      <c r="A73" s="6">
        <f>vals_co2_excLUC!$A73</f>
        <v>1920</v>
      </c>
      <c r="B73" s="7">
        <f t="shared" si="16"/>
        <v>46.14680777975483</v>
      </c>
      <c r="C73" s="7">
        <f t="shared" si="17"/>
        <v>46.343118305234526</v>
      </c>
      <c r="D73" s="7">
        <f t="shared" si="18"/>
        <v>60.121262440631675</v>
      </c>
      <c r="E73" s="7">
        <f t="shared" si="19"/>
        <v>60.155539803086498</v>
      </c>
      <c r="F73" s="7">
        <f t="shared" si="20"/>
        <v>0.19631052547969574</v>
      </c>
      <c r="G73" s="7">
        <f t="shared" si="21"/>
        <v>0</v>
      </c>
      <c r="H73" s="7">
        <f t="shared" si="22"/>
        <v>13.778144135397149</v>
      </c>
      <c r="I73" s="8">
        <f>vals_co2_excLUC!$R73</f>
        <v>46.329952999233385</v>
      </c>
      <c r="J73" s="8">
        <f>vals_co2_excLUC!$X73</f>
        <v>46.14680777975483</v>
      </c>
      <c r="K73" s="8">
        <f>vals_co2_excLUC!$AD73</f>
        <v>46.343118305234526</v>
      </c>
      <c r="L73" s="8"/>
      <c r="M73" s="8">
        <f>vals_co2_excLUC!$S73</f>
        <v>60.121262440631675</v>
      </c>
      <c r="N73" s="8">
        <f>vals_co2_excLUC!$Y73</f>
        <v>60.155539803086498</v>
      </c>
      <c r="O73" s="8">
        <f>vals_co2_excLUC!$AE73</f>
        <v>60.138347086770153</v>
      </c>
      <c r="P73" s="8"/>
      <c r="Q73" s="9">
        <f t="shared" si="23"/>
        <v>3.4277362454822935E-2</v>
      </c>
      <c r="R73" s="9">
        <v>46.332999999999998</v>
      </c>
      <c r="S73" s="9">
        <v>60.125999999999998</v>
      </c>
    </row>
    <row r="74" spans="1:19" x14ac:dyDescent="0.35">
      <c r="A74" s="3">
        <f>vals_co2_excLUC!$A74</f>
        <v>1921</v>
      </c>
      <c r="B74" s="4">
        <f t="shared" si="16"/>
        <v>46.055860748105054</v>
      </c>
      <c r="C74" s="4">
        <f t="shared" si="17"/>
        <v>46.254196015816973</v>
      </c>
      <c r="D74" s="4">
        <f t="shared" si="18"/>
        <v>60.051534771305739</v>
      </c>
      <c r="E74" s="4">
        <f t="shared" si="19"/>
        <v>60.084307655226375</v>
      </c>
      <c r="F74" s="4">
        <f t="shared" si="20"/>
        <v>0.19833526771191856</v>
      </c>
      <c r="G74" s="4">
        <f t="shared" si="21"/>
        <v>0</v>
      </c>
      <c r="H74" s="4">
        <f t="shared" si="22"/>
        <v>13.797338755488767</v>
      </c>
      <c r="I74" s="5">
        <f>vals_co2_excLUC!$R74</f>
        <v>46.241028550081218</v>
      </c>
      <c r="J74" s="5">
        <f>vals_co2_excLUC!$X74</f>
        <v>46.055860748105054</v>
      </c>
      <c r="K74" s="5">
        <f>vals_co2_excLUC!$AD74</f>
        <v>46.254196015816973</v>
      </c>
      <c r="L74" s="5"/>
      <c r="M74" s="5">
        <f>vals_co2_excLUC!$S74</f>
        <v>60.051534771305739</v>
      </c>
      <c r="N74" s="5">
        <f>vals_co2_excLUC!$Y74</f>
        <v>60.084307655226375</v>
      </c>
      <c r="O74" s="5">
        <f>vals_co2_excLUC!$AE74</f>
        <v>60.068635225109787</v>
      </c>
      <c r="P74" s="5"/>
      <c r="Q74" s="9">
        <f t="shared" si="23"/>
        <v>3.277288392063582E-2</v>
      </c>
      <c r="R74" s="9">
        <v>46.244</v>
      </c>
      <c r="S74" s="9">
        <v>60.055999999999997</v>
      </c>
    </row>
    <row r="75" spans="1:19" x14ac:dyDescent="0.35">
      <c r="A75" s="6">
        <f>vals_co2_excLUC!$A75</f>
        <v>1922</v>
      </c>
      <c r="B75" s="7">
        <f t="shared" si="16"/>
        <v>45.979599499130579</v>
      </c>
      <c r="C75" s="7">
        <f t="shared" si="17"/>
        <v>46.179694048513255</v>
      </c>
      <c r="D75" s="7">
        <f t="shared" si="18"/>
        <v>59.992615888406739</v>
      </c>
      <c r="E75" s="7">
        <f t="shared" si="19"/>
        <v>60.024075291955917</v>
      </c>
      <c r="F75" s="7">
        <f t="shared" si="20"/>
        <v>0.20009454938267623</v>
      </c>
      <c r="G75" s="7">
        <f t="shared" si="21"/>
        <v>0</v>
      </c>
      <c r="H75" s="7">
        <f t="shared" si="22"/>
        <v>13.812921839893484</v>
      </c>
      <c r="I75" s="8">
        <f>vals_co2_excLUC!$R75</f>
        <v>46.166523653096739</v>
      </c>
      <c r="J75" s="8">
        <f>vals_co2_excLUC!$X75</f>
        <v>45.979599499130579</v>
      </c>
      <c r="K75" s="8">
        <f>vals_co2_excLUC!$AD75</f>
        <v>46.179694048513255</v>
      </c>
      <c r="L75" s="8"/>
      <c r="M75" s="8">
        <f>vals_co2_excLUC!$S75</f>
        <v>59.992615888406739</v>
      </c>
      <c r="N75" s="8">
        <f>vals_co2_excLUC!$Y75</f>
        <v>60.024075291955917</v>
      </c>
      <c r="O75" s="8">
        <f>vals_co2_excLUC!$AE75</f>
        <v>60.009730942068018</v>
      </c>
      <c r="P75" s="8"/>
      <c r="Q75" s="9">
        <f t="shared" si="23"/>
        <v>3.1459403549177978E-2</v>
      </c>
      <c r="R75" s="9">
        <v>46.17</v>
      </c>
      <c r="S75" s="9">
        <v>59.997</v>
      </c>
    </row>
    <row r="76" spans="1:19" x14ac:dyDescent="0.35">
      <c r="A76" s="3">
        <f>vals_co2_excLUC!$A76</f>
        <v>1923</v>
      </c>
      <c r="B76" s="4">
        <f t="shared" si="16"/>
        <v>45.898087832772497</v>
      </c>
      <c r="C76" s="4">
        <f t="shared" si="17"/>
        <v>46.10024205137708</v>
      </c>
      <c r="D76" s="4">
        <f t="shared" si="18"/>
        <v>59.929886082537209</v>
      </c>
      <c r="E76" s="4">
        <f t="shared" si="19"/>
        <v>59.959890914609971</v>
      </c>
      <c r="F76" s="4">
        <f t="shared" si="20"/>
        <v>0.20215421860458349</v>
      </c>
      <c r="G76" s="4">
        <f t="shared" si="21"/>
        <v>0</v>
      </c>
      <c r="H76" s="4">
        <f t="shared" si="22"/>
        <v>13.829644031160129</v>
      </c>
      <c r="I76" s="5">
        <f>vals_co2_excLUC!$R76</f>
        <v>46.08706896511093</v>
      </c>
      <c r="J76" s="5">
        <f>vals_co2_excLUC!$X76</f>
        <v>45.898087832772497</v>
      </c>
      <c r="K76" s="5">
        <f>vals_co2_excLUC!$AD76</f>
        <v>46.10024205137708</v>
      </c>
      <c r="L76" s="5"/>
      <c r="M76" s="5">
        <f>vals_co2_excLUC!$S76</f>
        <v>59.929886082537209</v>
      </c>
      <c r="N76" s="5">
        <f>vals_co2_excLUC!$Y76</f>
        <v>59.959890914609971</v>
      </c>
      <c r="O76" s="5">
        <f>vals_co2_excLUC!$AE76</f>
        <v>59.947016215648986</v>
      </c>
      <c r="P76" s="5"/>
      <c r="Q76" s="9">
        <f t="shared" si="23"/>
        <v>3.0004832072762611E-2</v>
      </c>
      <c r="R76" s="9">
        <v>46.09</v>
      </c>
      <c r="S76" s="9">
        <v>59.933999999999997</v>
      </c>
    </row>
    <row r="77" spans="1:19" x14ac:dyDescent="0.35">
      <c r="A77" s="6">
        <f>vals_co2_excLUC!$A77</f>
        <v>1924</v>
      </c>
      <c r="B77" s="7">
        <f t="shared" si="16"/>
        <v>45.802146125794032</v>
      </c>
      <c r="C77" s="7">
        <f t="shared" si="17"/>
        <v>46.006352868721137</v>
      </c>
      <c r="D77" s="7">
        <f t="shared" si="18"/>
        <v>59.856996513522063</v>
      </c>
      <c r="E77" s="7">
        <f t="shared" si="19"/>
        <v>59.885601054140004</v>
      </c>
      <c r="F77" s="7">
        <f t="shared" si="20"/>
        <v>0.20420674292710572</v>
      </c>
      <c r="G77" s="7">
        <f t="shared" si="21"/>
        <v>0</v>
      </c>
      <c r="H77" s="7">
        <f t="shared" si="22"/>
        <v>13.850643644800925</v>
      </c>
      <c r="I77" s="8">
        <f>vals_co2_excLUC!$R77</f>
        <v>45.99317779770827</v>
      </c>
      <c r="J77" s="8">
        <f>vals_co2_excLUC!$X77</f>
        <v>45.802146125794032</v>
      </c>
      <c r="K77" s="8">
        <f>vals_co2_excLUC!$AD77</f>
        <v>46.006352868721137</v>
      </c>
      <c r="L77" s="8"/>
      <c r="M77" s="8">
        <f>vals_co2_excLUC!$S77</f>
        <v>59.856996513522063</v>
      </c>
      <c r="N77" s="8">
        <f>vals_co2_excLUC!$Y77</f>
        <v>59.885601054140004</v>
      </c>
      <c r="O77" s="8">
        <f>vals_co2_excLUC!$AE77</f>
        <v>59.874143323014763</v>
      </c>
      <c r="P77" s="8"/>
      <c r="Q77" s="9">
        <f t="shared" si="23"/>
        <v>2.8604540617941154E-2</v>
      </c>
      <c r="R77" s="9">
        <v>45.996000000000002</v>
      </c>
      <c r="S77" s="9">
        <v>59.860999999999997</v>
      </c>
    </row>
    <row r="78" spans="1:19" x14ac:dyDescent="0.35">
      <c r="A78" s="3">
        <f>vals_co2_excLUC!$A78</f>
        <v>1925</v>
      </c>
      <c r="B78" s="4">
        <f t="shared" si="16"/>
        <v>45.706852941275493</v>
      </c>
      <c r="C78" s="4">
        <f t="shared" si="17"/>
        <v>45.91320431344873</v>
      </c>
      <c r="D78" s="4">
        <f t="shared" si="18"/>
        <v>59.78420307989235</v>
      </c>
      <c r="E78" s="4">
        <f t="shared" si="19"/>
        <v>59.811339641848896</v>
      </c>
      <c r="F78" s="4">
        <f t="shared" si="20"/>
        <v>0.20635137217323773</v>
      </c>
      <c r="G78" s="4">
        <f t="shared" si="21"/>
        <v>0</v>
      </c>
      <c r="H78" s="4">
        <f t="shared" si="22"/>
        <v>13.87099876644362</v>
      </c>
      <c r="I78" s="5">
        <f>vals_co2_excLUC!$R78</f>
        <v>45.900026933636674</v>
      </c>
      <c r="J78" s="5">
        <f>vals_co2_excLUC!$X78</f>
        <v>45.706852941275493</v>
      </c>
      <c r="K78" s="5">
        <f>vals_co2_excLUC!$AD78</f>
        <v>45.91320431344873</v>
      </c>
      <c r="L78" s="5"/>
      <c r="M78" s="5">
        <f>vals_co2_excLUC!$S78</f>
        <v>59.78420307989235</v>
      </c>
      <c r="N78" s="5">
        <f>vals_co2_excLUC!$Y78</f>
        <v>59.811339641848896</v>
      </c>
      <c r="O78" s="5">
        <f>vals_co2_excLUC!$AE78</f>
        <v>59.801366800543363</v>
      </c>
      <c r="P78" s="5"/>
      <c r="Q78" s="9">
        <f t="shared" si="23"/>
        <v>2.7136561956545791E-2</v>
      </c>
      <c r="R78" s="9">
        <v>45.902999999999999</v>
      </c>
      <c r="S78" s="9">
        <v>59.789000000000001</v>
      </c>
    </row>
    <row r="79" spans="1:19" x14ac:dyDescent="0.35">
      <c r="A79" s="6">
        <f>vals_co2_excLUC!$A79</f>
        <v>1926</v>
      </c>
      <c r="B79" s="7">
        <f t="shared" si="16"/>
        <v>45.609095037121435</v>
      </c>
      <c r="C79" s="7">
        <f t="shared" si="17"/>
        <v>45.818227693095217</v>
      </c>
      <c r="D79" s="7">
        <f t="shared" si="18"/>
        <v>59.710032743994489</v>
      </c>
      <c r="E79" s="7">
        <f t="shared" si="19"/>
        <v>59.735294909801809</v>
      </c>
      <c r="F79" s="7">
        <f t="shared" si="20"/>
        <v>0.20913265597378228</v>
      </c>
      <c r="G79" s="7">
        <f t="shared" si="21"/>
        <v>0</v>
      </c>
      <c r="H79" s="7">
        <f t="shared" si="22"/>
        <v>13.891805050899272</v>
      </c>
      <c r="I79" s="8">
        <f>vals_co2_excLUC!$R79</f>
        <v>45.805048328228729</v>
      </c>
      <c r="J79" s="8">
        <f>vals_co2_excLUC!$X79</f>
        <v>45.609095037121435</v>
      </c>
      <c r="K79" s="8">
        <f>vals_co2_excLUC!$AD79</f>
        <v>45.818227693095217</v>
      </c>
      <c r="L79" s="8"/>
      <c r="M79" s="8">
        <f>vals_co2_excLUC!$S79</f>
        <v>59.710032743994489</v>
      </c>
      <c r="N79" s="8">
        <f>vals_co2_excLUC!$Y79</f>
        <v>59.735294909801809</v>
      </c>
      <c r="O79" s="8">
        <f>vals_co2_excLUC!$AE79</f>
        <v>59.727213304590457</v>
      </c>
      <c r="P79" s="8"/>
      <c r="Q79" s="9">
        <f t="shared" si="23"/>
        <v>2.5262165807319548E-2</v>
      </c>
      <c r="R79" s="9">
        <v>45.808</v>
      </c>
      <c r="S79" s="9">
        <v>59.713999999999999</v>
      </c>
    </row>
    <row r="80" spans="1:19" x14ac:dyDescent="0.35">
      <c r="A80" s="3">
        <f>vals_co2_excLUC!$A80</f>
        <v>1927</v>
      </c>
      <c r="B80" s="4">
        <f t="shared" si="16"/>
        <v>45.514533187103787</v>
      </c>
      <c r="C80" s="4">
        <f t="shared" si="17"/>
        <v>45.726030857572347</v>
      </c>
      <c r="D80" s="4">
        <f t="shared" si="18"/>
        <v>59.636642528018001</v>
      </c>
      <c r="E80" s="4">
        <f t="shared" si="19"/>
        <v>59.660487841708175</v>
      </c>
      <c r="F80" s="4">
        <f t="shared" si="20"/>
        <v>0.21149767046856027</v>
      </c>
      <c r="G80" s="4">
        <f t="shared" si="21"/>
        <v>0</v>
      </c>
      <c r="H80" s="4">
        <f t="shared" si="22"/>
        <v>13.910611670445654</v>
      </c>
      <c r="I80" s="5">
        <f>vals_co2_excLUC!$R80</f>
        <v>45.712849194019157</v>
      </c>
      <c r="J80" s="5">
        <f>vals_co2_excLUC!$X80</f>
        <v>45.514533187103787</v>
      </c>
      <c r="K80" s="5">
        <f>vals_co2_excLUC!$AD80</f>
        <v>45.726030857572347</v>
      </c>
      <c r="L80" s="5"/>
      <c r="M80" s="5">
        <f>vals_co2_excLUC!$S80</f>
        <v>59.636642528018001</v>
      </c>
      <c r="N80" s="5">
        <f>vals_co2_excLUC!$Y80</f>
        <v>59.660487841708175</v>
      </c>
      <c r="O80" s="5">
        <f>vals_co2_excLUC!$AE80</f>
        <v>59.65383958055277</v>
      </c>
      <c r="P80" s="5"/>
      <c r="Q80" s="9">
        <f t="shared" si="23"/>
        <v>2.3845313690173953E-2</v>
      </c>
      <c r="R80" s="9">
        <v>45.716000000000001</v>
      </c>
      <c r="S80" s="9">
        <v>59.640999999999998</v>
      </c>
    </row>
    <row r="81" spans="1:19" x14ac:dyDescent="0.35">
      <c r="A81" s="6">
        <f>vals_co2_excLUC!$A81</f>
        <v>1928</v>
      </c>
      <c r="B81" s="7">
        <f t="shared" si="16"/>
        <v>45.410487980853624</v>
      </c>
      <c r="C81" s="7">
        <f t="shared" si="17"/>
        <v>45.624762763139934</v>
      </c>
      <c r="D81" s="7">
        <f t="shared" si="18"/>
        <v>59.554922897835027</v>
      </c>
      <c r="E81" s="7">
        <f t="shared" si="19"/>
        <v>59.577005816054751</v>
      </c>
      <c r="F81" s="7">
        <f t="shared" si="20"/>
        <v>0.21427478228631003</v>
      </c>
      <c r="G81" s="7">
        <f t="shared" si="21"/>
        <v>0</v>
      </c>
      <c r="H81" s="7">
        <f t="shared" si="22"/>
        <v>13.930160134695093</v>
      </c>
      <c r="I81" s="8">
        <f>vals_co2_excLUC!$R81</f>
        <v>45.611578770027023</v>
      </c>
      <c r="J81" s="8">
        <f>vals_co2_excLUC!$X81</f>
        <v>45.410487980853624</v>
      </c>
      <c r="K81" s="8">
        <f>vals_co2_excLUC!$AD81</f>
        <v>45.624762763139934</v>
      </c>
      <c r="L81" s="8"/>
      <c r="M81" s="8">
        <f>vals_co2_excLUC!$S81</f>
        <v>59.554922897835027</v>
      </c>
      <c r="N81" s="8">
        <f>vals_co2_excLUC!$Y81</f>
        <v>59.577005816054751</v>
      </c>
      <c r="O81" s="8">
        <f>vals_co2_excLUC!$AE81</f>
        <v>59.572137557757706</v>
      </c>
      <c r="P81" s="8"/>
      <c r="Q81" s="9">
        <f t="shared" si="23"/>
        <v>2.2082918219723524E-2</v>
      </c>
      <c r="R81" s="9">
        <v>45.615000000000002</v>
      </c>
      <c r="S81" s="9">
        <v>59.558999999999997</v>
      </c>
    </row>
    <row r="82" spans="1:19" x14ac:dyDescent="0.35">
      <c r="A82" s="3">
        <f>vals_co2_excLUC!$A82</f>
        <v>1929</v>
      </c>
      <c r="B82" s="4">
        <f t="shared" si="16"/>
        <v>45.308601442835453</v>
      </c>
      <c r="C82" s="4">
        <f t="shared" si="17"/>
        <v>45.524877602949147</v>
      </c>
      <c r="D82" s="4">
        <f t="shared" si="18"/>
        <v>59.47350053053384</v>
      </c>
      <c r="E82" s="4">
        <f t="shared" si="19"/>
        <v>59.494718696410828</v>
      </c>
      <c r="F82" s="4">
        <f t="shared" si="20"/>
        <v>0.21627616011369355</v>
      </c>
      <c r="G82" s="4">
        <f t="shared" si="21"/>
        <v>0</v>
      </c>
      <c r="H82" s="4">
        <f t="shared" si="22"/>
        <v>13.948622927584694</v>
      </c>
      <c r="I82" s="5">
        <f>vals_co2_excLUC!$R82</f>
        <v>45.511690999831956</v>
      </c>
      <c r="J82" s="5">
        <f>vals_co2_excLUC!$X82</f>
        <v>45.308601442835453</v>
      </c>
      <c r="K82" s="5">
        <f>vals_co2_excLUC!$AD82</f>
        <v>45.524877602949147</v>
      </c>
      <c r="L82" s="5"/>
      <c r="M82" s="5">
        <f>vals_co2_excLUC!$S82</f>
        <v>59.47350053053384</v>
      </c>
      <c r="N82" s="5">
        <f>vals_co2_excLUC!$Y82</f>
        <v>59.494718696410828</v>
      </c>
      <c r="O82" s="5">
        <f>vals_co2_excLUC!$AE82</f>
        <v>59.490732796924974</v>
      </c>
      <c r="P82" s="5"/>
      <c r="Q82" s="9">
        <f t="shared" si="23"/>
        <v>2.1218165876987882E-2</v>
      </c>
      <c r="R82" s="9">
        <v>45.515000000000001</v>
      </c>
      <c r="S82" s="9">
        <v>59.478000000000002</v>
      </c>
    </row>
    <row r="83" spans="1:19" x14ac:dyDescent="0.35">
      <c r="A83" s="6">
        <f>vals_co2_excLUC!$A83</f>
        <v>1930</v>
      </c>
      <c r="B83" s="7">
        <f t="shared" si="16"/>
        <v>45.198883434622203</v>
      </c>
      <c r="C83" s="7">
        <f t="shared" si="17"/>
        <v>45.417200975479339</v>
      </c>
      <c r="D83" s="7">
        <f t="shared" si="18"/>
        <v>59.385149641787812</v>
      </c>
      <c r="E83" s="7">
        <f t="shared" si="19"/>
        <v>59.405677814085145</v>
      </c>
      <c r="F83" s="7">
        <f t="shared" si="20"/>
        <v>0.21831754085713584</v>
      </c>
      <c r="G83" s="7">
        <f t="shared" si="21"/>
        <v>0</v>
      </c>
      <c r="H83" s="7">
        <f t="shared" si="22"/>
        <v>13.967948666308473</v>
      </c>
      <c r="I83" s="8">
        <f>vals_co2_excLUC!$R83</f>
        <v>45.404011701729637</v>
      </c>
      <c r="J83" s="8">
        <f>vals_co2_excLUC!$X83</f>
        <v>45.198883434622203</v>
      </c>
      <c r="K83" s="8">
        <f>vals_co2_excLUC!$AD83</f>
        <v>45.417200975479339</v>
      </c>
      <c r="L83" s="8"/>
      <c r="M83" s="8">
        <f>vals_co2_excLUC!$S83</f>
        <v>59.385149641787812</v>
      </c>
      <c r="N83" s="8">
        <f>vals_co2_excLUC!$Y83</f>
        <v>59.405677814085145</v>
      </c>
      <c r="O83" s="8">
        <f>vals_co2_excLUC!$AE83</f>
        <v>59.40240060958493</v>
      </c>
      <c r="P83" s="8"/>
      <c r="Q83" s="9">
        <f t="shared" si="23"/>
        <v>2.0528172297332503E-2</v>
      </c>
      <c r="R83" s="9">
        <v>45.406999999999996</v>
      </c>
      <c r="S83" s="9">
        <v>59.389000000000003</v>
      </c>
    </row>
    <row r="84" spans="1:19" x14ac:dyDescent="0.35">
      <c r="A84" s="3">
        <f>vals_co2_excLUC!$A84</f>
        <v>1931</v>
      </c>
      <c r="B84" s="4">
        <f t="shared" si="16"/>
        <v>45.100928679115491</v>
      </c>
      <c r="C84" s="4">
        <f t="shared" si="17"/>
        <v>45.320549705918573</v>
      </c>
      <c r="D84" s="4">
        <f t="shared" si="18"/>
        <v>59.304384298426626</v>
      </c>
      <c r="E84" s="4">
        <f t="shared" si="19"/>
        <v>59.324806615150614</v>
      </c>
      <c r="F84" s="4">
        <f t="shared" si="20"/>
        <v>0.21962102680308249</v>
      </c>
      <c r="G84" s="4">
        <f t="shared" si="21"/>
        <v>0</v>
      </c>
      <c r="H84" s="4">
        <f t="shared" si="22"/>
        <v>13.983834592508053</v>
      </c>
      <c r="I84" s="5">
        <f>vals_co2_excLUC!$R84</f>
        <v>45.307357158395554</v>
      </c>
      <c r="J84" s="5">
        <f>vals_co2_excLUC!$X84</f>
        <v>45.100928679115491</v>
      </c>
      <c r="K84" s="5">
        <f>vals_co2_excLUC!$AD84</f>
        <v>45.320549705918573</v>
      </c>
      <c r="L84" s="5"/>
      <c r="M84" s="5">
        <f>vals_co2_excLUC!$S84</f>
        <v>59.304384298426626</v>
      </c>
      <c r="N84" s="5">
        <f>vals_co2_excLUC!$Y84</f>
        <v>59.324806615150614</v>
      </c>
      <c r="O84" s="5">
        <f>vals_co2_excLUC!$AE84</f>
        <v>59.321652841946594</v>
      </c>
      <c r="P84" s="5"/>
      <c r="Q84" s="9">
        <f t="shared" si="23"/>
        <v>2.0422316723987421E-2</v>
      </c>
      <c r="R84" s="9">
        <v>45.311</v>
      </c>
      <c r="S84" s="9">
        <v>59.308999999999997</v>
      </c>
    </row>
    <row r="85" spans="1:19" x14ac:dyDescent="0.35">
      <c r="A85" s="6">
        <f>vals_co2_excLUC!$A85</f>
        <v>1932</v>
      </c>
      <c r="B85" s="7">
        <f t="shared" si="16"/>
        <v>45.017075876325805</v>
      </c>
      <c r="C85" s="7">
        <f t="shared" si="17"/>
        <v>45.237879432452473</v>
      </c>
      <c r="D85" s="7">
        <f t="shared" si="18"/>
        <v>59.232762518356182</v>
      </c>
      <c r="E85" s="7">
        <f t="shared" si="19"/>
        <v>59.252989955583999</v>
      </c>
      <c r="F85" s="7">
        <f t="shared" si="20"/>
        <v>0.22080355612666835</v>
      </c>
      <c r="G85" s="7">
        <f t="shared" si="21"/>
        <v>0</v>
      </c>
      <c r="H85" s="7">
        <f t="shared" si="22"/>
        <v>13.994883085903709</v>
      </c>
      <c r="I85" s="8">
        <f>vals_co2_excLUC!$R85</f>
        <v>45.224682848872888</v>
      </c>
      <c r="J85" s="8">
        <f>vals_co2_excLUC!$X85</f>
        <v>45.017075876325805</v>
      </c>
      <c r="K85" s="8">
        <f>vals_co2_excLUC!$AD85</f>
        <v>45.237879432452473</v>
      </c>
      <c r="L85" s="8"/>
      <c r="M85" s="8">
        <f>vals_co2_excLUC!$S85</f>
        <v>59.232762518356182</v>
      </c>
      <c r="N85" s="8">
        <f>vals_co2_excLUC!$Y85</f>
        <v>59.252989955583999</v>
      </c>
      <c r="O85" s="8">
        <f>vals_co2_excLUC!$AE85</f>
        <v>59.250047023724306</v>
      </c>
      <c r="P85" s="8"/>
      <c r="Q85" s="9">
        <f t="shared" si="23"/>
        <v>2.0227437227816836E-2</v>
      </c>
      <c r="R85" s="9">
        <v>45.228000000000002</v>
      </c>
      <c r="S85" s="9">
        <v>59.237000000000002</v>
      </c>
    </row>
    <row r="86" spans="1:19" x14ac:dyDescent="0.35">
      <c r="A86" s="3">
        <f>vals_co2_excLUC!$A86</f>
        <v>1933</v>
      </c>
      <c r="B86" s="4">
        <f t="shared" si="16"/>
        <v>44.944644961231255</v>
      </c>
      <c r="C86" s="4">
        <f t="shared" si="17"/>
        <v>45.166439330449705</v>
      </c>
      <c r="D86" s="4">
        <f t="shared" si="18"/>
        <v>59.169363662829454</v>
      </c>
      <c r="E86" s="4">
        <f t="shared" si="19"/>
        <v>59.189465929218379</v>
      </c>
      <c r="F86" s="4">
        <f t="shared" si="20"/>
        <v>0.22179436921845053</v>
      </c>
      <c r="G86" s="4">
        <f t="shared" si="21"/>
        <v>0</v>
      </c>
      <c r="H86" s="4">
        <f t="shared" si="22"/>
        <v>14.002924332379749</v>
      </c>
      <c r="I86" s="5">
        <f>vals_co2_excLUC!$R86</f>
        <v>45.153238176151838</v>
      </c>
      <c r="J86" s="5">
        <f>vals_co2_excLUC!$X86</f>
        <v>44.944644961231255</v>
      </c>
      <c r="K86" s="5">
        <f>vals_co2_excLUC!$AD86</f>
        <v>45.166439330449705</v>
      </c>
      <c r="L86" s="5"/>
      <c r="M86" s="5">
        <f>vals_co2_excLUC!$S86</f>
        <v>59.169363662829454</v>
      </c>
      <c r="N86" s="5">
        <f>vals_co2_excLUC!$Y86</f>
        <v>59.189465929218379</v>
      </c>
      <c r="O86" s="5">
        <f>vals_co2_excLUC!$AE86</f>
        <v>59.186662977658067</v>
      </c>
      <c r="P86" s="5"/>
      <c r="Q86" s="9">
        <f t="shared" si="23"/>
        <v>2.0102266388924761E-2</v>
      </c>
      <c r="R86" s="9">
        <v>45.156999999999996</v>
      </c>
      <c r="S86" s="9">
        <v>59.173999999999999</v>
      </c>
    </row>
    <row r="87" spans="1:19" x14ac:dyDescent="0.35">
      <c r="A87" s="6">
        <f>vals_co2_excLUC!$A87</f>
        <v>1934</v>
      </c>
      <c r="B87" s="7">
        <f t="shared" si="16"/>
        <v>44.868531045303413</v>
      </c>
      <c r="C87" s="7">
        <f t="shared" si="17"/>
        <v>45.091301138753451</v>
      </c>
      <c r="D87" s="7">
        <f t="shared" si="18"/>
        <v>59.102599094623173</v>
      </c>
      <c r="E87" s="7">
        <f t="shared" si="19"/>
        <v>59.122634752388414</v>
      </c>
      <c r="F87" s="7">
        <f t="shared" si="20"/>
        <v>0.22277009345003762</v>
      </c>
      <c r="G87" s="7">
        <f t="shared" si="21"/>
        <v>0</v>
      </c>
      <c r="H87" s="7">
        <f t="shared" si="22"/>
        <v>14.011297955869722</v>
      </c>
      <c r="I87" s="8">
        <f>vals_co2_excLUC!$R87</f>
        <v>45.078095119478924</v>
      </c>
      <c r="J87" s="8">
        <f>vals_co2_excLUC!$X87</f>
        <v>44.868531045303413</v>
      </c>
      <c r="K87" s="8">
        <f>vals_co2_excLUC!$AD87</f>
        <v>45.091301138753451</v>
      </c>
      <c r="L87" s="8"/>
      <c r="M87" s="8">
        <f>vals_co2_excLUC!$S87</f>
        <v>59.102599094623173</v>
      </c>
      <c r="N87" s="8">
        <f>vals_co2_excLUC!$Y87</f>
        <v>59.122634752388414</v>
      </c>
      <c r="O87" s="8">
        <f>vals_co2_excLUC!$AE87</f>
        <v>59.119914073346102</v>
      </c>
      <c r="P87" s="8"/>
      <c r="Q87" s="9">
        <f t="shared" si="23"/>
        <v>2.003565776524141E-2</v>
      </c>
      <c r="R87" s="9">
        <v>45.081000000000003</v>
      </c>
      <c r="S87" s="9">
        <v>59.106999999999999</v>
      </c>
    </row>
    <row r="88" spans="1:19" x14ac:dyDescent="0.35">
      <c r="A88" s="3">
        <f>vals_co2_excLUC!$A88</f>
        <v>1935</v>
      </c>
      <c r="B88" s="4">
        <f t="shared" si="16"/>
        <v>44.787648010794484</v>
      </c>
      <c r="C88" s="4">
        <f t="shared" si="17"/>
        <v>45.011367547438915</v>
      </c>
      <c r="D88" s="4">
        <f t="shared" si="18"/>
        <v>59.030487089152764</v>
      </c>
      <c r="E88" s="4">
        <f t="shared" si="19"/>
        <v>59.050569366368919</v>
      </c>
      <c r="F88" s="4">
        <f t="shared" si="20"/>
        <v>0.22371953664443112</v>
      </c>
      <c r="G88" s="4">
        <f t="shared" si="21"/>
        <v>0</v>
      </c>
      <c r="H88" s="4">
        <f t="shared" si="22"/>
        <v>14.019119541713849</v>
      </c>
      <c r="I88" s="5">
        <f>vals_co2_excLUC!$R88</f>
        <v>44.998155698595767</v>
      </c>
      <c r="J88" s="5">
        <f>vals_co2_excLUC!$X88</f>
        <v>44.787648010794484</v>
      </c>
      <c r="K88" s="5">
        <f>vals_co2_excLUC!$AD88</f>
        <v>45.011367547438915</v>
      </c>
      <c r="L88" s="5"/>
      <c r="M88" s="5">
        <f>vals_co2_excLUC!$S88</f>
        <v>59.030487089152764</v>
      </c>
      <c r="N88" s="5">
        <f>vals_co2_excLUC!$Y88</f>
        <v>59.050569366368919</v>
      </c>
      <c r="O88" s="5">
        <f>vals_co2_excLUC!$AE88</f>
        <v>59.047819312409459</v>
      </c>
      <c r="P88" s="5"/>
      <c r="Q88" s="9">
        <f t="shared" si="23"/>
        <v>2.0082277216154409E-2</v>
      </c>
      <c r="R88" s="9">
        <v>45.000999999999998</v>
      </c>
      <c r="S88" s="9">
        <v>59.034999999999997</v>
      </c>
    </row>
    <row r="89" spans="1:19" x14ac:dyDescent="0.35">
      <c r="A89" s="6">
        <f>vals_co2_excLUC!$A89</f>
        <v>1936</v>
      </c>
      <c r="B89" s="7">
        <f t="shared" si="16"/>
        <v>44.704619972644991</v>
      </c>
      <c r="C89" s="7">
        <f t="shared" si="17"/>
        <v>44.92916878711997</v>
      </c>
      <c r="D89" s="7">
        <f t="shared" si="18"/>
        <v>58.955534978258505</v>
      </c>
      <c r="E89" s="7">
        <f t="shared" si="19"/>
        <v>58.975879517709487</v>
      </c>
      <c r="F89" s="7">
        <f t="shared" si="20"/>
        <v>0.22454881447497854</v>
      </c>
      <c r="G89" s="7">
        <f t="shared" si="21"/>
        <v>0</v>
      </c>
      <c r="H89" s="7">
        <f t="shared" si="22"/>
        <v>14.026366191138536</v>
      </c>
      <c r="I89" s="8">
        <f>vals_co2_excLUC!$R89</f>
        <v>44.915950306050568</v>
      </c>
      <c r="J89" s="8">
        <f>vals_co2_excLUC!$X89</f>
        <v>44.704619972644991</v>
      </c>
      <c r="K89" s="8">
        <f>vals_co2_excLUC!$AD89</f>
        <v>44.92916878711997</v>
      </c>
      <c r="L89" s="8"/>
      <c r="M89" s="8">
        <f>vals_co2_excLUC!$S89</f>
        <v>58.955534978258505</v>
      </c>
      <c r="N89" s="8">
        <f>vals_co2_excLUC!$Y89</f>
        <v>58.975879517709487</v>
      </c>
      <c r="O89" s="8">
        <f>vals_co2_excLUC!$AE89</f>
        <v>58.972885581775124</v>
      </c>
      <c r="P89" s="8"/>
      <c r="Q89" s="9">
        <f t="shared" si="23"/>
        <v>2.0344539450981358E-2</v>
      </c>
      <c r="R89" s="9">
        <v>44.918999999999997</v>
      </c>
      <c r="S89" s="9">
        <v>58.96</v>
      </c>
    </row>
    <row r="90" spans="1:19" x14ac:dyDescent="0.35">
      <c r="A90" s="3">
        <f>vals_co2_excLUC!$A90</f>
        <v>1937</v>
      </c>
      <c r="B90" s="4">
        <f t="shared" si="16"/>
        <v>44.613128241540373</v>
      </c>
      <c r="C90" s="4">
        <f t="shared" si="17"/>
        <v>44.838419756879553</v>
      </c>
      <c r="D90" s="4">
        <f t="shared" si="18"/>
        <v>58.872173712818864</v>
      </c>
      <c r="E90" s="4">
        <f t="shared" si="19"/>
        <v>58.892951856982677</v>
      </c>
      <c r="F90" s="4">
        <f t="shared" si="20"/>
        <v>0.22529151533917968</v>
      </c>
      <c r="G90" s="4">
        <f t="shared" si="21"/>
        <v>0</v>
      </c>
      <c r="H90" s="4">
        <f t="shared" si="22"/>
        <v>14.033753955939311</v>
      </c>
      <c r="I90" s="5">
        <f>vals_co2_excLUC!$R90</f>
        <v>44.825194133796614</v>
      </c>
      <c r="J90" s="5">
        <f>vals_co2_excLUC!$X90</f>
        <v>44.613128241540373</v>
      </c>
      <c r="K90" s="5">
        <f>vals_co2_excLUC!$AD90</f>
        <v>44.838419756879553</v>
      </c>
      <c r="L90" s="5"/>
      <c r="M90" s="5">
        <f>vals_co2_excLUC!$S90</f>
        <v>58.872173712818864</v>
      </c>
      <c r="N90" s="5">
        <f>vals_co2_excLUC!$Y90</f>
        <v>58.892951856982677</v>
      </c>
      <c r="O90" s="5">
        <f>vals_co2_excLUC!$AE90</f>
        <v>58.889544243660694</v>
      </c>
      <c r="P90" s="5"/>
      <c r="Q90" s="9">
        <f t="shared" si="23"/>
        <v>2.0778144163813295E-2</v>
      </c>
      <c r="R90" s="9">
        <v>44.829000000000001</v>
      </c>
      <c r="S90" s="9">
        <v>58.877000000000002</v>
      </c>
    </row>
    <row r="91" spans="1:19" x14ac:dyDescent="0.35">
      <c r="A91" s="6">
        <f>vals_co2_excLUC!$A91</f>
        <v>1938</v>
      </c>
      <c r="B91" s="7">
        <f t="shared" si="16"/>
        <v>44.514417539732229</v>
      </c>
      <c r="C91" s="7">
        <f t="shared" si="17"/>
        <v>44.740614267151642</v>
      </c>
      <c r="D91" s="7">
        <f t="shared" si="18"/>
        <v>58.7831149274718</v>
      </c>
      <c r="E91" s="7">
        <f t="shared" si="19"/>
        <v>58.804344238400461</v>
      </c>
      <c r="F91" s="7">
        <f t="shared" si="20"/>
        <v>0.22619672741941343</v>
      </c>
      <c r="G91" s="7">
        <f t="shared" si="21"/>
        <v>0</v>
      </c>
      <c r="H91" s="7">
        <f t="shared" si="22"/>
        <v>14.042500660320158</v>
      </c>
      <c r="I91" s="8">
        <f>vals_co2_excLUC!$R91</f>
        <v>44.727381216335075</v>
      </c>
      <c r="J91" s="8">
        <f>vals_co2_excLUC!$X91</f>
        <v>44.514417539732229</v>
      </c>
      <c r="K91" s="8">
        <f>vals_co2_excLUC!$AD91</f>
        <v>44.740614267151642</v>
      </c>
      <c r="L91" s="8"/>
      <c r="M91" s="8">
        <f>vals_co2_excLUC!$S91</f>
        <v>58.7831149274718</v>
      </c>
      <c r="N91" s="8">
        <f>vals_co2_excLUC!$Y91</f>
        <v>58.804344238400461</v>
      </c>
      <c r="O91" s="8">
        <f>vals_co2_excLUC!$AE91</f>
        <v>58.800506873518707</v>
      </c>
      <c r="P91" s="8"/>
      <c r="Q91" s="9">
        <f t="shared" si="23"/>
        <v>2.1229310928660539E-2</v>
      </c>
      <c r="R91" s="9">
        <v>44.731000000000002</v>
      </c>
      <c r="S91" s="9">
        <v>58.786999999999999</v>
      </c>
    </row>
    <row r="92" spans="1:19" x14ac:dyDescent="0.35">
      <c r="A92" s="3">
        <f>vals_co2_excLUC!$A92</f>
        <v>1939</v>
      </c>
      <c r="B92" s="4">
        <f t="shared" si="16"/>
        <v>44.426797638094925</v>
      </c>
      <c r="C92" s="4">
        <f t="shared" si="17"/>
        <v>44.653238625502297</v>
      </c>
      <c r="D92" s="4">
        <f t="shared" si="18"/>
        <v>58.70041708165423</v>
      </c>
      <c r="E92" s="4">
        <f t="shared" si="19"/>
        <v>58.722667423098848</v>
      </c>
      <c r="F92" s="4">
        <f t="shared" si="20"/>
        <v>0.22644098740737206</v>
      </c>
      <c r="G92" s="4">
        <f t="shared" si="21"/>
        <v>0</v>
      </c>
      <c r="H92" s="4">
        <f t="shared" si="22"/>
        <v>14.047178456151933</v>
      </c>
      <c r="I92" s="5">
        <f>vals_co2_excLUC!$R92</f>
        <v>44.639997180638332</v>
      </c>
      <c r="J92" s="5">
        <f>vals_co2_excLUC!$X92</f>
        <v>44.426797638094925</v>
      </c>
      <c r="K92" s="5">
        <f>vals_co2_excLUC!$AD92</f>
        <v>44.653238625502297</v>
      </c>
      <c r="L92" s="5"/>
      <c r="M92" s="5">
        <f>vals_co2_excLUC!$S92</f>
        <v>58.70041708165423</v>
      </c>
      <c r="N92" s="5">
        <f>vals_co2_excLUC!$Y92</f>
        <v>58.722667423098848</v>
      </c>
      <c r="O92" s="5">
        <f>vals_co2_excLUC!$AE92</f>
        <v>58.717829596339179</v>
      </c>
      <c r="P92" s="5"/>
      <c r="Q92" s="9">
        <f t="shared" si="23"/>
        <v>2.2250341444618016E-2</v>
      </c>
      <c r="R92" s="9">
        <v>44.643000000000001</v>
      </c>
      <c r="S92" s="9">
        <v>58.704999999999998</v>
      </c>
    </row>
    <row r="93" spans="1:19" x14ac:dyDescent="0.35">
      <c r="A93" s="6">
        <f>vals_co2_excLUC!$A93</f>
        <v>1940</v>
      </c>
      <c r="B93" s="7">
        <f t="shared" si="16"/>
        <v>44.332026392311782</v>
      </c>
      <c r="C93" s="7">
        <f t="shared" si="17"/>
        <v>44.559083363876454</v>
      </c>
      <c r="D93" s="7">
        <f t="shared" si="18"/>
        <v>58.612974477315625</v>
      </c>
      <c r="E93" s="7">
        <f t="shared" si="19"/>
        <v>58.636137225221219</v>
      </c>
      <c r="F93" s="7">
        <f t="shared" si="20"/>
        <v>0.22705697156467153</v>
      </c>
      <c r="G93" s="7">
        <f t="shared" si="21"/>
        <v>0</v>
      </c>
      <c r="H93" s="7">
        <f t="shared" si="22"/>
        <v>14.053891113439171</v>
      </c>
      <c r="I93" s="8">
        <f>vals_co2_excLUC!$R93</f>
        <v>44.545833538739068</v>
      </c>
      <c r="J93" s="8">
        <f>vals_co2_excLUC!$X93</f>
        <v>44.332026392311782</v>
      </c>
      <c r="K93" s="8">
        <f>vals_co2_excLUC!$AD93</f>
        <v>44.559083363876454</v>
      </c>
      <c r="L93" s="8"/>
      <c r="M93" s="8">
        <f>vals_co2_excLUC!$S93</f>
        <v>58.612974477315625</v>
      </c>
      <c r="N93" s="8">
        <f>vals_co2_excLUC!$Y93</f>
        <v>58.636137225221219</v>
      </c>
      <c r="O93" s="8">
        <f>vals_co2_excLUC!$AE93</f>
        <v>58.630408833978954</v>
      </c>
      <c r="P93" s="8"/>
      <c r="Q93" s="9">
        <f t="shared" si="23"/>
        <v>2.3162747905594472E-2</v>
      </c>
      <c r="R93" s="9">
        <v>44.548999999999999</v>
      </c>
      <c r="S93" s="9">
        <v>58.616999999999997</v>
      </c>
    </row>
    <row r="94" spans="1:19" x14ac:dyDescent="0.35">
      <c r="A94" s="3">
        <f>vals_co2_excLUC!$A94</f>
        <v>1941</v>
      </c>
      <c r="B94" s="4">
        <f t="shared" si="16"/>
        <v>44.237459074976556</v>
      </c>
      <c r="C94" s="4">
        <f t="shared" si="17"/>
        <v>44.464580344918616</v>
      </c>
      <c r="D94" s="4">
        <f t="shared" si="18"/>
        <v>58.5167870492443</v>
      </c>
      <c r="E94" s="4">
        <f t="shared" si="19"/>
        <v>58.541037820296502</v>
      </c>
      <c r="F94" s="4">
        <f t="shared" si="20"/>
        <v>0.22712126994206017</v>
      </c>
      <c r="G94" s="4">
        <f t="shared" si="21"/>
        <v>0</v>
      </c>
      <c r="H94" s="4">
        <f t="shared" si="22"/>
        <v>14.052206704325684</v>
      </c>
      <c r="I94" s="5">
        <f>vals_co2_excLUC!$R94</f>
        <v>44.451318809148574</v>
      </c>
      <c r="J94" s="5">
        <f>vals_co2_excLUC!$X94</f>
        <v>44.237459074976556</v>
      </c>
      <c r="K94" s="5">
        <f>vals_co2_excLUC!$AD94</f>
        <v>44.464580344918616</v>
      </c>
      <c r="L94" s="5"/>
      <c r="M94" s="5">
        <f>vals_co2_excLUC!$S94</f>
        <v>58.5167870492443</v>
      </c>
      <c r="N94" s="5">
        <f>vals_co2_excLUC!$Y94</f>
        <v>58.541037820296502</v>
      </c>
      <c r="O94" s="5">
        <f>vals_co2_excLUC!$AE94</f>
        <v>58.53424522128897</v>
      </c>
      <c r="P94" s="5"/>
      <c r="Q94" s="9">
        <f t="shared" si="23"/>
        <v>2.4250771052201969E-2</v>
      </c>
      <c r="R94" s="9">
        <v>44.454999999999998</v>
      </c>
      <c r="S94" s="9">
        <v>58.521000000000001</v>
      </c>
    </row>
    <row r="95" spans="1:19" x14ac:dyDescent="0.35">
      <c r="A95" s="6">
        <f>vals_co2_excLUC!$A95</f>
        <v>1942</v>
      </c>
      <c r="B95" s="7">
        <f t="shared" si="16"/>
        <v>44.135696196157674</v>
      </c>
      <c r="C95" s="7">
        <f t="shared" si="17"/>
        <v>44.362216613543495</v>
      </c>
      <c r="D95" s="7">
        <f t="shared" si="18"/>
        <v>58.417108215388211</v>
      </c>
      <c r="E95" s="7">
        <f t="shared" si="19"/>
        <v>58.443066367345118</v>
      </c>
      <c r="F95" s="7">
        <f t="shared" si="20"/>
        <v>0.22652041738582085</v>
      </c>
      <c r="G95" s="7">
        <f t="shared" si="21"/>
        <v>0</v>
      </c>
      <c r="H95" s="7">
        <f t="shared" si="22"/>
        <v>14.054891601844716</v>
      </c>
      <c r="I95" s="8">
        <f>vals_co2_excLUC!$R95</f>
        <v>44.348944647128299</v>
      </c>
      <c r="J95" s="8">
        <f>vals_co2_excLUC!$X95</f>
        <v>44.135696196157674</v>
      </c>
      <c r="K95" s="8">
        <f>vals_co2_excLUC!$AD95</f>
        <v>44.362216613543495</v>
      </c>
      <c r="L95" s="8"/>
      <c r="M95" s="8">
        <f>vals_co2_excLUC!$S95</f>
        <v>58.417108215388211</v>
      </c>
      <c r="N95" s="8">
        <f>vals_co2_excLUC!$Y95</f>
        <v>58.443066367345118</v>
      </c>
      <c r="O95" s="8">
        <f>vals_co2_excLUC!$AE95</f>
        <v>58.434590539201047</v>
      </c>
      <c r="P95" s="8"/>
      <c r="Q95" s="9">
        <f t="shared" si="23"/>
        <v>2.5958151956906761E-2</v>
      </c>
      <c r="R95" s="9">
        <v>44.351999999999997</v>
      </c>
      <c r="S95" s="9">
        <v>58.421999999999997</v>
      </c>
    </row>
    <row r="96" spans="1:19" x14ac:dyDescent="0.35">
      <c r="A96" s="3">
        <f>vals_co2_excLUC!$A96</f>
        <v>1943</v>
      </c>
      <c r="B96" s="4">
        <f t="shared" si="16"/>
        <v>44.024151660406233</v>
      </c>
      <c r="C96" s="4">
        <f t="shared" si="17"/>
        <v>44.249300716041127</v>
      </c>
      <c r="D96" s="4">
        <f t="shared" si="18"/>
        <v>58.315592090335478</v>
      </c>
      <c r="E96" s="4">
        <f t="shared" si="19"/>
        <v>58.34110354141766</v>
      </c>
      <c r="F96" s="4">
        <f t="shared" si="20"/>
        <v>0.22514905563489407</v>
      </c>
      <c r="G96" s="4">
        <f t="shared" si="21"/>
        <v>0</v>
      </c>
      <c r="H96" s="4">
        <f t="shared" si="22"/>
        <v>14.066291374294352</v>
      </c>
      <c r="I96" s="5">
        <f>vals_co2_excLUC!$R96</f>
        <v>44.236021619514702</v>
      </c>
      <c r="J96" s="5">
        <f>vals_co2_excLUC!$X96</f>
        <v>44.024151660406233</v>
      </c>
      <c r="K96" s="5">
        <f>vals_co2_excLUC!$AD96</f>
        <v>44.249300716041127</v>
      </c>
      <c r="L96" s="5"/>
      <c r="M96" s="5">
        <f>vals_co2_excLUC!$S96</f>
        <v>58.315592090335478</v>
      </c>
      <c r="N96" s="5">
        <f>vals_co2_excLUC!$Y96</f>
        <v>58.34110354141766</v>
      </c>
      <c r="O96" s="5">
        <f>vals_co2_excLUC!$AE96</f>
        <v>58.333097984253456</v>
      </c>
      <c r="P96" s="5"/>
      <c r="Q96" s="9">
        <f t="shared" si="23"/>
        <v>2.5511451082181225E-2</v>
      </c>
      <c r="R96" s="9">
        <v>44.238999999999997</v>
      </c>
      <c r="S96" s="9">
        <v>58.32</v>
      </c>
    </row>
    <row r="97" spans="1:19" x14ac:dyDescent="0.35">
      <c r="A97" s="6">
        <f>vals_co2_excLUC!$A97</f>
        <v>1944</v>
      </c>
      <c r="B97" s="7">
        <f t="shared" si="16"/>
        <v>43.913424824505626</v>
      </c>
      <c r="C97" s="7">
        <f t="shared" si="17"/>
        <v>44.133997523303158</v>
      </c>
      <c r="D97" s="7">
        <f t="shared" si="18"/>
        <v>58.21045327352887</v>
      </c>
      <c r="E97" s="7">
        <f t="shared" si="19"/>
        <v>58.235539915276632</v>
      </c>
      <c r="F97" s="7">
        <f t="shared" si="20"/>
        <v>0.2205726987975325</v>
      </c>
      <c r="G97" s="7">
        <f t="shared" si="21"/>
        <v>0</v>
      </c>
      <c r="H97" s="7">
        <f t="shared" si="22"/>
        <v>14.076455750225712</v>
      </c>
      <c r="I97" s="8">
        <f>vals_co2_excLUC!$R97</f>
        <v>44.12071117693209</v>
      </c>
      <c r="J97" s="8">
        <f>vals_co2_excLUC!$X97</f>
        <v>43.913424824505626</v>
      </c>
      <c r="K97" s="8">
        <f>vals_co2_excLUC!$AD97</f>
        <v>44.133997523303158</v>
      </c>
      <c r="L97" s="8"/>
      <c r="M97" s="8">
        <f>vals_co2_excLUC!$S97</f>
        <v>58.21045327352887</v>
      </c>
      <c r="N97" s="8">
        <f>vals_co2_excLUC!$Y97</f>
        <v>58.235539915276632</v>
      </c>
      <c r="O97" s="8">
        <f>vals_co2_excLUC!$AE97</f>
        <v>58.227982840985881</v>
      </c>
      <c r="P97" s="8"/>
      <c r="Q97" s="9">
        <f t="shared" si="23"/>
        <v>2.5086641747762428E-2</v>
      </c>
      <c r="R97" s="9">
        <v>44.124000000000002</v>
      </c>
      <c r="S97" s="9">
        <v>58.215000000000003</v>
      </c>
    </row>
    <row r="98" spans="1:19" x14ac:dyDescent="0.35">
      <c r="A98" s="3">
        <f>vals_co2_excLUC!$A98</f>
        <v>1945</v>
      </c>
      <c r="B98" s="4">
        <f t="shared" si="16"/>
        <v>43.802991317301519</v>
      </c>
      <c r="C98" s="4">
        <f t="shared" si="17"/>
        <v>44.020840185872714</v>
      </c>
      <c r="D98" s="4">
        <f t="shared" si="18"/>
        <v>58.10392704439262</v>
      </c>
      <c r="E98" s="4">
        <f t="shared" si="19"/>
        <v>58.132596415661673</v>
      </c>
      <c r="F98" s="4">
        <f t="shared" si="20"/>
        <v>0.21784886857119545</v>
      </c>
      <c r="G98" s="4">
        <f t="shared" si="21"/>
        <v>0</v>
      </c>
      <c r="H98" s="4">
        <f t="shared" si="22"/>
        <v>14.083086858519906</v>
      </c>
      <c r="I98" s="5">
        <f>vals_co2_excLUC!$R98</f>
        <v>44.007545199558173</v>
      </c>
      <c r="J98" s="5">
        <f>vals_co2_excLUC!$X98</f>
        <v>43.802991317301519</v>
      </c>
      <c r="K98" s="5">
        <f>vals_co2_excLUC!$AD98</f>
        <v>44.020840185872714</v>
      </c>
      <c r="L98" s="5"/>
      <c r="M98" s="5">
        <f>vals_co2_excLUC!$S98</f>
        <v>58.10392704439262</v>
      </c>
      <c r="N98" s="5">
        <f>vals_co2_excLUC!$Y98</f>
        <v>58.132596415661673</v>
      </c>
      <c r="O98" s="5">
        <f>vals_co2_excLUC!$AE98</f>
        <v>58.12148093573596</v>
      </c>
      <c r="P98" s="5"/>
      <c r="Q98" s="9">
        <f t="shared" si="23"/>
        <v>2.8669371269053556E-2</v>
      </c>
      <c r="R98" s="9">
        <v>44.011000000000003</v>
      </c>
      <c r="S98" s="9">
        <v>58.107999999999997</v>
      </c>
    </row>
    <row r="99" spans="1:19" x14ac:dyDescent="0.35">
      <c r="A99" s="6">
        <f>vals_co2_excLUC!$A99</f>
        <v>1946</v>
      </c>
      <c r="B99" s="7">
        <f t="shared" ref="B99:B130" si="24">IFERROR(_xlfn.AGGREGATE(5,6,I99:L99),"")</f>
        <v>43.711548716140427</v>
      </c>
      <c r="C99" s="7">
        <f t="shared" ref="C99:C130" si="25">IFERROR(_xlfn.AGGREGATE(4,6,I99:L99),"")</f>
        <v>43.925315557232793</v>
      </c>
      <c r="D99" s="7">
        <f t="shared" ref="D99:D130" si="26">IFERROR(_xlfn.AGGREGATE(5,6,M99:P99),"")</f>
        <v>58.017019347730511</v>
      </c>
      <c r="E99" s="7">
        <f t="shared" ref="E99:E130" si="27">IFERROR(_xlfn.AGGREGATE(4,6,M99:P99),"")</f>
        <v>58.050753112627454</v>
      </c>
      <c r="F99" s="7">
        <f t="shared" ref="F99:F130" si="28">IFERROR(MIN(C99,D99)-B99,"")</f>
        <v>0.21376684109236521</v>
      </c>
      <c r="G99" s="7">
        <f t="shared" ref="G99:G130" si="29">IFERROR(MAX(0,C99-D99),"")</f>
        <v>0</v>
      </c>
      <c r="H99" s="7">
        <f t="shared" ref="H99:H130" si="30">IFERROR(MAX(0,D99-C99),"")</f>
        <v>14.091703790497718</v>
      </c>
      <c r="I99" s="8">
        <f>vals_co2_excLUC!$R99</f>
        <v>43.912013806066788</v>
      </c>
      <c r="J99" s="8">
        <f>vals_co2_excLUC!$X99</f>
        <v>43.711548716140427</v>
      </c>
      <c r="K99" s="8">
        <f>vals_co2_excLUC!$AD99</f>
        <v>43.925315557232793</v>
      </c>
      <c r="L99" s="8"/>
      <c r="M99" s="8">
        <f>vals_co2_excLUC!$S99</f>
        <v>58.017019347730511</v>
      </c>
      <c r="N99" s="8">
        <f>vals_co2_excLUC!$Y99</f>
        <v>58.050753112627454</v>
      </c>
      <c r="O99" s="8">
        <f>vals_co2_excLUC!$AE99</f>
        <v>58.034594053400113</v>
      </c>
      <c r="P99" s="8"/>
      <c r="Q99" s="9">
        <f t="shared" ref="Q99:Q130" si="31">IFERROR(MAX(0,$E99-MAX($C99,$D99)),"")</f>
        <v>3.3733764896943796E-2</v>
      </c>
      <c r="R99" s="9">
        <v>43.914999999999999</v>
      </c>
      <c r="S99" s="9">
        <v>58.021000000000001</v>
      </c>
    </row>
    <row r="100" spans="1:19" x14ac:dyDescent="0.35">
      <c r="A100" s="3">
        <f>vals_co2_excLUC!$A100</f>
        <v>1947</v>
      </c>
      <c r="B100" s="4">
        <f t="shared" si="24"/>
        <v>43.616011653453093</v>
      </c>
      <c r="C100" s="4">
        <f t="shared" si="25"/>
        <v>43.825584454986306</v>
      </c>
      <c r="D100" s="4">
        <f t="shared" si="26"/>
        <v>57.92260112269868</v>
      </c>
      <c r="E100" s="4">
        <f t="shared" si="27"/>
        <v>57.962358371558267</v>
      </c>
      <c r="F100" s="4">
        <f t="shared" si="28"/>
        <v>0.20957280153321278</v>
      </c>
      <c r="G100" s="4">
        <f t="shared" si="29"/>
        <v>0</v>
      </c>
      <c r="H100" s="4">
        <f t="shared" si="30"/>
        <v>14.097016667712374</v>
      </c>
      <c r="I100" s="5">
        <f>vals_co2_excLUC!$R100</f>
        <v>43.812274485741199</v>
      </c>
      <c r="J100" s="5">
        <f>vals_co2_excLUC!$X100</f>
        <v>43.616011653453093</v>
      </c>
      <c r="K100" s="5">
        <f>vals_co2_excLUC!$AD100</f>
        <v>43.825584454986306</v>
      </c>
      <c r="L100" s="5"/>
      <c r="M100" s="5">
        <f>vals_co2_excLUC!$S100</f>
        <v>57.92260112269868</v>
      </c>
      <c r="N100" s="5">
        <f>vals_co2_excLUC!$Y100</f>
        <v>57.962358371558267</v>
      </c>
      <c r="O100" s="5">
        <f>vals_co2_excLUC!$AE100</f>
        <v>57.940197973659423</v>
      </c>
      <c r="P100" s="5"/>
      <c r="Q100" s="9">
        <f t="shared" si="31"/>
        <v>3.975724885958698E-2</v>
      </c>
      <c r="R100" s="9">
        <v>43.816000000000003</v>
      </c>
      <c r="S100" s="9">
        <v>57.927</v>
      </c>
    </row>
    <row r="101" spans="1:19" x14ac:dyDescent="0.35">
      <c r="A101" s="6">
        <f>vals_co2_excLUC!$A101</f>
        <v>1948</v>
      </c>
      <c r="B101" s="7">
        <f t="shared" si="24"/>
        <v>43.506341146570684</v>
      </c>
      <c r="C101" s="7">
        <f t="shared" si="25"/>
        <v>43.713962182738989</v>
      </c>
      <c r="D101" s="7">
        <f t="shared" si="26"/>
        <v>57.816694800903015</v>
      </c>
      <c r="E101" s="7">
        <f t="shared" si="27"/>
        <v>57.859971298847135</v>
      </c>
      <c r="F101" s="7">
        <f t="shared" si="28"/>
        <v>0.2076210361683053</v>
      </c>
      <c r="G101" s="7">
        <f t="shared" si="29"/>
        <v>0</v>
      </c>
      <c r="H101" s="7">
        <f t="shared" si="30"/>
        <v>14.102732618164026</v>
      </c>
      <c r="I101" s="8">
        <f>vals_co2_excLUC!$R101</f>
        <v>43.700642929789865</v>
      </c>
      <c r="J101" s="8">
        <f>vals_co2_excLUC!$X101</f>
        <v>43.506341146570684</v>
      </c>
      <c r="K101" s="8">
        <f>vals_co2_excLUC!$AD101</f>
        <v>43.713962182738989</v>
      </c>
      <c r="L101" s="8"/>
      <c r="M101" s="8">
        <f>vals_co2_excLUC!$S101</f>
        <v>57.816694800903015</v>
      </c>
      <c r="N101" s="8">
        <f>vals_co2_excLUC!$Y101</f>
        <v>57.859971298847135</v>
      </c>
      <c r="O101" s="8">
        <f>vals_co2_excLUC!$AE101</f>
        <v>57.834316629054442</v>
      </c>
      <c r="P101" s="8"/>
      <c r="Q101" s="9">
        <f t="shared" si="31"/>
        <v>4.3276497944120251E-2</v>
      </c>
      <c r="R101" s="9">
        <v>43.704000000000001</v>
      </c>
      <c r="S101" s="9">
        <v>57.820999999999998</v>
      </c>
    </row>
    <row r="102" spans="1:19" x14ac:dyDescent="0.35">
      <c r="A102" s="3">
        <f>vals_co2_excLUC!$A102</f>
        <v>1949</v>
      </c>
      <c r="B102" s="4">
        <f t="shared" si="24"/>
        <v>43.387839962155915</v>
      </c>
      <c r="C102" s="4">
        <f t="shared" si="25"/>
        <v>43.594089286094302</v>
      </c>
      <c r="D102" s="4">
        <f t="shared" si="26"/>
        <v>57.702503479876889</v>
      </c>
      <c r="E102" s="4">
        <f t="shared" si="27"/>
        <v>57.748577120928893</v>
      </c>
      <c r="F102" s="4">
        <f t="shared" si="28"/>
        <v>0.20624932393838691</v>
      </c>
      <c r="G102" s="4">
        <f t="shared" si="29"/>
        <v>0</v>
      </c>
      <c r="H102" s="4">
        <f t="shared" si="30"/>
        <v>14.108414193782586</v>
      </c>
      <c r="I102" s="5">
        <f>vals_co2_excLUC!$R102</f>
        <v>43.580760830540576</v>
      </c>
      <c r="J102" s="5">
        <f>vals_co2_excLUC!$X102</f>
        <v>43.387839962155915</v>
      </c>
      <c r="K102" s="5">
        <f>vals_co2_excLUC!$AD102</f>
        <v>43.594089286094302</v>
      </c>
      <c r="L102" s="5"/>
      <c r="M102" s="5">
        <f>vals_co2_excLUC!$S102</f>
        <v>57.702503479876889</v>
      </c>
      <c r="N102" s="5">
        <f>vals_co2_excLUC!$Y102</f>
        <v>57.748577120928893</v>
      </c>
      <c r="O102" s="5">
        <f>vals_co2_excLUC!$AE102</f>
        <v>57.720151067664339</v>
      </c>
      <c r="P102" s="5"/>
      <c r="Q102" s="9">
        <f t="shared" si="31"/>
        <v>4.6073641052004177E-2</v>
      </c>
      <c r="R102" s="9">
        <v>43.584000000000003</v>
      </c>
      <c r="S102" s="9">
        <v>57.707000000000001</v>
      </c>
    </row>
    <row r="103" spans="1:19" x14ac:dyDescent="0.35">
      <c r="A103" s="6">
        <f>vals_co2_excLUC!$A103</f>
        <v>1950</v>
      </c>
      <c r="B103" s="7">
        <f t="shared" si="24"/>
        <v>43.283913025230383</v>
      </c>
      <c r="C103" s="7">
        <f t="shared" si="25"/>
        <v>43.487586682600551</v>
      </c>
      <c r="D103" s="7">
        <f t="shared" si="26"/>
        <v>57.593886030014808</v>
      </c>
      <c r="E103" s="7">
        <f t="shared" si="27"/>
        <v>57.644057055282872</v>
      </c>
      <c r="F103" s="7">
        <f t="shared" si="28"/>
        <v>0.2036736573701674</v>
      </c>
      <c r="G103" s="7">
        <f t="shared" si="29"/>
        <v>0</v>
      </c>
      <c r="H103" s="7">
        <f t="shared" si="30"/>
        <v>14.106299347414257</v>
      </c>
      <c r="I103" s="8">
        <f>vals_co2_excLUC!$R103</f>
        <v>43.474246921527751</v>
      </c>
      <c r="J103" s="8">
        <f>vals_co2_excLUC!$X103</f>
        <v>43.283913025230383</v>
      </c>
      <c r="K103" s="8">
        <f>vals_co2_excLUC!$AD103</f>
        <v>43.487586682600551</v>
      </c>
      <c r="L103" s="8"/>
      <c r="M103" s="8">
        <f>vals_co2_excLUC!$S103</f>
        <v>57.593886030014808</v>
      </c>
      <c r="N103" s="8">
        <f>vals_co2_excLUC!$Y103</f>
        <v>57.644057055282872</v>
      </c>
      <c r="O103" s="8">
        <f>vals_co2_excLUC!$AE103</f>
        <v>57.611558532601173</v>
      </c>
      <c r="P103" s="8"/>
      <c r="Q103" s="9">
        <f t="shared" si="31"/>
        <v>5.0171025268063829E-2</v>
      </c>
      <c r="R103" s="9">
        <v>43.478000000000002</v>
      </c>
      <c r="S103" s="9">
        <v>57.597999999999999</v>
      </c>
    </row>
    <row r="104" spans="1:19" x14ac:dyDescent="0.35">
      <c r="A104" s="3">
        <f>vals_co2_excLUC!$A104</f>
        <v>1951</v>
      </c>
      <c r="B104" s="4">
        <f t="shared" si="24"/>
        <v>43.161920956794035</v>
      </c>
      <c r="C104" s="4">
        <f t="shared" si="25"/>
        <v>43.367992785385631</v>
      </c>
      <c r="D104" s="4">
        <f t="shared" si="26"/>
        <v>57.47338557387377</v>
      </c>
      <c r="E104" s="4">
        <f t="shared" si="27"/>
        <v>57.520514085741759</v>
      </c>
      <c r="F104" s="4">
        <f t="shared" si="28"/>
        <v>0.20607182859159678</v>
      </c>
      <c r="G104" s="4">
        <f t="shared" si="29"/>
        <v>0</v>
      </c>
      <c r="H104" s="4">
        <f t="shared" si="30"/>
        <v>14.105392788488139</v>
      </c>
      <c r="I104" s="5">
        <f>vals_co2_excLUC!$R104</f>
        <v>43.354640613899846</v>
      </c>
      <c r="J104" s="5">
        <f>vals_co2_excLUC!$X104</f>
        <v>43.161920956794035</v>
      </c>
      <c r="K104" s="5">
        <f>vals_co2_excLUC!$AD104</f>
        <v>43.367992785385631</v>
      </c>
      <c r="L104" s="5"/>
      <c r="M104" s="5">
        <f>vals_co2_excLUC!$S104</f>
        <v>57.47338557387377</v>
      </c>
      <c r="N104" s="5">
        <f>vals_co2_excLUC!$Y104</f>
        <v>57.520514085741759</v>
      </c>
      <c r="O104" s="5">
        <f>vals_co2_excLUC!$AE104</f>
        <v>57.491086206739006</v>
      </c>
      <c r="P104" s="5"/>
      <c r="Q104" s="9">
        <f t="shared" si="31"/>
        <v>4.712851186798872E-2</v>
      </c>
      <c r="R104" s="9">
        <v>43.357999999999997</v>
      </c>
      <c r="S104" s="9">
        <v>57.478000000000002</v>
      </c>
    </row>
    <row r="105" spans="1:19" x14ac:dyDescent="0.35">
      <c r="A105" s="6">
        <f>vals_co2_excLUC!$A105</f>
        <v>1952</v>
      </c>
      <c r="B105" s="7">
        <f t="shared" si="24"/>
        <v>43.032180455430478</v>
      </c>
      <c r="C105" s="7">
        <f t="shared" si="25"/>
        <v>43.240935654729064</v>
      </c>
      <c r="D105" s="7">
        <f t="shared" si="26"/>
        <v>57.344661811388043</v>
      </c>
      <c r="E105" s="7">
        <f t="shared" si="27"/>
        <v>57.388319994832372</v>
      </c>
      <c r="F105" s="7">
        <f t="shared" si="28"/>
        <v>0.20875519929858655</v>
      </c>
      <c r="G105" s="7">
        <f t="shared" si="29"/>
        <v>0</v>
      </c>
      <c r="H105" s="7">
        <f t="shared" si="30"/>
        <v>14.103726156658979</v>
      </c>
      <c r="I105" s="8">
        <f>vals_co2_excLUC!$R105</f>
        <v>43.227569646289673</v>
      </c>
      <c r="J105" s="8">
        <f>vals_co2_excLUC!$X105</f>
        <v>43.032180455430478</v>
      </c>
      <c r="K105" s="8">
        <f>vals_co2_excLUC!$AD105</f>
        <v>43.240935654729064</v>
      </c>
      <c r="L105" s="8"/>
      <c r="M105" s="8">
        <f>vals_co2_excLUC!$S105</f>
        <v>57.344661811388043</v>
      </c>
      <c r="N105" s="8">
        <f>vals_co2_excLUC!$Y105</f>
        <v>57.388319994832372</v>
      </c>
      <c r="O105" s="8">
        <f>vals_co2_excLUC!$AE105</f>
        <v>57.362393072524753</v>
      </c>
      <c r="P105" s="8"/>
      <c r="Q105" s="9">
        <f t="shared" si="31"/>
        <v>4.3658183444328813E-2</v>
      </c>
      <c r="R105" s="9">
        <v>43.231000000000002</v>
      </c>
      <c r="S105" s="9">
        <v>57.348999999999997</v>
      </c>
    </row>
    <row r="106" spans="1:19" x14ac:dyDescent="0.35">
      <c r="A106" s="3">
        <f>vals_co2_excLUC!$A106</f>
        <v>1953</v>
      </c>
      <c r="B106" s="4">
        <f t="shared" si="24"/>
        <v>42.906683242526015</v>
      </c>
      <c r="C106" s="4">
        <f t="shared" si="25"/>
        <v>43.118039621320783</v>
      </c>
      <c r="D106" s="4">
        <f t="shared" si="26"/>
        <v>57.216529852062195</v>
      </c>
      <c r="E106" s="4">
        <f t="shared" si="27"/>
        <v>57.256364042971065</v>
      </c>
      <c r="F106" s="4">
        <f t="shared" si="28"/>
        <v>0.21135637879476832</v>
      </c>
      <c r="G106" s="4">
        <f t="shared" si="29"/>
        <v>0</v>
      </c>
      <c r="H106" s="4">
        <f t="shared" si="30"/>
        <v>14.098490230741412</v>
      </c>
      <c r="I106" s="5">
        <f>vals_co2_excLUC!$R106</f>
        <v>43.104657658298422</v>
      </c>
      <c r="J106" s="5">
        <f>vals_co2_excLUC!$X106</f>
        <v>42.906683242526015</v>
      </c>
      <c r="K106" s="5">
        <f>vals_co2_excLUC!$AD106</f>
        <v>43.118039621320783</v>
      </c>
      <c r="L106" s="5"/>
      <c r="M106" s="5">
        <f>vals_co2_excLUC!$S106</f>
        <v>57.216529852062195</v>
      </c>
      <c r="N106" s="5">
        <f>vals_co2_excLUC!$Y106</f>
        <v>57.256364042971065</v>
      </c>
      <c r="O106" s="5">
        <f>vals_co2_excLUC!$AE106</f>
        <v>57.23429312027617</v>
      </c>
      <c r="P106" s="5"/>
      <c r="Q106" s="9">
        <f t="shared" si="31"/>
        <v>3.9834190908869971E-2</v>
      </c>
      <c r="R106" s="9">
        <v>43.107999999999997</v>
      </c>
      <c r="S106" s="9">
        <v>57.220999999999997</v>
      </c>
    </row>
    <row r="107" spans="1:19" x14ac:dyDescent="0.35">
      <c r="A107" s="6">
        <f>vals_co2_excLUC!$A107</f>
        <v>1954</v>
      </c>
      <c r="B107" s="7">
        <f t="shared" si="24"/>
        <v>42.779315646409181</v>
      </c>
      <c r="C107" s="7">
        <f t="shared" si="25"/>
        <v>42.993130337749093</v>
      </c>
      <c r="D107" s="7">
        <f t="shared" si="26"/>
        <v>57.083714764312653</v>
      </c>
      <c r="E107" s="7">
        <f t="shared" si="27"/>
        <v>57.119536835559984</v>
      </c>
      <c r="F107" s="7">
        <f t="shared" si="28"/>
        <v>0.2138146913399126</v>
      </c>
      <c r="G107" s="7">
        <f t="shared" si="29"/>
        <v>0</v>
      </c>
      <c r="H107" s="7">
        <f t="shared" si="30"/>
        <v>14.090584426563559</v>
      </c>
      <c r="I107" s="8">
        <f>vals_co2_excLUC!$R107</f>
        <v>42.979731383570723</v>
      </c>
      <c r="J107" s="8">
        <f>vals_co2_excLUC!$X107</f>
        <v>42.779315646409181</v>
      </c>
      <c r="K107" s="8">
        <f>vals_co2_excLUC!$AD107</f>
        <v>42.993130337749093</v>
      </c>
      <c r="L107" s="8"/>
      <c r="M107" s="8">
        <f>vals_co2_excLUC!$S107</f>
        <v>57.083714764312653</v>
      </c>
      <c r="N107" s="8">
        <f>vals_co2_excLUC!$Y107</f>
        <v>57.119536835559984</v>
      </c>
      <c r="O107" s="8">
        <f>vals_co2_excLUC!$AE107</f>
        <v>57.101510878421159</v>
      </c>
      <c r="P107" s="8"/>
      <c r="Q107" s="9">
        <f t="shared" si="31"/>
        <v>3.5822071247331166E-2</v>
      </c>
      <c r="R107" s="9">
        <v>42.982999999999997</v>
      </c>
      <c r="S107" s="9">
        <v>57.088000000000001</v>
      </c>
    </row>
    <row r="108" spans="1:19" x14ac:dyDescent="0.35">
      <c r="A108" s="3">
        <f>vals_co2_excLUC!$A108</f>
        <v>1955</v>
      </c>
      <c r="B108" s="4">
        <f t="shared" si="24"/>
        <v>42.656594750757897</v>
      </c>
      <c r="C108" s="4">
        <f t="shared" si="25"/>
        <v>42.873012207557863</v>
      </c>
      <c r="D108" s="4">
        <f t="shared" si="26"/>
        <v>56.951181179668112</v>
      </c>
      <c r="E108" s="4">
        <f t="shared" si="27"/>
        <v>56.982441241774339</v>
      </c>
      <c r="F108" s="4">
        <f t="shared" si="28"/>
        <v>0.2164174567999666</v>
      </c>
      <c r="G108" s="4">
        <f t="shared" si="29"/>
        <v>0</v>
      </c>
      <c r="H108" s="4">
        <f t="shared" si="30"/>
        <v>14.078168972110248</v>
      </c>
      <c r="I108" s="5">
        <f>vals_co2_excLUC!$R108</f>
        <v>42.859593419823824</v>
      </c>
      <c r="J108" s="5">
        <f>vals_co2_excLUC!$X108</f>
        <v>42.656594750757897</v>
      </c>
      <c r="K108" s="5">
        <f>vals_co2_excLUC!$AD108</f>
        <v>42.873012207557863</v>
      </c>
      <c r="L108" s="5"/>
      <c r="M108" s="5">
        <f>vals_co2_excLUC!$S108</f>
        <v>56.951181179668112</v>
      </c>
      <c r="N108" s="5">
        <f>vals_co2_excLUC!$Y108</f>
        <v>56.982441241774339</v>
      </c>
      <c r="O108" s="5">
        <f>vals_co2_excLUC!$AE108</f>
        <v>56.969012099062311</v>
      </c>
      <c r="P108" s="5"/>
      <c r="Q108" s="9">
        <f t="shared" si="31"/>
        <v>3.1260062106227338E-2</v>
      </c>
      <c r="R108" s="9">
        <v>42.863</v>
      </c>
      <c r="S108" s="9">
        <v>56.956000000000003</v>
      </c>
    </row>
    <row r="109" spans="1:19" x14ac:dyDescent="0.35">
      <c r="A109" s="6">
        <f>vals_co2_excLUC!$A109</f>
        <v>1956</v>
      </c>
      <c r="B109" s="7">
        <f t="shared" si="24"/>
        <v>42.524681419906784</v>
      </c>
      <c r="C109" s="7">
        <f t="shared" si="25"/>
        <v>42.744156001637428</v>
      </c>
      <c r="D109" s="7">
        <f t="shared" si="26"/>
        <v>56.807639911055553</v>
      </c>
      <c r="E109" s="7">
        <f t="shared" si="27"/>
        <v>56.833174294590307</v>
      </c>
      <c r="F109" s="7">
        <f t="shared" si="28"/>
        <v>0.21947458173064405</v>
      </c>
      <c r="G109" s="7">
        <f t="shared" si="29"/>
        <v>0</v>
      </c>
      <c r="H109" s="7">
        <f t="shared" si="30"/>
        <v>14.063483909418125</v>
      </c>
      <c r="I109" s="8">
        <f>vals_co2_excLUC!$R109</f>
        <v>42.730714758844393</v>
      </c>
      <c r="J109" s="8">
        <f>vals_co2_excLUC!$X109</f>
        <v>42.524681419906784</v>
      </c>
      <c r="K109" s="8">
        <f>vals_co2_excLUC!$AD109</f>
        <v>42.744156001637428</v>
      </c>
      <c r="L109" s="8"/>
      <c r="M109" s="8">
        <f>vals_co2_excLUC!$S109</f>
        <v>56.807639911055553</v>
      </c>
      <c r="N109" s="8">
        <f>vals_co2_excLUC!$Y109</f>
        <v>56.833174294590307</v>
      </c>
      <c r="O109" s="8">
        <f>vals_co2_excLUC!$AE109</f>
        <v>56.825509386203485</v>
      </c>
      <c r="P109" s="8"/>
      <c r="Q109" s="9">
        <f t="shared" si="31"/>
        <v>2.5534383534754568E-2</v>
      </c>
      <c r="R109" s="9">
        <v>42.734000000000002</v>
      </c>
      <c r="S109" s="9">
        <v>56.811999999999998</v>
      </c>
    </row>
    <row r="110" spans="1:19" x14ac:dyDescent="0.35">
      <c r="A110" s="3">
        <f>vals_co2_excLUC!$A110</f>
        <v>1957</v>
      </c>
      <c r="B110" s="4">
        <f t="shared" si="24"/>
        <v>42.386466910670165</v>
      </c>
      <c r="C110" s="4">
        <f t="shared" si="25"/>
        <v>42.60920874371871</v>
      </c>
      <c r="D110" s="4">
        <f t="shared" si="26"/>
        <v>56.655021207811615</v>
      </c>
      <c r="E110" s="4">
        <f t="shared" si="27"/>
        <v>56.674059590342061</v>
      </c>
      <c r="F110" s="4">
        <f t="shared" si="28"/>
        <v>0.22274183304854489</v>
      </c>
      <c r="G110" s="4">
        <f t="shared" si="29"/>
        <v>0</v>
      </c>
      <c r="H110" s="4">
        <f t="shared" si="30"/>
        <v>14.045812464092904</v>
      </c>
      <c r="I110" s="5">
        <f>vals_co2_excLUC!$R110</f>
        <v>42.595742636856727</v>
      </c>
      <c r="J110" s="5">
        <f>vals_co2_excLUC!$X110</f>
        <v>42.386466910670165</v>
      </c>
      <c r="K110" s="5">
        <f>vals_co2_excLUC!$AD110</f>
        <v>42.60920874371871</v>
      </c>
      <c r="L110" s="5"/>
      <c r="M110" s="5">
        <f>vals_co2_excLUC!$S110</f>
        <v>56.655021207811615</v>
      </c>
      <c r="N110" s="5">
        <f>vals_co2_excLUC!$Y110</f>
        <v>56.674059590342061</v>
      </c>
      <c r="O110" s="5">
        <f>vals_co2_excLUC!$AE110</f>
        <v>56.672932217458516</v>
      </c>
      <c r="P110" s="5"/>
      <c r="Q110" s="9">
        <f t="shared" si="31"/>
        <v>1.903838253044654E-2</v>
      </c>
      <c r="R110" s="9">
        <v>42.598999999999997</v>
      </c>
      <c r="S110" s="9">
        <v>56.66</v>
      </c>
    </row>
    <row r="111" spans="1:19" x14ac:dyDescent="0.35">
      <c r="A111" s="6">
        <f>vals_co2_excLUC!$A111</f>
        <v>1958</v>
      </c>
      <c r="B111" s="7">
        <f t="shared" si="24"/>
        <v>42.252774140738858</v>
      </c>
      <c r="C111" s="7">
        <f t="shared" si="25"/>
        <v>42.478186178904451</v>
      </c>
      <c r="D111" s="7">
        <f t="shared" si="26"/>
        <v>56.500247562903638</v>
      </c>
      <c r="E111" s="7">
        <f t="shared" si="27"/>
        <v>56.518202497036718</v>
      </c>
      <c r="F111" s="7">
        <f t="shared" si="28"/>
        <v>0.22541203816559374</v>
      </c>
      <c r="G111" s="7">
        <f t="shared" si="29"/>
        <v>0</v>
      </c>
      <c r="H111" s="7">
        <f t="shared" si="30"/>
        <v>14.022061383999187</v>
      </c>
      <c r="I111" s="8">
        <f>vals_co2_excLUC!$R111</f>
        <v>42.464691649696121</v>
      </c>
      <c r="J111" s="8">
        <f>vals_co2_excLUC!$X111</f>
        <v>42.252774140738858</v>
      </c>
      <c r="K111" s="8">
        <f>vals_co2_excLUC!$AD111</f>
        <v>42.478186178904451</v>
      </c>
      <c r="L111" s="8"/>
      <c r="M111" s="8">
        <f>vals_co2_excLUC!$S111</f>
        <v>56.500247562903638</v>
      </c>
      <c r="N111" s="8">
        <f>vals_co2_excLUC!$Y111</f>
        <v>56.512795262827098</v>
      </c>
      <c r="O111" s="8">
        <f>vals_co2_excLUC!$AE111</f>
        <v>56.518202497036718</v>
      </c>
      <c r="P111" s="8"/>
      <c r="Q111" s="9">
        <f t="shared" si="31"/>
        <v>1.7954934133079803E-2</v>
      </c>
      <c r="R111" s="9">
        <v>42.468000000000004</v>
      </c>
      <c r="S111" s="9">
        <v>56.505000000000003</v>
      </c>
    </row>
    <row r="112" spans="1:19" x14ac:dyDescent="0.35">
      <c r="A112" s="3">
        <f>vals_co2_excLUC!$A112</f>
        <v>1959</v>
      </c>
      <c r="B112" s="4">
        <f t="shared" si="24"/>
        <v>42.13474690588329</v>
      </c>
      <c r="C112" s="4">
        <f t="shared" si="25"/>
        <v>42.362053472980087</v>
      </c>
      <c r="D112" s="4">
        <f t="shared" si="26"/>
        <v>56.356711952942938</v>
      </c>
      <c r="E112" s="4">
        <f t="shared" si="27"/>
        <v>56.374717808708155</v>
      </c>
      <c r="F112" s="4">
        <f t="shared" si="28"/>
        <v>0.22730656709679664</v>
      </c>
      <c r="G112" s="4">
        <f t="shared" si="29"/>
        <v>0</v>
      </c>
      <c r="H112" s="4">
        <f t="shared" si="30"/>
        <v>13.994658479962851</v>
      </c>
      <c r="I112" s="5">
        <f>vals_co2_excLUC!$R112</f>
        <v>42.348523320887551</v>
      </c>
      <c r="J112" s="5">
        <f>vals_co2_excLUC!$X112</f>
        <v>42.13474690588329</v>
      </c>
      <c r="K112" s="5">
        <f>vals_co2_excLUC!$AD112</f>
        <v>42.362053472980087</v>
      </c>
      <c r="L112" s="5"/>
      <c r="M112" s="5">
        <f>vals_co2_excLUC!$S112</f>
        <v>56.356711952942938</v>
      </c>
      <c r="N112" s="5">
        <f>vals_co2_excLUC!$Y112</f>
        <v>56.363048945894271</v>
      </c>
      <c r="O112" s="5">
        <f>vals_co2_excLUC!$AE112</f>
        <v>56.374717808708155</v>
      </c>
      <c r="P112" s="5"/>
      <c r="Q112" s="9">
        <f t="shared" si="31"/>
        <v>1.8005855765217404E-2</v>
      </c>
      <c r="R112" s="9">
        <v>42.351999999999997</v>
      </c>
      <c r="S112" s="9">
        <v>56.360999999999997</v>
      </c>
    </row>
    <row r="113" spans="1:19" x14ac:dyDescent="0.35">
      <c r="A113" s="6">
        <f>vals_co2_excLUC!$A113</f>
        <v>1960</v>
      </c>
      <c r="B113" s="7">
        <f t="shared" si="24"/>
        <v>42.020783184609392</v>
      </c>
      <c r="C113" s="7">
        <f t="shared" si="25"/>
        <v>42.250048295101486</v>
      </c>
      <c r="D113" s="7">
        <f t="shared" si="26"/>
        <v>56.215243950567753</v>
      </c>
      <c r="E113" s="7">
        <f t="shared" si="27"/>
        <v>56.233660901797911</v>
      </c>
      <c r="F113" s="7">
        <f t="shared" si="28"/>
        <v>0.22926511049209353</v>
      </c>
      <c r="G113" s="7">
        <f t="shared" si="29"/>
        <v>0</v>
      </c>
      <c r="H113" s="7">
        <f t="shared" si="30"/>
        <v>13.965195655466268</v>
      </c>
      <c r="I113" s="8">
        <f>vals_co2_excLUC!$R113</f>
        <v>42.236476882113358</v>
      </c>
      <c r="J113" s="8">
        <f>vals_co2_excLUC!$X113</f>
        <v>42.020783184609392</v>
      </c>
      <c r="K113" s="8">
        <f>vals_co2_excLUC!$AD113</f>
        <v>42.250048295101486</v>
      </c>
      <c r="L113" s="8"/>
      <c r="M113" s="8">
        <f>vals_co2_excLUC!$S113</f>
        <v>56.215597566820698</v>
      </c>
      <c r="N113" s="8">
        <f>vals_co2_excLUC!$Y113</f>
        <v>56.215243950567753</v>
      </c>
      <c r="O113" s="8">
        <f>vals_co2_excLUC!$AE113</f>
        <v>56.233660901797911</v>
      </c>
      <c r="P113" s="8"/>
      <c r="Q113" s="9">
        <f t="shared" si="31"/>
        <v>1.8416951230157963E-2</v>
      </c>
      <c r="R113" s="9">
        <v>42.24</v>
      </c>
      <c r="S113" s="9">
        <v>56.22</v>
      </c>
    </row>
    <row r="114" spans="1:19" x14ac:dyDescent="0.35">
      <c r="A114" s="3">
        <f>vals_co2_excLUC!$A114</f>
        <v>1961</v>
      </c>
      <c r="B114" s="4">
        <f t="shared" si="24"/>
        <v>41.901140064071051</v>
      </c>
      <c r="C114" s="4">
        <f t="shared" si="25"/>
        <v>42.131556396750305</v>
      </c>
      <c r="D114" s="4">
        <f t="shared" si="26"/>
        <v>56.060479785739162</v>
      </c>
      <c r="E114" s="4">
        <f t="shared" si="27"/>
        <v>56.08541223869792</v>
      </c>
      <c r="F114" s="4">
        <f t="shared" si="28"/>
        <v>0.23041633267925477</v>
      </c>
      <c r="G114" s="4">
        <f t="shared" si="29"/>
        <v>0</v>
      </c>
      <c r="H114" s="4">
        <f t="shared" si="30"/>
        <v>13.928923388988856</v>
      </c>
      <c r="I114" s="5">
        <f>vals_co2_excLUC!$R114</f>
        <v>42.11794071216341</v>
      </c>
      <c r="J114" s="5">
        <f>vals_co2_excLUC!$X114</f>
        <v>41.901140064071051</v>
      </c>
      <c r="K114" s="5">
        <f>vals_co2_excLUC!$AD114</f>
        <v>42.131556396750305</v>
      </c>
      <c r="L114" s="5"/>
      <c r="M114" s="5">
        <f>vals_co2_excLUC!$S114</f>
        <v>56.067286921010727</v>
      </c>
      <c r="N114" s="5">
        <f>vals_co2_excLUC!$Y114</f>
        <v>56.060479785739162</v>
      </c>
      <c r="O114" s="5">
        <f>vals_co2_excLUC!$AE114</f>
        <v>56.08541223869792</v>
      </c>
      <c r="P114" s="5"/>
      <c r="Q114" s="9">
        <f t="shared" si="31"/>
        <v>2.4932452958758233E-2</v>
      </c>
      <c r="R114" s="9">
        <v>42.121000000000002</v>
      </c>
      <c r="S114" s="9">
        <v>56.072000000000003</v>
      </c>
    </row>
    <row r="115" spans="1:19" x14ac:dyDescent="0.35">
      <c r="A115" s="6">
        <f>vals_co2_excLUC!$A115</f>
        <v>1962</v>
      </c>
      <c r="B115" s="7">
        <f t="shared" si="24"/>
        <v>41.772508541568079</v>
      </c>
      <c r="C115" s="7">
        <f t="shared" si="25"/>
        <v>42.003872555025069</v>
      </c>
      <c r="D115" s="7">
        <f t="shared" si="26"/>
        <v>55.891451647528733</v>
      </c>
      <c r="E115" s="7">
        <f t="shared" si="27"/>
        <v>55.923040303179803</v>
      </c>
      <c r="F115" s="7">
        <f t="shared" si="28"/>
        <v>0.23136401345698943</v>
      </c>
      <c r="G115" s="7">
        <f t="shared" si="29"/>
        <v>0</v>
      </c>
      <c r="H115" s="7">
        <f t="shared" si="30"/>
        <v>13.887579092503664</v>
      </c>
      <c r="I115" s="8">
        <f>vals_co2_excLUC!$R115</f>
        <v>41.990216056270903</v>
      </c>
      <c r="J115" s="8">
        <f>vals_co2_excLUC!$X115</f>
        <v>41.772508541568079</v>
      </c>
      <c r="K115" s="8">
        <f>vals_co2_excLUC!$AD115</f>
        <v>42.003872555025069</v>
      </c>
      <c r="L115" s="8"/>
      <c r="M115" s="8">
        <f>vals_co2_excLUC!$S115</f>
        <v>55.904858181722275</v>
      </c>
      <c r="N115" s="8">
        <f>vals_co2_excLUC!$Y115</f>
        <v>55.891451647528733</v>
      </c>
      <c r="O115" s="8">
        <f>vals_co2_excLUC!$AE115</f>
        <v>55.923040303179803</v>
      </c>
      <c r="P115" s="8"/>
      <c r="Q115" s="9">
        <f t="shared" si="31"/>
        <v>3.1588655651070496E-2</v>
      </c>
      <c r="R115" s="9">
        <v>41.994</v>
      </c>
      <c r="S115" s="9">
        <v>55.908999999999999</v>
      </c>
    </row>
    <row r="116" spans="1:19" x14ac:dyDescent="0.35">
      <c r="A116" s="3">
        <f>vals_co2_excLUC!$A116</f>
        <v>1963</v>
      </c>
      <c r="B116" s="4">
        <f t="shared" si="24"/>
        <v>41.63320984636615</v>
      </c>
      <c r="C116" s="4">
        <f t="shared" si="25"/>
        <v>41.866019047171292</v>
      </c>
      <c r="D116" s="4">
        <f t="shared" si="26"/>
        <v>55.707244328588146</v>
      </c>
      <c r="E116" s="4">
        <f t="shared" si="27"/>
        <v>55.746242089011922</v>
      </c>
      <c r="F116" s="4">
        <f t="shared" si="28"/>
        <v>0.23280920080514278</v>
      </c>
      <c r="G116" s="4">
        <f t="shared" si="29"/>
        <v>0</v>
      </c>
      <c r="H116" s="4">
        <f t="shared" si="30"/>
        <v>13.841225281416854</v>
      </c>
      <c r="I116" s="5">
        <f>vals_co2_excLUC!$R116</f>
        <v>41.852321557014918</v>
      </c>
      <c r="J116" s="5">
        <f>vals_co2_excLUC!$X116</f>
        <v>41.63320984636615</v>
      </c>
      <c r="K116" s="5">
        <f>vals_co2_excLUC!$AD116</f>
        <v>41.866019047171292</v>
      </c>
      <c r="L116" s="5"/>
      <c r="M116" s="5">
        <f>vals_co2_excLUC!$S116</f>
        <v>55.728003187324823</v>
      </c>
      <c r="N116" s="5">
        <f>vals_co2_excLUC!$Y116</f>
        <v>55.707244328588146</v>
      </c>
      <c r="O116" s="5">
        <f>vals_co2_excLUC!$AE116</f>
        <v>55.746242089011922</v>
      </c>
      <c r="P116" s="5"/>
      <c r="Q116" s="9">
        <f t="shared" si="31"/>
        <v>3.8997760423775674E-2</v>
      </c>
      <c r="R116" s="9">
        <v>41.856000000000002</v>
      </c>
      <c r="S116" s="9">
        <v>55.732999999999997</v>
      </c>
    </row>
    <row r="117" spans="1:19" x14ac:dyDescent="0.35">
      <c r="A117" s="6">
        <f>vals_co2_excLUC!$A117</f>
        <v>1964</v>
      </c>
      <c r="B117" s="7">
        <f t="shared" si="24"/>
        <v>41.483941870923871</v>
      </c>
      <c r="C117" s="7">
        <f t="shared" si="25"/>
        <v>41.719843586764519</v>
      </c>
      <c r="D117" s="7">
        <f t="shared" si="26"/>
        <v>55.507821067639952</v>
      </c>
      <c r="E117" s="7">
        <f t="shared" si="27"/>
        <v>55.556037895268851</v>
      </c>
      <c r="F117" s="7">
        <f t="shared" si="28"/>
        <v>0.23590171584064734</v>
      </c>
      <c r="G117" s="7">
        <f t="shared" si="29"/>
        <v>0</v>
      </c>
      <c r="H117" s="7">
        <f t="shared" si="30"/>
        <v>13.787977480875433</v>
      </c>
      <c r="I117" s="8">
        <f>vals_co2_excLUC!$R117</f>
        <v>41.706102709895312</v>
      </c>
      <c r="J117" s="8">
        <f>vals_co2_excLUC!$X117</f>
        <v>41.483941870923871</v>
      </c>
      <c r="K117" s="8">
        <f>vals_co2_excLUC!$AD117</f>
        <v>41.719843586764519</v>
      </c>
      <c r="L117" s="8"/>
      <c r="M117" s="8">
        <f>vals_co2_excLUC!$S117</f>
        <v>55.537739692855347</v>
      </c>
      <c r="N117" s="8">
        <f>vals_co2_excLUC!$Y117</f>
        <v>55.507821067639952</v>
      </c>
      <c r="O117" s="8">
        <f>vals_co2_excLUC!$AE117</f>
        <v>55.556037895268851</v>
      </c>
      <c r="P117" s="8"/>
      <c r="Q117" s="9">
        <f t="shared" si="31"/>
        <v>4.8216827628898784E-2</v>
      </c>
      <c r="R117" s="9">
        <v>41.71</v>
      </c>
      <c r="S117" s="9">
        <v>55.542000000000002</v>
      </c>
    </row>
    <row r="118" spans="1:19" x14ac:dyDescent="0.35">
      <c r="A118" s="3">
        <f>vals_co2_excLUC!$A118</f>
        <v>1965</v>
      </c>
      <c r="B118" s="4">
        <f t="shared" si="24"/>
        <v>41.326851547275893</v>
      </c>
      <c r="C118" s="4">
        <f t="shared" si="25"/>
        <v>41.566010636559895</v>
      </c>
      <c r="D118" s="4">
        <f t="shared" si="26"/>
        <v>55.294924186313487</v>
      </c>
      <c r="E118" s="4">
        <f t="shared" si="27"/>
        <v>55.353483166446225</v>
      </c>
      <c r="F118" s="4">
        <f t="shared" si="28"/>
        <v>0.23915908928400142</v>
      </c>
      <c r="G118" s="4">
        <f t="shared" si="29"/>
        <v>0</v>
      </c>
      <c r="H118" s="4">
        <f t="shared" si="30"/>
        <v>13.728913549753592</v>
      </c>
      <c r="I118" s="5">
        <f>vals_co2_excLUC!$R118</f>
        <v>41.55222337806638</v>
      </c>
      <c r="J118" s="5">
        <f>vals_co2_excLUC!$X118</f>
        <v>41.326851547275893</v>
      </c>
      <c r="K118" s="5">
        <f>vals_co2_excLUC!$AD118</f>
        <v>41.566010636559895</v>
      </c>
      <c r="L118" s="5"/>
      <c r="M118" s="5">
        <f>vals_co2_excLUC!$S118</f>
        <v>55.335122436872588</v>
      </c>
      <c r="N118" s="5">
        <f>vals_co2_excLUC!$Y118</f>
        <v>55.294924186313487</v>
      </c>
      <c r="O118" s="5">
        <f>vals_co2_excLUC!$AE118</f>
        <v>55.353483166446225</v>
      </c>
      <c r="P118" s="5"/>
      <c r="Q118" s="9">
        <f t="shared" si="31"/>
        <v>5.8558980132737304E-2</v>
      </c>
      <c r="R118" s="9">
        <v>41.555999999999997</v>
      </c>
      <c r="S118" s="9">
        <v>55.34</v>
      </c>
    </row>
    <row r="119" spans="1:19" x14ac:dyDescent="0.35">
      <c r="A119" s="6">
        <f>vals_co2_excLUC!$A119</f>
        <v>1966</v>
      </c>
      <c r="B119" s="7">
        <f t="shared" si="24"/>
        <v>41.16440409700818</v>
      </c>
      <c r="C119" s="7">
        <f t="shared" si="25"/>
        <v>41.408000444434151</v>
      </c>
      <c r="D119" s="7">
        <f t="shared" si="26"/>
        <v>55.072535382276946</v>
      </c>
      <c r="E119" s="7">
        <f t="shared" si="27"/>
        <v>55.143381514153788</v>
      </c>
      <c r="F119" s="7">
        <f t="shared" si="28"/>
        <v>0.24359634742597081</v>
      </c>
      <c r="G119" s="7">
        <f t="shared" si="29"/>
        <v>0</v>
      </c>
      <c r="H119" s="7">
        <f t="shared" si="30"/>
        <v>13.664534937842795</v>
      </c>
      <c r="I119" s="8">
        <f>vals_co2_excLUC!$R119</f>
        <v>41.394163166927441</v>
      </c>
      <c r="J119" s="8">
        <f>vals_co2_excLUC!$X119</f>
        <v>41.16440409700818</v>
      </c>
      <c r="K119" s="8">
        <f>vals_co2_excLUC!$AD119</f>
        <v>41.408000444434151</v>
      </c>
      <c r="L119" s="8"/>
      <c r="M119" s="8">
        <f>vals_co2_excLUC!$S119</f>
        <v>55.124954065349463</v>
      </c>
      <c r="N119" s="8">
        <f>vals_co2_excLUC!$Y119</f>
        <v>55.072535382276946</v>
      </c>
      <c r="O119" s="8">
        <f>vals_co2_excLUC!$AE119</f>
        <v>55.143381514153788</v>
      </c>
      <c r="P119" s="8"/>
      <c r="Q119" s="9">
        <f t="shared" si="31"/>
        <v>7.0846131876841412E-2</v>
      </c>
      <c r="R119" s="9">
        <v>41.398000000000003</v>
      </c>
      <c r="S119" s="9">
        <v>55.13</v>
      </c>
    </row>
    <row r="120" spans="1:19" x14ac:dyDescent="0.35">
      <c r="A120" s="3">
        <f>vals_co2_excLUC!$A120</f>
        <v>1967</v>
      </c>
      <c r="B120" s="4">
        <f t="shared" si="24"/>
        <v>40.996610975379696</v>
      </c>
      <c r="C120" s="4">
        <f t="shared" si="25"/>
        <v>41.24312407741683</v>
      </c>
      <c r="D120" s="4">
        <f t="shared" si="26"/>
        <v>54.8404420618674</v>
      </c>
      <c r="E120" s="4">
        <f t="shared" si="27"/>
        <v>54.92307915305723</v>
      </c>
      <c r="F120" s="4">
        <f t="shared" si="28"/>
        <v>0.2465131020371345</v>
      </c>
      <c r="G120" s="4">
        <f t="shared" si="29"/>
        <v>0</v>
      </c>
      <c r="H120" s="4">
        <f t="shared" si="30"/>
        <v>13.597317984450569</v>
      </c>
      <c r="I120" s="5">
        <f>vals_co2_excLUC!$R120</f>
        <v>41.229233227830385</v>
      </c>
      <c r="J120" s="5">
        <f>vals_co2_excLUC!$X120</f>
        <v>40.996610975379696</v>
      </c>
      <c r="K120" s="5">
        <f>vals_co2_excLUC!$AD120</f>
        <v>41.24312407741683</v>
      </c>
      <c r="L120" s="5"/>
      <c r="M120" s="5">
        <f>vals_co2_excLUC!$S120</f>
        <v>54.904580607610207</v>
      </c>
      <c r="N120" s="5">
        <f>vals_co2_excLUC!$Y120</f>
        <v>54.8404420618674</v>
      </c>
      <c r="O120" s="5">
        <f>vals_co2_excLUC!$AE120</f>
        <v>54.92307915305723</v>
      </c>
      <c r="P120" s="5"/>
      <c r="Q120" s="9">
        <f t="shared" si="31"/>
        <v>8.2637091189830869E-2</v>
      </c>
      <c r="R120" s="9">
        <v>41.232999999999997</v>
      </c>
      <c r="S120" s="9">
        <v>54.908999999999999</v>
      </c>
    </row>
    <row r="121" spans="1:19" x14ac:dyDescent="0.35">
      <c r="A121" s="6">
        <f>vals_co2_excLUC!$A121</f>
        <v>1968</v>
      </c>
      <c r="B121" s="7">
        <f t="shared" si="24"/>
        <v>40.817576438980481</v>
      </c>
      <c r="C121" s="7">
        <f t="shared" si="25"/>
        <v>41.068200568629493</v>
      </c>
      <c r="D121" s="7">
        <f t="shared" si="26"/>
        <v>54.591627199906313</v>
      </c>
      <c r="E121" s="7">
        <f t="shared" si="27"/>
        <v>54.688257000354724</v>
      </c>
      <c r="F121" s="7">
        <f t="shared" si="28"/>
        <v>0.25062412964901171</v>
      </c>
      <c r="G121" s="7">
        <f t="shared" si="29"/>
        <v>0</v>
      </c>
      <c r="H121" s="7">
        <f t="shared" si="30"/>
        <v>13.52342663127682</v>
      </c>
      <c r="I121" s="8">
        <f>vals_co2_excLUC!$R121</f>
        <v>41.05425547487112</v>
      </c>
      <c r="J121" s="8">
        <f>vals_co2_excLUC!$X121</f>
        <v>40.817576438980481</v>
      </c>
      <c r="K121" s="8">
        <f>vals_co2_excLUC!$AD121</f>
        <v>41.068200568629493</v>
      </c>
      <c r="L121" s="8"/>
      <c r="M121" s="8">
        <f>vals_co2_excLUC!$S121</f>
        <v>54.669686854273294</v>
      </c>
      <c r="N121" s="8">
        <f>vals_co2_excLUC!$Y121</f>
        <v>54.591627199906313</v>
      </c>
      <c r="O121" s="8">
        <f>vals_co2_excLUC!$AE121</f>
        <v>54.688257000354724</v>
      </c>
      <c r="P121" s="8"/>
      <c r="Q121" s="9">
        <f t="shared" si="31"/>
        <v>9.6629800448411629E-2</v>
      </c>
      <c r="R121" s="9">
        <v>41.058</v>
      </c>
      <c r="S121" s="9">
        <v>54.673999999999999</v>
      </c>
    </row>
    <row r="122" spans="1:19" x14ac:dyDescent="0.35">
      <c r="A122" s="3">
        <f>vals_co2_excLUC!$A122</f>
        <v>1969</v>
      </c>
      <c r="B122" s="4">
        <f t="shared" si="24"/>
        <v>40.627135141785907</v>
      </c>
      <c r="C122" s="4">
        <f t="shared" si="25"/>
        <v>40.881604118924599</v>
      </c>
      <c r="D122" s="4">
        <f t="shared" si="26"/>
        <v>54.329747510292449</v>
      </c>
      <c r="E122" s="4">
        <f t="shared" si="27"/>
        <v>54.440328060364571</v>
      </c>
      <c r="F122" s="4">
        <f t="shared" si="28"/>
        <v>0.25446897713869276</v>
      </c>
      <c r="G122" s="4">
        <f t="shared" si="29"/>
        <v>0</v>
      </c>
      <c r="H122" s="4">
        <f t="shared" si="30"/>
        <v>13.44814339136785</v>
      </c>
      <c r="I122" s="5">
        <f>vals_co2_excLUC!$R122</f>
        <v>40.867601520880896</v>
      </c>
      <c r="J122" s="5">
        <f>vals_co2_excLUC!$X122</f>
        <v>40.627135141785907</v>
      </c>
      <c r="K122" s="5">
        <f>vals_co2_excLUC!$AD122</f>
        <v>40.881604118924599</v>
      </c>
      <c r="L122" s="5"/>
      <c r="M122" s="5">
        <f>vals_co2_excLUC!$S122</f>
        <v>54.421681148107801</v>
      </c>
      <c r="N122" s="5">
        <f>vals_co2_excLUC!$Y122</f>
        <v>54.329747510292449</v>
      </c>
      <c r="O122" s="5">
        <f>vals_co2_excLUC!$AE122</f>
        <v>54.440328060364571</v>
      </c>
      <c r="P122" s="5"/>
      <c r="Q122" s="9">
        <f t="shared" si="31"/>
        <v>0.11058055007212175</v>
      </c>
      <c r="R122" s="9">
        <v>40.871000000000002</v>
      </c>
      <c r="S122" s="9">
        <v>54.426000000000002</v>
      </c>
    </row>
    <row r="123" spans="1:19" x14ac:dyDescent="0.35">
      <c r="A123" s="6">
        <f>vals_co2_excLUC!$A123</f>
        <v>1970</v>
      </c>
      <c r="B123" s="7">
        <f t="shared" si="24"/>
        <v>40.423280684251814</v>
      </c>
      <c r="C123" s="7">
        <f t="shared" si="25"/>
        <v>40.682367476151569</v>
      </c>
      <c r="D123" s="7">
        <f t="shared" si="26"/>
        <v>54.051762676038187</v>
      </c>
      <c r="E123" s="7">
        <f t="shared" si="27"/>
        <v>54.177647928900306</v>
      </c>
      <c r="F123" s="7">
        <f t="shared" si="28"/>
        <v>0.25908679189975459</v>
      </c>
      <c r="G123" s="7">
        <f t="shared" si="29"/>
        <v>0</v>
      </c>
      <c r="H123" s="7">
        <f t="shared" si="30"/>
        <v>13.369395199886618</v>
      </c>
      <c r="I123" s="8">
        <f>vals_co2_excLUC!$R123</f>
        <v>40.668303861932593</v>
      </c>
      <c r="J123" s="8">
        <f>vals_co2_excLUC!$X123</f>
        <v>40.423280684251814</v>
      </c>
      <c r="K123" s="8">
        <f>vals_co2_excLUC!$AD123</f>
        <v>40.682367476151569</v>
      </c>
      <c r="L123" s="8"/>
      <c r="M123" s="8">
        <f>vals_co2_excLUC!$S123</f>
        <v>54.158918850784623</v>
      </c>
      <c r="N123" s="8">
        <f>vals_co2_excLUC!$Y123</f>
        <v>54.051762676038187</v>
      </c>
      <c r="O123" s="8">
        <f>vals_co2_excLUC!$AE123</f>
        <v>54.177647928900306</v>
      </c>
      <c r="P123" s="8"/>
      <c r="Q123" s="9">
        <f t="shared" si="31"/>
        <v>0.12588525286211905</v>
      </c>
      <c r="R123" s="9">
        <v>40.671999999999997</v>
      </c>
      <c r="S123" s="9">
        <v>54.164000000000001</v>
      </c>
    </row>
    <row r="124" spans="1:19" x14ac:dyDescent="0.35">
      <c r="A124" s="3">
        <f>vals_co2_excLUC!$A124</f>
        <v>1971</v>
      </c>
      <c r="B124" s="4">
        <f t="shared" si="24"/>
        <v>40.207674217595141</v>
      </c>
      <c r="C124" s="4">
        <f t="shared" si="25"/>
        <v>40.469829332181298</v>
      </c>
      <c r="D124" s="4">
        <f t="shared" si="26"/>
        <v>53.760152500538958</v>
      </c>
      <c r="E124" s="4">
        <f t="shared" si="27"/>
        <v>53.899963282213115</v>
      </c>
      <c r="F124" s="4">
        <f t="shared" si="28"/>
        <v>0.26215511458615737</v>
      </c>
      <c r="G124" s="4">
        <f t="shared" si="29"/>
        <v>0</v>
      </c>
      <c r="H124" s="4">
        <f t="shared" si="30"/>
        <v>13.290323168357659</v>
      </c>
      <c r="I124" s="5">
        <f>vals_co2_excLUC!$R124</f>
        <v>40.455698877359779</v>
      </c>
      <c r="J124" s="5">
        <f>vals_co2_excLUC!$X124</f>
        <v>40.207674217595141</v>
      </c>
      <c r="K124" s="5">
        <f>vals_co2_excLUC!$AD124</f>
        <v>40.469829332181298</v>
      </c>
      <c r="L124" s="5"/>
      <c r="M124" s="5">
        <f>vals_co2_excLUC!$S124</f>
        <v>53.881143317862957</v>
      </c>
      <c r="N124" s="5">
        <f>vals_co2_excLUC!$Y124</f>
        <v>53.760152500538958</v>
      </c>
      <c r="O124" s="5">
        <f>vals_co2_excLUC!$AE124</f>
        <v>53.899963282213115</v>
      </c>
      <c r="P124" s="5"/>
      <c r="Q124" s="9">
        <f t="shared" si="31"/>
        <v>0.13981078167415717</v>
      </c>
      <c r="R124" s="9">
        <v>40.459000000000003</v>
      </c>
      <c r="S124" s="9">
        <v>53.886000000000003</v>
      </c>
    </row>
    <row r="125" spans="1:19" x14ac:dyDescent="0.35">
      <c r="A125" s="6">
        <f>vals_co2_excLUC!$A125</f>
        <v>1972</v>
      </c>
      <c r="B125" s="7">
        <f t="shared" si="24"/>
        <v>39.993605263597253</v>
      </c>
      <c r="C125" s="7">
        <f t="shared" si="25"/>
        <v>40.259549959189535</v>
      </c>
      <c r="D125" s="7">
        <f t="shared" si="26"/>
        <v>53.464505883824032</v>
      </c>
      <c r="E125" s="7">
        <f t="shared" si="27"/>
        <v>53.617299336900281</v>
      </c>
      <c r="F125" s="7">
        <f t="shared" si="28"/>
        <v>0.26594469559228173</v>
      </c>
      <c r="G125" s="7">
        <f t="shared" si="29"/>
        <v>0</v>
      </c>
      <c r="H125" s="7">
        <f t="shared" si="30"/>
        <v>13.204955924634497</v>
      </c>
      <c r="I125" s="8">
        <f>vals_co2_excLUC!$R125</f>
        <v>40.245345662827468</v>
      </c>
      <c r="J125" s="8">
        <f>vals_co2_excLUC!$X125</f>
        <v>39.993605263597253</v>
      </c>
      <c r="K125" s="8">
        <f>vals_co2_excLUC!$AD125</f>
        <v>40.259549959189535</v>
      </c>
      <c r="L125" s="8"/>
      <c r="M125" s="8">
        <f>vals_co2_excLUC!$S125</f>
        <v>53.598381941754333</v>
      </c>
      <c r="N125" s="8">
        <f>vals_co2_excLUC!$Y125</f>
        <v>53.464505883824032</v>
      </c>
      <c r="O125" s="8">
        <f>vals_co2_excLUC!$AE125</f>
        <v>53.617299336900281</v>
      </c>
      <c r="P125" s="8"/>
      <c r="Q125" s="9">
        <f t="shared" si="31"/>
        <v>0.15279345307624936</v>
      </c>
      <c r="R125" s="9">
        <v>40.249000000000002</v>
      </c>
      <c r="S125" s="9">
        <v>53.603000000000002</v>
      </c>
    </row>
    <row r="126" spans="1:19" x14ac:dyDescent="0.35">
      <c r="A126" s="3">
        <f>vals_co2_excLUC!$A126</f>
        <v>1973</v>
      </c>
      <c r="B126" s="4">
        <f t="shared" si="24"/>
        <v>39.765552164114979</v>
      </c>
      <c r="C126" s="4">
        <f t="shared" si="25"/>
        <v>40.036021066319492</v>
      </c>
      <c r="D126" s="4">
        <f t="shared" si="26"/>
        <v>53.14769925294739</v>
      </c>
      <c r="E126" s="4">
        <f t="shared" si="27"/>
        <v>53.315851425244745</v>
      </c>
      <c r="F126" s="4">
        <f t="shared" si="28"/>
        <v>0.27046890220451303</v>
      </c>
      <c r="G126" s="4">
        <f t="shared" si="29"/>
        <v>0</v>
      </c>
      <c r="H126" s="4">
        <f t="shared" si="30"/>
        <v>13.111678186627898</v>
      </c>
      <c r="I126" s="5">
        <f>vals_co2_excLUC!$R126</f>
        <v>40.021738885537545</v>
      </c>
      <c r="J126" s="5">
        <f>vals_co2_excLUC!$X126</f>
        <v>39.765552164114979</v>
      </c>
      <c r="K126" s="5">
        <f>vals_co2_excLUC!$AD126</f>
        <v>40.036021066319492</v>
      </c>
      <c r="L126" s="5"/>
      <c r="M126" s="5">
        <f>vals_co2_excLUC!$S126</f>
        <v>53.296831640757766</v>
      </c>
      <c r="N126" s="5">
        <f>vals_co2_excLUC!$Y126</f>
        <v>53.14769925294739</v>
      </c>
      <c r="O126" s="5">
        <f>vals_co2_excLUC!$AE126</f>
        <v>53.315851425244745</v>
      </c>
      <c r="P126" s="5"/>
      <c r="Q126" s="9">
        <f t="shared" si="31"/>
        <v>0.16815217229735424</v>
      </c>
      <c r="R126" s="9">
        <v>40.024999999999999</v>
      </c>
      <c r="S126" s="9">
        <v>53.302</v>
      </c>
    </row>
    <row r="127" spans="1:19" x14ac:dyDescent="0.35">
      <c r="A127" s="6">
        <f>vals_co2_excLUC!$A127</f>
        <v>1974</v>
      </c>
      <c r="B127" s="7">
        <f t="shared" si="24"/>
        <v>39.522640506022533</v>
      </c>
      <c r="C127" s="7">
        <f t="shared" si="25"/>
        <v>39.799152360531437</v>
      </c>
      <c r="D127" s="7">
        <f t="shared" si="26"/>
        <v>52.811486148375451</v>
      </c>
      <c r="E127" s="7">
        <f t="shared" si="27"/>
        <v>52.997498437379477</v>
      </c>
      <c r="F127" s="7">
        <f t="shared" si="28"/>
        <v>0.27651185450890381</v>
      </c>
      <c r="G127" s="7">
        <f t="shared" si="29"/>
        <v>0</v>
      </c>
      <c r="H127" s="7">
        <f t="shared" si="30"/>
        <v>13.012333787844014</v>
      </c>
      <c r="I127" s="8">
        <f>vals_co2_excLUC!$R127</f>
        <v>39.784786060829838</v>
      </c>
      <c r="J127" s="8">
        <f>vals_co2_excLUC!$X127</f>
        <v>39.522640506022533</v>
      </c>
      <c r="K127" s="8">
        <f>vals_co2_excLUC!$AD127</f>
        <v>39.799152360531437</v>
      </c>
      <c r="L127" s="8"/>
      <c r="M127" s="8">
        <f>vals_co2_excLUC!$S127</f>
        <v>52.978367681381776</v>
      </c>
      <c r="N127" s="8">
        <f>vals_co2_excLUC!$Y127</f>
        <v>52.811486148375451</v>
      </c>
      <c r="O127" s="8">
        <f>vals_co2_excLUC!$AE127</f>
        <v>52.997498437379477</v>
      </c>
      <c r="P127" s="8"/>
      <c r="Q127" s="9">
        <f t="shared" si="31"/>
        <v>0.18601228900402589</v>
      </c>
      <c r="R127" s="9">
        <v>39.787999999999997</v>
      </c>
      <c r="S127" s="9">
        <v>52.982999999999997</v>
      </c>
    </row>
    <row r="128" spans="1:19" x14ac:dyDescent="0.35">
      <c r="A128" s="3">
        <f>vals_co2_excLUC!$A128</f>
        <v>1975</v>
      </c>
      <c r="B128" s="4">
        <f t="shared" si="24"/>
        <v>39.292266576974924</v>
      </c>
      <c r="C128" s="4">
        <f t="shared" si="25"/>
        <v>39.574669243917228</v>
      </c>
      <c r="D128" s="4">
        <f t="shared" si="26"/>
        <v>52.4776978037916</v>
      </c>
      <c r="E128" s="4">
        <f t="shared" si="27"/>
        <v>52.680463926727818</v>
      </c>
      <c r="F128" s="4">
        <f t="shared" si="28"/>
        <v>0.28240266694230343</v>
      </c>
      <c r="G128" s="4">
        <f t="shared" si="29"/>
        <v>0</v>
      </c>
      <c r="H128" s="4">
        <f t="shared" si="30"/>
        <v>12.903028559874372</v>
      </c>
      <c r="I128" s="5">
        <f>vals_co2_excLUC!$R128</f>
        <v>39.560214691084312</v>
      </c>
      <c r="J128" s="5">
        <f>vals_co2_excLUC!$X128</f>
        <v>39.292266576974924</v>
      </c>
      <c r="K128" s="5">
        <f>vals_co2_excLUC!$AD128</f>
        <v>39.574669243917228</v>
      </c>
      <c r="L128" s="5"/>
      <c r="M128" s="5">
        <f>vals_co2_excLUC!$S128</f>
        <v>52.661222337177463</v>
      </c>
      <c r="N128" s="5">
        <f>vals_co2_excLUC!$Y128</f>
        <v>52.4776978037916</v>
      </c>
      <c r="O128" s="5">
        <f>vals_co2_excLUC!$AE128</f>
        <v>52.680463926727818</v>
      </c>
      <c r="P128" s="5"/>
      <c r="Q128" s="9">
        <f t="shared" si="31"/>
        <v>0.2027661229362181</v>
      </c>
      <c r="R128" s="9">
        <v>39.564</v>
      </c>
      <c r="S128" s="9">
        <v>52.665999999999997</v>
      </c>
    </row>
    <row r="129" spans="1:19" x14ac:dyDescent="0.35">
      <c r="A129" s="6">
        <f>vals_co2_excLUC!$A129</f>
        <v>1976</v>
      </c>
      <c r="B129" s="7">
        <f t="shared" si="24"/>
        <v>39.088129254238531</v>
      </c>
      <c r="C129" s="7">
        <f t="shared" si="25"/>
        <v>39.373822374188535</v>
      </c>
      <c r="D129" s="7">
        <f t="shared" si="26"/>
        <v>52.153784555823101</v>
      </c>
      <c r="E129" s="7">
        <f t="shared" si="27"/>
        <v>52.370913720156075</v>
      </c>
      <c r="F129" s="7">
        <f t="shared" si="28"/>
        <v>0.2856931199500039</v>
      </c>
      <c r="G129" s="7">
        <f t="shared" si="29"/>
        <v>0</v>
      </c>
      <c r="H129" s="7">
        <f t="shared" si="30"/>
        <v>12.779962181634566</v>
      </c>
      <c r="I129" s="8">
        <f>vals_co2_excLUC!$R129</f>
        <v>39.359268521519539</v>
      </c>
      <c r="J129" s="8">
        <f>vals_co2_excLUC!$X129</f>
        <v>39.088129254238531</v>
      </c>
      <c r="K129" s="8">
        <f>vals_co2_excLUC!$AD129</f>
        <v>39.373822374188535</v>
      </c>
      <c r="L129" s="8"/>
      <c r="M129" s="8">
        <f>vals_co2_excLUC!$S129</f>
        <v>52.351555538522078</v>
      </c>
      <c r="N129" s="8">
        <f>vals_co2_excLUC!$Y129</f>
        <v>52.153784555823101</v>
      </c>
      <c r="O129" s="8">
        <f>vals_co2_excLUC!$AE129</f>
        <v>52.370913720156075</v>
      </c>
      <c r="P129" s="8"/>
      <c r="Q129" s="9">
        <f t="shared" si="31"/>
        <v>0.2171291643329738</v>
      </c>
      <c r="R129" s="9">
        <v>39.363</v>
      </c>
      <c r="S129" s="9">
        <v>52.356000000000002</v>
      </c>
    </row>
    <row r="130" spans="1:19" x14ac:dyDescent="0.35">
      <c r="A130" s="3">
        <f>vals_co2_excLUC!$A130</f>
        <v>1977</v>
      </c>
      <c r="B130" s="4">
        <f t="shared" si="24"/>
        <v>38.866063418810022</v>
      </c>
      <c r="C130" s="4">
        <f t="shared" si="25"/>
        <v>39.158282657195031</v>
      </c>
      <c r="D130" s="4">
        <f t="shared" si="26"/>
        <v>51.805044697378698</v>
      </c>
      <c r="E130" s="4">
        <f t="shared" si="27"/>
        <v>52.040444867316559</v>
      </c>
      <c r="F130" s="4">
        <f t="shared" si="28"/>
        <v>0.29221923838500885</v>
      </c>
      <c r="G130" s="4">
        <f t="shared" si="29"/>
        <v>0</v>
      </c>
      <c r="H130" s="4">
        <f t="shared" si="30"/>
        <v>12.646762040183667</v>
      </c>
      <c r="I130" s="5">
        <f>vals_co2_excLUC!$R130</f>
        <v>39.143619477310729</v>
      </c>
      <c r="J130" s="5">
        <f>vals_co2_excLUC!$X130</f>
        <v>38.866063418810022</v>
      </c>
      <c r="K130" s="5">
        <f>vals_co2_excLUC!$AD130</f>
        <v>39.158282657195031</v>
      </c>
      <c r="L130" s="5"/>
      <c r="M130" s="5">
        <f>vals_co2_excLUC!$S130</f>
        <v>52.020957661844456</v>
      </c>
      <c r="N130" s="5">
        <f>vals_co2_excLUC!$Y130</f>
        <v>51.805044697378698</v>
      </c>
      <c r="O130" s="5">
        <f>vals_co2_excLUC!$AE130</f>
        <v>52.040444867316559</v>
      </c>
      <c r="P130" s="5"/>
      <c r="Q130" s="9">
        <f t="shared" si="31"/>
        <v>0.23540016993786139</v>
      </c>
      <c r="R130" s="9">
        <v>39.146999999999998</v>
      </c>
      <c r="S130" s="9">
        <v>52.026000000000003</v>
      </c>
    </row>
    <row r="131" spans="1:19" x14ac:dyDescent="0.35">
      <c r="A131" s="6">
        <f>vals_co2_excLUC!$A131</f>
        <v>1978</v>
      </c>
      <c r="B131" s="7">
        <f t="shared" ref="B131:B162" si="32">IFERROR(_xlfn.AGGREGATE(5,6,I131:L131),"")</f>
        <v>38.644444595121428</v>
      </c>
      <c r="C131" s="7">
        <f t="shared" ref="C131:C162" si="33">IFERROR(_xlfn.AGGREGATE(4,6,I131:L131),"")</f>
        <v>38.943416371745847</v>
      </c>
      <c r="D131" s="7">
        <f t="shared" ref="D131:D162" si="34">IFERROR(_xlfn.AGGREGATE(5,6,M131:P131),"")</f>
        <v>51.447888542621044</v>
      </c>
      <c r="E131" s="7">
        <f t="shared" ref="E131:E162" si="35">IFERROR(_xlfn.AGGREGATE(4,6,M131:P131),"")</f>
        <v>51.701749615192284</v>
      </c>
      <c r="F131" s="7">
        <f t="shared" ref="F131:F162" si="36">IFERROR(MIN(C131,D131)-B131,"")</f>
        <v>0.29897177662441976</v>
      </c>
      <c r="G131" s="7">
        <f t="shared" ref="G131:G162" si="37">IFERROR(MAX(0,C131-D131),"")</f>
        <v>0</v>
      </c>
      <c r="H131" s="7">
        <f t="shared" ref="H131:H162" si="38">IFERROR(MAX(0,D131-C131),"")</f>
        <v>12.504472170875196</v>
      </c>
      <c r="I131" s="8">
        <f>vals_co2_excLUC!$R131</f>
        <v>38.928635936873178</v>
      </c>
      <c r="J131" s="8">
        <f>vals_co2_excLUC!$X131</f>
        <v>38.644444595121428</v>
      </c>
      <c r="K131" s="8">
        <f>vals_co2_excLUC!$AD131</f>
        <v>38.943416371745847</v>
      </c>
      <c r="L131" s="8"/>
      <c r="M131" s="8">
        <f>vals_co2_excLUC!$S131</f>
        <v>51.682126826703204</v>
      </c>
      <c r="N131" s="8">
        <f>vals_co2_excLUC!$Y131</f>
        <v>51.447888542621044</v>
      </c>
      <c r="O131" s="8">
        <f>vals_co2_excLUC!$AE131</f>
        <v>51.701749615192284</v>
      </c>
      <c r="P131" s="8"/>
      <c r="Q131" s="9">
        <f t="shared" ref="Q131:Q162" si="39">IFERROR(MAX(0,$E131-MAX($C131,$D131)),"")</f>
        <v>0.25386107257124024</v>
      </c>
      <c r="R131" s="9">
        <v>38.932000000000002</v>
      </c>
      <c r="S131" s="9">
        <v>51.686999999999998</v>
      </c>
    </row>
    <row r="132" spans="1:19" x14ac:dyDescent="0.35">
      <c r="A132" s="3">
        <f>vals_co2_excLUC!$A132</f>
        <v>1979</v>
      </c>
      <c r="B132" s="4">
        <f t="shared" si="32"/>
        <v>38.41718917573084</v>
      </c>
      <c r="C132" s="4">
        <f t="shared" si="33"/>
        <v>38.725579360593834</v>
      </c>
      <c r="D132" s="4">
        <f t="shared" si="34"/>
        <v>51.076841039471823</v>
      </c>
      <c r="E132" s="4">
        <f t="shared" si="35"/>
        <v>51.352404365342139</v>
      </c>
      <c r="F132" s="4">
        <f t="shared" si="36"/>
        <v>0.30839018486299352</v>
      </c>
      <c r="G132" s="4">
        <f t="shared" si="37"/>
        <v>0</v>
      </c>
      <c r="H132" s="4">
        <f t="shared" si="38"/>
        <v>12.351261678877989</v>
      </c>
      <c r="I132" s="5">
        <f>vals_co2_excLUC!$R132</f>
        <v>38.710669286114516</v>
      </c>
      <c r="J132" s="5">
        <f>vals_co2_excLUC!$X132</f>
        <v>38.41718917573084</v>
      </c>
      <c r="K132" s="5">
        <f>vals_co2_excLUC!$AD132</f>
        <v>38.725579360593834</v>
      </c>
      <c r="L132" s="5"/>
      <c r="M132" s="5">
        <f>vals_co2_excLUC!$S132</f>
        <v>51.332632620189955</v>
      </c>
      <c r="N132" s="5">
        <f>vals_co2_excLUC!$Y132</f>
        <v>51.076841039471823</v>
      </c>
      <c r="O132" s="5">
        <f>vals_co2_excLUC!$AE132</f>
        <v>51.352404365342139</v>
      </c>
      <c r="P132" s="5"/>
      <c r="Q132" s="9">
        <f t="shared" si="39"/>
        <v>0.27556332587031562</v>
      </c>
      <c r="R132" s="9">
        <v>38.713999999999999</v>
      </c>
      <c r="S132" s="9">
        <v>51.337000000000003</v>
      </c>
    </row>
    <row r="133" spans="1:19" x14ac:dyDescent="0.35">
      <c r="A133" s="6">
        <f>vals_co2_excLUC!$A133</f>
        <v>1980</v>
      </c>
      <c r="B133" s="7">
        <f t="shared" si="32"/>
        <v>38.177802439841876</v>
      </c>
      <c r="C133" s="7">
        <f t="shared" si="33"/>
        <v>38.497309039447721</v>
      </c>
      <c r="D133" s="7">
        <f t="shared" si="34"/>
        <v>50.691402817378297</v>
      </c>
      <c r="E133" s="7">
        <f t="shared" si="35"/>
        <v>50.991395419161897</v>
      </c>
      <c r="F133" s="7">
        <f t="shared" si="36"/>
        <v>0.3195065996058446</v>
      </c>
      <c r="G133" s="7">
        <f t="shared" si="37"/>
        <v>0</v>
      </c>
      <c r="H133" s="7">
        <f t="shared" si="38"/>
        <v>12.194093777930576</v>
      </c>
      <c r="I133" s="8">
        <f>vals_co2_excLUC!$R133</f>
        <v>38.482264175596839</v>
      </c>
      <c r="J133" s="8">
        <f>vals_co2_excLUC!$X133</f>
        <v>38.177802439841876</v>
      </c>
      <c r="K133" s="8">
        <f>vals_co2_excLUC!$AD133</f>
        <v>38.497309039447721</v>
      </c>
      <c r="L133" s="8"/>
      <c r="M133" s="8">
        <f>vals_co2_excLUC!$S133</f>
        <v>50.971467721165432</v>
      </c>
      <c r="N133" s="8">
        <f>vals_co2_excLUC!$Y133</f>
        <v>50.691402817378297</v>
      </c>
      <c r="O133" s="8">
        <f>vals_co2_excLUC!$AE133</f>
        <v>50.991395419161897</v>
      </c>
      <c r="P133" s="8"/>
      <c r="Q133" s="9">
        <f t="shared" si="39"/>
        <v>0.29999260178360032</v>
      </c>
      <c r="R133" s="9">
        <v>38.485999999999997</v>
      </c>
      <c r="S133" s="9">
        <v>50.975999999999999</v>
      </c>
    </row>
    <row r="134" spans="1:19" x14ac:dyDescent="0.35">
      <c r="A134" s="3">
        <f>vals_co2_excLUC!$A134</f>
        <v>1981</v>
      </c>
      <c r="B134" s="4">
        <f t="shared" si="32"/>
        <v>37.954516632708781</v>
      </c>
      <c r="C134" s="4">
        <f t="shared" si="33"/>
        <v>38.284219839152456</v>
      </c>
      <c r="D134" s="4">
        <f t="shared" si="34"/>
        <v>50.3050734237762</v>
      </c>
      <c r="E134" s="4">
        <f t="shared" si="35"/>
        <v>50.629105917739182</v>
      </c>
      <c r="F134" s="4">
        <f t="shared" si="36"/>
        <v>0.3297032064436749</v>
      </c>
      <c r="G134" s="4">
        <f t="shared" si="37"/>
        <v>0</v>
      </c>
      <c r="H134" s="4">
        <f t="shared" si="38"/>
        <v>12.020853584623744</v>
      </c>
      <c r="I134" s="5">
        <f>vals_co2_excLUC!$R134</f>
        <v>38.269032018031865</v>
      </c>
      <c r="J134" s="5">
        <f>vals_co2_excLUC!$X134</f>
        <v>37.954516632708781</v>
      </c>
      <c r="K134" s="5">
        <f>vals_co2_excLUC!$AD134</f>
        <v>38.284219839152456</v>
      </c>
      <c r="L134" s="5"/>
      <c r="M134" s="5">
        <f>vals_co2_excLUC!$S134</f>
        <v>50.609020619174863</v>
      </c>
      <c r="N134" s="5">
        <f>vals_co2_excLUC!$Y134</f>
        <v>50.3050734237762</v>
      </c>
      <c r="O134" s="5">
        <f>vals_co2_excLUC!$AE134</f>
        <v>50.629105917739182</v>
      </c>
      <c r="P134" s="5"/>
      <c r="Q134" s="9">
        <f t="shared" si="39"/>
        <v>0.3240324939629815</v>
      </c>
      <c r="R134" s="9">
        <v>38.273000000000003</v>
      </c>
      <c r="S134" s="9">
        <v>50.613999999999997</v>
      </c>
    </row>
    <row r="135" spans="1:19" x14ac:dyDescent="0.35">
      <c r="A135" s="6">
        <f>vals_co2_excLUC!$A135</f>
        <v>1982</v>
      </c>
      <c r="B135" s="7">
        <f t="shared" si="32"/>
        <v>37.741136796733329</v>
      </c>
      <c r="C135" s="7">
        <f t="shared" si="33"/>
        <v>38.081404526296367</v>
      </c>
      <c r="D135" s="7">
        <f t="shared" si="34"/>
        <v>49.927980132776867</v>
      </c>
      <c r="E135" s="7">
        <f t="shared" si="35"/>
        <v>50.275943822195636</v>
      </c>
      <c r="F135" s="7">
        <f t="shared" si="36"/>
        <v>0.3402677295630383</v>
      </c>
      <c r="G135" s="7">
        <f t="shared" si="37"/>
        <v>0</v>
      </c>
      <c r="H135" s="7">
        <f t="shared" si="38"/>
        <v>11.846575606480499</v>
      </c>
      <c r="I135" s="8">
        <f>vals_co2_excLUC!$R135</f>
        <v>38.066071359574579</v>
      </c>
      <c r="J135" s="8">
        <f>vals_co2_excLUC!$X135</f>
        <v>37.741136796733329</v>
      </c>
      <c r="K135" s="8">
        <f>vals_co2_excLUC!$AD135</f>
        <v>38.081404526296367</v>
      </c>
      <c r="L135" s="8"/>
      <c r="M135" s="8">
        <f>vals_co2_excLUC!$S135</f>
        <v>50.255700623755082</v>
      </c>
      <c r="N135" s="8">
        <f>vals_co2_excLUC!$Y135</f>
        <v>49.927980132776867</v>
      </c>
      <c r="O135" s="8">
        <f>vals_co2_excLUC!$AE135</f>
        <v>50.275943822195636</v>
      </c>
      <c r="P135" s="8"/>
      <c r="Q135" s="9">
        <f t="shared" si="39"/>
        <v>0.34796368941876921</v>
      </c>
      <c r="R135" s="9">
        <v>38.07</v>
      </c>
      <c r="S135" s="9">
        <v>50.261000000000003</v>
      </c>
    </row>
    <row r="136" spans="1:19" x14ac:dyDescent="0.35">
      <c r="A136" s="3">
        <f>vals_co2_excLUC!$A136</f>
        <v>1983</v>
      </c>
      <c r="B136" s="4">
        <f t="shared" si="32"/>
        <v>37.553607946269999</v>
      </c>
      <c r="C136" s="4">
        <f t="shared" si="33"/>
        <v>37.902268064410968</v>
      </c>
      <c r="D136" s="4">
        <f t="shared" si="34"/>
        <v>49.562789844773413</v>
      </c>
      <c r="E136" s="4">
        <f t="shared" si="35"/>
        <v>49.934018361201069</v>
      </c>
      <c r="F136" s="4">
        <f t="shared" si="36"/>
        <v>0.34866011814096964</v>
      </c>
      <c r="G136" s="4">
        <f t="shared" si="37"/>
        <v>0</v>
      </c>
      <c r="H136" s="4">
        <f t="shared" si="38"/>
        <v>11.660521780362444</v>
      </c>
      <c r="I136" s="5">
        <f>vals_co2_excLUC!$R136</f>
        <v>37.886775826301296</v>
      </c>
      <c r="J136" s="5">
        <f>vals_co2_excLUC!$X136</f>
        <v>37.553607946269999</v>
      </c>
      <c r="K136" s="5">
        <f>vals_co2_excLUC!$AD136</f>
        <v>37.902268064410968</v>
      </c>
      <c r="L136" s="5"/>
      <c r="M136" s="5">
        <f>vals_co2_excLUC!$S136</f>
        <v>49.913608244822029</v>
      </c>
      <c r="N136" s="5">
        <f>vals_co2_excLUC!$Y136</f>
        <v>49.562789844773413</v>
      </c>
      <c r="O136" s="5">
        <f>vals_co2_excLUC!$AE136</f>
        <v>49.934018361201069</v>
      </c>
      <c r="P136" s="5"/>
      <c r="Q136" s="9">
        <f t="shared" si="39"/>
        <v>0.37122851642765653</v>
      </c>
      <c r="R136" s="9">
        <v>37.890999999999998</v>
      </c>
      <c r="S136" s="9">
        <v>49.918999999999997</v>
      </c>
    </row>
    <row r="137" spans="1:19" x14ac:dyDescent="0.35">
      <c r="A137" s="6">
        <f>vals_co2_excLUC!$A137</f>
        <v>1984</v>
      </c>
      <c r="B137" s="7">
        <f t="shared" si="32"/>
        <v>37.369060396742519</v>
      </c>
      <c r="C137" s="7">
        <f t="shared" si="33"/>
        <v>37.727961386952089</v>
      </c>
      <c r="D137" s="7">
        <f t="shared" si="34"/>
        <v>49.192092934057747</v>
      </c>
      <c r="E137" s="7">
        <f t="shared" si="35"/>
        <v>49.588834925776105</v>
      </c>
      <c r="F137" s="7">
        <f t="shared" si="36"/>
        <v>0.35890099020956967</v>
      </c>
      <c r="G137" s="7">
        <f t="shared" si="37"/>
        <v>0</v>
      </c>
      <c r="H137" s="7">
        <f t="shared" si="38"/>
        <v>11.464131547105659</v>
      </c>
      <c r="I137" s="8">
        <f>vals_co2_excLUC!$R137</f>
        <v>37.712300645881662</v>
      </c>
      <c r="J137" s="8">
        <f>vals_co2_excLUC!$X137</f>
        <v>37.369060396742519</v>
      </c>
      <c r="K137" s="8">
        <f>vals_co2_excLUC!$AD137</f>
        <v>37.727961386952089</v>
      </c>
      <c r="L137" s="8"/>
      <c r="M137" s="8">
        <f>vals_co2_excLUC!$S137</f>
        <v>49.568250778761339</v>
      </c>
      <c r="N137" s="8">
        <f>vals_co2_excLUC!$Y137</f>
        <v>49.192092934057747</v>
      </c>
      <c r="O137" s="8">
        <f>vals_co2_excLUC!$AE137</f>
        <v>49.588834925776105</v>
      </c>
      <c r="P137" s="8"/>
      <c r="Q137" s="9">
        <f t="shared" si="39"/>
        <v>0.39674199171835767</v>
      </c>
      <c r="R137" s="9">
        <v>37.716000000000001</v>
      </c>
      <c r="S137" s="9">
        <v>49.573</v>
      </c>
    </row>
    <row r="138" spans="1:19" x14ac:dyDescent="0.35">
      <c r="A138" s="3">
        <f>vals_co2_excLUC!$A138</f>
        <v>1985</v>
      </c>
      <c r="B138" s="4">
        <f t="shared" si="32"/>
        <v>37.176024562881345</v>
      </c>
      <c r="C138" s="4">
        <f t="shared" si="33"/>
        <v>37.546297901776917</v>
      </c>
      <c r="D138" s="4">
        <f t="shared" si="34"/>
        <v>48.80849546286148</v>
      </c>
      <c r="E138" s="4">
        <f t="shared" si="35"/>
        <v>49.232786243334409</v>
      </c>
      <c r="F138" s="4">
        <f t="shared" si="36"/>
        <v>0.37027333889557212</v>
      </c>
      <c r="G138" s="4">
        <f t="shared" si="37"/>
        <v>0</v>
      </c>
      <c r="H138" s="4">
        <f t="shared" si="38"/>
        <v>11.262197561084562</v>
      </c>
      <c r="I138" s="5">
        <f>vals_co2_excLUC!$R138</f>
        <v>37.530455825989065</v>
      </c>
      <c r="J138" s="5">
        <f>vals_co2_excLUC!$X138</f>
        <v>37.176024562881345</v>
      </c>
      <c r="K138" s="5">
        <f>vals_co2_excLUC!$AD138</f>
        <v>37.546297901776917</v>
      </c>
      <c r="L138" s="5"/>
      <c r="M138" s="5">
        <f>vals_co2_excLUC!$S138</f>
        <v>49.212013235754412</v>
      </c>
      <c r="N138" s="5">
        <f>vals_co2_excLUC!$Y138</f>
        <v>48.80849546286148</v>
      </c>
      <c r="O138" s="5">
        <f>vals_co2_excLUC!$AE138</f>
        <v>49.232786243334409</v>
      </c>
      <c r="P138" s="5"/>
      <c r="Q138" s="9">
        <f t="shared" si="39"/>
        <v>0.4242907804729299</v>
      </c>
      <c r="R138" s="9">
        <v>37.533999999999999</v>
      </c>
      <c r="S138" s="9">
        <v>49.216999999999999</v>
      </c>
    </row>
    <row r="139" spans="1:19" x14ac:dyDescent="0.35">
      <c r="A139" s="6">
        <f>vals_co2_excLUC!$A139</f>
        <v>1986</v>
      </c>
      <c r="B139" s="7">
        <f t="shared" si="32"/>
        <v>36.99334470524564</v>
      </c>
      <c r="C139" s="7">
        <f t="shared" si="33"/>
        <v>37.375450632403584</v>
      </c>
      <c r="D139" s="7">
        <f t="shared" si="34"/>
        <v>48.412858507247066</v>
      </c>
      <c r="E139" s="7">
        <f t="shared" si="35"/>
        <v>48.865017836582517</v>
      </c>
      <c r="F139" s="7">
        <f t="shared" si="36"/>
        <v>0.38210592715794434</v>
      </c>
      <c r="G139" s="7">
        <f t="shared" si="37"/>
        <v>0</v>
      </c>
      <c r="H139" s="7">
        <f t="shared" si="38"/>
        <v>11.037407874843481</v>
      </c>
      <c r="I139" s="8">
        <f>vals_co2_excLUC!$R139</f>
        <v>37.359406666492681</v>
      </c>
      <c r="J139" s="8">
        <f>vals_co2_excLUC!$X139</f>
        <v>36.99334470524564</v>
      </c>
      <c r="K139" s="8">
        <f>vals_co2_excLUC!$AD139</f>
        <v>37.375450632403584</v>
      </c>
      <c r="L139" s="8"/>
      <c r="M139" s="8">
        <f>vals_co2_excLUC!$S139</f>
        <v>48.844041803728302</v>
      </c>
      <c r="N139" s="8">
        <f>vals_co2_excLUC!$Y139</f>
        <v>48.412858507247066</v>
      </c>
      <c r="O139" s="8">
        <f>vals_co2_excLUC!$AE139</f>
        <v>48.865017836582517</v>
      </c>
      <c r="P139" s="8"/>
      <c r="Q139" s="9">
        <f t="shared" si="39"/>
        <v>0.45215932933545133</v>
      </c>
      <c r="R139" s="9">
        <v>37.363</v>
      </c>
      <c r="S139" s="9">
        <v>48.848999999999997</v>
      </c>
    </row>
    <row r="140" spans="1:19" x14ac:dyDescent="0.35">
      <c r="A140" s="3">
        <f>vals_co2_excLUC!$A140</f>
        <v>1987</v>
      </c>
      <c r="B140" s="4">
        <f t="shared" si="32"/>
        <v>36.815881376262354</v>
      </c>
      <c r="C140" s="4">
        <f t="shared" si="33"/>
        <v>37.21013472616103</v>
      </c>
      <c r="D140" s="4">
        <f t="shared" si="34"/>
        <v>48.012426114814701</v>
      </c>
      <c r="E140" s="4">
        <f t="shared" si="35"/>
        <v>48.495367152498318</v>
      </c>
      <c r="F140" s="4">
        <f t="shared" si="36"/>
        <v>0.39425334989867622</v>
      </c>
      <c r="G140" s="4">
        <f t="shared" si="37"/>
        <v>0</v>
      </c>
      <c r="H140" s="4">
        <f t="shared" si="38"/>
        <v>10.802291388653671</v>
      </c>
      <c r="I140" s="5">
        <f>vals_co2_excLUC!$R140</f>
        <v>37.193875165148519</v>
      </c>
      <c r="J140" s="5">
        <f>vals_co2_excLUC!$X140</f>
        <v>36.815881376262354</v>
      </c>
      <c r="K140" s="5">
        <f>vals_co2_excLUC!$AD140</f>
        <v>37.21013472616103</v>
      </c>
      <c r="L140" s="5"/>
      <c r="M140" s="5">
        <f>vals_co2_excLUC!$S140</f>
        <v>48.474176329437796</v>
      </c>
      <c r="N140" s="5">
        <f>vals_co2_excLUC!$Y140</f>
        <v>48.012426114814701</v>
      </c>
      <c r="O140" s="5">
        <f>vals_co2_excLUC!$AE140</f>
        <v>48.495367152498318</v>
      </c>
      <c r="P140" s="5"/>
      <c r="Q140" s="9">
        <f t="shared" si="39"/>
        <v>0.48294103768361651</v>
      </c>
      <c r="R140" s="9">
        <v>37.198</v>
      </c>
      <c r="S140" s="9">
        <v>48.478999999999999</v>
      </c>
    </row>
    <row r="141" spans="1:19" x14ac:dyDescent="0.35">
      <c r="A141" s="6">
        <f>vals_co2_excLUC!$A141</f>
        <v>1988</v>
      </c>
      <c r="B141" s="7">
        <f t="shared" si="32"/>
        <v>36.626738175566871</v>
      </c>
      <c r="C141" s="7">
        <f t="shared" si="33"/>
        <v>37.034876081778663</v>
      </c>
      <c r="D141" s="7">
        <f t="shared" si="34"/>
        <v>47.595764137762146</v>
      </c>
      <c r="E141" s="7">
        <f t="shared" si="35"/>
        <v>48.111789627257231</v>
      </c>
      <c r="F141" s="7">
        <f t="shared" si="36"/>
        <v>0.4081379062117918</v>
      </c>
      <c r="G141" s="7">
        <f t="shared" si="37"/>
        <v>0</v>
      </c>
      <c r="H141" s="7">
        <f t="shared" si="38"/>
        <v>10.560888055983483</v>
      </c>
      <c r="I141" s="8">
        <f>vals_co2_excLUC!$R141</f>
        <v>37.018389225664727</v>
      </c>
      <c r="J141" s="8">
        <f>vals_co2_excLUC!$X141</f>
        <v>36.626738175566871</v>
      </c>
      <c r="K141" s="8">
        <f>vals_co2_excLUC!$AD141</f>
        <v>37.034876081778663</v>
      </c>
      <c r="L141" s="8"/>
      <c r="M141" s="8">
        <f>vals_co2_excLUC!$S141</f>
        <v>48.090371649478215</v>
      </c>
      <c r="N141" s="8">
        <f>vals_co2_excLUC!$Y141</f>
        <v>47.595764137762146</v>
      </c>
      <c r="O141" s="8">
        <f>vals_co2_excLUC!$AE141</f>
        <v>48.111789627257231</v>
      </c>
      <c r="P141" s="8"/>
      <c r="Q141" s="9">
        <f t="shared" si="39"/>
        <v>0.51602548949508531</v>
      </c>
      <c r="R141" s="9">
        <v>37.021999999999998</v>
      </c>
      <c r="S141" s="9">
        <v>48.094999999999999</v>
      </c>
    </row>
    <row r="142" spans="1:19" x14ac:dyDescent="0.35">
      <c r="A142" s="3">
        <f>vals_co2_excLUC!$A142</f>
        <v>1989</v>
      </c>
      <c r="B142" s="4">
        <f t="shared" si="32"/>
        <v>36.425106565476476</v>
      </c>
      <c r="C142" s="4">
        <f t="shared" si="33"/>
        <v>36.851019911935573</v>
      </c>
      <c r="D142" s="4">
        <f t="shared" si="34"/>
        <v>47.162394391082046</v>
      </c>
      <c r="E142" s="4">
        <f t="shared" si="35"/>
        <v>47.715881749705062</v>
      </c>
      <c r="F142" s="4">
        <f t="shared" si="36"/>
        <v>0.4259133464590974</v>
      </c>
      <c r="G142" s="4">
        <f t="shared" si="37"/>
        <v>0</v>
      </c>
      <c r="H142" s="4">
        <f t="shared" si="38"/>
        <v>10.311374479146473</v>
      </c>
      <c r="I142" s="5">
        <f>vals_co2_excLUC!$R142</f>
        <v>36.834289055324845</v>
      </c>
      <c r="J142" s="5">
        <f>vals_co2_excLUC!$X142</f>
        <v>36.425106565476476</v>
      </c>
      <c r="K142" s="5">
        <f>vals_co2_excLUC!$AD142</f>
        <v>36.851019911935573</v>
      </c>
      <c r="L142" s="5"/>
      <c r="M142" s="5">
        <f>vals_co2_excLUC!$S142</f>
        <v>47.69421810029953</v>
      </c>
      <c r="N142" s="5">
        <f>vals_co2_excLUC!$Y142</f>
        <v>47.162394391082046</v>
      </c>
      <c r="O142" s="5">
        <f>vals_co2_excLUC!$AE142</f>
        <v>47.715881749705062</v>
      </c>
      <c r="P142" s="5"/>
      <c r="Q142" s="9">
        <f t="shared" si="39"/>
        <v>0.55348735862301623</v>
      </c>
      <c r="R142" s="9">
        <v>36.838000000000001</v>
      </c>
      <c r="S142" s="9">
        <v>47.698999999999998</v>
      </c>
    </row>
    <row r="143" spans="1:19" x14ac:dyDescent="0.35">
      <c r="A143" s="6">
        <f>vals_co2_excLUC!$A143</f>
        <v>1990</v>
      </c>
      <c r="B143" s="7">
        <f t="shared" si="32"/>
        <v>36.206994077139726</v>
      </c>
      <c r="C143" s="7">
        <f t="shared" si="33"/>
        <v>36.649248506202227</v>
      </c>
      <c r="D143" s="7">
        <f t="shared" si="34"/>
        <v>46.716770000848015</v>
      </c>
      <c r="E143" s="7">
        <f t="shared" si="35"/>
        <v>47.305869393339506</v>
      </c>
      <c r="F143" s="7">
        <f t="shared" si="36"/>
        <v>0.44225442906250123</v>
      </c>
      <c r="G143" s="7">
        <f t="shared" si="37"/>
        <v>0</v>
      </c>
      <c r="H143" s="7">
        <f t="shared" si="38"/>
        <v>10.067521494645788</v>
      </c>
      <c r="I143" s="8">
        <f>vals_co2_excLUC!$R143</f>
        <v>36.632269006093203</v>
      </c>
      <c r="J143" s="8">
        <f>vals_co2_excLUC!$X143</f>
        <v>36.206994077139726</v>
      </c>
      <c r="K143" s="8">
        <f>vals_co2_excLUC!$AD143</f>
        <v>36.649248506202227</v>
      </c>
      <c r="L143" s="8"/>
      <c r="M143" s="8">
        <f>vals_co2_excLUC!$S143</f>
        <v>47.283952708898198</v>
      </c>
      <c r="N143" s="8">
        <f>vals_co2_excLUC!$Y143</f>
        <v>46.716770000848015</v>
      </c>
      <c r="O143" s="8">
        <f>vals_co2_excLUC!$AE143</f>
        <v>47.305869393339506</v>
      </c>
      <c r="P143" s="8"/>
      <c r="Q143" s="9">
        <f t="shared" si="39"/>
        <v>0.5890993924914909</v>
      </c>
      <c r="R143" s="9">
        <v>36.636000000000003</v>
      </c>
      <c r="S143" s="9">
        <v>47.289000000000001</v>
      </c>
    </row>
    <row r="144" spans="1:19" x14ac:dyDescent="0.35">
      <c r="A144" s="3">
        <f>vals_co2_excLUC!$A144</f>
        <v>1991</v>
      </c>
      <c r="B144" s="4">
        <f t="shared" si="32"/>
        <v>35.96991985921094</v>
      </c>
      <c r="C144" s="4">
        <f t="shared" si="33"/>
        <v>36.411140019112942</v>
      </c>
      <c r="D144" s="4">
        <f t="shared" si="34"/>
        <v>46.262511318451274</v>
      </c>
      <c r="E144" s="4">
        <f t="shared" si="35"/>
        <v>46.849186773960966</v>
      </c>
      <c r="F144" s="4">
        <f t="shared" si="36"/>
        <v>0.44122015990200225</v>
      </c>
      <c r="G144" s="4">
        <f t="shared" si="37"/>
        <v>0</v>
      </c>
      <c r="H144" s="4">
        <f t="shared" si="38"/>
        <v>9.8513712993383322</v>
      </c>
      <c r="I144" s="5">
        <f>vals_co2_excLUC!$R144</f>
        <v>36.393909387286953</v>
      </c>
      <c r="J144" s="5">
        <f>vals_co2_excLUC!$X144</f>
        <v>35.96991985921094</v>
      </c>
      <c r="K144" s="5">
        <f>vals_co2_excLUC!$AD144</f>
        <v>36.411140019112942</v>
      </c>
      <c r="L144" s="5"/>
      <c r="M144" s="5">
        <f>vals_co2_excLUC!$S144</f>
        <v>46.827016606033652</v>
      </c>
      <c r="N144" s="5">
        <f>vals_co2_excLUC!$Y144</f>
        <v>46.262511318451274</v>
      </c>
      <c r="O144" s="5">
        <f>vals_co2_excLUC!$AE144</f>
        <v>46.849186773960966</v>
      </c>
      <c r="P144" s="5"/>
      <c r="Q144" s="9">
        <f t="shared" si="39"/>
        <v>0.5866754555096918</v>
      </c>
      <c r="R144" s="9">
        <v>36.398000000000003</v>
      </c>
      <c r="S144" s="9">
        <v>46.832000000000001</v>
      </c>
    </row>
    <row r="145" spans="1:19" x14ac:dyDescent="0.35">
      <c r="A145" s="6">
        <f>vals_co2_excLUC!$A145</f>
        <v>1992</v>
      </c>
      <c r="B145" s="7">
        <f t="shared" si="32"/>
        <v>35.734388492227673</v>
      </c>
      <c r="C145" s="7">
        <f t="shared" si="33"/>
        <v>36.164301854985318</v>
      </c>
      <c r="D145" s="7">
        <f t="shared" si="34"/>
        <v>45.831882986677627</v>
      </c>
      <c r="E145" s="7">
        <f t="shared" si="35"/>
        <v>46.403148307463731</v>
      </c>
      <c r="F145" s="7">
        <f t="shared" si="36"/>
        <v>0.42991336275764525</v>
      </c>
      <c r="G145" s="7">
        <f t="shared" si="37"/>
        <v>0</v>
      </c>
      <c r="H145" s="7">
        <f t="shared" si="38"/>
        <v>9.6675811316923088</v>
      </c>
      <c r="I145" s="8">
        <f>vals_co2_excLUC!$R145</f>
        <v>36.164297901902884</v>
      </c>
      <c r="J145" s="8">
        <f>vals_co2_excLUC!$X145</f>
        <v>35.734388492227673</v>
      </c>
      <c r="K145" s="8">
        <f>vals_co2_excLUC!$AD145</f>
        <v>36.164301854985318</v>
      </c>
      <c r="L145" s="8"/>
      <c r="M145" s="8">
        <f>vals_co2_excLUC!$S145</f>
        <v>46.403143235183578</v>
      </c>
      <c r="N145" s="8">
        <f>vals_co2_excLUC!$Y145</f>
        <v>45.831882986677627</v>
      </c>
      <c r="O145" s="8">
        <f>vals_co2_excLUC!$AE145</f>
        <v>46.403148307463731</v>
      </c>
      <c r="P145" s="8"/>
      <c r="Q145" s="9">
        <f t="shared" si="39"/>
        <v>0.57126532078610381</v>
      </c>
      <c r="R145" s="9">
        <v>36.167999999999999</v>
      </c>
      <c r="S145" s="9">
        <v>46.408000000000001</v>
      </c>
    </row>
    <row r="146" spans="1:19" x14ac:dyDescent="0.35">
      <c r="A146" s="3">
        <f>vals_co2_excLUC!$A146</f>
        <v>1993</v>
      </c>
      <c r="B146" s="4">
        <f t="shared" si="32"/>
        <v>35.461601883426255</v>
      </c>
      <c r="C146" s="4">
        <f t="shared" si="33"/>
        <v>35.891855860943224</v>
      </c>
      <c r="D146" s="4">
        <f t="shared" si="34"/>
        <v>45.406729330757514</v>
      </c>
      <c r="E146" s="4">
        <f t="shared" si="35"/>
        <v>45.97819813751174</v>
      </c>
      <c r="F146" s="4">
        <f t="shared" si="36"/>
        <v>0.43025397751696914</v>
      </c>
      <c r="G146" s="4">
        <f t="shared" si="37"/>
        <v>0</v>
      </c>
      <c r="H146" s="4">
        <f t="shared" si="38"/>
        <v>9.5148734698142903</v>
      </c>
      <c r="I146" s="5">
        <f>vals_co2_excLUC!$R146</f>
        <v>35.891852405725253</v>
      </c>
      <c r="J146" s="5">
        <f>vals_co2_excLUC!$X146</f>
        <v>35.461601883426255</v>
      </c>
      <c r="K146" s="5">
        <f>vals_co2_excLUC!$AD146</f>
        <v>35.891855860943224</v>
      </c>
      <c r="L146" s="5"/>
      <c r="M146" s="5">
        <f>vals_co2_excLUC!$S146</f>
        <v>45.978193711307178</v>
      </c>
      <c r="N146" s="5">
        <f>vals_co2_excLUC!$Y146</f>
        <v>45.406729330757514</v>
      </c>
      <c r="O146" s="5">
        <f>vals_co2_excLUC!$AE146</f>
        <v>45.97819813751174</v>
      </c>
      <c r="P146" s="5"/>
      <c r="Q146" s="9">
        <f t="shared" si="39"/>
        <v>0.57146880675422551</v>
      </c>
      <c r="R146" s="9">
        <v>35.896000000000001</v>
      </c>
      <c r="S146" s="9">
        <v>45.982999999999997</v>
      </c>
    </row>
    <row r="147" spans="1:19" x14ac:dyDescent="0.35">
      <c r="A147" s="6">
        <f>vals_co2_excLUC!$A147</f>
        <v>1994</v>
      </c>
      <c r="B147" s="7">
        <f t="shared" si="32"/>
        <v>35.178740068687929</v>
      </c>
      <c r="C147" s="7">
        <f t="shared" si="33"/>
        <v>35.610994844661001</v>
      </c>
      <c r="D147" s="7">
        <f t="shared" si="34"/>
        <v>44.988054285011273</v>
      </c>
      <c r="E147" s="7">
        <f t="shared" si="35"/>
        <v>45.562069687905762</v>
      </c>
      <c r="F147" s="7">
        <f t="shared" si="36"/>
        <v>0.43225477597307105</v>
      </c>
      <c r="G147" s="7">
        <f t="shared" si="37"/>
        <v>0</v>
      </c>
      <c r="H147" s="7">
        <f t="shared" si="38"/>
        <v>9.3770594403502727</v>
      </c>
      <c r="I147" s="8">
        <f>vals_co2_excLUC!$R147</f>
        <v>35.610991864080624</v>
      </c>
      <c r="J147" s="8">
        <f>vals_co2_excLUC!$X147</f>
        <v>35.178740068687929</v>
      </c>
      <c r="K147" s="8">
        <f>vals_co2_excLUC!$AD147</f>
        <v>35.610994844661001</v>
      </c>
      <c r="L147" s="8"/>
      <c r="M147" s="8">
        <f>vals_co2_excLUC!$S147</f>
        <v>45.562065874437145</v>
      </c>
      <c r="N147" s="8">
        <f>vals_co2_excLUC!$Y147</f>
        <v>44.988054285011273</v>
      </c>
      <c r="O147" s="8">
        <f>vals_co2_excLUC!$AE147</f>
        <v>45.562069687905762</v>
      </c>
      <c r="P147" s="8"/>
      <c r="Q147" s="9">
        <f t="shared" si="39"/>
        <v>0.5740154028944886</v>
      </c>
      <c r="R147" s="9">
        <v>35.615000000000002</v>
      </c>
      <c r="S147" s="9">
        <v>45.567</v>
      </c>
    </row>
    <row r="148" spans="1:19" x14ac:dyDescent="0.35">
      <c r="A148" s="3">
        <f>vals_co2_excLUC!$A148</f>
        <v>1995</v>
      </c>
      <c r="B148" s="4">
        <f t="shared" si="32"/>
        <v>34.870391629159897</v>
      </c>
      <c r="C148" s="4">
        <f t="shared" si="33"/>
        <v>35.307459512749986</v>
      </c>
      <c r="D148" s="4">
        <f t="shared" si="34"/>
        <v>44.576049391926276</v>
      </c>
      <c r="E148" s="4">
        <f t="shared" si="35"/>
        <v>45.156699081556859</v>
      </c>
      <c r="F148" s="4">
        <f t="shared" si="36"/>
        <v>0.43706788359008897</v>
      </c>
      <c r="G148" s="4">
        <f t="shared" si="37"/>
        <v>0</v>
      </c>
      <c r="H148" s="4">
        <f t="shared" si="38"/>
        <v>9.2685898791762895</v>
      </c>
      <c r="I148" s="5">
        <f>vals_co2_excLUC!$R148</f>
        <v>35.307457022197674</v>
      </c>
      <c r="J148" s="5">
        <f>vals_co2_excLUC!$X148</f>
        <v>34.870391629159897</v>
      </c>
      <c r="K148" s="5">
        <f>vals_co2_excLUC!$AD148</f>
        <v>35.307459512749986</v>
      </c>
      <c r="L148" s="5"/>
      <c r="M148" s="5">
        <f>vals_co2_excLUC!$S148</f>
        <v>45.156695896249175</v>
      </c>
      <c r="N148" s="5">
        <f>vals_co2_excLUC!$Y148</f>
        <v>44.576049391926276</v>
      </c>
      <c r="O148" s="5">
        <f>vals_co2_excLUC!$AE148</f>
        <v>45.156699081556859</v>
      </c>
      <c r="P148" s="5"/>
      <c r="Q148" s="9">
        <f t="shared" si="39"/>
        <v>0.58064968963058305</v>
      </c>
      <c r="R148" s="9">
        <v>35.311</v>
      </c>
      <c r="S148" s="9">
        <v>45.161999999999999</v>
      </c>
    </row>
    <row r="149" spans="1:19" x14ac:dyDescent="0.35">
      <c r="A149" s="6">
        <f>vals_co2_excLUC!$A149</f>
        <v>1996</v>
      </c>
      <c r="B149" s="7">
        <f t="shared" si="32"/>
        <v>34.552539262818605</v>
      </c>
      <c r="C149" s="7">
        <f t="shared" si="33"/>
        <v>34.993510093051292</v>
      </c>
      <c r="D149" s="7">
        <f t="shared" si="34"/>
        <v>44.160225625355778</v>
      </c>
      <c r="E149" s="7">
        <f t="shared" si="35"/>
        <v>44.746482935124163</v>
      </c>
      <c r="F149" s="7">
        <f t="shared" si="36"/>
        <v>0.44097083023268624</v>
      </c>
      <c r="G149" s="7">
        <f t="shared" si="37"/>
        <v>0</v>
      </c>
      <c r="H149" s="7">
        <f t="shared" si="38"/>
        <v>9.1667155323044867</v>
      </c>
      <c r="I149" s="8">
        <f>vals_co2_excLUC!$R149</f>
        <v>34.99350760622557</v>
      </c>
      <c r="J149" s="8">
        <f>vals_co2_excLUC!$X149</f>
        <v>34.552539262818605</v>
      </c>
      <c r="K149" s="8">
        <f>vals_co2_excLUC!$AD149</f>
        <v>34.993510093051292</v>
      </c>
      <c r="L149" s="8"/>
      <c r="M149" s="8">
        <f>vals_co2_excLUC!$S149</f>
        <v>44.746479897503797</v>
      </c>
      <c r="N149" s="8">
        <f>vals_co2_excLUC!$Y149</f>
        <v>44.160225625355778</v>
      </c>
      <c r="O149" s="8">
        <f>vals_co2_excLUC!$AE149</f>
        <v>44.746482935124163</v>
      </c>
      <c r="P149" s="8"/>
      <c r="Q149" s="9">
        <f t="shared" si="39"/>
        <v>0.58625730976838497</v>
      </c>
      <c r="R149" s="9">
        <v>34.997999999999998</v>
      </c>
      <c r="S149" s="9">
        <v>44.752000000000002</v>
      </c>
    </row>
    <row r="150" spans="1:19" x14ac:dyDescent="0.35">
      <c r="A150" s="3">
        <f>vals_co2_excLUC!$A150</f>
        <v>1997</v>
      </c>
      <c r="B150" s="4">
        <f t="shared" si="32"/>
        <v>34.212941320571872</v>
      </c>
      <c r="C150" s="4">
        <f t="shared" si="33"/>
        <v>34.655779429991313</v>
      </c>
      <c r="D150" s="4">
        <f t="shared" si="34"/>
        <v>43.728073547263556</v>
      </c>
      <c r="E150" s="4">
        <f t="shared" si="35"/>
        <v>44.317521607658279</v>
      </c>
      <c r="F150" s="4">
        <f t="shared" si="36"/>
        <v>0.44283810941944068</v>
      </c>
      <c r="G150" s="4">
        <f t="shared" si="37"/>
        <v>0</v>
      </c>
      <c r="H150" s="4">
        <f t="shared" si="38"/>
        <v>9.0722941172722429</v>
      </c>
      <c r="I150" s="5">
        <f>vals_co2_excLUC!$R150</f>
        <v>34.655777097767498</v>
      </c>
      <c r="J150" s="5">
        <f>vals_co2_excLUC!$X150</f>
        <v>34.212941320571872</v>
      </c>
      <c r="K150" s="5">
        <f>vals_co2_excLUC!$AD150</f>
        <v>34.655779429991313</v>
      </c>
      <c r="L150" s="5"/>
      <c r="M150" s="5">
        <f>vals_co2_excLUC!$S150</f>
        <v>44.317518657091398</v>
      </c>
      <c r="N150" s="5">
        <f>vals_co2_excLUC!$Y150</f>
        <v>43.728073547263556</v>
      </c>
      <c r="O150" s="5">
        <f>vals_co2_excLUC!$AE150</f>
        <v>44.317521607658279</v>
      </c>
      <c r="P150" s="5"/>
      <c r="Q150" s="9">
        <f t="shared" si="39"/>
        <v>0.58944806039472297</v>
      </c>
      <c r="R150" s="9">
        <v>34.659999999999997</v>
      </c>
      <c r="S150" s="9">
        <v>44.323</v>
      </c>
    </row>
    <row r="151" spans="1:19" x14ac:dyDescent="0.35">
      <c r="A151" s="6">
        <f>vals_co2_excLUC!$A151</f>
        <v>1998</v>
      </c>
      <c r="B151" s="7">
        <f t="shared" si="32"/>
        <v>33.858059622805328</v>
      </c>
      <c r="C151" s="7">
        <f t="shared" si="33"/>
        <v>34.300770778865719</v>
      </c>
      <c r="D151" s="7">
        <f t="shared" si="34"/>
        <v>43.292749385196863</v>
      </c>
      <c r="E151" s="7">
        <f t="shared" si="35"/>
        <v>43.883025545681967</v>
      </c>
      <c r="F151" s="7">
        <f t="shared" si="36"/>
        <v>0.44271115606039046</v>
      </c>
      <c r="G151" s="7">
        <f t="shared" si="37"/>
        <v>0</v>
      </c>
      <c r="H151" s="7">
        <f t="shared" si="38"/>
        <v>8.9919786063311449</v>
      </c>
      <c r="I151" s="8">
        <f>vals_co2_excLUC!$R151</f>
        <v>34.300768566293307</v>
      </c>
      <c r="J151" s="8">
        <f>vals_co2_excLUC!$X151</f>
        <v>33.858059622805328</v>
      </c>
      <c r="K151" s="8">
        <f>vals_co2_excLUC!$AD151</f>
        <v>34.300770778865719</v>
      </c>
      <c r="L151" s="8"/>
      <c r="M151" s="8">
        <f>vals_co2_excLUC!$S151</f>
        <v>43.883022747820206</v>
      </c>
      <c r="N151" s="8">
        <f>vals_co2_excLUC!$Y151</f>
        <v>43.292749385196863</v>
      </c>
      <c r="O151" s="8">
        <f>vals_co2_excLUC!$AE151</f>
        <v>43.883025545681967</v>
      </c>
      <c r="P151" s="8"/>
      <c r="Q151" s="9">
        <f t="shared" si="39"/>
        <v>0.59027616048510367</v>
      </c>
      <c r="R151" s="9">
        <v>34.305</v>
      </c>
      <c r="S151" s="9">
        <v>43.887999999999998</v>
      </c>
    </row>
    <row r="152" spans="1:19" x14ac:dyDescent="0.35">
      <c r="A152" s="3">
        <f>vals_co2_excLUC!$A152</f>
        <v>1999</v>
      </c>
      <c r="B152" s="4">
        <f t="shared" si="32"/>
        <v>33.468855573633668</v>
      </c>
      <c r="C152" s="4">
        <f t="shared" si="33"/>
        <v>33.909043467501107</v>
      </c>
      <c r="D152" s="4">
        <f t="shared" si="34"/>
        <v>42.827284173943092</v>
      </c>
      <c r="E152" s="4">
        <f t="shared" si="35"/>
        <v>43.415513225383343</v>
      </c>
      <c r="F152" s="4">
        <f t="shared" si="36"/>
        <v>0.44018789386743862</v>
      </c>
      <c r="G152" s="4">
        <f t="shared" si="37"/>
        <v>0</v>
      </c>
      <c r="H152" s="4">
        <f t="shared" si="38"/>
        <v>8.9182407064419849</v>
      </c>
      <c r="I152" s="5">
        <f>vals_co2_excLUC!$R152</f>
        <v>33.909041380445665</v>
      </c>
      <c r="J152" s="5">
        <f>vals_co2_excLUC!$X152</f>
        <v>33.468855573633668</v>
      </c>
      <c r="K152" s="5">
        <f>vals_co2_excLUC!$AD152</f>
        <v>33.909043467501107</v>
      </c>
      <c r="L152" s="5"/>
      <c r="M152" s="5">
        <f>vals_co2_excLUC!$S152</f>
        <v>43.415510587085343</v>
      </c>
      <c r="N152" s="5">
        <f>vals_co2_excLUC!$Y152</f>
        <v>42.827284173943092</v>
      </c>
      <c r="O152" s="5">
        <f>vals_co2_excLUC!$AE152</f>
        <v>43.415513225383343</v>
      </c>
      <c r="P152" s="5"/>
      <c r="Q152" s="9">
        <f t="shared" si="39"/>
        <v>0.58822905144025128</v>
      </c>
      <c r="R152" s="9">
        <v>33.912999999999997</v>
      </c>
      <c r="S152" s="9">
        <v>43.420999999999999</v>
      </c>
    </row>
    <row r="153" spans="1:19" x14ac:dyDescent="0.35">
      <c r="A153" s="6">
        <f>vals_co2_excLUC!$A153</f>
        <v>2000</v>
      </c>
      <c r="B153" s="7">
        <f t="shared" si="32"/>
        <v>33.065705954571726</v>
      </c>
      <c r="C153" s="7">
        <f t="shared" si="33"/>
        <v>33.502129006739267</v>
      </c>
      <c r="D153" s="7">
        <f t="shared" si="34"/>
        <v>42.356313367786747</v>
      </c>
      <c r="E153" s="7">
        <f t="shared" si="35"/>
        <v>42.941108415807477</v>
      </c>
      <c r="F153" s="7">
        <f t="shared" si="36"/>
        <v>0.43642305216754096</v>
      </c>
      <c r="G153" s="7">
        <f t="shared" si="37"/>
        <v>0</v>
      </c>
      <c r="H153" s="7">
        <f t="shared" si="38"/>
        <v>8.85418436104748</v>
      </c>
      <c r="I153" s="8">
        <f>vals_co2_excLUC!$R153</f>
        <v>33.50212704823187</v>
      </c>
      <c r="J153" s="8">
        <f>vals_co2_excLUC!$X153</f>
        <v>33.065705954571726</v>
      </c>
      <c r="K153" s="8">
        <f>vals_co2_excLUC!$AD153</f>
        <v>33.502129006739267</v>
      </c>
      <c r="L153" s="8"/>
      <c r="M153" s="8">
        <f>vals_co2_excLUC!$S153</f>
        <v>42.941105940559751</v>
      </c>
      <c r="N153" s="8">
        <f>vals_co2_excLUC!$Y153</f>
        <v>42.356313367786747</v>
      </c>
      <c r="O153" s="8">
        <f>vals_co2_excLUC!$AE153</f>
        <v>42.941108415807477</v>
      </c>
      <c r="P153" s="8"/>
      <c r="Q153" s="9">
        <f t="shared" si="39"/>
        <v>0.58479504802073023</v>
      </c>
      <c r="R153" s="9">
        <v>33.506</v>
      </c>
      <c r="S153" s="9">
        <v>42.945999999999998</v>
      </c>
    </row>
    <row r="154" spans="1:19" x14ac:dyDescent="0.35">
      <c r="A154" s="3">
        <f>vals_co2_excLUC!$A154</f>
        <v>2001</v>
      </c>
      <c r="B154" s="4">
        <f t="shared" si="32"/>
        <v>32.628727351992744</v>
      </c>
      <c r="C154" s="4">
        <f t="shared" si="33"/>
        <v>33.059950500843676</v>
      </c>
      <c r="D154" s="4">
        <f t="shared" si="34"/>
        <v>41.857312882078091</v>
      </c>
      <c r="E154" s="4">
        <f t="shared" si="35"/>
        <v>42.437093936939043</v>
      </c>
      <c r="F154" s="4">
        <f t="shared" si="36"/>
        <v>0.4312231488509326</v>
      </c>
      <c r="G154" s="4">
        <f t="shared" si="37"/>
        <v>0</v>
      </c>
      <c r="H154" s="4">
        <f t="shared" si="38"/>
        <v>8.7973623812344144</v>
      </c>
      <c r="I154" s="5">
        <f>vals_co2_excLUC!$R154</f>
        <v>33.059948632460063</v>
      </c>
      <c r="J154" s="5">
        <f>vals_co2_excLUC!$X154</f>
        <v>32.628727351992744</v>
      </c>
      <c r="K154" s="5">
        <f>vals_co2_excLUC!$AD154</f>
        <v>33.059950500843676</v>
      </c>
      <c r="L154" s="5"/>
      <c r="M154" s="5">
        <f>vals_co2_excLUC!$S154</f>
        <v>42.437091575017199</v>
      </c>
      <c r="N154" s="5">
        <f>vals_co2_excLUC!$Y154</f>
        <v>41.857312882078091</v>
      </c>
      <c r="O154" s="5">
        <f>vals_co2_excLUC!$AE154</f>
        <v>42.437093936939043</v>
      </c>
      <c r="P154" s="5"/>
      <c r="Q154" s="9">
        <f t="shared" si="39"/>
        <v>0.57978105486095188</v>
      </c>
      <c r="R154" s="9">
        <v>33.064</v>
      </c>
      <c r="S154" s="9">
        <v>42.442</v>
      </c>
    </row>
    <row r="155" spans="1:19" x14ac:dyDescent="0.35">
      <c r="A155" s="6">
        <f>vals_co2_excLUC!$A155</f>
        <v>2002</v>
      </c>
      <c r="B155" s="7">
        <f t="shared" si="32"/>
        <v>32.184145526827898</v>
      </c>
      <c r="C155" s="7">
        <f t="shared" si="33"/>
        <v>32.606979694508574</v>
      </c>
      <c r="D155" s="7">
        <f t="shared" si="34"/>
        <v>41.343052533023794</v>
      </c>
      <c r="E155" s="7">
        <f t="shared" si="35"/>
        <v>41.913701856366536</v>
      </c>
      <c r="F155" s="7">
        <f t="shared" si="36"/>
        <v>0.42283416768067639</v>
      </c>
      <c r="G155" s="7">
        <f t="shared" si="37"/>
        <v>0</v>
      </c>
      <c r="H155" s="7">
        <f t="shared" si="38"/>
        <v>8.73607283851522</v>
      </c>
      <c r="I155" s="8">
        <f>vals_co2_excLUC!$R155</f>
        <v>32.606977918742821</v>
      </c>
      <c r="J155" s="8">
        <f>vals_co2_excLUC!$X155</f>
        <v>32.184145526827898</v>
      </c>
      <c r="K155" s="8">
        <f>vals_co2_excLUC!$AD155</f>
        <v>32.606979694508574</v>
      </c>
      <c r="L155" s="8"/>
      <c r="M155" s="8">
        <f>vals_co2_excLUC!$S155</f>
        <v>41.913699744222356</v>
      </c>
      <c r="N155" s="8">
        <f>vals_co2_excLUC!$Y155</f>
        <v>41.343052533023794</v>
      </c>
      <c r="O155" s="8">
        <f>vals_co2_excLUC!$AE155</f>
        <v>41.913701856366536</v>
      </c>
      <c r="P155" s="8"/>
      <c r="Q155" s="9">
        <f t="shared" si="39"/>
        <v>0.57064932334274232</v>
      </c>
      <c r="R155" s="9">
        <v>32.610999999999997</v>
      </c>
      <c r="S155" s="9">
        <v>41.918999999999997</v>
      </c>
    </row>
    <row r="156" spans="1:19" x14ac:dyDescent="0.35">
      <c r="A156" s="3">
        <f>vals_co2_excLUC!$A156</f>
        <v>2003</v>
      </c>
      <c r="B156" s="4">
        <f t="shared" si="32"/>
        <v>31.725902179597227</v>
      </c>
      <c r="C156" s="4">
        <f t="shared" si="33"/>
        <v>32.136665061114407</v>
      </c>
      <c r="D156" s="4">
        <f t="shared" si="34"/>
        <v>40.821616576434799</v>
      </c>
      <c r="E156" s="4">
        <f t="shared" si="35"/>
        <v>41.378563693108724</v>
      </c>
      <c r="F156" s="4">
        <f t="shared" si="36"/>
        <v>0.41076288151717932</v>
      </c>
      <c r="G156" s="4">
        <f t="shared" si="37"/>
        <v>0</v>
      </c>
      <c r="H156" s="4">
        <f t="shared" si="38"/>
        <v>8.6849515153203924</v>
      </c>
      <c r="I156" s="5">
        <f>vals_co2_excLUC!$R156</f>
        <v>32.136663424233184</v>
      </c>
      <c r="J156" s="5">
        <f>vals_co2_excLUC!$X156</f>
        <v>31.725902179597227</v>
      </c>
      <c r="K156" s="5">
        <f>vals_co2_excLUC!$AD156</f>
        <v>32.136665061114407</v>
      </c>
      <c r="L156" s="5"/>
      <c r="M156" s="5">
        <f>vals_co2_excLUC!$S156</f>
        <v>41.378561762209017</v>
      </c>
      <c r="N156" s="5">
        <f>vals_co2_excLUC!$Y156</f>
        <v>40.821616576434799</v>
      </c>
      <c r="O156" s="5">
        <f>vals_co2_excLUC!$AE156</f>
        <v>41.378563693108724</v>
      </c>
      <c r="P156" s="5"/>
      <c r="Q156" s="9">
        <f t="shared" si="39"/>
        <v>0.55694711667392482</v>
      </c>
      <c r="R156" s="9">
        <v>32.14</v>
      </c>
      <c r="S156" s="9">
        <v>41.383000000000003</v>
      </c>
    </row>
    <row r="157" spans="1:19" x14ac:dyDescent="0.35">
      <c r="A157" s="6">
        <f>vals_co2_excLUC!$A157</f>
        <v>2004</v>
      </c>
      <c r="B157" s="7">
        <f t="shared" si="32"/>
        <v>31.272767859479039</v>
      </c>
      <c r="C157" s="7">
        <f t="shared" si="33"/>
        <v>31.671323404135755</v>
      </c>
      <c r="D157" s="7">
        <f t="shared" si="34"/>
        <v>40.305267003695867</v>
      </c>
      <c r="E157" s="7">
        <f t="shared" si="35"/>
        <v>40.848426175992117</v>
      </c>
      <c r="F157" s="7">
        <f t="shared" si="36"/>
        <v>0.39855554465671617</v>
      </c>
      <c r="G157" s="7">
        <f t="shared" si="37"/>
        <v>0</v>
      </c>
      <c r="H157" s="7">
        <f t="shared" si="38"/>
        <v>8.6339435995601121</v>
      </c>
      <c r="I157" s="8">
        <f>vals_co2_excLUC!$R157</f>
        <v>31.671321720130209</v>
      </c>
      <c r="J157" s="8">
        <f>vals_co2_excLUC!$X157</f>
        <v>31.272767859479039</v>
      </c>
      <c r="K157" s="8">
        <f>vals_co2_excLUC!$AD157</f>
        <v>31.671323404135755</v>
      </c>
      <c r="L157" s="8"/>
      <c r="M157" s="8">
        <f>vals_co2_excLUC!$S157</f>
        <v>40.848424371593431</v>
      </c>
      <c r="N157" s="8">
        <f>vals_co2_excLUC!$Y157</f>
        <v>40.305267003695867</v>
      </c>
      <c r="O157" s="8">
        <f>vals_co2_excLUC!$AE157</f>
        <v>40.848426175992117</v>
      </c>
      <c r="P157" s="8"/>
      <c r="Q157" s="9">
        <f t="shared" si="39"/>
        <v>0.54315917229624944</v>
      </c>
      <c r="R157" s="9">
        <v>31.675000000000001</v>
      </c>
      <c r="S157" s="9">
        <v>40.853000000000002</v>
      </c>
    </row>
    <row r="158" spans="1:19" x14ac:dyDescent="0.35">
      <c r="A158" s="3">
        <f>vals_co2_excLUC!$A158</f>
        <v>2005</v>
      </c>
      <c r="B158" s="4">
        <f t="shared" si="32"/>
        <v>30.812448091713495</v>
      </c>
      <c r="C158" s="4">
        <f t="shared" si="33"/>
        <v>31.193176626587377</v>
      </c>
      <c r="D158" s="4">
        <f t="shared" si="34"/>
        <v>39.786348457025674</v>
      </c>
      <c r="E158" s="4">
        <f t="shared" si="35"/>
        <v>40.308592376413117</v>
      </c>
      <c r="F158" s="4">
        <f t="shared" si="36"/>
        <v>0.38072853487388159</v>
      </c>
      <c r="G158" s="4">
        <f t="shared" si="37"/>
        <v>0</v>
      </c>
      <c r="H158" s="4">
        <f t="shared" si="38"/>
        <v>8.5931718304382976</v>
      </c>
      <c r="I158" s="5">
        <f>vals_co2_excLUC!$R158</f>
        <v>31.193175219280484</v>
      </c>
      <c r="J158" s="5">
        <f>vals_co2_excLUC!$X158</f>
        <v>30.812448091713495</v>
      </c>
      <c r="K158" s="5">
        <f>vals_co2_excLUC!$AD158</f>
        <v>31.193176626587377</v>
      </c>
      <c r="L158" s="5"/>
      <c r="M158" s="5">
        <f>vals_co2_excLUC!$S158</f>
        <v>40.30859094126086</v>
      </c>
      <c r="N158" s="5">
        <f>vals_co2_excLUC!$Y158</f>
        <v>39.786348457025674</v>
      </c>
      <c r="O158" s="5">
        <f>vals_co2_excLUC!$AE158</f>
        <v>40.308592376413117</v>
      </c>
      <c r="P158" s="5"/>
      <c r="Q158" s="9">
        <f t="shared" si="39"/>
        <v>0.52224391938744219</v>
      </c>
      <c r="R158" s="9">
        <v>31.196999999999999</v>
      </c>
      <c r="S158" s="9">
        <v>40.313000000000002</v>
      </c>
    </row>
    <row r="159" spans="1:19" x14ac:dyDescent="0.35">
      <c r="A159" s="6">
        <f>vals_co2_excLUC!$A159</f>
        <v>2006</v>
      </c>
      <c r="B159" s="7">
        <f t="shared" si="32"/>
        <v>30.360318171642199</v>
      </c>
      <c r="C159" s="7">
        <f t="shared" si="33"/>
        <v>30.717400500626109</v>
      </c>
      <c r="D159" s="7">
        <f t="shared" si="34"/>
        <v>39.279258559846561</v>
      </c>
      <c r="E159" s="7">
        <f t="shared" si="35"/>
        <v>39.773133381099598</v>
      </c>
      <c r="F159" s="7">
        <f t="shared" si="36"/>
        <v>0.35708232898391046</v>
      </c>
      <c r="G159" s="7">
        <f t="shared" si="37"/>
        <v>0</v>
      </c>
      <c r="H159" s="7">
        <f t="shared" si="38"/>
        <v>8.5618580592204516</v>
      </c>
      <c r="I159" s="8">
        <f>vals_co2_excLUC!$R159</f>
        <v>30.717399476856151</v>
      </c>
      <c r="J159" s="8">
        <f>vals_co2_excLUC!$X159</f>
        <v>30.360318171642199</v>
      </c>
      <c r="K159" s="8">
        <f>vals_co2_excLUC!$AD159</f>
        <v>30.717400500626109</v>
      </c>
      <c r="L159" s="8"/>
      <c r="M159" s="8">
        <f>vals_co2_excLUC!$S159</f>
        <v>39.773132301806072</v>
      </c>
      <c r="N159" s="8">
        <f>vals_co2_excLUC!$Y159</f>
        <v>39.279258559846561</v>
      </c>
      <c r="O159" s="8">
        <f>vals_co2_excLUC!$AE159</f>
        <v>39.773133381099598</v>
      </c>
      <c r="P159" s="8"/>
      <c r="Q159" s="9">
        <f t="shared" si="39"/>
        <v>0.49387482125303706</v>
      </c>
      <c r="R159" s="9">
        <v>30.721</v>
      </c>
      <c r="S159" s="9">
        <v>39.777999999999999</v>
      </c>
    </row>
    <row r="160" spans="1:19" x14ac:dyDescent="0.35">
      <c r="A160" s="3">
        <f>vals_co2_excLUC!$A160</f>
        <v>2007</v>
      </c>
      <c r="B160" s="4">
        <f t="shared" si="32"/>
        <v>29.921763343616846</v>
      </c>
      <c r="C160" s="4">
        <f t="shared" si="33"/>
        <v>30.260954108840565</v>
      </c>
      <c r="D160" s="4">
        <f t="shared" si="34"/>
        <v>38.773156653385833</v>
      </c>
      <c r="E160" s="4">
        <f t="shared" si="35"/>
        <v>39.246079571603893</v>
      </c>
      <c r="F160" s="4">
        <f t="shared" si="36"/>
        <v>0.33919076522371938</v>
      </c>
      <c r="G160" s="4">
        <f t="shared" si="37"/>
        <v>0</v>
      </c>
      <c r="H160" s="4">
        <f t="shared" si="38"/>
        <v>8.5122025445452678</v>
      </c>
      <c r="I160" s="5">
        <f>vals_co2_excLUC!$R160</f>
        <v>30.260953390951244</v>
      </c>
      <c r="J160" s="5">
        <f>vals_co2_excLUC!$X160</f>
        <v>29.921763343616846</v>
      </c>
      <c r="K160" s="5">
        <f>vals_co2_excLUC!$AD160</f>
        <v>30.260954108840565</v>
      </c>
      <c r="L160" s="5"/>
      <c r="M160" s="5">
        <f>vals_co2_excLUC!$S160</f>
        <v>39.246078899375945</v>
      </c>
      <c r="N160" s="5">
        <f>vals_co2_excLUC!$Y160</f>
        <v>38.773156653385833</v>
      </c>
      <c r="O160" s="5">
        <f>vals_co2_excLUC!$AE160</f>
        <v>39.246079571603893</v>
      </c>
      <c r="P160" s="5"/>
      <c r="Q160" s="9">
        <f t="shared" si="39"/>
        <v>0.47292291821806032</v>
      </c>
      <c r="R160" s="9">
        <v>30.265000000000001</v>
      </c>
      <c r="S160" s="9">
        <v>39.250999999999998</v>
      </c>
    </row>
    <row r="161" spans="1:19" x14ac:dyDescent="0.35">
      <c r="A161" s="6">
        <f>vals_co2_excLUC!$A161</f>
        <v>2008</v>
      </c>
      <c r="B161" s="7">
        <f t="shared" si="32"/>
        <v>29.465852878774392</v>
      </c>
      <c r="C161" s="7">
        <f t="shared" si="33"/>
        <v>29.789497002819807</v>
      </c>
      <c r="D161" s="7">
        <f t="shared" si="34"/>
        <v>38.246476192506954</v>
      </c>
      <c r="E161" s="7">
        <f t="shared" si="35"/>
        <v>38.701642827655022</v>
      </c>
      <c r="F161" s="7">
        <f t="shared" si="36"/>
        <v>0.32364412404541554</v>
      </c>
      <c r="G161" s="7">
        <f t="shared" si="37"/>
        <v>0</v>
      </c>
      <c r="H161" s="7">
        <f t="shared" si="38"/>
        <v>8.4569791896871465</v>
      </c>
      <c r="I161" s="8">
        <f>vals_co2_excLUC!$R161</f>
        <v>29.789496933767133</v>
      </c>
      <c r="J161" s="8">
        <f>vals_co2_excLUC!$X161</f>
        <v>29.465852878774392</v>
      </c>
      <c r="K161" s="8">
        <f>vals_co2_excLUC!$AD161</f>
        <v>29.789497002819807</v>
      </c>
      <c r="L161" s="8"/>
      <c r="M161" s="8">
        <f>vals_co2_excLUC!$S161</f>
        <v>38.701642789052229</v>
      </c>
      <c r="N161" s="8">
        <f>vals_co2_excLUC!$Y161</f>
        <v>38.246476192506954</v>
      </c>
      <c r="O161" s="8">
        <f>vals_co2_excLUC!$AE161</f>
        <v>38.701642827655022</v>
      </c>
      <c r="P161" s="8"/>
      <c r="Q161" s="9">
        <f t="shared" si="39"/>
        <v>0.45516663514806766</v>
      </c>
      <c r="R161" s="9">
        <v>29.792999999999999</v>
      </c>
      <c r="S161" s="9">
        <v>38.706000000000003</v>
      </c>
    </row>
    <row r="162" spans="1:19" x14ac:dyDescent="0.35">
      <c r="A162" s="3">
        <f>vals_co2_excLUC!$A162</f>
        <v>2009</v>
      </c>
      <c r="B162" s="4">
        <f t="shared" si="32"/>
        <v>29.042652956553898</v>
      </c>
      <c r="C162" s="4">
        <f t="shared" si="33"/>
        <v>29.358467966733759</v>
      </c>
      <c r="D162" s="4">
        <f t="shared" si="34"/>
        <v>37.751253226569439</v>
      </c>
      <c r="E162" s="4">
        <f t="shared" si="35"/>
        <v>38.198708970147131</v>
      </c>
      <c r="F162" s="4">
        <f t="shared" si="36"/>
        <v>0.31581501017986113</v>
      </c>
      <c r="G162" s="4">
        <f t="shared" si="37"/>
        <v>0</v>
      </c>
      <c r="H162" s="4">
        <f t="shared" si="38"/>
        <v>8.39278525983568</v>
      </c>
      <c r="I162" s="5">
        <f>vals_co2_excLUC!$R162</f>
        <v>29.358467892265772</v>
      </c>
      <c r="J162" s="5">
        <f>vals_co2_excLUC!$X162</f>
        <v>29.042652956553898</v>
      </c>
      <c r="K162" s="5">
        <f>vals_co2_excLUC!$AD162</f>
        <v>29.358467966733759</v>
      </c>
      <c r="L162" s="5"/>
      <c r="M162" s="5">
        <f>vals_co2_excLUC!$S162</f>
        <v>38.198708927571886</v>
      </c>
      <c r="N162" s="5">
        <f>vals_co2_excLUC!$Y162</f>
        <v>37.751253226569439</v>
      </c>
      <c r="O162" s="5">
        <f>vals_co2_excLUC!$AE162</f>
        <v>38.198708970147131</v>
      </c>
      <c r="P162" s="5"/>
      <c r="Q162" s="9">
        <f t="shared" si="39"/>
        <v>0.44745574357769158</v>
      </c>
      <c r="R162" s="9">
        <v>29.361999999999998</v>
      </c>
      <c r="S162" s="9">
        <v>38.203000000000003</v>
      </c>
    </row>
    <row r="163" spans="1:19" x14ac:dyDescent="0.35">
      <c r="A163" s="6">
        <f>vals_co2_excLUC!$A163</f>
        <v>2010</v>
      </c>
      <c r="B163" s="7">
        <f t="shared" ref="B163:B177" si="40">IFERROR(_xlfn.AGGREGATE(5,6,I163:L163),"")</f>
        <v>28.693716835078824</v>
      </c>
      <c r="C163" s="7">
        <f t="shared" ref="C163:C177" si="41">IFERROR(_xlfn.AGGREGATE(4,6,I163:L163),"")</f>
        <v>29.004796872801752</v>
      </c>
      <c r="D163" s="7">
        <f t="shared" ref="D163:D177" si="42">IFERROR(_xlfn.AGGREGATE(5,6,M163:P163),"")</f>
        <v>37.354700249942489</v>
      </c>
      <c r="E163" s="7">
        <f t="shared" ref="E163:E177" si="43">IFERROR(_xlfn.AGGREGATE(4,6,M163:P163),"")</f>
        <v>37.798604405637057</v>
      </c>
      <c r="F163" s="7">
        <f t="shared" ref="F163:F177" si="44">IFERROR(MIN(C163,D163)-B163,"")</f>
        <v>0.31108003772292747</v>
      </c>
      <c r="G163" s="7">
        <f t="shared" ref="G163:G177" si="45">IFERROR(MAX(0,C163-D163),"")</f>
        <v>0</v>
      </c>
      <c r="H163" s="7">
        <f t="shared" ref="H163:H177" si="46">IFERROR(MAX(0,D163-C163),"")</f>
        <v>8.3499033771407376</v>
      </c>
      <c r="I163" s="8">
        <f>vals_co2_excLUC!$R163</f>
        <v>29.004796792648175</v>
      </c>
      <c r="J163" s="8">
        <f>vals_co2_excLUC!$X163</f>
        <v>28.693716835078824</v>
      </c>
      <c r="K163" s="8">
        <f>vals_co2_excLUC!$AD163</f>
        <v>29.004796872801752</v>
      </c>
      <c r="L163" s="8"/>
      <c r="M163" s="8">
        <f>vals_co2_excLUC!$S163</f>
        <v>37.79860435905568</v>
      </c>
      <c r="N163" s="8">
        <f>vals_co2_excLUC!$Y163</f>
        <v>37.354700249942489</v>
      </c>
      <c r="O163" s="8">
        <f>vals_co2_excLUC!$AE163</f>
        <v>37.798604405637057</v>
      </c>
      <c r="P163" s="8"/>
      <c r="Q163" s="9">
        <f t="shared" ref="Q163:Q177" si="47">IFERROR(MAX(0,$E163-MAX($C163,$D163)),"")</f>
        <v>0.4439041556945682</v>
      </c>
      <c r="R163" s="9">
        <v>29.007999999999999</v>
      </c>
      <c r="S163" s="9">
        <v>37.802999999999997</v>
      </c>
    </row>
    <row r="164" spans="1:19" x14ac:dyDescent="0.35">
      <c r="A164" s="3">
        <f>vals_co2_excLUC!$A164</f>
        <v>2011</v>
      </c>
      <c r="B164" s="4">
        <f t="shared" si="40"/>
        <v>28.318980786999791</v>
      </c>
      <c r="C164" s="4">
        <f t="shared" si="41"/>
        <v>28.64100205751377</v>
      </c>
      <c r="D164" s="4">
        <f t="shared" si="42"/>
        <v>36.925514442518306</v>
      </c>
      <c r="E164" s="4">
        <f t="shared" si="43"/>
        <v>37.386598763184303</v>
      </c>
      <c r="F164" s="4">
        <f t="shared" si="44"/>
        <v>0.32202127051397866</v>
      </c>
      <c r="G164" s="4">
        <f t="shared" si="45"/>
        <v>0</v>
      </c>
      <c r="H164" s="4">
        <f t="shared" si="46"/>
        <v>8.2845123850045361</v>
      </c>
      <c r="I164" s="5">
        <f>vals_co2_excLUC!$R164</f>
        <v>28.641001912365642</v>
      </c>
      <c r="J164" s="5">
        <f>vals_co2_excLUC!$X164</f>
        <v>28.318980786999791</v>
      </c>
      <c r="K164" s="5">
        <f>vals_co2_excLUC!$AD164</f>
        <v>28.64100205751377</v>
      </c>
      <c r="L164" s="5"/>
      <c r="M164" s="5">
        <f>vals_co2_excLUC!$S164</f>
        <v>37.386598635825194</v>
      </c>
      <c r="N164" s="5">
        <f>vals_co2_excLUC!$Y164</f>
        <v>36.925514442518306</v>
      </c>
      <c r="O164" s="5">
        <f>vals_co2_excLUC!$AE164</f>
        <v>37.386598763184303</v>
      </c>
      <c r="P164" s="5"/>
      <c r="Q164" s="9">
        <f t="shared" si="47"/>
        <v>0.46108432066599647</v>
      </c>
      <c r="R164" s="9">
        <v>28.645</v>
      </c>
      <c r="S164" s="9">
        <v>37.390999999999998</v>
      </c>
    </row>
    <row r="165" spans="1:19" x14ac:dyDescent="0.35">
      <c r="A165" s="6">
        <f>vals_co2_excLUC!$A165</f>
        <v>2012</v>
      </c>
      <c r="B165" s="7">
        <f t="shared" si="40"/>
        <v>28.012018233340179</v>
      </c>
      <c r="C165" s="7">
        <f t="shared" si="41"/>
        <v>28.344637738075406</v>
      </c>
      <c r="D165" s="7">
        <f t="shared" si="42"/>
        <v>36.557525412426543</v>
      </c>
      <c r="E165" s="7">
        <f t="shared" si="43"/>
        <v>37.035515257271037</v>
      </c>
      <c r="F165" s="7">
        <f t="shared" si="44"/>
        <v>0.33261950473522717</v>
      </c>
      <c r="G165" s="7">
        <f t="shared" si="45"/>
        <v>0</v>
      </c>
      <c r="H165" s="7">
        <f t="shared" si="46"/>
        <v>8.212887674351137</v>
      </c>
      <c r="I165" s="8">
        <f>vals_co2_excLUC!$R165</f>
        <v>28.344637581709659</v>
      </c>
      <c r="J165" s="8">
        <f>vals_co2_excLUC!$X165</f>
        <v>28.012018233340179</v>
      </c>
      <c r="K165" s="8">
        <f>vals_co2_excLUC!$AD165</f>
        <v>28.344637738075406</v>
      </c>
      <c r="L165" s="8"/>
      <c r="M165" s="8">
        <f>vals_co2_excLUC!$S165</f>
        <v>37.035515119870453</v>
      </c>
      <c r="N165" s="8">
        <f>vals_co2_excLUC!$Y165</f>
        <v>36.557525412426543</v>
      </c>
      <c r="O165" s="8">
        <f>vals_co2_excLUC!$AE165</f>
        <v>37.035515257271037</v>
      </c>
      <c r="P165" s="8"/>
      <c r="Q165" s="9">
        <f t="shared" si="47"/>
        <v>0.47798984484449392</v>
      </c>
      <c r="R165" s="9">
        <v>28.347999999999999</v>
      </c>
      <c r="S165" s="9">
        <v>37.04</v>
      </c>
    </row>
    <row r="166" spans="1:19" x14ac:dyDescent="0.35">
      <c r="A166" s="3">
        <f>vals_co2_excLUC!$A166</f>
        <v>2013</v>
      </c>
      <c r="B166" s="4">
        <f t="shared" si="40"/>
        <v>27.732196787909917</v>
      </c>
      <c r="C166" s="4">
        <f t="shared" si="41"/>
        <v>28.07774703599809</v>
      </c>
      <c r="D166" s="4">
        <f t="shared" si="42"/>
        <v>36.217147345748415</v>
      </c>
      <c r="E166" s="4">
        <f t="shared" si="43"/>
        <v>36.715563257294278</v>
      </c>
      <c r="F166" s="4">
        <f t="shared" si="44"/>
        <v>0.34555024808817336</v>
      </c>
      <c r="G166" s="4">
        <f t="shared" si="45"/>
        <v>0</v>
      </c>
      <c r="H166" s="4">
        <f t="shared" si="46"/>
        <v>8.1394003097503251</v>
      </c>
      <c r="I166" s="5">
        <f>vals_co2_excLUC!$R166</f>
        <v>28.077746866527704</v>
      </c>
      <c r="J166" s="5">
        <f>vals_co2_excLUC!$X166</f>
        <v>27.732196787909917</v>
      </c>
      <c r="K166" s="5">
        <f>vals_co2_excLUC!$AD166</f>
        <v>28.07774703599809</v>
      </c>
      <c r="L166" s="5"/>
      <c r="M166" s="5">
        <f>vals_co2_excLUC!$S166</f>
        <v>36.715563108177186</v>
      </c>
      <c r="N166" s="5">
        <f>vals_co2_excLUC!$Y166</f>
        <v>36.217147345748415</v>
      </c>
      <c r="O166" s="5">
        <f>vals_co2_excLUC!$AE166</f>
        <v>36.715563257294278</v>
      </c>
      <c r="P166" s="5"/>
      <c r="Q166" s="9">
        <f t="shared" si="47"/>
        <v>0.4984159115458624</v>
      </c>
      <c r="R166" s="9">
        <v>28.081</v>
      </c>
      <c r="S166" s="9">
        <v>36.72</v>
      </c>
    </row>
    <row r="167" spans="1:19" x14ac:dyDescent="0.35">
      <c r="A167" s="6">
        <f>vals_co2_excLUC!$A167</f>
        <v>2014</v>
      </c>
      <c r="B167" s="7">
        <f t="shared" si="40"/>
        <v>27.406304026497285</v>
      </c>
      <c r="C167" s="7">
        <f t="shared" si="41"/>
        <v>27.763127974014878</v>
      </c>
      <c r="D167" s="7">
        <f t="shared" si="42"/>
        <v>35.855027927066729</v>
      </c>
      <c r="E167" s="7">
        <f t="shared" si="43"/>
        <v>36.372614085292525</v>
      </c>
      <c r="F167" s="7">
        <f t="shared" si="44"/>
        <v>0.35682394751759361</v>
      </c>
      <c r="G167" s="7">
        <f t="shared" si="45"/>
        <v>0</v>
      </c>
      <c r="H167" s="7">
        <f t="shared" si="46"/>
        <v>8.0918999530518505</v>
      </c>
      <c r="I167" s="8">
        <f>vals_co2_excLUC!$R167</f>
        <v>27.76312771775482</v>
      </c>
      <c r="J167" s="8">
        <f>vals_co2_excLUC!$X167</f>
        <v>27.406304026497285</v>
      </c>
      <c r="K167" s="8">
        <f>vals_co2_excLUC!$AD167</f>
        <v>27.763127974014878</v>
      </c>
      <c r="L167" s="8"/>
      <c r="M167" s="8">
        <f>vals_co2_excLUC!$S167</f>
        <v>36.372614085292525</v>
      </c>
      <c r="N167" s="8">
        <f>vals_co2_excLUC!$Y167</f>
        <v>35.855027927066729</v>
      </c>
      <c r="O167" s="8">
        <f>vals_co2_excLUC!$AE167</f>
        <v>36.372614085292525</v>
      </c>
      <c r="P167" s="8"/>
      <c r="Q167" s="9">
        <f t="shared" si="47"/>
        <v>0.51758615822579657</v>
      </c>
      <c r="R167" s="9">
        <v>27.766999999999999</v>
      </c>
      <c r="S167" s="9">
        <v>36.377000000000002</v>
      </c>
    </row>
    <row r="168" spans="1:19" x14ac:dyDescent="0.35">
      <c r="A168" s="3">
        <f>vals_co2_excLUC!$A168</f>
        <v>2015</v>
      </c>
      <c r="B168" s="4">
        <f t="shared" si="40"/>
        <v>27.090867353471531</v>
      </c>
      <c r="C168" s="4">
        <f t="shared" si="41"/>
        <v>27.448841422783499</v>
      </c>
      <c r="D168" s="4">
        <f t="shared" si="42"/>
        <v>35.515953350346287</v>
      </c>
      <c r="E168" s="4">
        <f t="shared" si="43"/>
        <v>36.040437256802697</v>
      </c>
      <c r="F168" s="4">
        <f t="shared" si="44"/>
        <v>0.35797406931196818</v>
      </c>
      <c r="G168" s="4">
        <f t="shared" si="45"/>
        <v>0</v>
      </c>
      <c r="H168" s="4">
        <f t="shared" si="46"/>
        <v>8.0671119275627881</v>
      </c>
      <c r="I168" s="5">
        <f>vals_co2_excLUC!$R168</f>
        <v>27.448841141788911</v>
      </c>
      <c r="J168" s="5">
        <f>vals_co2_excLUC!$X168</f>
        <v>27.090867353471531</v>
      </c>
      <c r="K168" s="5">
        <f>vals_co2_excLUC!$AD168</f>
        <v>27.448841422783499</v>
      </c>
      <c r="L168" s="5"/>
      <c r="M168" s="5">
        <f>vals_co2_excLUC!$S168</f>
        <v>36.040437256802697</v>
      </c>
      <c r="N168" s="5">
        <f>vals_co2_excLUC!$Y168</f>
        <v>35.515953350346287</v>
      </c>
      <c r="O168" s="5">
        <f>vals_co2_excLUC!$AE168</f>
        <v>36.040437256802697</v>
      </c>
      <c r="P168" s="5"/>
      <c r="Q168" s="9">
        <f t="shared" si="47"/>
        <v>0.52448390645641041</v>
      </c>
      <c r="R168" s="9">
        <v>27.452000000000002</v>
      </c>
      <c r="S168" s="9">
        <v>36.045000000000002</v>
      </c>
    </row>
    <row r="169" spans="1:19" x14ac:dyDescent="0.35">
      <c r="A169" s="6">
        <f>vals_co2_excLUC!$A169</f>
        <v>2016</v>
      </c>
      <c r="B169" s="7">
        <f t="shared" si="40"/>
        <v>26.77192807241855</v>
      </c>
      <c r="C169" s="7">
        <f t="shared" si="41"/>
        <v>27.109757177698967</v>
      </c>
      <c r="D169" s="7">
        <f t="shared" si="42"/>
        <v>35.176823591181666</v>
      </c>
      <c r="E169" s="7">
        <f t="shared" si="43"/>
        <v>35.681428949474217</v>
      </c>
      <c r="F169" s="7">
        <f t="shared" si="44"/>
        <v>0.33782910528041654</v>
      </c>
      <c r="G169" s="7">
        <f t="shared" si="45"/>
        <v>0</v>
      </c>
      <c r="H169" s="7">
        <f t="shared" si="46"/>
        <v>8.0670664134826993</v>
      </c>
      <c r="I169" s="8">
        <f>vals_co2_excLUC!$R169</f>
        <v>27.109756782491385</v>
      </c>
      <c r="J169" s="8">
        <f>vals_co2_excLUC!$X169</f>
        <v>26.77192807241855</v>
      </c>
      <c r="K169" s="8">
        <f>vals_co2_excLUC!$AD169</f>
        <v>27.109757177698967</v>
      </c>
      <c r="L169" s="8"/>
      <c r="M169" s="8">
        <f>vals_co2_excLUC!$S169</f>
        <v>35.681428838534103</v>
      </c>
      <c r="N169" s="8">
        <f>vals_co2_excLUC!$Y169</f>
        <v>35.176823591181666</v>
      </c>
      <c r="O169" s="8">
        <f>vals_co2_excLUC!$AE169</f>
        <v>35.681428949474217</v>
      </c>
      <c r="P169" s="8"/>
      <c r="Q169" s="9">
        <f t="shared" si="47"/>
        <v>0.50460535829255093</v>
      </c>
      <c r="R169" s="9">
        <v>27.113</v>
      </c>
      <c r="S169" s="9">
        <v>35.686</v>
      </c>
    </row>
    <row r="170" spans="1:19" x14ac:dyDescent="0.35">
      <c r="A170" s="3">
        <f>vals_co2_excLUC!$A170</f>
        <v>2017</v>
      </c>
      <c r="B170" s="4">
        <f t="shared" si="40"/>
        <v>26.447744355314782</v>
      </c>
      <c r="C170" s="4">
        <f t="shared" si="41"/>
        <v>26.750229502657024</v>
      </c>
      <c r="D170" s="4">
        <f t="shared" si="42"/>
        <v>34.818810888916005</v>
      </c>
      <c r="E170" s="4">
        <f t="shared" si="43"/>
        <v>35.284783361460981</v>
      </c>
      <c r="F170" s="4">
        <f t="shared" si="44"/>
        <v>0.3024851473422423</v>
      </c>
      <c r="G170" s="4">
        <f t="shared" si="45"/>
        <v>0</v>
      </c>
      <c r="H170" s="4">
        <f t="shared" si="46"/>
        <v>8.0685813862589804</v>
      </c>
      <c r="I170" s="5">
        <f>vals_co2_excLUC!$R170</f>
        <v>26.750229061639523</v>
      </c>
      <c r="J170" s="5">
        <f>vals_co2_excLUC!$X170</f>
        <v>26.447744355314782</v>
      </c>
      <c r="K170" s="5">
        <f>vals_co2_excLUC!$AD170</f>
        <v>26.750229502657024</v>
      </c>
      <c r="L170" s="5"/>
      <c r="M170" s="5">
        <f>vals_co2_excLUC!$S170</f>
        <v>35.284783238690338</v>
      </c>
      <c r="N170" s="5">
        <f>vals_co2_excLUC!$Y170</f>
        <v>34.818810888916005</v>
      </c>
      <c r="O170" s="5">
        <f>vals_co2_excLUC!$AE170</f>
        <v>35.284783361460981</v>
      </c>
      <c r="P170" s="5"/>
      <c r="Q170" s="9">
        <f t="shared" si="47"/>
        <v>0.46597247254497631</v>
      </c>
      <c r="R170" s="9">
        <v>26.754000000000001</v>
      </c>
      <c r="S170" s="9">
        <v>35.29</v>
      </c>
    </row>
    <row r="171" spans="1:19" x14ac:dyDescent="0.35">
      <c r="A171" s="6">
        <f>vals_co2_excLUC!$A171</f>
        <v>2018</v>
      </c>
      <c r="B171" s="7">
        <f t="shared" si="40"/>
        <v>26.13269873012592</v>
      </c>
      <c r="C171" s="7">
        <f t="shared" si="41"/>
        <v>26.375284186689889</v>
      </c>
      <c r="D171" s="7">
        <f t="shared" si="42"/>
        <v>34.455872175113136</v>
      </c>
      <c r="E171" s="7">
        <f t="shared" si="43"/>
        <v>34.852461609695979</v>
      </c>
      <c r="F171" s="7">
        <f t="shared" si="44"/>
        <v>0.2425854565639689</v>
      </c>
      <c r="G171" s="7">
        <f t="shared" si="45"/>
        <v>0</v>
      </c>
      <c r="H171" s="7">
        <f t="shared" si="46"/>
        <v>8.0805879884232468</v>
      </c>
      <c r="I171" s="8">
        <f>vals_co2_excLUC!$R171</f>
        <v>26.375283686452423</v>
      </c>
      <c r="J171" s="8">
        <f>vals_co2_excLUC!$X171</f>
        <v>26.13269873012592</v>
      </c>
      <c r="K171" s="8">
        <f>vals_co2_excLUC!$AD171</f>
        <v>26.375284186689889</v>
      </c>
      <c r="L171" s="8"/>
      <c r="M171" s="8">
        <f>vals_co2_excLUC!$S171</f>
        <v>34.852461471737776</v>
      </c>
      <c r="N171" s="8">
        <f>vals_co2_excLUC!$Y171</f>
        <v>34.455872175113136</v>
      </c>
      <c r="O171" s="8">
        <f>vals_co2_excLUC!$AE171</f>
        <v>34.852461609695979</v>
      </c>
      <c r="P171" s="8"/>
      <c r="Q171" s="9">
        <f t="shared" si="47"/>
        <v>0.39658943458284313</v>
      </c>
      <c r="R171" s="9">
        <v>26.379000000000001</v>
      </c>
      <c r="S171" s="9">
        <v>34.856999999999999</v>
      </c>
    </row>
    <row r="172" spans="1:19" x14ac:dyDescent="0.35">
      <c r="A172" s="3">
        <f>vals_co2_excLUC!$A172</f>
        <v>2019</v>
      </c>
      <c r="B172" s="4">
        <f t="shared" si="40"/>
        <v>25.760273818815193</v>
      </c>
      <c r="C172" s="4">
        <f t="shared" si="41"/>
        <v>25.939660316608126</v>
      </c>
      <c r="D172" s="4">
        <f t="shared" si="42"/>
        <v>34.022199976353455</v>
      </c>
      <c r="E172" s="4">
        <f t="shared" si="43"/>
        <v>34.347801155328057</v>
      </c>
      <c r="F172" s="4">
        <f t="shared" si="44"/>
        <v>0.17938649779293314</v>
      </c>
      <c r="G172" s="4">
        <f t="shared" si="45"/>
        <v>0</v>
      </c>
      <c r="H172" s="4">
        <f t="shared" si="46"/>
        <v>8.0825396597453292</v>
      </c>
      <c r="I172" s="5">
        <f>vals_co2_excLUC!$R172</f>
        <v>25.939659736596422</v>
      </c>
      <c r="J172" s="5">
        <f>vals_co2_excLUC!$X172</f>
        <v>25.760273818815193</v>
      </c>
      <c r="K172" s="5">
        <f>vals_co2_excLUC!$AD172</f>
        <v>25.939660316608126</v>
      </c>
      <c r="L172" s="5"/>
      <c r="M172" s="5">
        <f>vals_co2_excLUC!$S172</f>
        <v>34.34780099714019</v>
      </c>
      <c r="N172" s="5">
        <f>vals_co2_excLUC!$Y172</f>
        <v>34.022199976353455</v>
      </c>
      <c r="O172" s="5">
        <f>vals_co2_excLUC!$AE172</f>
        <v>34.347801155328057</v>
      </c>
      <c r="P172" s="5"/>
      <c r="Q172" s="9">
        <f t="shared" si="47"/>
        <v>0.32560117897460117</v>
      </c>
      <c r="R172" s="9">
        <v>25.943000000000001</v>
      </c>
      <c r="S172" s="9">
        <v>34.353000000000002</v>
      </c>
    </row>
    <row r="173" spans="1:19" x14ac:dyDescent="0.35">
      <c r="A173" s="6">
        <f>vals_co2_excLUC!$A173</f>
        <v>2020</v>
      </c>
      <c r="B173" s="7">
        <f t="shared" si="40"/>
        <v>25.400105344438444</v>
      </c>
      <c r="C173" s="7">
        <f t="shared" si="41"/>
        <v>25.537964005785401</v>
      </c>
      <c r="D173" s="7">
        <f t="shared" si="42"/>
        <v>33.616544473837592</v>
      </c>
      <c r="E173" s="7">
        <f t="shared" si="43"/>
        <v>33.90405943555465</v>
      </c>
      <c r="F173" s="7">
        <f t="shared" si="44"/>
        <v>0.13785866134695723</v>
      </c>
      <c r="G173" s="7">
        <f t="shared" si="45"/>
        <v>0</v>
      </c>
      <c r="H173" s="7">
        <f t="shared" si="46"/>
        <v>8.0785804680521913</v>
      </c>
      <c r="I173" s="8">
        <f>vals_co2_excLUC!$R173</f>
        <v>25.537963454170725</v>
      </c>
      <c r="J173" s="8">
        <f>vals_co2_excLUC!$X173</f>
        <v>25.400105344438444</v>
      </c>
      <c r="K173" s="8">
        <f>vals_co2_excLUC!$AD173</f>
        <v>25.537964005785401</v>
      </c>
      <c r="L173" s="8"/>
      <c r="M173" s="8">
        <f>vals_co2_excLUC!$S173</f>
        <v>33.90405943555465</v>
      </c>
      <c r="N173" s="8">
        <f>vals_co2_excLUC!$Y173</f>
        <v>33.616544473837592</v>
      </c>
      <c r="O173" s="8">
        <f>vals_co2_excLUC!$AE173</f>
        <v>33.90405943555465</v>
      </c>
      <c r="P173" s="8"/>
      <c r="Q173" s="9">
        <f t="shared" si="47"/>
        <v>0.28751496171705782</v>
      </c>
      <c r="R173" s="9">
        <v>25.542000000000002</v>
      </c>
      <c r="S173" s="9">
        <v>33.908999999999999</v>
      </c>
    </row>
    <row r="174" spans="1:19" x14ac:dyDescent="0.35">
      <c r="A174" s="3">
        <f>vals_co2_excLUC!$A174</f>
        <v>2021</v>
      </c>
      <c r="B174" s="4">
        <f t="shared" si="40"/>
        <v>25.250557904175118</v>
      </c>
      <c r="C174" s="4">
        <f t="shared" si="41"/>
        <v>25.332765379277909</v>
      </c>
      <c r="D174" s="4">
        <f t="shared" si="42"/>
        <v>33.397023454353395</v>
      </c>
      <c r="E174" s="4">
        <f t="shared" si="43"/>
        <v>33.634922443659178</v>
      </c>
      <c r="F174" s="4">
        <f t="shared" si="44"/>
        <v>8.220747510279125E-2</v>
      </c>
      <c r="G174" s="4">
        <f t="shared" si="45"/>
        <v>0</v>
      </c>
      <c r="H174" s="4">
        <f t="shared" si="46"/>
        <v>8.064258075075486</v>
      </c>
      <c r="I174" s="5">
        <f>vals_co2_excLUC!$R174</f>
        <v>25.332764698854376</v>
      </c>
      <c r="J174" s="5">
        <f>vals_co2_excLUC!$X174</f>
        <v>25.250557904175118</v>
      </c>
      <c r="K174" s="5">
        <f>vals_co2_excLUC!$AD174</f>
        <v>25.332765379277909</v>
      </c>
      <c r="L174" s="5"/>
      <c r="M174" s="5">
        <f>vals_co2_excLUC!$S174</f>
        <v>33.634922443659178</v>
      </c>
      <c r="N174" s="5">
        <f>vals_co2_excLUC!$Y174</f>
        <v>33.397023454353395</v>
      </c>
      <c r="O174" s="5">
        <f>vals_co2_excLUC!$AE174</f>
        <v>33.634922443659178</v>
      </c>
      <c r="P174" s="5"/>
      <c r="Q174" s="9">
        <f t="shared" si="47"/>
        <v>0.23789898930578346</v>
      </c>
      <c r="R174" s="9">
        <v>25.337</v>
      </c>
      <c r="S174" s="9">
        <v>33.64</v>
      </c>
    </row>
    <row r="175" spans="1:19" x14ac:dyDescent="0.35">
      <c r="A175" s="6">
        <f>vals_co2_excLUC!$A175</f>
        <v>2022</v>
      </c>
      <c r="B175" s="7">
        <f t="shared" si="40"/>
        <v>24.928989779387692</v>
      </c>
      <c r="C175" s="7">
        <f t="shared" si="41"/>
        <v>24.931294747957395</v>
      </c>
      <c r="D175" s="7">
        <f t="shared" si="42"/>
        <v>32.954825371141325</v>
      </c>
      <c r="E175" s="7">
        <f t="shared" si="43"/>
        <v>33.128047082855097</v>
      </c>
      <c r="F175" s="7">
        <f t="shared" si="44"/>
        <v>2.3049685697031919E-3</v>
      </c>
      <c r="G175" s="7">
        <f t="shared" si="45"/>
        <v>0</v>
      </c>
      <c r="H175" s="7">
        <f t="shared" si="46"/>
        <v>8.0235306231839303</v>
      </c>
      <c r="I175" s="8">
        <f>vals_co2_excLUC!$R175</f>
        <v>24.931294071537856</v>
      </c>
      <c r="J175" s="8">
        <f>vals_co2_excLUC!$X175</f>
        <v>24.928989779387692</v>
      </c>
      <c r="K175" s="8">
        <f>vals_co2_excLUC!$AD175</f>
        <v>24.931294747957395</v>
      </c>
      <c r="L175" s="8"/>
      <c r="M175" s="8">
        <f>vals_co2_excLUC!$S175</f>
        <v>33.128047082855097</v>
      </c>
      <c r="N175" s="8">
        <f>vals_co2_excLUC!$Y175</f>
        <v>32.954825371141325</v>
      </c>
      <c r="O175" s="8">
        <f>vals_co2_excLUC!$AE175</f>
        <v>33.128046784349117</v>
      </c>
      <c r="P175" s="8"/>
      <c r="Q175" s="9">
        <f t="shared" si="47"/>
        <v>0.17322171171377221</v>
      </c>
      <c r="R175" s="9">
        <v>24.934999999999999</v>
      </c>
      <c r="S175" s="9">
        <v>33.133000000000003</v>
      </c>
    </row>
    <row r="176" spans="1:19" x14ac:dyDescent="0.35">
      <c r="A176" s="3">
        <f>vals_co2_excLUC!$A176</f>
        <v>2023</v>
      </c>
      <c r="B176" s="4">
        <f t="shared" si="40"/>
        <v>24.418972953974951</v>
      </c>
      <c r="C176" s="4">
        <f t="shared" si="41"/>
        <v>24.44208745772</v>
      </c>
      <c r="D176" s="4">
        <f t="shared" si="42"/>
        <v>32.402529169223996</v>
      </c>
      <c r="E176" s="4">
        <f t="shared" si="43"/>
        <v>32.61575208939027</v>
      </c>
      <c r="F176" s="4">
        <f t="shared" si="44"/>
        <v>2.3114503745048864E-2</v>
      </c>
      <c r="G176" s="4">
        <f t="shared" si="45"/>
        <v>0</v>
      </c>
      <c r="H176" s="4">
        <f t="shared" si="46"/>
        <v>7.9604417115039965</v>
      </c>
      <c r="I176" s="5">
        <f>vals_co2_excLUC!$R176</f>
        <v>24.418973282110194</v>
      </c>
      <c r="J176" s="5">
        <f>vals_co2_excLUC!$X176</f>
        <v>24.44208745772</v>
      </c>
      <c r="K176" s="5">
        <f>vals_co2_excLUC!$AD176</f>
        <v>24.418972953974951</v>
      </c>
      <c r="L176" s="5"/>
      <c r="M176" s="5">
        <f>vals_co2_excLUC!$S176</f>
        <v>32.61575208939027</v>
      </c>
      <c r="N176" s="5">
        <f>vals_co2_excLUC!$Y176</f>
        <v>32.402529169223996</v>
      </c>
      <c r="O176" s="5">
        <f>vals_co2_excLUC!$AE176</f>
        <v>32.615751651109036</v>
      </c>
      <c r="P176" s="5"/>
      <c r="Q176" s="9">
        <f t="shared" si="47"/>
        <v>0.21322292016627387</v>
      </c>
      <c r="R176" s="9">
        <v>24.422999999999998</v>
      </c>
      <c r="S176" s="9">
        <v>32.621000000000002</v>
      </c>
    </row>
    <row r="177" spans="1:19" x14ac:dyDescent="0.35">
      <c r="A177" s="6">
        <f>vals_co2_excLUC!$A177</f>
        <v>2024</v>
      </c>
      <c r="B177" s="7">
        <f t="shared" si="40"/>
        <v>24.181466698198054</v>
      </c>
      <c r="C177" s="7">
        <f t="shared" si="41"/>
        <v>24.3249699518258</v>
      </c>
      <c r="D177" s="7">
        <f t="shared" si="42"/>
        <v>32.229402668729954</v>
      </c>
      <c r="E177" s="7">
        <f t="shared" si="43"/>
        <v>32.408271546196964</v>
      </c>
      <c r="F177" s="7">
        <f t="shared" si="44"/>
        <v>0.14350325362774541</v>
      </c>
      <c r="G177" s="7">
        <f t="shared" si="45"/>
        <v>0</v>
      </c>
      <c r="H177" s="7">
        <f t="shared" si="46"/>
        <v>7.9044327169041537</v>
      </c>
      <c r="I177" s="8">
        <f>vals_co2_excLUC!$R177</f>
        <v>24.181466698198054</v>
      </c>
      <c r="J177" s="8">
        <f>vals_co2_excLUC!$X177</f>
        <v>24.3249699518258</v>
      </c>
      <c r="K177" s="8">
        <f>vals_co2_excLUC!$AD177</f>
        <v>24.181466698198054</v>
      </c>
      <c r="L177" s="8"/>
      <c r="M177" s="8">
        <f>vals_co2_excLUC!$S177</f>
        <v>32.408271546196964</v>
      </c>
      <c r="N177" s="8">
        <f>vals_co2_excLUC!$Y177</f>
        <v>32.229402668729954</v>
      </c>
      <c r="O177" s="8">
        <f>vals_co2_excLUC!$AE177</f>
        <v>32.408271546196964</v>
      </c>
      <c r="P177" s="8"/>
      <c r="Q177" s="9">
        <f t="shared" si="47"/>
        <v>0.17886887746701063</v>
      </c>
      <c r="R177" s="9">
        <v>24.184999999999999</v>
      </c>
      <c r="S177" s="9">
        <v>32.412999999999997</v>
      </c>
    </row>
  </sheetData>
  <mergeCells count="1">
    <mergeCell ref="A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064B-7DD8-4AD8-BBA5-47C71CE69B06}">
  <dimension ref="A2:AE177"/>
  <sheetViews>
    <sheetView workbookViewId="0"/>
  </sheetViews>
  <sheetFormatPr defaultRowHeight="14.5" x14ac:dyDescent="0.35"/>
  <sheetData>
    <row r="2" spans="1:3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</row>
    <row r="3" spans="1:31" x14ac:dyDescent="0.35">
      <c r="A3">
        <v>1850</v>
      </c>
      <c r="B3">
        <v>193.43799999999999</v>
      </c>
      <c r="C3">
        <v>196.738</v>
      </c>
      <c r="D3">
        <v>0.11</v>
      </c>
      <c r="E3">
        <v>200.25800000000001</v>
      </c>
      <c r="F3">
        <v>203.64099999999999</v>
      </c>
      <c r="G3">
        <v>4.2999999999999997E-2</v>
      </c>
      <c r="H3">
        <v>193.43799999999999</v>
      </c>
      <c r="I3">
        <v>196.738</v>
      </c>
      <c r="J3">
        <v>0.11</v>
      </c>
      <c r="N3">
        <f>IF(ISBLANK($B3),NA(),IFERROR(SUM($B3:$B$177),NA()))</f>
        <v>874540.63199999975</v>
      </c>
      <c r="O3">
        <f>IF(ISBLANK($C3),NA(),IFERROR(SUM($C3:$C$177),NA()))</f>
        <v>1116827.1440000003</v>
      </c>
      <c r="P3">
        <f>IF(ISBLANK($D3),NA(),IFERROR(SUM($D3:$D$177),NA()))</f>
        <v>681845.41099999996</v>
      </c>
      <c r="Q3">
        <f t="shared" ref="Q3:Q34" si="0">IFERROR(O3+P3,"")</f>
        <v>1798672.5550000002</v>
      </c>
      <c r="R3">
        <f t="shared" ref="R3:R34" si="1">IFERROR(N3/Q3*100,NA())</f>
        <v>48.621447498541478</v>
      </c>
      <c r="S3">
        <f t="shared" ref="S3:S34" si="2">IFERROR(O3/Q3*100,NA())</f>
        <v>62.091743207812513</v>
      </c>
      <c r="T3">
        <f>IF(ISBLANK($E3),NA(),IFERROR(SUM($E3:$E$177),NA()))</f>
        <v>903220.51500000025</v>
      </c>
      <c r="U3">
        <f>IF(ISBLANK($F3),NA(),IFERROR(SUM($F3:$F$177),NA()))</f>
        <v>1157806.9610000001</v>
      </c>
      <c r="V3">
        <f>IF(ISBLANK($G3),NA(),IFERROR(SUM($G3:$G$177),NA()))</f>
        <v>704441.478</v>
      </c>
      <c r="W3">
        <f t="shared" ref="W3:W34" si="3">IFERROR(U3+V3,"")</f>
        <v>1862248.4390000002</v>
      </c>
      <c r="X3">
        <f t="shared" ref="X3:X34" si="4">IFERROR(T3/W3*100,NA())</f>
        <v>48.501612141772895</v>
      </c>
      <c r="Y3">
        <f t="shared" ref="Y3:Y34" si="5">IFERROR(U3/W3*100,NA())</f>
        <v>62.172529548298364</v>
      </c>
      <c r="Z3">
        <f>IF(ISBLANK($H3),NA(),IFERROR(SUM($H3:$H$177),NA()))</f>
        <v>874540.63</v>
      </c>
      <c r="AA3">
        <f>IF(ISBLANK($I3),NA(),IFERROR(SUM($I3:$I$177),NA()))</f>
        <v>1116827.1470000001</v>
      </c>
      <c r="AB3">
        <f>IF(ISBLANK($J3),NA(),IFERROR(SUM($J3:$J$177),NA()))</f>
        <v>681361.576</v>
      </c>
      <c r="AC3">
        <f t="shared" ref="AC3:AC34" si="6">IFERROR(AA3+AB3,"")</f>
        <v>1798188.7230000002</v>
      </c>
      <c r="AD3">
        <f t="shared" ref="AD3:AD34" si="7">IFERROR(Z3/AC3*100,NA())</f>
        <v>48.634529780665289</v>
      </c>
      <c r="AE3">
        <f t="shared" ref="AE3:AE34" si="8">IFERROR(AA3/AC3*100,NA())</f>
        <v>62.108450170722151</v>
      </c>
    </row>
    <row r="4" spans="1:31" x14ac:dyDescent="0.35">
      <c r="A4">
        <v>1851</v>
      </c>
      <c r="B4">
        <v>194.934</v>
      </c>
      <c r="C4">
        <v>198.66800000000001</v>
      </c>
      <c r="D4">
        <v>0.11</v>
      </c>
      <c r="E4">
        <v>202.58699999999999</v>
      </c>
      <c r="F4">
        <v>206.49299999999999</v>
      </c>
      <c r="G4">
        <v>4.4999999999999998E-2</v>
      </c>
      <c r="H4">
        <v>194.934</v>
      </c>
      <c r="I4">
        <v>198.66800000000001</v>
      </c>
      <c r="J4">
        <v>0.11</v>
      </c>
      <c r="N4">
        <f>IF(ISBLANK($B4),NA(),IFERROR(SUM($B4:$B$177),NA()))</f>
        <v>874347.19399999978</v>
      </c>
      <c r="O4">
        <f>IF(ISBLANK($C4),NA(),IFERROR(SUM($C4:$C$177),NA()))</f>
        <v>1116630.4060000002</v>
      </c>
      <c r="P4">
        <f>IF(ISBLANK($D4),NA(),IFERROR(SUM($D4:$D$177),NA()))</f>
        <v>681845.30099999998</v>
      </c>
      <c r="Q4">
        <f t="shared" si="0"/>
        <v>1798475.7070000002</v>
      </c>
      <c r="R4">
        <f t="shared" si="1"/>
        <v>48.616013582884591</v>
      </c>
      <c r="S4">
        <f t="shared" si="2"/>
        <v>62.087600163508917</v>
      </c>
      <c r="T4">
        <f>IF(ISBLANK($E4),NA(),IFERROR(SUM($E4:$E$177),NA()))</f>
        <v>903020.2570000001</v>
      </c>
      <c r="U4">
        <f>IF(ISBLANK($F4),NA(),IFERROR(SUM($F4:$F$177),NA()))</f>
        <v>1157603.32</v>
      </c>
      <c r="V4">
        <f>IF(ISBLANK($G4),NA(),IFERROR(SUM($G4:$G$177),NA()))</f>
        <v>704441.43499999994</v>
      </c>
      <c r="W4">
        <f t="shared" si="3"/>
        <v>1862044.7549999999</v>
      </c>
      <c r="X4">
        <f t="shared" si="4"/>
        <v>48.496162864785717</v>
      </c>
      <c r="Y4">
        <f t="shared" si="5"/>
        <v>62.16839401370887</v>
      </c>
      <c r="Z4">
        <f>IF(ISBLANK($H4),NA(),IFERROR(SUM($H4:$H$177),NA()))</f>
        <v>874347.19200000004</v>
      </c>
      <c r="AA4">
        <f>IF(ISBLANK($I4),NA(),IFERROR(SUM($I4:$I$177),NA()))</f>
        <v>1116630.4090000002</v>
      </c>
      <c r="AB4">
        <f>IF(ISBLANK($J4),NA(),IFERROR(SUM($J4:$J$177),NA()))</f>
        <v>681361.46600000001</v>
      </c>
      <c r="AC4">
        <f t="shared" si="6"/>
        <v>1797991.8750000002</v>
      </c>
      <c r="AD4">
        <f t="shared" si="7"/>
        <v>48.629095835040964</v>
      </c>
      <c r="AE4">
        <f t="shared" si="8"/>
        <v>62.104307840656958</v>
      </c>
    </row>
    <row r="5" spans="1:31" x14ac:dyDescent="0.35">
      <c r="A5">
        <v>1852</v>
      </c>
      <c r="B5">
        <v>202.94</v>
      </c>
      <c r="C5">
        <v>207.41399999999999</v>
      </c>
      <c r="D5">
        <v>0.18099999999999999</v>
      </c>
      <c r="E5">
        <v>211.279</v>
      </c>
      <c r="F5">
        <v>215.97</v>
      </c>
      <c r="G5">
        <v>5.0999999999999997E-2</v>
      </c>
      <c r="H5">
        <v>202.94</v>
      </c>
      <c r="I5">
        <v>207.41399999999999</v>
      </c>
      <c r="J5">
        <v>0.18099999999999999</v>
      </c>
      <c r="N5">
        <f>IF(ISBLANK($B5),NA(),IFERROR(SUM($B5:$B$177),NA()))</f>
        <v>874152.25999999978</v>
      </c>
      <c r="O5">
        <f>IF(ISBLANK($C5),NA(),IFERROR(SUM($C5:$C$177),NA()))</f>
        <v>1116431.7380000004</v>
      </c>
      <c r="P5">
        <f>IF(ISBLANK($D5),NA(),IFERROR(SUM($D5:$D$177),NA()))</f>
        <v>681845.19099999999</v>
      </c>
      <c r="Q5">
        <f t="shared" si="0"/>
        <v>1798276.9290000005</v>
      </c>
      <c r="R5">
        <f t="shared" si="1"/>
        <v>48.610547458121758</v>
      </c>
      <c r="S5">
        <f t="shared" si="2"/>
        <v>62.083415518255812</v>
      </c>
      <c r="T5">
        <f>IF(ISBLANK($E5),NA(),IFERROR(SUM($E5:$E$177),NA()))</f>
        <v>902817.67</v>
      </c>
      <c r="U5">
        <f>IF(ISBLANK($F5),NA(),IFERROR(SUM($F5:$F$177),NA()))</f>
        <v>1157396.827</v>
      </c>
      <c r="V5">
        <f>IF(ISBLANK($G5),NA(),IFERROR(SUM($G5:$G$177),NA()))</f>
        <v>704441.39</v>
      </c>
      <c r="W5">
        <f t="shared" si="3"/>
        <v>1861838.2170000002</v>
      </c>
      <c r="X5">
        <f t="shared" si="4"/>
        <v>48.490661635183308</v>
      </c>
      <c r="Y5">
        <f t="shared" si="5"/>
        <v>62.164199683521694</v>
      </c>
      <c r="Z5">
        <f>IF(ISBLANK($H5),NA(),IFERROR(SUM($H5:$H$177),NA()))</f>
        <v>874152.25800000003</v>
      </c>
      <c r="AA5">
        <f>IF(ISBLANK($I5),NA(),IFERROR(SUM($I5:$I$177),NA()))</f>
        <v>1116431.7410000002</v>
      </c>
      <c r="AB5">
        <f>IF(ISBLANK($J5),NA(),IFERROR(SUM($J5:$J$177),NA()))</f>
        <v>681361.35600000003</v>
      </c>
      <c r="AC5">
        <f t="shared" si="6"/>
        <v>1797793.0970000001</v>
      </c>
      <c r="AD5">
        <f t="shared" si="7"/>
        <v>48.623629685680122</v>
      </c>
      <c r="AE5">
        <f t="shared" si="8"/>
        <v>62.100123916539886</v>
      </c>
    </row>
    <row r="6" spans="1:31" x14ac:dyDescent="0.35">
      <c r="A6">
        <v>1853</v>
      </c>
      <c r="B6">
        <v>212.46</v>
      </c>
      <c r="C6">
        <v>217.12</v>
      </c>
      <c r="D6">
        <v>0.11700000000000001</v>
      </c>
      <c r="E6">
        <v>221.48099999999999</v>
      </c>
      <c r="F6">
        <v>226.41</v>
      </c>
      <c r="G6">
        <v>0.06</v>
      </c>
      <c r="H6">
        <v>212.46</v>
      </c>
      <c r="I6">
        <v>217.12</v>
      </c>
      <c r="J6">
        <v>0.11700000000000001</v>
      </c>
      <c r="N6">
        <f>IF(ISBLANK($B6),NA(),IFERROR(SUM($B6:$B$177),NA()))</f>
        <v>873949.31999999972</v>
      </c>
      <c r="O6">
        <f>IF(ISBLANK($C6),NA(),IFERROR(SUM($C6:$C$177),NA()))</f>
        <v>1116224.3240000003</v>
      </c>
      <c r="P6">
        <f>IF(ISBLANK($D6),NA(),IFERROR(SUM($D6:$D$177),NA()))</f>
        <v>681845.00999999989</v>
      </c>
      <c r="Q6">
        <f t="shared" si="0"/>
        <v>1798069.3340000003</v>
      </c>
      <c r="R6">
        <f t="shared" si="1"/>
        <v>48.604873208966012</v>
      </c>
      <c r="S6">
        <f t="shared" si="2"/>
        <v>62.079047948436909</v>
      </c>
      <c r="T6">
        <f>IF(ISBLANK($E6),NA(),IFERROR(SUM($E6:$E$177),NA()))</f>
        <v>902606.39100000018</v>
      </c>
      <c r="U6">
        <f>IF(ISBLANK($F6),NA(),IFERROR(SUM($F6:$F$177),NA()))</f>
        <v>1157180.8570000001</v>
      </c>
      <c r="V6">
        <f>IF(ISBLANK($G6),NA(),IFERROR(SUM($G6:$G$177),NA()))</f>
        <v>704441.33900000004</v>
      </c>
      <c r="W6">
        <f t="shared" si="3"/>
        <v>1861622.196</v>
      </c>
      <c r="X6">
        <f t="shared" si="4"/>
        <v>48.484939261005685</v>
      </c>
      <c r="Y6">
        <f t="shared" si="5"/>
        <v>62.159811990123046</v>
      </c>
      <c r="Z6">
        <f>IF(ISBLANK($H6),NA(),IFERROR(SUM($H6:$H$177),NA()))</f>
        <v>873949.31799999997</v>
      </c>
      <c r="AA6">
        <f>IF(ISBLANK($I6),NA(),IFERROR(SUM($I6:$I$177),NA()))</f>
        <v>1116224.3270000003</v>
      </c>
      <c r="AB6">
        <f>IF(ISBLANK($J6),NA(),IFERROR(SUM($J6:$J$177),NA()))</f>
        <v>681361.17500000005</v>
      </c>
      <c r="AC6">
        <f t="shared" si="6"/>
        <v>1797585.5020000003</v>
      </c>
      <c r="AD6">
        <f t="shared" si="7"/>
        <v>48.617955420069904</v>
      </c>
      <c r="AE6">
        <f t="shared" si="8"/>
        <v>62.095757100737906</v>
      </c>
    </row>
    <row r="7" spans="1:31" x14ac:dyDescent="0.35">
      <c r="A7">
        <v>1854</v>
      </c>
      <c r="B7">
        <v>249.81899999999999</v>
      </c>
      <c r="C7">
        <v>255.03299999999999</v>
      </c>
      <c r="D7">
        <v>5.0000000000000001E-3</v>
      </c>
      <c r="E7">
        <v>260.35700000000003</v>
      </c>
      <c r="F7">
        <v>265.89</v>
      </c>
      <c r="G7">
        <v>7.0999999999999994E-2</v>
      </c>
      <c r="H7">
        <v>249.81899999999999</v>
      </c>
      <c r="I7">
        <v>255.03299999999999</v>
      </c>
      <c r="J7">
        <v>5.0000000000000001E-3</v>
      </c>
      <c r="N7">
        <f>IF(ISBLANK($B7),NA(),IFERROR(SUM($B7:$B$177),NA()))</f>
        <v>873736.85999999975</v>
      </c>
      <c r="O7">
        <f>IF(ISBLANK($C7),NA(),IFERROR(SUM($C7:$C$177),NA()))</f>
        <v>1116007.2040000001</v>
      </c>
      <c r="P7">
        <f>IF(ISBLANK($D7),NA(),IFERROR(SUM($D7:$D$177),NA()))</f>
        <v>681844.89299999992</v>
      </c>
      <c r="Q7">
        <f t="shared" si="0"/>
        <v>1797852.0970000001</v>
      </c>
      <c r="R7">
        <f t="shared" si="1"/>
        <v>48.598928769389182</v>
      </c>
      <c r="S7">
        <f t="shared" si="2"/>
        <v>62.074472414178807</v>
      </c>
      <c r="T7">
        <f>IF(ISBLANK($E7),NA(),IFERROR(SUM($E7:$E$177),NA()))</f>
        <v>902384.91000000027</v>
      </c>
      <c r="U7">
        <f>IF(ISBLANK($F7),NA(),IFERROR(SUM($F7:$F$177),NA()))</f>
        <v>1156954.4470000002</v>
      </c>
      <c r="V7">
        <f>IF(ISBLANK($G7),NA(),IFERROR(SUM($G7:$G$177),NA()))</f>
        <v>704441.27899999998</v>
      </c>
      <c r="W7">
        <f t="shared" si="3"/>
        <v>1861395.7260000003</v>
      </c>
      <c r="X7">
        <f t="shared" si="4"/>
        <v>48.478939614799579</v>
      </c>
      <c r="Y7">
        <f t="shared" si="5"/>
        <v>62.155211320174701</v>
      </c>
      <c r="Z7">
        <f>IF(ISBLANK($H7),NA(),IFERROR(SUM($H7:$H$177),NA()))</f>
        <v>873736.85800000001</v>
      </c>
      <c r="AA7">
        <f>IF(ISBLANK($I7),NA(),IFERROR(SUM($I7:$I$177),NA()))</f>
        <v>1116007.2070000002</v>
      </c>
      <c r="AB7">
        <f>IF(ISBLANK($J7),NA(),IFERROR(SUM($J7:$J$177),NA()))</f>
        <v>681361.05800000008</v>
      </c>
      <c r="AC7">
        <f t="shared" si="6"/>
        <v>1797368.2650000001</v>
      </c>
      <c r="AD7">
        <f t="shared" si="7"/>
        <v>48.612010961482063</v>
      </c>
      <c r="AE7">
        <f t="shared" si="8"/>
        <v>62.091182354329597</v>
      </c>
    </row>
    <row r="8" spans="1:31" x14ac:dyDescent="0.35">
      <c r="A8">
        <v>1855</v>
      </c>
      <c r="B8">
        <v>253.69</v>
      </c>
      <c r="C8">
        <v>260.06099999999998</v>
      </c>
      <c r="D8">
        <v>0.19900000000000001</v>
      </c>
      <c r="E8">
        <v>264.88099999999997</v>
      </c>
      <c r="F8">
        <v>271.36399999999998</v>
      </c>
      <c r="G8">
        <v>0.08</v>
      </c>
      <c r="H8">
        <v>253.69</v>
      </c>
      <c r="I8">
        <v>260.06099999999998</v>
      </c>
      <c r="J8">
        <v>0.19900000000000001</v>
      </c>
      <c r="N8">
        <f>IF(ISBLANK($B8),NA(),IFERROR(SUM($B8:$B$177),NA()))</f>
        <v>873487.04099999974</v>
      </c>
      <c r="O8">
        <f>IF(ISBLANK($C8),NA(),IFERROR(SUM($C8:$C$177),NA()))</f>
        <v>1115752.1710000001</v>
      </c>
      <c r="P8">
        <f>IF(ISBLANK($D8),NA(),IFERROR(SUM($D8:$D$177),NA()))</f>
        <v>681844.88799999992</v>
      </c>
      <c r="Q8">
        <f t="shared" si="0"/>
        <v>1797597.0589999999</v>
      </c>
      <c r="R8">
        <f t="shared" si="1"/>
        <v>48.591926462425292</v>
      </c>
      <c r="S8">
        <f t="shared" si="2"/>
        <v>62.069091925455808</v>
      </c>
      <c r="T8">
        <f>IF(ISBLANK($E8),NA(),IFERROR(SUM($E8:$E$177),NA()))</f>
        <v>902124.55300000019</v>
      </c>
      <c r="U8">
        <f>IF(ISBLANK($F8),NA(),IFERROR(SUM($F8:$F$177),NA()))</f>
        <v>1156688.5570000003</v>
      </c>
      <c r="V8">
        <f>IF(ISBLANK($G8),NA(),IFERROR(SUM($G8:$G$177),NA()))</f>
        <v>704441.20799999998</v>
      </c>
      <c r="W8">
        <f t="shared" si="3"/>
        <v>1861129.7650000001</v>
      </c>
      <c r="X8">
        <f t="shared" si="4"/>
        <v>48.471878208879225</v>
      </c>
      <c r="Y8">
        <f t="shared" si="5"/>
        <v>62.149807001770249</v>
      </c>
      <c r="Z8">
        <f>IF(ISBLANK($H8),NA(),IFERROR(SUM($H8:$H$177),NA()))</f>
        <v>873487.03899999999</v>
      </c>
      <c r="AA8">
        <f>IF(ISBLANK($I8),NA(),IFERROR(SUM($I8:$I$177),NA()))</f>
        <v>1115752.1740000001</v>
      </c>
      <c r="AB8">
        <f>IF(ISBLANK($J8),NA(),IFERROR(SUM($J8:$J$177),NA()))</f>
        <v>681361.05300000007</v>
      </c>
      <c r="AC8">
        <f t="shared" si="6"/>
        <v>1797113.2270000002</v>
      </c>
      <c r="AD8">
        <f t="shared" si="7"/>
        <v>48.605008625869957</v>
      </c>
      <c r="AE8">
        <f t="shared" si="8"/>
        <v>62.085802788429426</v>
      </c>
    </row>
    <row r="9" spans="1:31" x14ac:dyDescent="0.35">
      <c r="A9">
        <v>1856</v>
      </c>
      <c r="B9">
        <v>270.50299999999999</v>
      </c>
      <c r="C9">
        <v>277.29599999999999</v>
      </c>
      <c r="D9">
        <v>0.94899999999999995</v>
      </c>
      <c r="E9">
        <v>282.54000000000002</v>
      </c>
      <c r="F9">
        <v>289.76900000000001</v>
      </c>
      <c r="G9">
        <v>8.6999999999999994E-2</v>
      </c>
      <c r="H9">
        <v>270.50299999999999</v>
      </c>
      <c r="I9">
        <v>277.29599999999999</v>
      </c>
      <c r="J9">
        <v>0.94899999999999995</v>
      </c>
      <c r="N9">
        <f>IF(ISBLANK($B9),NA(),IFERROR(SUM($B9:$B$177),NA()))</f>
        <v>873233.35099999979</v>
      </c>
      <c r="O9">
        <f>IF(ISBLANK($C9),NA(),IFERROR(SUM($C9:$C$177),NA()))</f>
        <v>1115492.1100000001</v>
      </c>
      <c r="P9">
        <f>IF(ISBLANK($D9),NA(),IFERROR(SUM($D9:$D$177),NA()))</f>
        <v>681844.6889999999</v>
      </c>
      <c r="Q9">
        <f t="shared" si="0"/>
        <v>1797336.7990000001</v>
      </c>
      <c r="R9">
        <f t="shared" si="1"/>
        <v>48.584847953140901</v>
      </c>
      <c r="S9">
        <f t="shared" si="2"/>
        <v>62.063610483056721</v>
      </c>
      <c r="T9">
        <f>IF(ISBLANK($E9),NA(),IFERROR(SUM($E9:$E$177),NA()))</f>
        <v>901859.67200000037</v>
      </c>
      <c r="U9">
        <f>IF(ISBLANK($F9),NA(),IFERROR(SUM($F9:$F$177),NA()))</f>
        <v>1156417.1930000002</v>
      </c>
      <c r="V9">
        <f>IF(ISBLANK($G9),NA(),IFERROR(SUM($G9:$G$177),NA()))</f>
        <v>704441.12799999991</v>
      </c>
      <c r="W9">
        <f t="shared" si="3"/>
        <v>1860858.321</v>
      </c>
      <c r="X9">
        <f t="shared" si="4"/>
        <v>48.464714471940731</v>
      </c>
      <c r="Y9">
        <f t="shared" si="5"/>
        <v>62.144290081071695</v>
      </c>
      <c r="Z9">
        <f>IF(ISBLANK($H9),NA(),IFERROR(SUM($H9:$H$177),NA()))</f>
        <v>873233.34900000005</v>
      </c>
      <c r="AA9">
        <f>IF(ISBLANK($I9),NA(),IFERROR(SUM($I9:$I$177),NA()))</f>
        <v>1115492.1130000001</v>
      </c>
      <c r="AB9">
        <f>IF(ISBLANK($J9),NA(),IFERROR(SUM($J9:$J$177),NA()))</f>
        <v>681360.85400000005</v>
      </c>
      <c r="AC9">
        <f t="shared" si="6"/>
        <v>1796852.9670000002</v>
      </c>
      <c r="AD9">
        <f t="shared" si="7"/>
        <v>48.597930105429711</v>
      </c>
      <c r="AE9">
        <f t="shared" si="8"/>
        <v>62.080322290499353</v>
      </c>
    </row>
    <row r="10" spans="1:31" x14ac:dyDescent="0.35">
      <c r="A10">
        <v>1857</v>
      </c>
      <c r="B10">
        <v>272.67</v>
      </c>
      <c r="C10">
        <v>279.93200000000002</v>
      </c>
      <c r="D10">
        <v>1.2490000000000001</v>
      </c>
      <c r="E10">
        <v>285.185</v>
      </c>
      <c r="F10">
        <v>292.92700000000002</v>
      </c>
      <c r="G10">
        <v>9.4E-2</v>
      </c>
      <c r="H10">
        <v>272.67</v>
      </c>
      <c r="I10">
        <v>279.93200000000002</v>
      </c>
      <c r="J10">
        <v>1.2490000000000001</v>
      </c>
      <c r="N10">
        <f>IF(ISBLANK($B10),NA(),IFERROR(SUM($B10:$B$177),NA()))</f>
        <v>872962.84799999977</v>
      </c>
      <c r="O10">
        <f>IF(ISBLANK($C10),NA(),IFERROR(SUM($C10:$C$177),NA()))</f>
        <v>1115214.8140000002</v>
      </c>
      <c r="P10">
        <f>IF(ISBLANK($D10),NA(),IFERROR(SUM($D10:$D$177),NA()))</f>
        <v>681843.74</v>
      </c>
      <c r="Q10">
        <f t="shared" si="0"/>
        <v>1797058.5540000002</v>
      </c>
      <c r="R10">
        <f t="shared" si="1"/>
        <v>48.577317976473658</v>
      </c>
      <c r="S10">
        <f t="shared" si="2"/>
        <v>62.057789464772227</v>
      </c>
      <c r="T10">
        <f>IF(ISBLANK($E10),NA(),IFERROR(SUM($E10:$E$177),NA()))</f>
        <v>901577.13200000033</v>
      </c>
      <c r="U10">
        <f>IF(ISBLANK($F10),NA(),IFERROR(SUM($F10:$F$177),NA()))</f>
        <v>1156127.4240000001</v>
      </c>
      <c r="V10">
        <f>IF(ISBLANK($G10),NA(),IFERROR(SUM($G10:$G$177),NA()))</f>
        <v>704441.04099999985</v>
      </c>
      <c r="W10">
        <f t="shared" si="3"/>
        <v>1860568.4649999999</v>
      </c>
      <c r="X10">
        <f t="shared" si="4"/>
        <v>48.457079057286954</v>
      </c>
      <c r="Y10">
        <f t="shared" si="5"/>
        <v>62.138397255916104</v>
      </c>
      <c r="Z10">
        <f>IF(ISBLANK($H10),NA(),IFERROR(SUM($H10:$H$177),NA()))</f>
        <v>872962.84600000002</v>
      </c>
      <c r="AA10">
        <f>IF(ISBLANK($I10),NA(),IFERROR(SUM($I10:$I$177),NA()))</f>
        <v>1115214.8170000003</v>
      </c>
      <c r="AB10">
        <f>IF(ISBLANK($J10),NA(),IFERROR(SUM($J10:$J$177),NA()))</f>
        <v>681359.90500000003</v>
      </c>
      <c r="AC10">
        <f t="shared" si="6"/>
        <v>1796574.7220000003</v>
      </c>
      <c r="AD10">
        <f t="shared" si="7"/>
        <v>48.590400126981187</v>
      </c>
      <c r="AE10">
        <f t="shared" si="8"/>
        <v>62.074502292813627</v>
      </c>
    </row>
    <row r="11" spans="1:31" x14ac:dyDescent="0.35">
      <c r="A11">
        <v>1858</v>
      </c>
      <c r="B11">
        <v>275.26299999999998</v>
      </c>
      <c r="C11">
        <v>283.77</v>
      </c>
      <c r="D11">
        <v>1.7789999999999999</v>
      </c>
      <c r="E11">
        <v>288.35899999999998</v>
      </c>
      <c r="F11">
        <v>297.03899999999999</v>
      </c>
      <c r="G11">
        <v>0.52500000000000002</v>
      </c>
      <c r="H11">
        <v>275.26299999999998</v>
      </c>
      <c r="I11">
        <v>283.77</v>
      </c>
      <c r="J11">
        <v>1.7789999999999999</v>
      </c>
      <c r="N11">
        <f>IF(ISBLANK($B11),NA(),IFERROR(SUM($B11:$B$177),NA()))</f>
        <v>872690.17799999972</v>
      </c>
      <c r="O11">
        <f>IF(ISBLANK($C11),NA(),IFERROR(SUM($C11:$C$177),NA()))</f>
        <v>1114934.8820000002</v>
      </c>
      <c r="P11">
        <f>IF(ISBLANK($D11),NA(),IFERROR(SUM($D11:$D$177),NA()))</f>
        <v>681842.49099999992</v>
      </c>
      <c r="Q11">
        <f t="shared" si="0"/>
        <v>1796777.3730000001</v>
      </c>
      <c r="R11">
        <f t="shared" si="1"/>
        <v>48.56974442765312</v>
      </c>
      <c r="S11">
        <f t="shared" si="2"/>
        <v>62.051921331714155</v>
      </c>
      <c r="T11">
        <f>IF(ISBLANK($E11),NA(),IFERROR(SUM($E11:$E$177),NA()))</f>
        <v>901291.94700000028</v>
      </c>
      <c r="U11">
        <f>IF(ISBLANK($F11),NA(),IFERROR(SUM($F11:$F$177),NA()))</f>
        <v>1155834.4970000002</v>
      </c>
      <c r="V11">
        <f>IF(ISBLANK($G11),NA(),IFERROR(SUM($G11:$G$177),NA()))</f>
        <v>704440.94700000004</v>
      </c>
      <c r="W11">
        <f t="shared" si="3"/>
        <v>1860275.4440000001</v>
      </c>
      <c r="X11">
        <f t="shared" si="4"/>
        <v>48.44938150997816</v>
      </c>
      <c r="Y11">
        <f t="shared" si="5"/>
        <v>62.132438544407307</v>
      </c>
      <c r="Z11">
        <f>IF(ISBLANK($H11),NA(),IFERROR(SUM($H11:$H$177),NA()))</f>
        <v>872690.17599999998</v>
      </c>
      <c r="AA11">
        <f>IF(ISBLANK($I11),NA(),IFERROR(SUM($I11:$I$177),NA()))</f>
        <v>1114934.8850000002</v>
      </c>
      <c r="AB11">
        <f>IF(ISBLANK($J11),NA(),IFERROR(SUM($J11:$J$177),NA()))</f>
        <v>681358.65600000008</v>
      </c>
      <c r="AC11">
        <f t="shared" si="6"/>
        <v>1796293.5410000002</v>
      </c>
      <c r="AD11">
        <f t="shared" si="7"/>
        <v>48.582826586025114</v>
      </c>
      <c r="AE11">
        <f t="shared" si="8"/>
        <v>62.068635195298526</v>
      </c>
    </row>
    <row r="12" spans="1:31" x14ac:dyDescent="0.35">
      <c r="A12">
        <v>1859</v>
      </c>
      <c r="B12">
        <v>292.45400000000001</v>
      </c>
      <c r="C12">
        <v>300.77999999999997</v>
      </c>
      <c r="D12">
        <v>1.792</v>
      </c>
      <c r="E12">
        <v>305.76100000000002</v>
      </c>
      <c r="F12">
        <v>314.214</v>
      </c>
      <c r="G12">
        <v>0.79</v>
      </c>
      <c r="H12">
        <v>292.45400000000001</v>
      </c>
      <c r="I12">
        <v>300.77999999999997</v>
      </c>
      <c r="J12">
        <v>1.792</v>
      </c>
      <c r="N12">
        <f>IF(ISBLANK($B12),NA(),IFERROR(SUM($B12:$B$177),NA()))</f>
        <v>872414.9149999998</v>
      </c>
      <c r="O12">
        <f>IF(ISBLANK($C12),NA(),IFERROR(SUM($C12:$C$177),NA()))</f>
        <v>1114651.1120000002</v>
      </c>
      <c r="P12">
        <f>IF(ISBLANK($D12),NA(),IFERROR(SUM($D12:$D$177),NA()))</f>
        <v>681840.71199999994</v>
      </c>
      <c r="Q12">
        <f t="shared" si="0"/>
        <v>1796491.824</v>
      </c>
      <c r="R12">
        <f t="shared" si="1"/>
        <v>48.562142245519055</v>
      </c>
      <c r="S12">
        <f t="shared" si="2"/>
        <v>62.045988582244739</v>
      </c>
      <c r="T12">
        <f>IF(ISBLANK($E12),NA(),IFERROR(SUM($E12:$E$177),NA()))</f>
        <v>901003.58800000034</v>
      </c>
      <c r="U12">
        <f>IF(ISBLANK($F12),NA(),IFERROR(SUM($F12:$F$177),NA()))</f>
        <v>1155537.4580000001</v>
      </c>
      <c r="V12">
        <f>IF(ISBLANK($G12),NA(),IFERROR(SUM($G12:$G$177),NA()))</f>
        <v>704440.4219999999</v>
      </c>
      <c r="W12">
        <f t="shared" si="3"/>
        <v>1859977.88</v>
      </c>
      <c r="X12">
        <f t="shared" si="4"/>
        <v>48.441629209052763</v>
      </c>
      <c r="Y12">
        <f t="shared" si="5"/>
        <v>62.126408621590713</v>
      </c>
      <c r="Z12">
        <f>IF(ISBLANK($H12),NA(),IFERROR(SUM($H12:$H$177),NA()))</f>
        <v>872414.91300000006</v>
      </c>
      <c r="AA12">
        <f>IF(ISBLANK($I12),NA(),IFERROR(SUM($I12:$I$177),NA()))</f>
        <v>1114651.1150000002</v>
      </c>
      <c r="AB12">
        <f>IF(ISBLANK($J12),NA(),IFERROR(SUM($J12:$J$177),NA()))</f>
        <v>681356.87700000009</v>
      </c>
      <c r="AC12">
        <f t="shared" si="6"/>
        <v>1796007.9920000003</v>
      </c>
      <c r="AD12">
        <f t="shared" si="7"/>
        <v>48.575224435860967</v>
      </c>
      <c r="AE12">
        <f t="shared" si="8"/>
        <v>62.06270350494075</v>
      </c>
    </row>
    <row r="13" spans="1:31" x14ac:dyDescent="0.35">
      <c r="A13">
        <v>1860</v>
      </c>
      <c r="B13">
        <v>320.98</v>
      </c>
      <c r="C13">
        <v>330.22500000000002</v>
      </c>
      <c r="D13">
        <v>2.073</v>
      </c>
      <c r="E13">
        <v>335.12200000000001</v>
      </c>
      <c r="F13">
        <v>344.52499999999998</v>
      </c>
      <c r="G13">
        <v>0.82499999999999996</v>
      </c>
      <c r="H13">
        <v>320.98</v>
      </c>
      <c r="I13">
        <v>330.22500000000002</v>
      </c>
      <c r="J13">
        <v>2.073</v>
      </c>
      <c r="N13">
        <f>IF(ISBLANK($B13),NA(),IFERROR(SUM($B13:$B$177),NA()))</f>
        <v>872122.46099999978</v>
      </c>
      <c r="O13">
        <f>IF(ISBLANK($C13),NA(),IFERROR(SUM($C13:$C$177),NA()))</f>
        <v>1114350.3320000002</v>
      </c>
      <c r="P13">
        <f>IF(ISBLANK($D13),NA(),IFERROR(SUM($D13:$D$177),NA()))</f>
        <v>681838.91999999993</v>
      </c>
      <c r="Q13">
        <f t="shared" si="0"/>
        <v>1796189.2520000001</v>
      </c>
      <c r="R13">
        <f t="shared" si="1"/>
        <v>48.554040729779388</v>
      </c>
      <c r="S13">
        <f t="shared" si="2"/>
        <v>62.039694912950083</v>
      </c>
      <c r="T13">
        <f>IF(ISBLANK($E13),NA(),IFERROR(SUM($E13:$E$177),NA()))</f>
        <v>900697.82700000016</v>
      </c>
      <c r="U13">
        <f>IF(ISBLANK($F13),NA(),IFERROR(SUM($F13:$F$177),NA()))</f>
        <v>1155223.2440000002</v>
      </c>
      <c r="V13">
        <f>IF(ISBLANK($G13),NA(),IFERROR(SUM($G13:$G$177),NA()))</f>
        <v>704439.63199999987</v>
      </c>
      <c r="W13">
        <f t="shared" si="3"/>
        <v>1859662.8760000002</v>
      </c>
      <c r="X13">
        <f t="shared" si="4"/>
        <v>48.433392881258982</v>
      </c>
      <c r="Y13">
        <f t="shared" si="5"/>
        <v>62.120035782227447</v>
      </c>
      <c r="Z13">
        <f>IF(ISBLANK($H13),NA(),IFERROR(SUM($H13:$H$177),NA()))</f>
        <v>872122.45900000003</v>
      </c>
      <c r="AA13">
        <f>IF(ISBLANK($I13),NA(),IFERROR(SUM($I13:$I$177),NA()))</f>
        <v>1114350.3350000002</v>
      </c>
      <c r="AB13">
        <f>IF(ISBLANK($J13),NA(),IFERROR(SUM($J13:$J$177),NA()))</f>
        <v>681355.08500000008</v>
      </c>
      <c r="AC13">
        <f t="shared" si="6"/>
        <v>1795705.4200000004</v>
      </c>
      <c r="AD13">
        <f t="shared" si="7"/>
        <v>48.567122941579129</v>
      </c>
      <c r="AE13">
        <f t="shared" si="8"/>
        <v>62.056410956313755</v>
      </c>
    </row>
    <row r="14" spans="1:31" x14ac:dyDescent="0.35">
      <c r="A14">
        <v>1861</v>
      </c>
      <c r="B14">
        <v>336.91199999999998</v>
      </c>
      <c r="C14">
        <v>347.16899999999998</v>
      </c>
      <c r="D14">
        <v>2.0219999999999998</v>
      </c>
      <c r="E14">
        <v>352.73099999999999</v>
      </c>
      <c r="F14">
        <v>363.21600000000001</v>
      </c>
      <c r="G14">
        <v>0.69899999999999995</v>
      </c>
      <c r="H14">
        <v>336.91199999999998</v>
      </c>
      <c r="I14">
        <v>347.16899999999998</v>
      </c>
      <c r="J14">
        <v>2.0219999999999998</v>
      </c>
      <c r="N14">
        <f>IF(ISBLANK($B14),NA(),IFERROR(SUM($B14:$B$177),NA()))</f>
        <v>871801.4809999998</v>
      </c>
      <c r="O14">
        <f>IF(ISBLANK($C14),NA(),IFERROR(SUM($C14:$C$177),NA()))</f>
        <v>1114020.1070000001</v>
      </c>
      <c r="P14">
        <f>IF(ISBLANK($D14),NA(),IFERROR(SUM($D14:$D$177),NA()))</f>
        <v>681836.84699999995</v>
      </c>
      <c r="Q14">
        <f t="shared" si="0"/>
        <v>1795856.9539999999</v>
      </c>
      <c r="R14">
        <f t="shared" si="1"/>
        <v>48.545151608996129</v>
      </c>
      <c r="S14">
        <f t="shared" si="2"/>
        <v>62.03278632625436</v>
      </c>
      <c r="T14">
        <f>IF(ISBLANK($E14),NA(),IFERROR(SUM($E14:$E$177),NA()))</f>
        <v>900362.70500000019</v>
      </c>
      <c r="U14">
        <f>IF(ISBLANK($F14),NA(),IFERROR(SUM($F14:$F$177),NA()))</f>
        <v>1154878.719</v>
      </c>
      <c r="V14">
        <f>IF(ISBLANK($G14),NA(),IFERROR(SUM($G14:$G$177),NA()))</f>
        <v>704438.80699999991</v>
      </c>
      <c r="W14">
        <f t="shared" si="3"/>
        <v>1859317.5260000001</v>
      </c>
      <c r="X14">
        <f t="shared" si="4"/>
        <v>48.424364983907545</v>
      </c>
      <c r="Y14">
        <f t="shared" si="5"/>
        <v>62.113044321403329</v>
      </c>
      <c r="Z14">
        <f>IF(ISBLANK($H14),NA(),IFERROR(SUM($H14:$H$177),NA()))</f>
        <v>871801.47900000005</v>
      </c>
      <c r="AA14">
        <f>IF(ISBLANK($I14),NA(),IFERROR(SUM($I14:$I$177),NA()))</f>
        <v>1114020.1100000001</v>
      </c>
      <c r="AB14">
        <f>IF(ISBLANK($J14),NA(),IFERROR(SUM($J14:$J$177),NA()))</f>
        <v>681353.0120000001</v>
      </c>
      <c r="AC14">
        <f t="shared" si="6"/>
        <v>1795373.1220000002</v>
      </c>
      <c r="AD14">
        <f t="shared" si="7"/>
        <v>48.558233846613192</v>
      </c>
      <c r="AE14">
        <f t="shared" si="8"/>
        <v>62.049503601736554</v>
      </c>
    </row>
    <row r="15" spans="1:31" x14ac:dyDescent="0.35">
      <c r="A15">
        <v>1862</v>
      </c>
      <c r="B15">
        <v>341.69400000000002</v>
      </c>
      <c r="C15">
        <v>353.83</v>
      </c>
      <c r="D15">
        <v>2.161</v>
      </c>
      <c r="E15">
        <v>357.80900000000003</v>
      </c>
      <c r="F15">
        <v>370.23</v>
      </c>
      <c r="G15">
        <v>0.74399999999999999</v>
      </c>
      <c r="H15">
        <v>341.69400000000002</v>
      </c>
      <c r="I15">
        <v>353.83</v>
      </c>
      <c r="J15">
        <v>2.161</v>
      </c>
      <c r="N15">
        <f>IF(ISBLANK($B15),NA(),IFERROR(SUM($B15:$B$177),NA()))</f>
        <v>871464.56899999978</v>
      </c>
      <c r="O15">
        <f>IF(ISBLANK($C15),NA(),IFERROR(SUM($C15:$C$177),NA()))</f>
        <v>1113672.9380000001</v>
      </c>
      <c r="P15">
        <f>IF(ISBLANK($D15),NA(),IFERROR(SUM($D15:$D$177),NA()))</f>
        <v>681834.82499999995</v>
      </c>
      <c r="Q15">
        <f t="shared" si="0"/>
        <v>1795507.763</v>
      </c>
      <c r="R15">
        <f t="shared" si="1"/>
        <v>48.535828524847197</v>
      </c>
      <c r="S15">
        <f t="shared" si="2"/>
        <v>62.025515063172698</v>
      </c>
      <c r="T15">
        <f>IF(ISBLANK($E15),NA(),IFERROR(SUM($E15:$E$177),NA()))</f>
        <v>900009.97400000028</v>
      </c>
      <c r="U15">
        <f>IF(ISBLANK($F15),NA(),IFERROR(SUM($F15:$F$177),NA()))</f>
        <v>1154515.5030000003</v>
      </c>
      <c r="V15">
        <f>IF(ISBLANK($G15),NA(),IFERROR(SUM($G15:$G$177),NA()))</f>
        <v>704438.10799999989</v>
      </c>
      <c r="W15">
        <f t="shared" si="3"/>
        <v>1858953.611</v>
      </c>
      <c r="X15">
        <f t="shared" si="4"/>
        <v>48.414869993224393</v>
      </c>
      <c r="Y15">
        <f t="shared" si="5"/>
        <v>62.105665045559888</v>
      </c>
      <c r="Z15">
        <f>IF(ISBLANK($H15),NA(),IFERROR(SUM($H15:$H$177),NA()))</f>
        <v>871464.56700000004</v>
      </c>
      <c r="AA15">
        <f>IF(ISBLANK($I15),NA(),IFERROR(SUM($I15:$I$177),NA()))</f>
        <v>1113672.9410000001</v>
      </c>
      <c r="AB15">
        <f>IF(ISBLANK($J15),NA(),IFERROR(SUM($J15:$J$177),NA()))</f>
        <v>681350.99</v>
      </c>
      <c r="AC15">
        <f t="shared" si="6"/>
        <v>1795023.9310000001</v>
      </c>
      <c r="AD15">
        <f t="shared" si="7"/>
        <v>48.548910794437759</v>
      </c>
      <c r="AE15">
        <f t="shared" si="8"/>
        <v>62.042233630811694</v>
      </c>
    </row>
    <row r="16" spans="1:31" x14ac:dyDescent="0.35">
      <c r="A16">
        <v>1863</v>
      </c>
      <c r="B16">
        <v>363.37200000000001</v>
      </c>
      <c r="C16">
        <v>377.45699999999999</v>
      </c>
      <c r="D16">
        <v>2.0779999999999998</v>
      </c>
      <c r="E16">
        <v>380.03899999999999</v>
      </c>
      <c r="F16">
        <v>394.49</v>
      </c>
      <c r="G16">
        <v>0.81499999999999995</v>
      </c>
      <c r="H16">
        <v>363.37200000000001</v>
      </c>
      <c r="I16">
        <v>377.45699999999999</v>
      </c>
      <c r="J16">
        <v>2.0779999999999998</v>
      </c>
      <c r="N16">
        <f>IF(ISBLANK($B16),NA(),IFERROR(SUM($B16:$B$177),NA()))</f>
        <v>871122.87499999977</v>
      </c>
      <c r="O16">
        <f>IF(ISBLANK($C16),NA(),IFERROR(SUM($C16:$C$177),NA()))</f>
        <v>1113319.1080000002</v>
      </c>
      <c r="P16">
        <f>IF(ISBLANK($D16),NA(),IFERROR(SUM($D16:$D$177),NA()))</f>
        <v>681832.66399999999</v>
      </c>
      <c r="Q16">
        <f t="shared" si="0"/>
        <v>1795151.7720000003</v>
      </c>
      <c r="R16">
        <f t="shared" si="1"/>
        <v>48.526419246962682</v>
      </c>
      <c r="S16">
        <f t="shared" si="2"/>
        <v>62.018104840218491</v>
      </c>
      <c r="T16">
        <f>IF(ISBLANK($E16),NA(),IFERROR(SUM($E16:$E$177),NA()))</f>
        <v>899652.16500000015</v>
      </c>
      <c r="U16">
        <f>IF(ISBLANK($F16),NA(),IFERROR(SUM($F16:$F$177),NA()))</f>
        <v>1154145.273</v>
      </c>
      <c r="V16">
        <f>IF(ISBLANK($G16),NA(),IFERROR(SUM($G16:$G$177),NA()))</f>
        <v>704437.36399999994</v>
      </c>
      <c r="W16">
        <f t="shared" si="3"/>
        <v>1858582.6370000001</v>
      </c>
      <c r="X16">
        <f t="shared" si="4"/>
        <v>48.405281911605428</v>
      </c>
      <c r="Y16">
        <f t="shared" si="5"/>
        <v>62.098141348341883</v>
      </c>
      <c r="Z16">
        <f>IF(ISBLANK($H16),NA(),IFERROR(SUM($H16:$H$177),NA()))</f>
        <v>871122.87300000002</v>
      </c>
      <c r="AA16">
        <f>IF(ISBLANK($I16),NA(),IFERROR(SUM($I16:$I$177),NA()))</f>
        <v>1113319.1110000003</v>
      </c>
      <c r="AB16">
        <f>IF(ISBLANK($J16),NA(),IFERROR(SUM($J16:$J$177),NA()))</f>
        <v>681348.82900000003</v>
      </c>
      <c r="AC16">
        <f t="shared" si="6"/>
        <v>1794667.9400000004</v>
      </c>
      <c r="AD16">
        <f t="shared" si="7"/>
        <v>48.539501574870712</v>
      </c>
      <c r="AE16">
        <f t="shared" si="8"/>
        <v>62.034824726405937</v>
      </c>
    </row>
    <row r="17" spans="1:31" x14ac:dyDescent="0.35">
      <c r="A17">
        <v>1864</v>
      </c>
      <c r="B17">
        <v>391.06799999999998</v>
      </c>
      <c r="C17">
        <v>407.02199999999999</v>
      </c>
      <c r="D17">
        <v>2.5030000000000001</v>
      </c>
      <c r="E17">
        <v>408.69200000000001</v>
      </c>
      <c r="F17">
        <v>425.10199999999998</v>
      </c>
      <c r="G17">
        <v>0.79800000000000004</v>
      </c>
      <c r="H17">
        <v>391.06799999999998</v>
      </c>
      <c r="I17">
        <v>407.02199999999999</v>
      </c>
      <c r="J17">
        <v>2.5030000000000001</v>
      </c>
      <c r="N17">
        <f>IF(ISBLANK($B17),NA(),IFERROR(SUM($B17:$B$177),NA()))</f>
        <v>870759.50299999979</v>
      </c>
      <c r="O17">
        <f>IF(ISBLANK($C17),NA(),IFERROR(SUM($C17:$C$177),NA()))</f>
        <v>1112941.6510000001</v>
      </c>
      <c r="P17">
        <f>IF(ISBLANK($D17),NA(),IFERROR(SUM($D17:$D$177),NA()))</f>
        <v>681830.58599999989</v>
      </c>
      <c r="Q17">
        <f t="shared" si="0"/>
        <v>1794772.237</v>
      </c>
      <c r="R17">
        <f t="shared" si="1"/>
        <v>48.516434846100189</v>
      </c>
      <c r="S17">
        <f t="shared" si="2"/>
        <v>62.010188705632409</v>
      </c>
      <c r="T17">
        <f>IF(ISBLANK($E17),NA(),IFERROR(SUM($E17:$E$177),NA()))</f>
        <v>899272.12600000028</v>
      </c>
      <c r="U17">
        <f>IF(ISBLANK($F17),NA(),IFERROR(SUM($F17:$F$177),NA()))</f>
        <v>1153750.7830000001</v>
      </c>
      <c r="V17">
        <f>IF(ISBLANK($G17),NA(),IFERROR(SUM($G17:$G$177),NA()))</f>
        <v>704436.549</v>
      </c>
      <c r="W17">
        <f t="shared" si="3"/>
        <v>1858187.3319999999</v>
      </c>
      <c r="X17">
        <f t="shared" si="4"/>
        <v>48.395127364908781</v>
      </c>
      <c r="Y17">
        <f t="shared" si="5"/>
        <v>62.090122084633826</v>
      </c>
      <c r="Z17">
        <f>IF(ISBLANK($H17),NA(),IFERROR(SUM($H17:$H$177),NA()))</f>
        <v>870759.50100000005</v>
      </c>
      <c r="AA17">
        <f>IF(ISBLANK($I17),NA(),IFERROR(SUM($I17:$I$177),NA()))</f>
        <v>1112941.6540000001</v>
      </c>
      <c r="AB17">
        <f>IF(ISBLANK($J17),NA(),IFERROR(SUM($J17:$J$177),NA()))</f>
        <v>681346.75100000005</v>
      </c>
      <c r="AC17">
        <f t="shared" si="6"/>
        <v>1794288.4050000003</v>
      </c>
      <c r="AD17">
        <f t="shared" si="7"/>
        <v>48.529517248928549</v>
      </c>
      <c r="AE17">
        <f t="shared" si="8"/>
        <v>62.026909993881382</v>
      </c>
    </row>
    <row r="18" spans="1:31" x14ac:dyDescent="0.35">
      <c r="A18">
        <v>1865</v>
      </c>
      <c r="B18">
        <v>414.23599999999999</v>
      </c>
      <c r="C18">
        <v>432.17099999999999</v>
      </c>
      <c r="D18">
        <v>2.681</v>
      </c>
      <c r="E18">
        <v>433.00799999999998</v>
      </c>
      <c r="F18">
        <v>451.47500000000002</v>
      </c>
      <c r="G18">
        <v>0.78500000000000003</v>
      </c>
      <c r="H18">
        <v>414.23599999999999</v>
      </c>
      <c r="I18">
        <v>432.17099999999999</v>
      </c>
      <c r="J18">
        <v>2.681</v>
      </c>
      <c r="N18">
        <f>IF(ISBLANK($B18),NA(),IFERROR(SUM($B18:$B$177),NA()))</f>
        <v>870368.43499999971</v>
      </c>
      <c r="O18">
        <f>IF(ISBLANK($C18),NA(),IFERROR(SUM($C18:$C$177),NA()))</f>
        <v>1112534.6290000002</v>
      </c>
      <c r="P18">
        <f>IF(ISBLANK($D18),NA(),IFERROR(SUM($D18:$D$177),NA()))</f>
        <v>681828.08299999998</v>
      </c>
      <c r="Q18">
        <f t="shared" si="0"/>
        <v>1794362.7120000003</v>
      </c>
      <c r="R18">
        <f t="shared" si="1"/>
        <v>48.505713431254115</v>
      </c>
      <c r="S18">
        <f t="shared" si="2"/>
        <v>62.001657834271803</v>
      </c>
      <c r="T18">
        <f>IF(ISBLANK($E18),NA(),IFERROR(SUM($E18:$E$177),NA()))</f>
        <v>898863.43400000024</v>
      </c>
      <c r="U18">
        <f>IF(ISBLANK($F18),NA(),IFERROR(SUM($F18:$F$177),NA()))</f>
        <v>1153325.6810000001</v>
      </c>
      <c r="V18">
        <f>IF(ISBLANK($G18),NA(),IFERROR(SUM($G18:$G$177),NA()))</f>
        <v>704435.75100000005</v>
      </c>
      <c r="W18">
        <f t="shared" si="3"/>
        <v>1857761.432</v>
      </c>
      <c r="X18">
        <f t="shared" si="4"/>
        <v>48.384222996400339</v>
      </c>
      <c r="Y18">
        <f t="shared" si="5"/>
        <v>62.081474032883257</v>
      </c>
      <c r="Z18">
        <f>IF(ISBLANK($H18),NA(),IFERROR(SUM($H18:$H$177),NA()))</f>
        <v>870368.43300000008</v>
      </c>
      <c r="AA18">
        <f>IF(ISBLANK($I18),NA(),IFERROR(SUM($I18:$I$177),NA()))</f>
        <v>1112534.6320000002</v>
      </c>
      <c r="AB18">
        <f>IF(ISBLANK($J18),NA(),IFERROR(SUM($J18:$J$177),NA()))</f>
        <v>681344.24800000002</v>
      </c>
      <c r="AC18">
        <f t="shared" si="6"/>
        <v>1793878.8800000004</v>
      </c>
      <c r="AD18">
        <f t="shared" si="7"/>
        <v>48.518795928964828</v>
      </c>
      <c r="AE18">
        <f t="shared" si="8"/>
        <v>62.018380638942581</v>
      </c>
    </row>
    <row r="19" spans="1:31" x14ac:dyDescent="0.35">
      <c r="A19">
        <v>1866</v>
      </c>
      <c r="B19">
        <v>425.392</v>
      </c>
      <c r="C19">
        <v>445.53</v>
      </c>
      <c r="D19">
        <v>3.5369999999999999</v>
      </c>
      <c r="E19">
        <v>444.34</v>
      </c>
      <c r="F19">
        <v>465.15100000000001</v>
      </c>
      <c r="G19">
        <v>1.141</v>
      </c>
      <c r="H19">
        <v>425.392</v>
      </c>
      <c r="I19">
        <v>445.53</v>
      </c>
      <c r="J19">
        <v>3.5369999999999999</v>
      </c>
      <c r="N19">
        <f>IF(ISBLANK($B19),NA(),IFERROR(SUM($B19:$B$177),NA()))</f>
        <v>869954.19899999979</v>
      </c>
      <c r="O19">
        <f>IF(ISBLANK($C19),NA(),IFERROR(SUM($C19:$C$177),NA()))</f>
        <v>1112102.4580000001</v>
      </c>
      <c r="P19">
        <f>IF(ISBLANK($D19),NA(),IFERROR(SUM($D19:$D$177),NA()))</f>
        <v>681825.40199999989</v>
      </c>
      <c r="Q19">
        <f t="shared" si="0"/>
        <v>1793927.8599999999</v>
      </c>
      <c r="R19">
        <f t="shared" si="1"/>
        <v>48.494380314713425</v>
      </c>
      <c r="S19">
        <f t="shared" si="2"/>
        <v>61.992596402399379</v>
      </c>
      <c r="T19">
        <f>IF(ISBLANK($E19),NA(),IFERROR(SUM($E19:$E$177),NA()))</f>
        <v>898430.42600000033</v>
      </c>
      <c r="U19">
        <f>IF(ISBLANK($F19),NA(),IFERROR(SUM($F19:$F$177),NA()))</f>
        <v>1152874.2060000002</v>
      </c>
      <c r="V19">
        <f>IF(ISBLANK($G19),NA(),IFERROR(SUM($G19:$G$177),NA()))</f>
        <v>704434.9659999999</v>
      </c>
      <c r="W19">
        <f t="shared" si="3"/>
        <v>1857309.1720000003</v>
      </c>
      <c r="X19">
        <f t="shared" si="4"/>
        <v>48.372690963053095</v>
      </c>
      <c r="Y19">
        <f t="shared" si="5"/>
        <v>62.072283030754349</v>
      </c>
      <c r="Z19">
        <f>IF(ISBLANK($H19),NA(),IFERROR(SUM($H19:$H$177),NA()))</f>
        <v>869954.19700000004</v>
      </c>
      <c r="AA19">
        <f>IF(ISBLANK($I19),NA(),IFERROR(SUM($I19:$I$177),NA()))</f>
        <v>1112102.4610000001</v>
      </c>
      <c r="AB19">
        <f>IF(ISBLANK($J19),NA(),IFERROR(SUM($J19:$J$177),NA()))</f>
        <v>681341.56700000004</v>
      </c>
      <c r="AC19">
        <f t="shared" si="6"/>
        <v>1793444.0280000002</v>
      </c>
      <c r="AD19">
        <f t="shared" si="7"/>
        <v>48.507462927078308</v>
      </c>
      <c r="AE19">
        <f t="shared" si="8"/>
        <v>62.009320817231547</v>
      </c>
    </row>
    <row r="20" spans="1:31" x14ac:dyDescent="0.35">
      <c r="A20">
        <v>1867</v>
      </c>
      <c r="B20">
        <v>455.19799999999998</v>
      </c>
      <c r="C20">
        <v>477.72</v>
      </c>
      <c r="D20">
        <v>3.0939999999999999</v>
      </c>
      <c r="E20">
        <v>476.27600000000001</v>
      </c>
      <c r="F20">
        <v>499.548</v>
      </c>
      <c r="G20">
        <v>1.268</v>
      </c>
      <c r="H20">
        <v>455.19799999999998</v>
      </c>
      <c r="I20">
        <v>477.72</v>
      </c>
      <c r="J20">
        <v>3.0939999999999999</v>
      </c>
      <c r="N20">
        <f>IF(ISBLANK($B20),NA(),IFERROR(SUM($B20:$B$177),NA()))</f>
        <v>869528.8069999998</v>
      </c>
      <c r="O20">
        <f>IF(ISBLANK($C20),NA(),IFERROR(SUM($C20:$C$177),NA()))</f>
        <v>1111656.9280000001</v>
      </c>
      <c r="P20">
        <f>IF(ISBLANK($D20),NA(),IFERROR(SUM($D20:$D$177),NA()))</f>
        <v>681821.86499999999</v>
      </c>
      <c r="Q20">
        <f t="shared" si="0"/>
        <v>1793478.7930000001</v>
      </c>
      <c r="R20">
        <f t="shared" si="1"/>
        <v>48.482803944702106</v>
      </c>
      <c r="S20">
        <f t="shared" si="2"/>
        <v>61.983276988767834</v>
      </c>
      <c r="T20">
        <f>IF(ISBLANK($E20),NA(),IFERROR(SUM($E20:$E$177),NA()))</f>
        <v>897986.08600000024</v>
      </c>
      <c r="U20">
        <f>IF(ISBLANK($F20),NA(),IFERROR(SUM($F20:$F$177),NA()))</f>
        <v>1152409.0550000002</v>
      </c>
      <c r="V20">
        <f>IF(ISBLANK($G20),NA(),IFERROR(SUM($G20:$G$177),NA()))</f>
        <v>704433.82499999984</v>
      </c>
      <c r="W20">
        <f t="shared" si="3"/>
        <v>1856842.88</v>
      </c>
      <c r="X20">
        <f t="shared" si="4"/>
        <v>48.360908490006452</v>
      </c>
      <c r="Y20">
        <f t="shared" si="5"/>
        <v>62.06282003784834</v>
      </c>
      <c r="Z20">
        <f>IF(ISBLANK($H20),NA(),IFERROR(SUM($H20:$H$177),NA()))</f>
        <v>869528.80500000005</v>
      </c>
      <c r="AA20">
        <f>IF(ISBLANK($I20),NA(),IFERROR(SUM($I20:$I$177),NA()))</f>
        <v>1111656.9310000001</v>
      </c>
      <c r="AB20">
        <f>IF(ISBLANK($J20),NA(),IFERROR(SUM($J20:$J$177),NA()))</f>
        <v>681338.03</v>
      </c>
      <c r="AC20">
        <f t="shared" si="6"/>
        <v>1792994.9610000001</v>
      </c>
      <c r="AD20">
        <f t="shared" si="7"/>
        <v>48.495886709856741</v>
      </c>
      <c r="AE20">
        <f t="shared" si="8"/>
        <v>62.000003077532348</v>
      </c>
    </row>
    <row r="21" spans="1:31" x14ac:dyDescent="0.35">
      <c r="A21">
        <v>1868</v>
      </c>
      <c r="B21">
        <v>466.61099999999999</v>
      </c>
      <c r="C21">
        <v>491.185</v>
      </c>
      <c r="D21">
        <v>3.3079999999999998</v>
      </c>
      <c r="E21">
        <v>488.53199999999998</v>
      </c>
      <c r="F21">
        <v>513.91800000000001</v>
      </c>
      <c r="G21">
        <v>1.3</v>
      </c>
      <c r="H21">
        <v>466.61099999999999</v>
      </c>
      <c r="I21">
        <v>491.185</v>
      </c>
      <c r="J21">
        <v>3.3079999999999998</v>
      </c>
      <c r="N21">
        <f>IF(ISBLANK($B21),NA(),IFERROR(SUM($B21:$B$177),NA()))</f>
        <v>869073.60899999971</v>
      </c>
      <c r="O21">
        <f>IF(ISBLANK($C21),NA(),IFERROR(SUM($C21:$C$177),NA()))</f>
        <v>1111179.2080000001</v>
      </c>
      <c r="P21">
        <f>IF(ISBLANK($D21),NA(),IFERROR(SUM($D21:$D$177),NA()))</f>
        <v>681818.77099999995</v>
      </c>
      <c r="Q21">
        <f t="shared" si="0"/>
        <v>1792997.9790000001</v>
      </c>
      <c r="R21">
        <f t="shared" si="1"/>
        <v>48.470417656839963</v>
      </c>
      <c r="S21">
        <f t="shared" si="2"/>
        <v>61.973254906831109</v>
      </c>
      <c r="T21">
        <f>IF(ISBLANK($E21),NA(),IFERROR(SUM($E21:$E$177),NA()))</f>
        <v>897509.81000000017</v>
      </c>
      <c r="U21">
        <f>IF(ISBLANK($F21),NA(),IFERROR(SUM($F21:$F$177),NA()))</f>
        <v>1151909.5070000002</v>
      </c>
      <c r="V21">
        <f>IF(ISBLANK($G21),NA(),IFERROR(SUM($G21:$G$177),NA()))</f>
        <v>704432.55699999991</v>
      </c>
      <c r="W21">
        <f t="shared" si="3"/>
        <v>1856342.0640000002</v>
      </c>
      <c r="X21">
        <f t="shared" si="4"/>
        <v>48.348298915667954</v>
      </c>
      <c r="Y21">
        <f t="shared" si="5"/>
        <v>62.052653405800328</v>
      </c>
      <c r="Z21">
        <f>IF(ISBLANK($H21),NA(),IFERROR(SUM($H21:$H$177),NA()))</f>
        <v>869073.60699999996</v>
      </c>
      <c r="AA21">
        <f>IF(ISBLANK($I21),NA(),IFERROR(SUM($I21:$I$177),NA()))</f>
        <v>1111179.2110000001</v>
      </c>
      <c r="AB21">
        <f>IF(ISBLANK($J21),NA(),IFERROR(SUM($J21:$J$177),NA()))</f>
        <v>681334.9360000001</v>
      </c>
      <c r="AC21">
        <f t="shared" si="6"/>
        <v>1792514.1470000003</v>
      </c>
      <c r="AD21">
        <f t="shared" si="7"/>
        <v>48.483500587959369</v>
      </c>
      <c r="AE21">
        <f t="shared" si="8"/>
        <v>61.989982776967167</v>
      </c>
    </row>
    <row r="22" spans="1:31" x14ac:dyDescent="0.35">
      <c r="A22">
        <v>1869</v>
      </c>
      <c r="B22">
        <v>494.71600000000001</v>
      </c>
      <c r="C22">
        <v>521.45699999999999</v>
      </c>
      <c r="D22">
        <v>3.274</v>
      </c>
      <c r="E22">
        <v>517.41099999999994</v>
      </c>
      <c r="F22">
        <v>545.06799999999998</v>
      </c>
      <c r="G22">
        <v>1.5589999999999999</v>
      </c>
      <c r="H22">
        <v>494.71600000000001</v>
      </c>
      <c r="I22">
        <v>521.45699999999999</v>
      </c>
      <c r="J22">
        <v>3.274</v>
      </c>
      <c r="N22">
        <f>IF(ISBLANK($B22),NA(),IFERROR(SUM($B22:$B$177),NA()))</f>
        <v>868606.99799999979</v>
      </c>
      <c r="O22">
        <f>IF(ISBLANK($C22),NA(),IFERROR(SUM($C22:$C$177),NA()))</f>
        <v>1110688.0230000003</v>
      </c>
      <c r="P22">
        <f>IF(ISBLANK($D22),NA(),IFERROR(SUM($D22:$D$177),NA()))</f>
        <v>681815.46299999999</v>
      </c>
      <c r="Q22">
        <f t="shared" si="0"/>
        <v>1792503.4860000003</v>
      </c>
      <c r="R22">
        <f t="shared" si="1"/>
        <v>48.457757811021615</v>
      </c>
      <c r="S22">
        <f t="shared" si="2"/>
        <v>61.962949119754185</v>
      </c>
      <c r="T22">
        <f>IF(ISBLANK($E22),NA(),IFERROR(SUM($E22:$E$177),NA()))</f>
        <v>897021.27800000028</v>
      </c>
      <c r="U22">
        <f>IF(ISBLANK($F22),NA(),IFERROR(SUM($F22:$F$177),NA()))</f>
        <v>1151395.5890000002</v>
      </c>
      <c r="V22">
        <f>IF(ISBLANK($G22),NA(),IFERROR(SUM($G22:$G$177),NA()))</f>
        <v>704431.25699999987</v>
      </c>
      <c r="W22">
        <f t="shared" si="3"/>
        <v>1855826.8459999999</v>
      </c>
      <c r="X22">
        <f t="shared" si="4"/>
        <v>48.335397234575858</v>
      </c>
      <c r="Y22">
        <f t="shared" si="5"/>
        <v>62.042188444557091</v>
      </c>
      <c r="Z22">
        <f>IF(ISBLANK($H22),NA(),IFERROR(SUM($H22:$H$177),NA()))</f>
        <v>868606.99600000004</v>
      </c>
      <c r="AA22">
        <f>IF(ISBLANK($I22),NA(),IFERROR(SUM($I22:$I$177),NA()))</f>
        <v>1110688.0260000001</v>
      </c>
      <c r="AB22">
        <f>IF(ISBLANK($J22),NA(),IFERROR(SUM($J22:$J$177),NA()))</f>
        <v>681331.62800000003</v>
      </c>
      <c r="AC22">
        <f t="shared" si="6"/>
        <v>1792019.6540000001</v>
      </c>
      <c r="AD22">
        <f t="shared" si="7"/>
        <v>48.470840934203281</v>
      </c>
      <c r="AE22">
        <f t="shared" si="8"/>
        <v>61.979678823321663</v>
      </c>
    </row>
    <row r="23" spans="1:31" x14ac:dyDescent="0.35">
      <c r="A23">
        <v>1870</v>
      </c>
      <c r="B23">
        <v>504.07</v>
      </c>
      <c r="C23">
        <v>532.79899999999998</v>
      </c>
      <c r="D23">
        <v>3.3250000000000002</v>
      </c>
      <c r="E23">
        <v>527.90800000000002</v>
      </c>
      <c r="F23">
        <v>557.63499999999999</v>
      </c>
      <c r="G23">
        <v>1.732</v>
      </c>
      <c r="H23">
        <v>504.07</v>
      </c>
      <c r="I23">
        <v>532.79899999999998</v>
      </c>
      <c r="J23">
        <v>3.3250000000000002</v>
      </c>
      <c r="N23">
        <f>IF(ISBLANK($B23),NA(),IFERROR(SUM($B23:$B$177),NA()))</f>
        <v>868112.28199999977</v>
      </c>
      <c r="O23">
        <f>IF(ISBLANK($C23),NA(),IFERROR(SUM($C23:$C$177),NA()))</f>
        <v>1110166.5660000003</v>
      </c>
      <c r="P23">
        <f>IF(ISBLANK($D23),NA(),IFERROR(SUM($D23:$D$177),NA()))</f>
        <v>681812.1889999999</v>
      </c>
      <c r="Q23">
        <f t="shared" si="0"/>
        <v>1791978.7550000004</v>
      </c>
      <c r="R23">
        <f t="shared" si="1"/>
        <v>48.444340066966902</v>
      </c>
      <c r="S23">
        <f t="shared" si="2"/>
        <v>61.951993733318567</v>
      </c>
      <c r="T23">
        <f>IF(ISBLANK($E23),NA(),IFERROR(SUM($E23:$E$177),NA()))</f>
        <v>896503.8670000002</v>
      </c>
      <c r="U23">
        <f>IF(ISBLANK($F23),NA(),IFERROR(SUM($F23:$F$177),NA()))</f>
        <v>1150850.5210000002</v>
      </c>
      <c r="V23">
        <f>IF(ISBLANK($G23),NA(),IFERROR(SUM($G23:$G$177),NA()))</f>
        <v>704429.69799999997</v>
      </c>
      <c r="W23">
        <f t="shared" si="3"/>
        <v>1855280.219</v>
      </c>
      <c r="X23">
        <f t="shared" si="4"/>
        <v>48.321749880091843</v>
      </c>
      <c r="Y23">
        <f t="shared" si="5"/>
        <v>62.03108884653075</v>
      </c>
      <c r="Z23">
        <f>IF(ISBLANK($H23),NA(),IFERROR(SUM($H23:$H$177),NA()))</f>
        <v>868112.28</v>
      </c>
      <c r="AA23">
        <f>IF(ISBLANK($I23),NA(),IFERROR(SUM($I23:$I$177),NA()))</f>
        <v>1110166.5690000004</v>
      </c>
      <c r="AB23">
        <f>IF(ISBLANK($J23),NA(),IFERROR(SUM($J23:$J$177),NA()))</f>
        <v>681328.35400000005</v>
      </c>
      <c r="AC23">
        <f t="shared" si="6"/>
        <v>1791494.9230000004</v>
      </c>
      <c r="AD23">
        <f t="shared" si="7"/>
        <v>48.457423398458602</v>
      </c>
      <c r="AE23">
        <f t="shared" si="8"/>
        <v>61.968725378296817</v>
      </c>
    </row>
    <row r="24" spans="1:31" x14ac:dyDescent="0.35">
      <c r="A24">
        <v>1871</v>
      </c>
      <c r="B24">
        <v>532.79100000000005</v>
      </c>
      <c r="C24">
        <v>566.16300000000001</v>
      </c>
      <c r="D24">
        <v>3.6139999999999999</v>
      </c>
      <c r="E24">
        <v>558.33699999999999</v>
      </c>
      <c r="F24">
        <v>592.846</v>
      </c>
      <c r="G24">
        <v>2.0619999999999998</v>
      </c>
      <c r="H24">
        <v>532.79100000000005</v>
      </c>
      <c r="I24">
        <v>566.16300000000001</v>
      </c>
      <c r="J24">
        <v>3.6139999999999999</v>
      </c>
      <c r="N24">
        <f>IF(ISBLANK($B24),NA(),IFERROR(SUM($B24:$B$177),NA()))</f>
        <v>867608.21199999971</v>
      </c>
      <c r="O24">
        <f>IF(ISBLANK($C24),NA(),IFERROR(SUM($C24:$C$177),NA()))</f>
        <v>1109633.767</v>
      </c>
      <c r="P24">
        <f>IF(ISBLANK($D24),NA(),IFERROR(SUM($D24:$D$177),NA()))</f>
        <v>681808.86399999994</v>
      </c>
      <c r="Q24">
        <f t="shared" si="0"/>
        <v>1791442.6310000001</v>
      </c>
      <c r="R24">
        <f t="shared" si="1"/>
        <v>48.430700318641669</v>
      </c>
      <c r="S24">
        <f t="shared" si="2"/>
        <v>61.94079273309422</v>
      </c>
      <c r="T24">
        <f>IF(ISBLANK($E24),NA(),IFERROR(SUM($E24:$E$177),NA()))</f>
        <v>895975.95900000015</v>
      </c>
      <c r="U24">
        <f>IF(ISBLANK($F24),NA(),IFERROR(SUM($F24:$F$177),NA()))</f>
        <v>1150292.8860000002</v>
      </c>
      <c r="V24">
        <f>IF(ISBLANK($G24),NA(),IFERROR(SUM($G24:$G$177),NA()))</f>
        <v>704427.9659999999</v>
      </c>
      <c r="W24">
        <f t="shared" si="3"/>
        <v>1854720.852</v>
      </c>
      <c r="X24">
        <f t="shared" si="4"/>
        <v>48.30786034641509</v>
      </c>
      <c r="Y24">
        <f t="shared" si="5"/>
        <v>62.019731150356428</v>
      </c>
      <c r="Z24">
        <f>IF(ISBLANK($H24),NA(),IFERROR(SUM($H24:$H$177),NA()))</f>
        <v>867608.21</v>
      </c>
      <c r="AA24">
        <f>IF(ISBLANK($I24),NA(),IFERROR(SUM($I24:$I$177),NA()))</f>
        <v>1109633.77</v>
      </c>
      <c r="AB24">
        <f>IF(ISBLANK($J24),NA(),IFERROR(SUM($J24:$J$177),NA()))</f>
        <v>681325.0290000001</v>
      </c>
      <c r="AC24">
        <f t="shared" si="6"/>
        <v>1790958.7990000001</v>
      </c>
      <c r="AD24">
        <f t="shared" si="7"/>
        <v>48.443783881820046</v>
      </c>
      <c r="AE24">
        <f t="shared" si="8"/>
        <v>61.957526360716685</v>
      </c>
    </row>
    <row r="25" spans="1:31" x14ac:dyDescent="0.35">
      <c r="A25">
        <v>1872</v>
      </c>
      <c r="B25">
        <v>590.577</v>
      </c>
      <c r="C25">
        <v>626.553</v>
      </c>
      <c r="D25">
        <v>4.4080000000000004</v>
      </c>
      <c r="E25">
        <v>619.19500000000005</v>
      </c>
      <c r="F25">
        <v>656.39599999999996</v>
      </c>
      <c r="G25">
        <v>2.2149999999999999</v>
      </c>
      <c r="H25">
        <v>590.577</v>
      </c>
      <c r="I25">
        <v>626.553</v>
      </c>
      <c r="J25">
        <v>4.4080000000000004</v>
      </c>
      <c r="N25">
        <f>IF(ISBLANK($B25),NA(),IFERROR(SUM($B25:$B$177),NA()))</f>
        <v>867075.42099999974</v>
      </c>
      <c r="O25">
        <f>IF(ISBLANK($C25),NA(),IFERROR(SUM($C25:$C$177),NA()))</f>
        <v>1109067.6040000001</v>
      </c>
      <c r="P25">
        <f>IF(ISBLANK($D25),NA(),IFERROR(SUM($D25:$D$177),NA()))</f>
        <v>681805.25</v>
      </c>
      <c r="Q25">
        <f t="shared" si="0"/>
        <v>1790872.8540000001</v>
      </c>
      <c r="R25">
        <f t="shared" si="1"/>
        <v>48.416358484821821</v>
      </c>
      <c r="S25">
        <f t="shared" si="2"/>
        <v>61.928885767788856</v>
      </c>
      <c r="T25">
        <f>IF(ISBLANK($E25),NA(),IFERROR(SUM($E25:$E$177),NA()))</f>
        <v>895417.62200000032</v>
      </c>
      <c r="U25">
        <f>IF(ISBLANK($F25),NA(),IFERROR(SUM($F25:$F$177),NA()))</f>
        <v>1149700.04</v>
      </c>
      <c r="V25">
        <f>IF(ISBLANK($G25),NA(),IFERROR(SUM($G25:$G$177),NA()))</f>
        <v>704425.90399999998</v>
      </c>
      <c r="W25">
        <f t="shared" si="3"/>
        <v>1854125.9440000001</v>
      </c>
      <c r="X25">
        <f t="shared" si="4"/>
        <v>48.293247009330464</v>
      </c>
      <c r="Y25">
        <f t="shared" si="5"/>
        <v>62.007656153049325</v>
      </c>
      <c r="Z25">
        <f>IF(ISBLANK($H25),NA(),IFERROR(SUM($H25:$H$177),NA()))</f>
        <v>867075.41899999999</v>
      </c>
      <c r="AA25">
        <f>IF(ISBLANK($I25),NA(),IFERROR(SUM($I25:$I$177),NA()))</f>
        <v>1109067.6070000001</v>
      </c>
      <c r="AB25">
        <f>IF(ISBLANK($J25),NA(),IFERROR(SUM($J25:$J$177),NA()))</f>
        <v>681321.41500000004</v>
      </c>
      <c r="AC25">
        <f t="shared" si="6"/>
        <v>1790389.0220000001</v>
      </c>
      <c r="AD25">
        <f t="shared" si="7"/>
        <v>48.42944233602433</v>
      </c>
      <c r="AE25">
        <f t="shared" si="8"/>
        <v>61.945621503034445</v>
      </c>
    </row>
    <row r="26" spans="1:31" x14ac:dyDescent="0.35">
      <c r="A26">
        <v>1873</v>
      </c>
      <c r="B26">
        <v>627.63599999999997</v>
      </c>
      <c r="C26">
        <v>665.779</v>
      </c>
      <c r="D26">
        <v>4.6879999999999997</v>
      </c>
      <c r="E26">
        <v>657.92399999999998</v>
      </c>
      <c r="F26">
        <v>697.36099999999999</v>
      </c>
      <c r="G26">
        <v>2.2930000000000001</v>
      </c>
      <c r="H26">
        <v>627.63499999999999</v>
      </c>
      <c r="I26">
        <v>665.779</v>
      </c>
      <c r="J26">
        <v>4.6879999999999997</v>
      </c>
      <c r="N26">
        <f>IF(ISBLANK($B26),NA(),IFERROR(SUM($B26:$B$177),NA()))</f>
        <v>866484.84399999969</v>
      </c>
      <c r="O26">
        <f>IF(ISBLANK($C26),NA(),IFERROR(SUM($C26:$C$177),NA()))</f>
        <v>1108441.051</v>
      </c>
      <c r="P26">
        <f>IF(ISBLANK($D26),NA(),IFERROR(SUM($D26:$D$177),NA()))</f>
        <v>681800.84199999995</v>
      </c>
      <c r="Q26">
        <f t="shared" si="0"/>
        <v>1790241.8929999999</v>
      </c>
      <c r="R26">
        <f t="shared" si="1"/>
        <v>48.400433896001992</v>
      </c>
      <c r="S26">
        <f t="shared" si="2"/>
        <v>61.915714034740219</v>
      </c>
      <c r="T26">
        <f>IF(ISBLANK($E26),NA(),IFERROR(SUM($E26:$E$177),NA()))</f>
        <v>894798.42700000026</v>
      </c>
      <c r="U26">
        <f>IF(ISBLANK($F26),NA(),IFERROR(SUM($F26:$F$177),NA()))</f>
        <v>1149043.6440000001</v>
      </c>
      <c r="V26">
        <f>IF(ISBLANK($G26),NA(),IFERROR(SUM($G26:$G$177),NA()))</f>
        <v>704423.6889999999</v>
      </c>
      <c r="W26">
        <f t="shared" si="3"/>
        <v>1853467.3330000001</v>
      </c>
      <c r="X26">
        <f t="shared" si="4"/>
        <v>48.27700014284526</v>
      </c>
      <c r="Y26">
        <f t="shared" si="5"/>
        <v>61.9942754610178</v>
      </c>
      <c r="Z26">
        <f>IF(ISBLANK($H26),NA(),IFERROR(SUM($H26:$H$177),NA()))</f>
        <v>866484.84200000006</v>
      </c>
      <c r="AA26">
        <f>IF(ISBLANK($I26),NA(),IFERROR(SUM($I26:$I$177),NA()))</f>
        <v>1108441.054</v>
      </c>
      <c r="AB26">
        <f>IF(ISBLANK($J26),NA(),IFERROR(SUM($J26:$J$177),NA()))</f>
        <v>681317.0070000001</v>
      </c>
      <c r="AC26">
        <f t="shared" si="6"/>
        <v>1789758.0610000002</v>
      </c>
      <c r="AD26">
        <f t="shared" si="7"/>
        <v>48.413518054829417</v>
      </c>
      <c r="AE26">
        <f t="shared" si="8"/>
        <v>61.932452109235101</v>
      </c>
    </row>
    <row r="27" spans="1:31" x14ac:dyDescent="0.35">
      <c r="A27">
        <v>1874</v>
      </c>
      <c r="B27">
        <v>581.88800000000003</v>
      </c>
      <c r="C27">
        <v>623.38</v>
      </c>
      <c r="D27">
        <v>5.282</v>
      </c>
      <c r="E27">
        <v>609.18600000000004</v>
      </c>
      <c r="F27">
        <v>652.19100000000003</v>
      </c>
      <c r="G27">
        <v>2.5609999999999999</v>
      </c>
      <c r="H27">
        <v>581.88800000000003</v>
      </c>
      <c r="I27">
        <v>623.38</v>
      </c>
      <c r="J27">
        <v>5.282</v>
      </c>
      <c r="N27">
        <f>IF(ISBLANK($B27),NA(),IFERROR(SUM($B27:$B$177),NA()))</f>
        <v>865857.20799999975</v>
      </c>
      <c r="O27">
        <f>IF(ISBLANK($C27),NA(),IFERROR(SUM($C27:$C$177),NA()))</f>
        <v>1107775.2720000001</v>
      </c>
      <c r="P27">
        <f>IF(ISBLANK($D27),NA(),IFERROR(SUM($D27:$D$177),NA()))</f>
        <v>681796.15399999998</v>
      </c>
      <c r="Q27">
        <f t="shared" si="0"/>
        <v>1789571.426</v>
      </c>
      <c r="R27">
        <f t="shared" si="1"/>
        <v>48.383495367678037</v>
      </c>
      <c r="S27">
        <f t="shared" si="2"/>
        <v>61.901707632651934</v>
      </c>
      <c r="T27">
        <f>IF(ISBLANK($E27),NA(),IFERROR(SUM($E27:$E$177),NA()))</f>
        <v>894140.50300000038</v>
      </c>
      <c r="U27">
        <f>IF(ISBLANK($F27),NA(),IFERROR(SUM($F27:$F$177),NA()))</f>
        <v>1148346.2830000001</v>
      </c>
      <c r="V27">
        <f>IF(ISBLANK($G27),NA(),IFERROR(SUM($G27:$G$177),NA()))</f>
        <v>704421.39599999983</v>
      </c>
      <c r="W27">
        <f t="shared" si="3"/>
        <v>1852767.679</v>
      </c>
      <c r="X27">
        <f t="shared" si="4"/>
        <v>48.259720478424882</v>
      </c>
      <c r="Y27">
        <f t="shared" si="5"/>
        <v>61.980047256642592</v>
      </c>
      <c r="Z27">
        <f>IF(ISBLANK($H27),NA(),IFERROR(SUM($H27:$H$177),NA()))</f>
        <v>865857.20700000005</v>
      </c>
      <c r="AA27">
        <f>IF(ISBLANK($I27),NA(),IFERROR(SUM($I27:$I$177),NA()))</f>
        <v>1107775.2750000001</v>
      </c>
      <c r="AB27">
        <f>IF(ISBLANK($J27),NA(),IFERROR(SUM($J27:$J$177),NA()))</f>
        <v>681312.31900000002</v>
      </c>
      <c r="AC27">
        <f t="shared" si="6"/>
        <v>1789087.594</v>
      </c>
      <c r="AD27">
        <f t="shared" si="7"/>
        <v>48.396579904963559</v>
      </c>
      <c r="AE27">
        <f t="shared" si="8"/>
        <v>61.91844819197825</v>
      </c>
    </row>
    <row r="28" spans="1:31" x14ac:dyDescent="0.35">
      <c r="A28">
        <v>1875</v>
      </c>
      <c r="B28">
        <v>633.49400000000003</v>
      </c>
      <c r="C28">
        <v>676.13300000000004</v>
      </c>
      <c r="D28">
        <v>4.915</v>
      </c>
      <c r="E28">
        <v>664.91700000000003</v>
      </c>
      <c r="F28">
        <v>709.15800000000002</v>
      </c>
      <c r="G28">
        <v>2.798</v>
      </c>
      <c r="H28">
        <v>633.49400000000003</v>
      </c>
      <c r="I28">
        <v>676.13300000000004</v>
      </c>
      <c r="J28">
        <v>4.915</v>
      </c>
      <c r="N28">
        <f>IF(ISBLANK($B28),NA(),IFERROR(SUM($B28:$B$177),NA()))</f>
        <v>865275.31999999972</v>
      </c>
      <c r="O28">
        <f>IF(ISBLANK($C28),NA(),IFERROR(SUM($C28:$C$177),NA()))</f>
        <v>1107151.892</v>
      </c>
      <c r="P28">
        <f>IF(ISBLANK($D28),NA(),IFERROR(SUM($D28:$D$177),NA()))</f>
        <v>681790.87199999997</v>
      </c>
      <c r="Q28">
        <f t="shared" si="0"/>
        <v>1788942.764</v>
      </c>
      <c r="R28">
        <f t="shared" si="1"/>
        <v>48.367971151032293</v>
      </c>
      <c r="S28">
        <f t="shared" si="2"/>
        <v>61.888614564976663</v>
      </c>
      <c r="T28">
        <f>IF(ISBLANK($E28),NA(),IFERROR(SUM($E28:$E$177),NA()))</f>
        <v>893531.31700000016</v>
      </c>
      <c r="U28">
        <f>IF(ISBLANK($F28),NA(),IFERROR(SUM($F28:$F$177),NA()))</f>
        <v>1147694.0920000002</v>
      </c>
      <c r="V28">
        <f>IF(ISBLANK($G28),NA(),IFERROR(SUM($G28:$G$177),NA()))</f>
        <v>704418.83499999985</v>
      </c>
      <c r="W28">
        <f t="shared" si="3"/>
        <v>1852112.9270000001</v>
      </c>
      <c r="X28">
        <f t="shared" si="4"/>
        <v>48.24388966645337</v>
      </c>
      <c r="Y28">
        <f t="shared" si="5"/>
        <v>61.966744860368884</v>
      </c>
      <c r="Z28">
        <f>IF(ISBLANK($H28),NA(),IFERROR(SUM($H28:$H$177),NA()))</f>
        <v>865275.31900000002</v>
      </c>
      <c r="AA28">
        <f>IF(ISBLANK($I28),NA(),IFERROR(SUM($I28:$I$177),NA()))</f>
        <v>1107151.895</v>
      </c>
      <c r="AB28">
        <f>IF(ISBLANK($J28),NA(),IFERROR(SUM($J28:$J$177),NA()))</f>
        <v>681307.03700000001</v>
      </c>
      <c r="AC28">
        <f t="shared" si="6"/>
        <v>1788458.932</v>
      </c>
      <c r="AD28">
        <f t="shared" si="7"/>
        <v>48.381056087901271</v>
      </c>
      <c r="AE28">
        <f t="shared" si="8"/>
        <v>61.905357466715373</v>
      </c>
    </row>
    <row r="29" spans="1:31" x14ac:dyDescent="0.35">
      <c r="A29">
        <v>1876</v>
      </c>
      <c r="B29">
        <v>633.96400000000006</v>
      </c>
      <c r="C29">
        <v>685.56200000000001</v>
      </c>
      <c r="D29">
        <v>5.0199999999999996</v>
      </c>
      <c r="E29">
        <v>665.89099999999996</v>
      </c>
      <c r="F29">
        <v>719.85699999999997</v>
      </c>
      <c r="G29">
        <v>3.1280000000000001</v>
      </c>
      <c r="H29">
        <v>633.96400000000006</v>
      </c>
      <c r="I29">
        <v>685.56200000000001</v>
      </c>
      <c r="J29">
        <v>5.0199999999999996</v>
      </c>
      <c r="N29">
        <f>IF(ISBLANK($B29),NA(),IFERROR(SUM($B29:$B$177),NA()))</f>
        <v>864641.82599999977</v>
      </c>
      <c r="O29">
        <f>IF(ISBLANK($C29),NA(),IFERROR(SUM($C29:$C$177),NA()))</f>
        <v>1106475.7590000001</v>
      </c>
      <c r="P29">
        <f>IF(ISBLANK($D29),NA(),IFERROR(SUM($D29:$D$177),NA()))</f>
        <v>681785.95699999994</v>
      </c>
      <c r="Q29">
        <f t="shared" si="0"/>
        <v>1788261.716</v>
      </c>
      <c r="R29">
        <f t="shared" si="1"/>
        <v>48.350966654592284</v>
      </c>
      <c r="S29">
        <f t="shared" si="2"/>
        <v>61.874374936291488</v>
      </c>
      <c r="T29">
        <f>IF(ISBLANK($E29),NA(),IFERROR(SUM($E29:$E$177),NA()))</f>
        <v>892866.40000000026</v>
      </c>
      <c r="U29">
        <f>IF(ISBLANK($F29),NA(),IFERROR(SUM($F29:$F$177),NA()))</f>
        <v>1146984.9340000001</v>
      </c>
      <c r="V29">
        <f>IF(ISBLANK($G29),NA(),IFERROR(SUM($G29:$G$177),NA()))</f>
        <v>704416.03699999989</v>
      </c>
      <c r="W29">
        <f t="shared" si="3"/>
        <v>1851400.9709999999</v>
      </c>
      <c r="X29">
        <f t="shared" si="4"/>
        <v>48.226527585633441</v>
      </c>
      <c r="Y29">
        <f t="shared" si="5"/>
        <v>61.952270305901237</v>
      </c>
      <c r="Z29">
        <f>IF(ISBLANK($H29),NA(),IFERROR(SUM($H29:$H$177),NA()))</f>
        <v>864641.82500000007</v>
      </c>
      <c r="AA29">
        <f>IF(ISBLANK($I29),NA(),IFERROR(SUM($I29:$I$177),NA()))</f>
        <v>1106475.7620000001</v>
      </c>
      <c r="AB29">
        <f>IF(ISBLANK($J29),NA(),IFERROR(SUM($J29:$J$177),NA()))</f>
        <v>681302.12200000009</v>
      </c>
      <c r="AC29">
        <f t="shared" si="6"/>
        <v>1787777.8840000001</v>
      </c>
      <c r="AD29">
        <f t="shared" si="7"/>
        <v>48.364051974143344</v>
      </c>
      <c r="AE29">
        <f t="shared" si="8"/>
        <v>61.891120362466687</v>
      </c>
    </row>
    <row r="30" spans="1:31" x14ac:dyDescent="0.35">
      <c r="A30">
        <v>1877</v>
      </c>
      <c r="B30">
        <v>647.73400000000004</v>
      </c>
      <c r="C30">
        <v>699.16200000000003</v>
      </c>
      <c r="D30">
        <v>4.8710000000000004</v>
      </c>
      <c r="E30">
        <v>680.28899999999999</v>
      </c>
      <c r="F30">
        <v>734.11400000000003</v>
      </c>
      <c r="G30">
        <v>3.21</v>
      </c>
      <c r="H30">
        <v>647.73400000000004</v>
      </c>
      <c r="I30">
        <v>699.16200000000003</v>
      </c>
      <c r="J30">
        <v>4.8710000000000004</v>
      </c>
      <c r="N30">
        <f>IF(ISBLANK($B30),NA(),IFERROR(SUM($B30:$B$177),NA()))</f>
        <v>864007.86199999973</v>
      </c>
      <c r="O30">
        <f>IF(ISBLANK($C30),NA(),IFERROR(SUM($C30:$C$177),NA()))</f>
        <v>1105790.1970000002</v>
      </c>
      <c r="P30">
        <f>IF(ISBLANK($D30),NA(),IFERROR(SUM($D30:$D$177),NA()))</f>
        <v>681780.93699999992</v>
      </c>
      <c r="Q30">
        <f t="shared" si="0"/>
        <v>1787571.1340000001</v>
      </c>
      <c r="R30">
        <f t="shared" si="1"/>
        <v>48.334180697281262</v>
      </c>
      <c r="S30">
        <f t="shared" si="2"/>
        <v>61.859926912424626</v>
      </c>
      <c r="T30">
        <f>IF(ISBLANK($E30),NA(),IFERROR(SUM($E30:$E$177),NA()))</f>
        <v>892200.50900000019</v>
      </c>
      <c r="U30">
        <f>IF(ISBLANK($F30),NA(),IFERROR(SUM($F30:$F$177),NA()))</f>
        <v>1146265.077</v>
      </c>
      <c r="V30">
        <f>IF(ISBLANK($G30),NA(),IFERROR(SUM($G30:$G$177),NA()))</f>
        <v>704412.90899999987</v>
      </c>
      <c r="W30">
        <f t="shared" si="3"/>
        <v>1850677.986</v>
      </c>
      <c r="X30">
        <f t="shared" si="4"/>
        <v>48.209386816578267</v>
      </c>
      <c r="Y30">
        <f t="shared" si="5"/>
        <v>61.937575616679972</v>
      </c>
      <c r="Z30">
        <f>IF(ISBLANK($H30),NA(),IFERROR(SUM($H30:$H$177),NA()))</f>
        <v>864007.86100000003</v>
      </c>
      <c r="AA30">
        <f>IF(ISBLANK($I30),NA(),IFERROR(SUM($I30:$I$177),NA()))</f>
        <v>1105790.2</v>
      </c>
      <c r="AB30">
        <f>IF(ISBLANK($J30),NA(),IFERROR(SUM($J30:$J$177),NA()))</f>
        <v>681297.10200000007</v>
      </c>
      <c r="AC30">
        <f t="shared" si="6"/>
        <v>1787087.3020000001</v>
      </c>
      <c r="AD30">
        <f t="shared" si="7"/>
        <v>48.347266528784274</v>
      </c>
      <c r="AE30">
        <f t="shared" si="8"/>
        <v>61.876674897889231</v>
      </c>
    </row>
    <row r="31" spans="1:31" x14ac:dyDescent="0.35">
      <c r="A31">
        <v>1878</v>
      </c>
      <c r="B31">
        <v>646.90200000000004</v>
      </c>
      <c r="C31">
        <v>702.58199999999999</v>
      </c>
      <c r="D31">
        <v>7.0670000000000002</v>
      </c>
      <c r="E31">
        <v>678.654</v>
      </c>
      <c r="F31">
        <v>736.98500000000001</v>
      </c>
      <c r="G31">
        <v>3.7090000000000001</v>
      </c>
      <c r="H31">
        <v>646.90200000000004</v>
      </c>
      <c r="I31">
        <v>702.58199999999999</v>
      </c>
      <c r="J31">
        <v>7.0670000000000002</v>
      </c>
      <c r="N31">
        <f>IF(ISBLANK($B31),NA(),IFERROR(SUM($B31:$B$177),NA()))</f>
        <v>863360.12799999979</v>
      </c>
      <c r="O31">
        <f>IF(ISBLANK($C31),NA(),IFERROR(SUM($C31:$C$177),NA()))</f>
        <v>1105091.0350000001</v>
      </c>
      <c r="P31">
        <f>IF(ISBLANK($D31),NA(),IFERROR(SUM($D31:$D$177),NA()))</f>
        <v>681776.06599999999</v>
      </c>
      <c r="Q31">
        <f t="shared" si="0"/>
        <v>1786867.1010000003</v>
      </c>
      <c r="R31">
        <f t="shared" si="1"/>
        <v>48.31697486157924</v>
      </c>
      <c r="S31">
        <f t="shared" si="2"/>
        <v>61.845172166500141</v>
      </c>
      <c r="T31">
        <f>IF(ISBLANK($E31),NA(),IFERROR(SUM($E31:$E$177),NA()))</f>
        <v>891520.22000000009</v>
      </c>
      <c r="U31">
        <f>IF(ISBLANK($F31),NA(),IFERROR(SUM($F31:$F$177),NA()))</f>
        <v>1145530.9630000002</v>
      </c>
      <c r="V31">
        <f>IF(ISBLANK($G31),NA(),IFERROR(SUM($G31:$G$177),NA()))</f>
        <v>704409.69899999991</v>
      </c>
      <c r="W31">
        <f t="shared" si="3"/>
        <v>1849940.662</v>
      </c>
      <c r="X31">
        <f t="shared" si="4"/>
        <v>48.191827895504687</v>
      </c>
      <c r="Y31">
        <f t="shared" si="5"/>
        <v>61.922578736203825</v>
      </c>
      <c r="Z31">
        <f>IF(ISBLANK($H31),NA(),IFERROR(SUM($H31:$H$177),NA()))</f>
        <v>863360.12699999998</v>
      </c>
      <c r="AA31">
        <f>IF(ISBLANK($I31),NA(),IFERROR(SUM($I31:$I$177),NA()))</f>
        <v>1105091.0380000002</v>
      </c>
      <c r="AB31">
        <f>IF(ISBLANK($J31),NA(),IFERROR(SUM($J31:$J$177),NA()))</f>
        <v>681292.23100000003</v>
      </c>
      <c r="AC31">
        <f t="shared" si="6"/>
        <v>1786383.2690000003</v>
      </c>
      <c r="AD31">
        <f t="shared" si="7"/>
        <v>48.330061190245047</v>
      </c>
      <c r="AE31">
        <f t="shared" si="8"/>
        <v>61.861922756286184</v>
      </c>
    </row>
    <row r="32" spans="1:31" x14ac:dyDescent="0.35">
      <c r="A32">
        <v>1879</v>
      </c>
      <c r="B32">
        <v>693.40300000000002</v>
      </c>
      <c r="C32">
        <v>752.64</v>
      </c>
      <c r="D32">
        <v>7.1550000000000002</v>
      </c>
      <c r="E32">
        <v>728.45899999999995</v>
      </c>
      <c r="F32">
        <v>790.548</v>
      </c>
      <c r="G32">
        <v>3.6739999999999999</v>
      </c>
      <c r="H32">
        <v>693.40300000000002</v>
      </c>
      <c r="I32">
        <v>752.64</v>
      </c>
      <c r="J32">
        <v>7.1550000000000002</v>
      </c>
      <c r="N32">
        <f>IF(ISBLANK($B32),NA(),IFERROR(SUM($B32:$B$177),NA()))</f>
        <v>862713.22599999979</v>
      </c>
      <c r="O32">
        <f>IF(ISBLANK($C32),NA(),IFERROR(SUM($C32:$C$177),NA()))</f>
        <v>1104388.453</v>
      </c>
      <c r="P32">
        <f>IF(ISBLANK($D32),NA(),IFERROR(SUM($D32:$D$177),NA()))</f>
        <v>681768.99899999995</v>
      </c>
      <c r="Q32">
        <f t="shared" si="0"/>
        <v>1786157.452</v>
      </c>
      <c r="R32">
        <f t="shared" si="1"/>
        <v>48.299953905743344</v>
      </c>
      <c r="S32">
        <f t="shared" si="2"/>
        <v>61.830408722556442</v>
      </c>
      <c r="T32">
        <f>IF(ISBLANK($E32),NA(),IFERROR(SUM($E32:$E$177),NA()))</f>
        <v>890841.56600000022</v>
      </c>
      <c r="U32">
        <f>IF(ISBLANK($F32),NA(),IFERROR(SUM($F32:$F$177),NA()))</f>
        <v>1144793.9780000001</v>
      </c>
      <c r="V32">
        <f>IF(ISBLANK($G32),NA(),IFERROR(SUM($G32:$G$177),NA()))</f>
        <v>704405.98999999987</v>
      </c>
      <c r="W32">
        <f t="shared" si="3"/>
        <v>1849199.9679999999</v>
      </c>
      <c r="X32">
        <f t="shared" si="4"/>
        <v>48.174431181906677</v>
      </c>
      <c r="Y32">
        <f t="shared" si="5"/>
        <v>61.907527461086367</v>
      </c>
      <c r="Z32">
        <f>IF(ISBLANK($H32),NA(),IFERROR(SUM($H32:$H$177),NA()))</f>
        <v>862713.22499999998</v>
      </c>
      <c r="AA32">
        <f>IF(ISBLANK($I32),NA(),IFERROR(SUM($I32:$I$177),NA()))</f>
        <v>1104388.456</v>
      </c>
      <c r="AB32">
        <f>IF(ISBLANK($J32),NA(),IFERROR(SUM($J32:$J$177),NA()))</f>
        <v>681285.16399999999</v>
      </c>
      <c r="AC32">
        <f t="shared" si="6"/>
        <v>1785673.62</v>
      </c>
      <c r="AD32">
        <f t="shared" si="7"/>
        <v>48.313040823216049</v>
      </c>
      <c r="AE32">
        <f t="shared" si="8"/>
        <v>61.847161969050092</v>
      </c>
    </row>
    <row r="33" spans="1:31" x14ac:dyDescent="0.35">
      <c r="A33">
        <v>1880</v>
      </c>
      <c r="B33">
        <v>787.75599999999997</v>
      </c>
      <c r="C33">
        <v>850.24699999999996</v>
      </c>
      <c r="D33">
        <v>7.9809999999999999</v>
      </c>
      <c r="E33">
        <v>831.26900000000001</v>
      </c>
      <c r="F33">
        <v>896.803</v>
      </c>
      <c r="G33">
        <v>4.2080000000000002</v>
      </c>
      <c r="H33">
        <v>787.75599999999997</v>
      </c>
      <c r="I33">
        <v>850.24699999999996</v>
      </c>
      <c r="J33">
        <v>7.9809999999999999</v>
      </c>
      <c r="N33">
        <f>IF(ISBLANK($B33),NA(),IFERROR(SUM($B33:$B$177),NA()))</f>
        <v>862019.82299999974</v>
      </c>
      <c r="O33">
        <f>IF(ISBLANK($C33),NA(),IFERROR(SUM($C33:$C$177),NA()))</f>
        <v>1103635.8130000001</v>
      </c>
      <c r="P33">
        <f>IF(ISBLANK($D33),NA(),IFERROR(SUM($D33:$D$177),NA()))</f>
        <v>681761.84399999992</v>
      </c>
      <c r="Q33">
        <f t="shared" si="0"/>
        <v>1785397.6570000001</v>
      </c>
      <c r="R33">
        <f t="shared" si="1"/>
        <v>48.281671011512913</v>
      </c>
      <c r="S33">
        <f t="shared" si="2"/>
        <v>61.814565997271274</v>
      </c>
      <c r="T33">
        <f>IF(ISBLANK($E33),NA(),IFERROR(SUM($E33:$E$177),NA()))</f>
        <v>890113.10700000019</v>
      </c>
      <c r="U33">
        <f>IF(ISBLANK($F33),NA(),IFERROR(SUM($F33:$F$177),NA()))</f>
        <v>1144003.4300000002</v>
      </c>
      <c r="V33">
        <f>IF(ISBLANK($G33),NA(),IFERROR(SUM($G33:$G$177),NA()))</f>
        <v>704402.31599999999</v>
      </c>
      <c r="W33">
        <f t="shared" si="3"/>
        <v>1848405.7460000003</v>
      </c>
      <c r="X33">
        <f t="shared" si="4"/>
        <v>48.155720621742759</v>
      </c>
      <c r="Y33">
        <f t="shared" si="5"/>
        <v>61.891358673584222</v>
      </c>
      <c r="Z33">
        <f>IF(ISBLANK($H33),NA(),IFERROR(SUM($H33:$H$177),NA()))</f>
        <v>862019.82200000004</v>
      </c>
      <c r="AA33">
        <f>IF(ISBLANK($I33),NA(),IFERROR(SUM($I33:$I$177),NA()))</f>
        <v>1103635.8160000001</v>
      </c>
      <c r="AB33">
        <f>IF(ISBLANK($J33),NA(),IFERROR(SUM($J33:$J$177),NA()))</f>
        <v>681278.00900000008</v>
      </c>
      <c r="AC33">
        <f t="shared" si="6"/>
        <v>1784913.8250000002</v>
      </c>
      <c r="AD33">
        <f t="shared" si="7"/>
        <v>48.294758543875361</v>
      </c>
      <c r="AE33">
        <f t="shared" si="8"/>
        <v>61.83132208077329</v>
      </c>
    </row>
    <row r="34" spans="1:31" x14ac:dyDescent="0.35">
      <c r="A34">
        <v>1881</v>
      </c>
      <c r="B34">
        <v>815.39200000000005</v>
      </c>
      <c r="C34">
        <v>879.85299999999995</v>
      </c>
      <c r="D34">
        <v>8.3190000000000008</v>
      </c>
      <c r="E34">
        <v>856.41200000000003</v>
      </c>
      <c r="F34">
        <v>924.06799999999998</v>
      </c>
      <c r="G34">
        <v>4.2939999999999996</v>
      </c>
      <c r="H34">
        <v>815.39200000000005</v>
      </c>
      <c r="I34">
        <v>879.85299999999995</v>
      </c>
      <c r="J34">
        <v>8.3190000000000008</v>
      </c>
      <c r="N34">
        <f>IF(ISBLANK($B34),NA(),IFERROR(SUM($B34:$B$177),NA()))</f>
        <v>861232.06699999981</v>
      </c>
      <c r="O34">
        <f>IF(ISBLANK($C34),NA(),IFERROR(SUM($C34:$C$177),NA()))</f>
        <v>1102785.5660000001</v>
      </c>
      <c r="P34">
        <f>IF(ISBLANK($D34),NA(),IFERROR(SUM($D34:$D$177),NA()))</f>
        <v>681753.8629999999</v>
      </c>
      <c r="Q34">
        <f t="shared" si="0"/>
        <v>1784539.429</v>
      </c>
      <c r="R34">
        <f t="shared" si="1"/>
        <v>48.260747451380617</v>
      </c>
      <c r="S34">
        <f t="shared" si="2"/>
        <v>61.796648932434437</v>
      </c>
      <c r="T34">
        <f>IF(ISBLANK($E34),NA(),IFERROR(SUM($E34:$E$177),NA()))</f>
        <v>889281.83800000011</v>
      </c>
      <c r="U34">
        <f>IF(ISBLANK($F34),NA(),IFERROR(SUM($F34:$F$177),NA()))</f>
        <v>1143106.6270000001</v>
      </c>
      <c r="V34">
        <f>IF(ISBLANK($G34),NA(),IFERROR(SUM($G34:$G$177),NA()))</f>
        <v>704398.10799999989</v>
      </c>
      <c r="W34">
        <f t="shared" si="3"/>
        <v>1847504.7349999999</v>
      </c>
      <c r="X34">
        <f t="shared" si="4"/>
        <v>48.134211574835298</v>
      </c>
      <c r="Y34">
        <f t="shared" si="5"/>
        <v>61.873001207761455</v>
      </c>
      <c r="Z34">
        <f>IF(ISBLANK($H34),NA(),IFERROR(SUM($H34:$H$177),NA()))</f>
        <v>861232.06599999999</v>
      </c>
      <c r="AA34">
        <f>IF(ISBLANK($I34),NA(),IFERROR(SUM($I34:$I$177),NA()))</f>
        <v>1102785.5690000001</v>
      </c>
      <c r="AB34">
        <f>IF(ISBLANK($J34),NA(),IFERROR(SUM($J34:$J$177),NA()))</f>
        <v>681270.02800000005</v>
      </c>
      <c r="AC34">
        <f t="shared" si="6"/>
        <v>1784055.5970000001</v>
      </c>
      <c r="AD34">
        <f t="shared" si="7"/>
        <v>48.273835605135567</v>
      </c>
      <c r="AE34">
        <f t="shared" si="8"/>
        <v>61.813408217457031</v>
      </c>
    </row>
    <row r="35" spans="1:31" x14ac:dyDescent="0.35">
      <c r="A35">
        <v>1882</v>
      </c>
      <c r="B35">
        <v>862.44399999999996</v>
      </c>
      <c r="C35">
        <v>929.26499999999999</v>
      </c>
      <c r="D35">
        <v>8.8930000000000007</v>
      </c>
      <c r="E35">
        <v>906.86400000000003</v>
      </c>
      <c r="F35">
        <v>977.00800000000004</v>
      </c>
      <c r="G35">
        <v>4.8</v>
      </c>
      <c r="H35">
        <v>862.44399999999996</v>
      </c>
      <c r="I35">
        <v>929.26499999999999</v>
      </c>
      <c r="J35">
        <v>8.8930000000000007</v>
      </c>
      <c r="N35">
        <f>IF(ISBLANK($B35),NA(),IFERROR(SUM($B35:$B$177),NA()))</f>
        <v>860416.67499999981</v>
      </c>
      <c r="O35">
        <f>IF(ISBLANK($C35),NA(),IFERROR(SUM($C35:$C$177),NA()))</f>
        <v>1101905.713</v>
      </c>
      <c r="P35">
        <f>IF(ISBLANK($D35),NA(),IFERROR(SUM($D35:$D$177),NA()))</f>
        <v>681745.54399999999</v>
      </c>
      <c r="Q35">
        <f t="shared" ref="Q35:Q66" si="9">IFERROR(O35+P35,"")</f>
        <v>1783651.257</v>
      </c>
      <c r="R35">
        <f t="shared" ref="R35:R66" si="10">IFERROR(N35/Q35*100,NA())</f>
        <v>48.239064201775165</v>
      </c>
      <c r="S35">
        <f t="shared" ref="S35:S66" si="11">IFERROR(O35/Q35*100,NA())</f>
        <v>61.778091915419765</v>
      </c>
      <c r="T35">
        <f>IF(ISBLANK($E35),NA(),IFERROR(SUM($E35:$E$177),NA()))</f>
        <v>888425.42600000009</v>
      </c>
      <c r="U35">
        <f>IF(ISBLANK($F35),NA(),IFERROR(SUM($F35:$F$177),NA()))</f>
        <v>1142182.5590000001</v>
      </c>
      <c r="V35">
        <f>IF(ISBLANK($G35),NA(),IFERROR(SUM($G35:$G$177),NA()))</f>
        <v>704393.8139999999</v>
      </c>
      <c r="W35">
        <f t="shared" ref="W35:W66" si="12">IFERROR(U35+V35,"")</f>
        <v>1846576.3730000001</v>
      </c>
      <c r="X35">
        <f t="shared" ref="X35:X66" si="13">IFERROR(T35/W35*100,NA())</f>
        <v>48.112032569583839</v>
      </c>
      <c r="Y35">
        <f t="shared" ref="Y35:Y66" si="14">IFERROR(U35/W35*100,NA())</f>
        <v>61.854065485760444</v>
      </c>
      <c r="Z35">
        <f>IF(ISBLANK($H35),NA(),IFERROR(SUM($H35:$H$177),NA()))</f>
        <v>860416.674</v>
      </c>
      <c r="AA35">
        <f>IF(ISBLANK($I35),NA(),IFERROR(SUM($I35:$I$177),NA()))</f>
        <v>1101905.716</v>
      </c>
      <c r="AB35">
        <f>IF(ISBLANK($J35),NA(),IFERROR(SUM($J35:$J$177),NA()))</f>
        <v>681261.70900000003</v>
      </c>
      <c r="AC35">
        <f t="shared" ref="AC35:AC66" si="15">IFERROR(AA35+AB35,"")</f>
        <v>1783167.425</v>
      </c>
      <c r="AD35">
        <f t="shared" ref="AD35:AD66" si="16">IFERROR(Z35/AC35*100,NA())</f>
        <v>48.252152991186456</v>
      </c>
      <c r="AE35">
        <f t="shared" ref="AE35:AE66" si="17">IFERROR(AA35/AC35*100,NA())</f>
        <v>61.794854512890176</v>
      </c>
    </row>
    <row r="36" spans="1:31" x14ac:dyDescent="0.35">
      <c r="A36">
        <v>1883</v>
      </c>
      <c r="B36">
        <v>914.63599999999997</v>
      </c>
      <c r="C36">
        <v>988.19200000000001</v>
      </c>
      <c r="D36">
        <v>9.6709999999999994</v>
      </c>
      <c r="E36">
        <v>961.88199999999995</v>
      </c>
      <c r="F36">
        <v>1039.0609999999999</v>
      </c>
      <c r="G36">
        <v>5.4059999999999997</v>
      </c>
      <c r="H36">
        <v>914.63599999999997</v>
      </c>
      <c r="I36">
        <v>988.19200000000001</v>
      </c>
      <c r="J36">
        <v>9.6709999999999994</v>
      </c>
      <c r="N36">
        <f>IF(ISBLANK($B36),NA(),IFERROR(SUM($B36:$B$177),NA()))</f>
        <v>859554.2309999998</v>
      </c>
      <c r="O36">
        <f>IF(ISBLANK($C36),NA(),IFERROR(SUM($C36:$C$177),NA()))</f>
        <v>1100976.4480000001</v>
      </c>
      <c r="P36">
        <f>IF(ISBLANK($D36),NA(),IFERROR(SUM($D36:$D$177),NA()))</f>
        <v>681736.65099999995</v>
      </c>
      <c r="Q36">
        <f t="shared" si="9"/>
        <v>1782713.0989999999</v>
      </c>
      <c r="R36">
        <f t="shared" si="10"/>
        <v>48.216071979398173</v>
      </c>
      <c r="S36">
        <f t="shared" si="11"/>
        <v>61.758476370515538</v>
      </c>
      <c r="T36">
        <f>IF(ISBLANK($E36),NA(),IFERROR(SUM($E36:$E$177),NA()))</f>
        <v>887518.56200000027</v>
      </c>
      <c r="U36">
        <f>IF(ISBLANK($F36),NA(),IFERROR(SUM($F36:$F$177),NA()))</f>
        <v>1141205.5510000002</v>
      </c>
      <c r="V36">
        <f>IF(ISBLANK($G36),NA(),IFERROR(SUM($G36:$G$177),NA()))</f>
        <v>704389.01399999985</v>
      </c>
      <c r="W36">
        <f t="shared" si="12"/>
        <v>1845594.5649999999</v>
      </c>
      <c r="X36">
        <f t="shared" si="13"/>
        <v>48.088490225912665</v>
      </c>
      <c r="Y36">
        <f t="shared" si="14"/>
        <v>61.834032925860946</v>
      </c>
      <c r="Z36">
        <f>IF(ISBLANK($H36),NA(),IFERROR(SUM($H36:$H$177),NA()))</f>
        <v>859554.2300000001</v>
      </c>
      <c r="AA36">
        <f>IF(ISBLANK($I36),NA(),IFERROR(SUM($I36:$I$177),NA()))</f>
        <v>1100976.4510000001</v>
      </c>
      <c r="AB36">
        <f>IF(ISBLANK($J36),NA(),IFERROR(SUM($J36:$J$177),NA()))</f>
        <v>681252.81599999999</v>
      </c>
      <c r="AC36">
        <f t="shared" si="15"/>
        <v>1782229.267</v>
      </c>
      <c r="AD36">
        <f t="shared" si="16"/>
        <v>48.229161416862766</v>
      </c>
      <c r="AE36">
        <f t="shared" si="17"/>
        <v>61.775242466602364</v>
      </c>
    </row>
    <row r="37" spans="1:31" x14ac:dyDescent="0.35">
      <c r="A37">
        <v>1884</v>
      </c>
      <c r="B37">
        <v>923.02300000000002</v>
      </c>
      <c r="C37">
        <v>999.20399999999995</v>
      </c>
      <c r="D37">
        <v>10.558</v>
      </c>
      <c r="E37">
        <v>971.20299999999997</v>
      </c>
      <c r="F37">
        <v>1051.135</v>
      </c>
      <c r="G37">
        <v>5.8209999999999997</v>
      </c>
      <c r="H37">
        <v>923.02300000000002</v>
      </c>
      <c r="I37">
        <v>999.20399999999995</v>
      </c>
      <c r="J37">
        <v>10.558</v>
      </c>
      <c r="N37">
        <f>IF(ISBLANK($B37),NA(),IFERROR(SUM($B37:$B$177),NA()))</f>
        <v>858639.59499999974</v>
      </c>
      <c r="O37">
        <f>IF(ISBLANK($C37),NA(),IFERROR(SUM($C37:$C$177),NA()))</f>
        <v>1099988.2560000001</v>
      </c>
      <c r="P37">
        <f>IF(ISBLANK($D37),NA(),IFERROR(SUM($D37:$D$177),NA()))</f>
        <v>681726.98</v>
      </c>
      <c r="Q37">
        <f t="shared" si="9"/>
        <v>1781715.236</v>
      </c>
      <c r="R37">
        <f t="shared" si="10"/>
        <v>48.191741174513915</v>
      </c>
      <c r="S37">
        <f t="shared" si="11"/>
        <v>61.737601709547263</v>
      </c>
      <c r="T37">
        <f>IF(ISBLANK($E37),NA(),IFERROR(SUM($E37:$E$177),NA()))</f>
        <v>886556.68000000028</v>
      </c>
      <c r="U37">
        <f>IF(ISBLANK($F37),NA(),IFERROR(SUM($F37:$F$177),NA()))</f>
        <v>1140166.4900000002</v>
      </c>
      <c r="V37">
        <f>IF(ISBLANK($G37),NA(),IFERROR(SUM($G37:$G$177),NA()))</f>
        <v>704383.60799999989</v>
      </c>
      <c r="W37">
        <f t="shared" si="12"/>
        <v>1844550.0980000002</v>
      </c>
      <c r="X37">
        <f t="shared" si="13"/>
        <v>48.063572844200415</v>
      </c>
      <c r="Y37">
        <f t="shared" si="14"/>
        <v>61.812714723024023</v>
      </c>
      <c r="Z37">
        <f>IF(ISBLANK($H37),NA(),IFERROR(SUM($H37:$H$177),NA()))</f>
        <v>858639.59400000004</v>
      </c>
      <c r="AA37">
        <f>IF(ISBLANK($I37),NA(),IFERROR(SUM($I37:$I$177),NA()))</f>
        <v>1099988.2590000001</v>
      </c>
      <c r="AB37">
        <f>IF(ISBLANK($J37),NA(),IFERROR(SUM($J37:$J$177),NA()))</f>
        <v>681243.14500000002</v>
      </c>
      <c r="AC37">
        <f t="shared" si="15"/>
        <v>1781231.4040000001</v>
      </c>
      <c r="AD37">
        <f t="shared" si="16"/>
        <v>48.20483133588408</v>
      </c>
      <c r="AE37">
        <f t="shared" si="17"/>
        <v>61.754371528024109</v>
      </c>
    </row>
    <row r="38" spans="1:31" x14ac:dyDescent="0.35">
      <c r="A38">
        <v>1885</v>
      </c>
      <c r="B38">
        <v>926.5</v>
      </c>
      <c r="C38">
        <v>1006.731</v>
      </c>
      <c r="D38">
        <v>10.757999999999999</v>
      </c>
      <c r="E38">
        <v>976.27300000000002</v>
      </c>
      <c r="F38">
        <v>1060.52</v>
      </c>
      <c r="G38">
        <v>5.8410000000000002</v>
      </c>
      <c r="H38">
        <v>926.5</v>
      </c>
      <c r="I38">
        <v>1006.731</v>
      </c>
      <c r="J38">
        <v>10.757999999999999</v>
      </c>
      <c r="N38">
        <f>IF(ISBLANK($B38),NA(),IFERROR(SUM($B38:$B$177),NA()))</f>
        <v>857716.57199999981</v>
      </c>
      <c r="O38">
        <f>IF(ISBLANK($C38),NA(),IFERROR(SUM($C38:$C$177),NA()))</f>
        <v>1098989.0520000001</v>
      </c>
      <c r="P38">
        <f>IF(ISBLANK($D38),NA(),IFERROR(SUM($D38:$D$177),NA()))</f>
        <v>681716.4219999999</v>
      </c>
      <c r="Q38">
        <f t="shared" si="9"/>
        <v>1780705.4739999999</v>
      </c>
      <c r="R38">
        <f t="shared" si="10"/>
        <v>48.167233971225485</v>
      </c>
      <c r="S38">
        <f t="shared" si="11"/>
        <v>61.716497649178351</v>
      </c>
      <c r="T38">
        <f>IF(ISBLANK($E38),NA(),IFERROR(SUM($E38:$E$177),NA()))</f>
        <v>885585.47700000007</v>
      </c>
      <c r="U38">
        <f>IF(ISBLANK($F38),NA(),IFERROR(SUM($F38:$F$177),NA()))</f>
        <v>1139115.3550000002</v>
      </c>
      <c r="V38">
        <f>IF(ISBLANK($G38),NA(),IFERROR(SUM($G38:$G$177),NA()))</f>
        <v>704377.78699999989</v>
      </c>
      <c r="W38">
        <f t="shared" si="12"/>
        <v>1843493.142</v>
      </c>
      <c r="X38">
        <f t="shared" si="13"/>
        <v>48.038447055964156</v>
      </c>
      <c r="Y38">
        <f t="shared" si="14"/>
        <v>61.791136025826354</v>
      </c>
      <c r="Z38">
        <f>IF(ISBLANK($H38),NA(),IFERROR(SUM($H38:$H$177),NA()))</f>
        <v>857716.571</v>
      </c>
      <c r="AA38">
        <f>IF(ISBLANK($I38),NA(),IFERROR(SUM($I38:$I$177),NA()))</f>
        <v>1098989.0550000002</v>
      </c>
      <c r="AB38">
        <f>IF(ISBLANK($J38),NA(),IFERROR(SUM($J38:$J$177),NA()))</f>
        <v>681232.58700000006</v>
      </c>
      <c r="AC38">
        <f t="shared" si="15"/>
        <v>1780221.6420000002</v>
      </c>
      <c r="AD38">
        <f t="shared" si="16"/>
        <v>48.180324896870339</v>
      </c>
      <c r="AE38">
        <f t="shared" si="17"/>
        <v>61.733271243985918</v>
      </c>
    </row>
    <row r="39" spans="1:31" x14ac:dyDescent="0.35">
      <c r="A39">
        <v>1886</v>
      </c>
      <c r="B39">
        <v>939.66600000000005</v>
      </c>
      <c r="C39">
        <v>1022.164</v>
      </c>
      <c r="D39">
        <v>10.823</v>
      </c>
      <c r="E39">
        <v>989.56200000000001</v>
      </c>
      <c r="F39">
        <v>1076.271</v>
      </c>
      <c r="G39">
        <v>6.2690000000000001</v>
      </c>
      <c r="H39">
        <v>939.66600000000005</v>
      </c>
      <c r="I39">
        <v>1022.164</v>
      </c>
      <c r="J39">
        <v>10.823</v>
      </c>
      <c r="N39">
        <f>IF(ISBLANK($B39),NA(),IFERROR(SUM($B39:$B$177),NA()))</f>
        <v>856790.07199999981</v>
      </c>
      <c r="O39">
        <f>IF(ISBLANK($C39),NA(),IFERROR(SUM($C39:$C$177),NA()))</f>
        <v>1097982.3210000002</v>
      </c>
      <c r="P39">
        <f>IF(ISBLANK($D39),NA(),IFERROR(SUM($D39:$D$177),NA()))</f>
        <v>681705.66399999999</v>
      </c>
      <c r="Q39">
        <f t="shared" si="9"/>
        <v>1779687.9850000003</v>
      </c>
      <c r="R39">
        <f t="shared" si="10"/>
        <v>48.142712611503057</v>
      </c>
      <c r="S39">
        <f t="shared" si="11"/>
        <v>61.695214568749257</v>
      </c>
      <c r="T39">
        <f>IF(ISBLANK($E39),NA(),IFERROR(SUM($E39:$E$177),NA()))</f>
        <v>884609.20400000026</v>
      </c>
      <c r="U39">
        <f>IF(ISBLANK($F39),NA(),IFERROR(SUM($F39:$F$177),NA()))</f>
        <v>1138054.8350000002</v>
      </c>
      <c r="V39">
        <f>IF(ISBLANK($G39),NA(),IFERROR(SUM($G39:$G$177),NA()))</f>
        <v>704371.94599999988</v>
      </c>
      <c r="W39">
        <f t="shared" si="12"/>
        <v>1842426.781</v>
      </c>
      <c r="X39">
        <f t="shared" si="13"/>
        <v>48.013262351726546</v>
      </c>
      <c r="Y39">
        <f t="shared" si="14"/>
        <v>61.769338501598789</v>
      </c>
      <c r="Z39">
        <f>IF(ISBLANK($H39),NA(),IFERROR(SUM($H39:$H$177),NA()))</f>
        <v>856790.071</v>
      </c>
      <c r="AA39">
        <f>IF(ISBLANK($I39),NA(),IFERROR(SUM($I39:$I$177),NA()))</f>
        <v>1097982.3240000003</v>
      </c>
      <c r="AB39">
        <f>IF(ISBLANK($J39),NA(),IFERROR(SUM($J39:$J$177),NA()))</f>
        <v>681221.82900000003</v>
      </c>
      <c r="AC39">
        <f t="shared" si="15"/>
        <v>1779204.1530000004</v>
      </c>
      <c r="AD39">
        <f t="shared" si="16"/>
        <v>48.155804355297036</v>
      </c>
      <c r="AE39">
        <f t="shared" si="17"/>
        <v>61.711991968355086</v>
      </c>
    </row>
    <row r="40" spans="1:31" x14ac:dyDescent="0.35">
      <c r="A40">
        <v>1887</v>
      </c>
      <c r="B40">
        <v>986.875</v>
      </c>
      <c r="C40">
        <v>1072.134</v>
      </c>
      <c r="D40">
        <v>12.148999999999999</v>
      </c>
      <c r="E40">
        <v>1038.9390000000001</v>
      </c>
      <c r="F40">
        <v>1128.653</v>
      </c>
      <c r="G40">
        <v>8.0139999999999993</v>
      </c>
      <c r="H40">
        <v>986.875</v>
      </c>
      <c r="I40">
        <v>1072.134</v>
      </c>
      <c r="J40">
        <v>12.148999999999999</v>
      </c>
      <c r="N40">
        <f>IF(ISBLANK($B40),NA(),IFERROR(SUM($B40:$B$177),NA()))</f>
        <v>855850.40599999973</v>
      </c>
      <c r="O40">
        <f>IF(ISBLANK($C40),NA(),IFERROR(SUM($C40:$C$177),NA()))</f>
        <v>1096960.1570000004</v>
      </c>
      <c r="P40">
        <f>IF(ISBLANK($D40),NA(),IFERROR(SUM($D40:$D$177),NA()))</f>
        <v>681694.8409999999</v>
      </c>
      <c r="Q40">
        <f t="shared" si="9"/>
        <v>1778654.9980000001</v>
      </c>
      <c r="R40">
        <f t="shared" si="10"/>
        <v>48.117842243850355</v>
      </c>
      <c r="S40">
        <f t="shared" si="11"/>
        <v>61.673576845058307</v>
      </c>
      <c r="T40">
        <f>IF(ISBLANK($E40),NA(),IFERROR(SUM($E40:$E$177),NA()))</f>
        <v>883619.64200000011</v>
      </c>
      <c r="U40">
        <f>IF(ISBLANK($F40),NA(),IFERROR(SUM($F40:$F$177),NA()))</f>
        <v>1136978.5640000002</v>
      </c>
      <c r="V40">
        <f>IF(ISBLANK($G40),NA(),IFERROR(SUM($G40:$G$177),NA()))</f>
        <v>704365.67700000003</v>
      </c>
      <c r="W40">
        <f t="shared" si="12"/>
        <v>1841344.2410000004</v>
      </c>
      <c r="X40">
        <f t="shared" si="13"/>
        <v>47.987748424494619</v>
      </c>
      <c r="Y40">
        <f t="shared" si="14"/>
        <v>61.747202868624285</v>
      </c>
      <c r="Z40">
        <f>IF(ISBLANK($H40),NA(),IFERROR(SUM($H40:$H$177),NA()))</f>
        <v>855850.40500000003</v>
      </c>
      <c r="AA40">
        <f>IF(ISBLANK($I40),NA(),IFERROR(SUM($I40:$I$177),NA()))</f>
        <v>1096960.1600000004</v>
      </c>
      <c r="AB40">
        <f>IF(ISBLANK($J40),NA(),IFERROR(SUM($J40:$J$177),NA()))</f>
        <v>681211.00600000005</v>
      </c>
      <c r="AC40">
        <f t="shared" si="15"/>
        <v>1778171.1660000004</v>
      </c>
      <c r="AD40">
        <f t="shared" si="16"/>
        <v>48.130934825877155</v>
      </c>
      <c r="AE40">
        <f t="shared" si="17"/>
        <v>61.690358103579776</v>
      </c>
    </row>
    <row r="41" spans="1:31" x14ac:dyDescent="0.35">
      <c r="A41">
        <v>1888</v>
      </c>
      <c r="B41">
        <v>1095.0250000000001</v>
      </c>
      <c r="C41">
        <v>1187.414</v>
      </c>
      <c r="D41">
        <v>13.927</v>
      </c>
      <c r="E41">
        <v>1152.9839999999999</v>
      </c>
      <c r="F41">
        <v>1250.1479999999999</v>
      </c>
      <c r="G41">
        <v>8.3710000000000004</v>
      </c>
      <c r="H41">
        <v>1095.0250000000001</v>
      </c>
      <c r="I41">
        <v>1187.414</v>
      </c>
      <c r="J41">
        <v>13.927</v>
      </c>
      <c r="N41">
        <f>IF(ISBLANK($B41),NA(),IFERROR(SUM($B41:$B$177),NA()))</f>
        <v>854863.53099999973</v>
      </c>
      <c r="O41">
        <f>IF(ISBLANK($C41),NA(),IFERROR(SUM($C41:$C$177),NA()))</f>
        <v>1095888.0230000003</v>
      </c>
      <c r="P41">
        <f>IF(ISBLANK($D41),NA(),IFERROR(SUM($D41:$D$177),NA()))</f>
        <v>681682.69199999992</v>
      </c>
      <c r="Q41">
        <f t="shared" si="9"/>
        <v>1777570.7150000003</v>
      </c>
      <c r="R41">
        <f t="shared" si="10"/>
        <v>48.091674991394065</v>
      </c>
      <c r="S41">
        <f t="shared" si="11"/>
        <v>61.650881945363288</v>
      </c>
      <c r="T41">
        <f>IF(ISBLANK($E41),NA(),IFERROR(SUM($E41:$E$177),NA()))</f>
        <v>882580.7030000001</v>
      </c>
      <c r="U41">
        <f>IF(ISBLANK($F41),NA(),IFERROR(SUM($F41:$F$177),NA()))</f>
        <v>1135849.9110000001</v>
      </c>
      <c r="V41">
        <f>IF(ISBLANK($G41),NA(),IFERROR(SUM($G41:$G$177),NA()))</f>
        <v>704357.66300000006</v>
      </c>
      <c r="W41">
        <f t="shared" si="12"/>
        <v>1840207.574</v>
      </c>
      <c r="X41">
        <f t="shared" si="13"/>
        <v>47.960931987773684</v>
      </c>
      <c r="Y41">
        <f t="shared" si="14"/>
        <v>61.724010217556035</v>
      </c>
      <c r="Z41">
        <f>IF(ISBLANK($H41),NA(),IFERROR(SUM($H41:$H$177),NA()))</f>
        <v>854863.53</v>
      </c>
      <c r="AA41">
        <f>IF(ISBLANK($I41),NA(),IFERROR(SUM($I41:$I$177),NA()))</f>
        <v>1095888.0260000003</v>
      </c>
      <c r="AB41">
        <f>IF(ISBLANK($J41),NA(),IFERROR(SUM($J41:$J$177),NA()))</f>
        <v>681198.85700000008</v>
      </c>
      <c r="AC41">
        <f t="shared" si="15"/>
        <v>1777086.8830000004</v>
      </c>
      <c r="AD41">
        <f t="shared" si="16"/>
        <v>48.104768437481056</v>
      </c>
      <c r="AE41">
        <f t="shared" si="17"/>
        <v>61.66766726396461</v>
      </c>
    </row>
    <row r="42" spans="1:31" x14ac:dyDescent="0.35">
      <c r="A42">
        <v>1889</v>
      </c>
      <c r="B42">
        <v>1086.749</v>
      </c>
      <c r="C42">
        <v>1185.9480000000001</v>
      </c>
      <c r="D42">
        <v>16.149999999999999</v>
      </c>
      <c r="E42">
        <v>1145.8879999999999</v>
      </c>
      <c r="F42">
        <v>1250.171</v>
      </c>
      <c r="G42">
        <v>10.297000000000001</v>
      </c>
      <c r="H42">
        <v>1086.749</v>
      </c>
      <c r="I42">
        <v>1185.9480000000001</v>
      </c>
      <c r="J42">
        <v>16.149999999999999</v>
      </c>
      <c r="N42">
        <f>IF(ISBLANK($B42),NA(),IFERROR(SUM($B42:$B$177),NA()))</f>
        <v>853768.50599999982</v>
      </c>
      <c r="O42">
        <f>IF(ISBLANK($C42),NA(),IFERROR(SUM($C42:$C$177),NA()))</f>
        <v>1094700.6090000004</v>
      </c>
      <c r="P42">
        <f>IF(ISBLANK($D42),NA(),IFERROR(SUM($D42:$D$177),NA()))</f>
        <v>681668.7649999999</v>
      </c>
      <c r="Q42">
        <f t="shared" si="9"/>
        <v>1776369.3740000003</v>
      </c>
      <c r="R42">
        <f t="shared" si="10"/>
        <v>48.062554922206161</v>
      </c>
      <c r="S42">
        <f t="shared" si="11"/>
        <v>61.625730831812916</v>
      </c>
      <c r="T42">
        <f>IF(ISBLANK($E42),NA(),IFERROR(SUM($E42:$E$177),NA()))</f>
        <v>881427.71900000016</v>
      </c>
      <c r="U42">
        <f>IF(ISBLANK($F42),NA(),IFERROR(SUM($F42:$F$177),NA()))</f>
        <v>1134599.763</v>
      </c>
      <c r="V42">
        <f>IF(ISBLANK($G42),NA(),IFERROR(SUM($G42:$G$177),NA()))</f>
        <v>704349.29200000002</v>
      </c>
      <c r="W42">
        <f t="shared" si="12"/>
        <v>1838949.0550000002</v>
      </c>
      <c r="X42">
        <f t="shared" si="13"/>
        <v>47.931056959052086</v>
      </c>
      <c r="Y42">
        <f t="shared" si="14"/>
        <v>61.698270537461951</v>
      </c>
      <c r="Z42">
        <f>IF(ISBLANK($H42),NA(),IFERROR(SUM($H42:$H$177),NA()))</f>
        <v>853768.505</v>
      </c>
      <c r="AA42">
        <f>IF(ISBLANK($I42),NA(),IFERROR(SUM($I42:$I$177),NA()))</f>
        <v>1094700.6120000002</v>
      </c>
      <c r="AB42">
        <f>IF(ISBLANK($J42),NA(),IFERROR(SUM($J42:$J$177),NA()))</f>
        <v>681184.93</v>
      </c>
      <c r="AC42">
        <f t="shared" si="15"/>
        <v>1775885.5420000004</v>
      </c>
      <c r="AD42">
        <f t="shared" si="16"/>
        <v>48.07564929204203</v>
      </c>
      <c r="AE42">
        <f t="shared" si="17"/>
        <v>61.642520652944199</v>
      </c>
    </row>
    <row r="43" spans="1:31" x14ac:dyDescent="0.35">
      <c r="A43">
        <v>1890</v>
      </c>
      <c r="B43">
        <v>1184.876</v>
      </c>
      <c r="C43">
        <v>1291.0530000000001</v>
      </c>
      <c r="D43">
        <v>16.202000000000002</v>
      </c>
      <c r="E43">
        <v>1249.345</v>
      </c>
      <c r="F43">
        <v>1361.0319999999999</v>
      </c>
      <c r="G43">
        <v>11.061</v>
      </c>
      <c r="H43">
        <v>1184.876</v>
      </c>
      <c r="I43">
        <v>1291.0530000000001</v>
      </c>
      <c r="J43">
        <v>16.202000000000002</v>
      </c>
      <c r="N43">
        <f>IF(ISBLANK($B43),NA(),IFERROR(SUM($B43:$B$177),NA()))</f>
        <v>852681.75699999975</v>
      </c>
      <c r="O43">
        <f>IF(ISBLANK($C43),NA(),IFERROR(SUM($C43:$C$177),NA()))</f>
        <v>1093514.6610000003</v>
      </c>
      <c r="P43">
        <f>IF(ISBLANK($D43),NA(),IFERROR(SUM($D43:$D$177),NA()))</f>
        <v>681652.61499999999</v>
      </c>
      <c r="Q43">
        <f t="shared" si="9"/>
        <v>1775167.2760000003</v>
      </c>
      <c r="R43">
        <f t="shared" si="10"/>
        <v>48.033882132018277</v>
      </c>
      <c r="S43">
        <f t="shared" si="11"/>
        <v>61.60065452896508</v>
      </c>
      <c r="T43">
        <f>IF(ISBLANK($E43),NA(),IFERROR(SUM($E43:$E$177),NA()))</f>
        <v>880281.83100000035</v>
      </c>
      <c r="U43">
        <f>IF(ISBLANK($F43),NA(),IFERROR(SUM($F43:$F$177),NA()))</f>
        <v>1133349.5920000002</v>
      </c>
      <c r="V43">
        <f>IF(ISBLANK($G43),NA(),IFERROR(SUM($G43:$G$177),NA()))</f>
        <v>704338.995</v>
      </c>
      <c r="W43">
        <f t="shared" si="12"/>
        <v>1837688.5870000003</v>
      </c>
      <c r="X43">
        <f t="shared" si="13"/>
        <v>47.901577951085152</v>
      </c>
      <c r="Y43">
        <f t="shared" si="14"/>
        <v>61.672559758896739</v>
      </c>
      <c r="Z43">
        <f>IF(ISBLANK($H43),NA(),IFERROR(SUM($H43:$H$177),NA()))</f>
        <v>852681.75600000005</v>
      </c>
      <c r="AA43">
        <f>IF(ISBLANK($I43),NA(),IFERROR(SUM($I43:$I$177),NA()))</f>
        <v>1093514.6640000003</v>
      </c>
      <c r="AB43">
        <f>IF(ISBLANK($J43),NA(),IFERROR(SUM($J43:$J$177),NA()))</f>
        <v>681168.78</v>
      </c>
      <c r="AC43">
        <f t="shared" si="15"/>
        <v>1774683.4440000004</v>
      </c>
      <c r="AD43">
        <f t="shared" si="16"/>
        <v>48.046977554381236</v>
      </c>
      <c r="AE43">
        <f t="shared" si="17"/>
        <v>61.617448886281501</v>
      </c>
    </row>
    <row r="44" spans="1:31" x14ac:dyDescent="0.35">
      <c r="A44">
        <v>1891</v>
      </c>
      <c r="B44">
        <v>1237.6759999999999</v>
      </c>
      <c r="C44">
        <v>1351.5840000000001</v>
      </c>
      <c r="D44">
        <v>18.015000000000001</v>
      </c>
      <c r="E44">
        <v>1305.3869999999999</v>
      </c>
      <c r="F44">
        <v>1425.2080000000001</v>
      </c>
      <c r="G44">
        <v>12.18</v>
      </c>
      <c r="H44">
        <v>1237.6759999999999</v>
      </c>
      <c r="I44">
        <v>1351.5840000000001</v>
      </c>
      <c r="J44">
        <v>18.015000000000001</v>
      </c>
      <c r="N44">
        <f>IF(ISBLANK($B44),NA(),IFERROR(SUM($B44:$B$177),NA()))</f>
        <v>851496.88099999982</v>
      </c>
      <c r="O44">
        <f>IF(ISBLANK($C44),NA(),IFERROR(SUM($C44:$C$177),NA()))</f>
        <v>1092223.6080000002</v>
      </c>
      <c r="P44">
        <f>IF(ISBLANK($D44),NA(),IFERROR(SUM($D44:$D$177),NA()))</f>
        <v>681636.41299999994</v>
      </c>
      <c r="Q44">
        <f t="shared" si="9"/>
        <v>1773860.0210000002</v>
      </c>
      <c r="R44">
        <f t="shared" si="10"/>
        <v>48.002484464358972</v>
      </c>
      <c r="S44">
        <f t="shared" si="11"/>
        <v>61.573269314918512</v>
      </c>
      <c r="T44">
        <f>IF(ISBLANK($E44),NA(),IFERROR(SUM($E44:$E$177),NA()))</f>
        <v>879032.48600000038</v>
      </c>
      <c r="U44">
        <f>IF(ISBLANK($F44),NA(),IFERROR(SUM($F44:$F$177),NA()))</f>
        <v>1131988.56</v>
      </c>
      <c r="V44">
        <f>IF(ISBLANK($G44),NA(),IFERROR(SUM($G44:$G$177),NA()))</f>
        <v>704327.93400000001</v>
      </c>
      <c r="W44">
        <f t="shared" si="12"/>
        <v>1836316.4939999999</v>
      </c>
      <c r="X44">
        <f t="shared" si="13"/>
        <v>47.869334554917984</v>
      </c>
      <c r="Y44">
        <f t="shared" si="14"/>
        <v>61.644523898721793</v>
      </c>
      <c r="Z44">
        <f>IF(ISBLANK($H44),NA(),IFERROR(SUM($H44:$H$177),NA()))</f>
        <v>851496.88</v>
      </c>
      <c r="AA44">
        <f>IF(ISBLANK($I44),NA(),IFERROR(SUM($I44:$I$177),NA()))</f>
        <v>1092223.6110000003</v>
      </c>
      <c r="AB44">
        <f>IF(ISBLANK($J44),NA(),IFERROR(SUM($J44:$J$177),NA()))</f>
        <v>681152.5780000001</v>
      </c>
      <c r="AC44">
        <f t="shared" si="15"/>
        <v>1773376.1890000002</v>
      </c>
      <c r="AD44">
        <f t="shared" si="16"/>
        <v>48.015580973834751</v>
      </c>
      <c r="AE44">
        <f t="shared" si="17"/>
        <v>61.590068580761802</v>
      </c>
    </row>
    <row r="45" spans="1:31" x14ac:dyDescent="0.35">
      <c r="A45">
        <v>1892</v>
      </c>
      <c r="B45">
        <v>1246.539</v>
      </c>
      <c r="C45">
        <v>1360.43</v>
      </c>
      <c r="D45">
        <v>20.106000000000002</v>
      </c>
      <c r="E45">
        <v>1314.8620000000001</v>
      </c>
      <c r="F45">
        <v>1434.749</v>
      </c>
      <c r="G45">
        <v>14.156000000000001</v>
      </c>
      <c r="H45">
        <v>1246.539</v>
      </c>
      <c r="I45">
        <v>1360.43</v>
      </c>
      <c r="J45">
        <v>20.106000000000002</v>
      </c>
      <c r="N45">
        <f>IF(ISBLANK($B45),NA(),IFERROR(SUM($B45:$B$177),NA()))</f>
        <v>850259.20499999973</v>
      </c>
      <c r="O45">
        <f>IF(ISBLANK($C45),NA(),IFERROR(SUM($C45:$C$177),NA()))</f>
        <v>1090872.0240000004</v>
      </c>
      <c r="P45">
        <f>IF(ISBLANK($D45),NA(),IFERROR(SUM($D45:$D$177),NA()))</f>
        <v>681618.39799999993</v>
      </c>
      <c r="Q45">
        <f t="shared" si="9"/>
        <v>1772490.4220000003</v>
      </c>
      <c r="R45">
        <f t="shared" si="10"/>
        <v>47.96974891636394</v>
      </c>
      <c r="S45">
        <f t="shared" si="11"/>
        <v>61.544593440968129</v>
      </c>
      <c r="T45">
        <f>IF(ISBLANK($E45),NA(),IFERROR(SUM($E45:$E$177),NA()))</f>
        <v>877727.09900000028</v>
      </c>
      <c r="U45">
        <f>IF(ISBLANK($F45),NA(),IFERROR(SUM($F45:$F$177),NA()))</f>
        <v>1130563.3520000002</v>
      </c>
      <c r="V45">
        <f>IF(ISBLANK($G45),NA(),IFERROR(SUM($G45:$G$177),NA()))</f>
        <v>704315.75399999984</v>
      </c>
      <c r="W45">
        <f t="shared" si="12"/>
        <v>1834879.1060000001</v>
      </c>
      <c r="X45">
        <f t="shared" si="13"/>
        <v>47.83569097985032</v>
      </c>
      <c r="Y45">
        <f t="shared" si="14"/>
        <v>61.615141199389733</v>
      </c>
      <c r="Z45">
        <f>IF(ISBLANK($H45),NA(),IFERROR(SUM($H45:$H$177),NA()))</f>
        <v>850259.20400000003</v>
      </c>
      <c r="AA45">
        <f>IF(ISBLANK($I45),NA(),IFERROR(SUM($I45:$I$177),NA()))</f>
        <v>1090872.0270000002</v>
      </c>
      <c r="AB45">
        <f>IF(ISBLANK($J45),NA(),IFERROR(SUM($J45:$J$177),NA()))</f>
        <v>681134.56300000008</v>
      </c>
      <c r="AC45">
        <f t="shared" si="15"/>
        <v>1772006.5900000003</v>
      </c>
      <c r="AD45">
        <f t="shared" si="16"/>
        <v>47.982846610068187</v>
      </c>
      <c r="AE45">
        <f t="shared" si="17"/>
        <v>61.561397861392834</v>
      </c>
    </row>
    <row r="46" spans="1:31" x14ac:dyDescent="0.35">
      <c r="A46">
        <v>1893</v>
      </c>
      <c r="B46">
        <v>1218.2840000000001</v>
      </c>
      <c r="C46">
        <v>1340.2850000000001</v>
      </c>
      <c r="D46">
        <v>22.895</v>
      </c>
      <c r="E46">
        <v>1287.6969999999999</v>
      </c>
      <c r="F46">
        <v>1416.162</v>
      </c>
      <c r="G46">
        <v>17.506</v>
      </c>
      <c r="H46">
        <v>1218.2840000000001</v>
      </c>
      <c r="I46">
        <v>1340.2850000000001</v>
      </c>
      <c r="J46">
        <v>22.895</v>
      </c>
      <c r="N46">
        <f>IF(ISBLANK($B46),NA(),IFERROR(SUM($B46:$B$177),NA()))</f>
        <v>849012.66599999974</v>
      </c>
      <c r="O46">
        <f>IF(ISBLANK($C46),NA(),IFERROR(SUM($C46:$C$177),NA()))</f>
        <v>1089511.5940000003</v>
      </c>
      <c r="P46">
        <f>IF(ISBLANK($D46),NA(),IFERROR(SUM($D46:$D$177),NA()))</f>
        <v>681598.2919999999</v>
      </c>
      <c r="Q46">
        <f t="shared" si="9"/>
        <v>1771109.8860000002</v>
      </c>
      <c r="R46">
        <f t="shared" si="10"/>
        <v>47.936758340696187</v>
      </c>
      <c r="S46">
        <f t="shared" si="11"/>
        <v>61.515753630658701</v>
      </c>
      <c r="T46">
        <f>IF(ISBLANK($E46),NA(),IFERROR(SUM($E46:$E$177),NA()))</f>
        <v>876412.23700000031</v>
      </c>
      <c r="U46">
        <f>IF(ISBLANK($F46),NA(),IFERROR(SUM($F46:$F$177),NA()))</f>
        <v>1129128.6030000001</v>
      </c>
      <c r="V46">
        <f>IF(ISBLANK($G46),NA(),IFERROR(SUM($G46:$G$177),NA()))</f>
        <v>704301.59799999988</v>
      </c>
      <c r="W46">
        <f t="shared" si="12"/>
        <v>1833430.2009999999</v>
      </c>
      <c r="X46">
        <f t="shared" si="13"/>
        <v>47.801778138157786</v>
      </c>
      <c r="Y46">
        <f t="shared" si="14"/>
        <v>61.585578899275482</v>
      </c>
      <c r="Z46">
        <f>IF(ISBLANK($H46),NA(),IFERROR(SUM($H46:$H$177),NA()))</f>
        <v>849012.66499999992</v>
      </c>
      <c r="AA46">
        <f>IF(ISBLANK($I46),NA(),IFERROR(SUM($I46:$I$177),NA()))</f>
        <v>1089511.5970000003</v>
      </c>
      <c r="AB46">
        <f>IF(ISBLANK($J46),NA(),IFERROR(SUM($J46:$J$177),NA()))</f>
        <v>681114.45700000005</v>
      </c>
      <c r="AC46">
        <f t="shared" si="15"/>
        <v>1770626.0540000005</v>
      </c>
      <c r="AD46">
        <f t="shared" si="16"/>
        <v>47.949857231683978</v>
      </c>
      <c r="AE46">
        <f t="shared" si="17"/>
        <v>61.532563272673947</v>
      </c>
    </row>
    <row r="47" spans="1:31" x14ac:dyDescent="0.35">
      <c r="A47">
        <v>1894</v>
      </c>
      <c r="B47">
        <v>1262.067</v>
      </c>
      <c r="C47">
        <v>1386.73</v>
      </c>
      <c r="D47">
        <v>25.497</v>
      </c>
      <c r="E47">
        <v>1334.7560000000001</v>
      </c>
      <c r="F47">
        <v>1465.9570000000001</v>
      </c>
      <c r="G47">
        <v>18.850999999999999</v>
      </c>
      <c r="H47">
        <v>1262.067</v>
      </c>
      <c r="I47">
        <v>1386.73</v>
      </c>
      <c r="J47">
        <v>25.497</v>
      </c>
      <c r="N47">
        <f>IF(ISBLANK($B47),NA(),IFERROR(SUM($B47:$B$177),NA()))</f>
        <v>847794.38199999975</v>
      </c>
      <c r="O47">
        <f>IF(ISBLANK($C47),NA(),IFERROR(SUM($C47:$C$177),NA()))</f>
        <v>1088171.3090000004</v>
      </c>
      <c r="P47">
        <f>IF(ISBLANK($D47),NA(),IFERROR(SUM($D47:$D$177),NA()))</f>
        <v>681575.397</v>
      </c>
      <c r="Q47">
        <f t="shared" si="9"/>
        <v>1769746.7060000002</v>
      </c>
      <c r="R47">
        <f t="shared" si="10"/>
        <v>47.904843056111304</v>
      </c>
      <c r="S47">
        <f t="shared" si="11"/>
        <v>61.48740411894854</v>
      </c>
      <c r="T47">
        <f>IF(ISBLANK($E47),NA(),IFERROR(SUM($E47:$E$177),NA()))</f>
        <v>875124.54000000039</v>
      </c>
      <c r="U47">
        <f>IF(ISBLANK($F47),NA(),IFERROR(SUM($F47:$F$177),NA()))</f>
        <v>1127712.4410000001</v>
      </c>
      <c r="V47">
        <f>IF(ISBLANK($G47),NA(),IFERROR(SUM($G47:$G$177),NA()))</f>
        <v>704284.09199999983</v>
      </c>
      <c r="W47">
        <f t="shared" si="12"/>
        <v>1831996.5329999998</v>
      </c>
      <c r="X47">
        <f t="shared" si="13"/>
        <v>47.768897169632382</v>
      </c>
      <c r="Y47">
        <f t="shared" si="14"/>
        <v>61.55647244338973</v>
      </c>
      <c r="Z47">
        <f>IF(ISBLANK($H47),NA(),IFERROR(SUM($H47:$H$177),NA()))</f>
        <v>847794.38099999994</v>
      </c>
      <c r="AA47">
        <f>IF(ISBLANK($I47),NA(),IFERROR(SUM($I47:$I$177),NA()))</f>
        <v>1088171.3120000004</v>
      </c>
      <c r="AB47">
        <f>IF(ISBLANK($J47),NA(),IFERROR(SUM($J47:$J$177),NA()))</f>
        <v>681091.56200000003</v>
      </c>
      <c r="AC47">
        <f t="shared" si="15"/>
        <v>1769262.8740000003</v>
      </c>
      <c r="AD47">
        <f t="shared" si="16"/>
        <v>47.917943311797536</v>
      </c>
      <c r="AE47">
        <f t="shared" si="17"/>
        <v>61.504218959833338</v>
      </c>
    </row>
    <row r="48" spans="1:31" x14ac:dyDescent="0.35">
      <c r="A48">
        <v>1895</v>
      </c>
      <c r="B48">
        <v>1332.797</v>
      </c>
      <c r="C48">
        <v>1467.0889999999999</v>
      </c>
      <c r="D48">
        <v>28.875</v>
      </c>
      <c r="E48">
        <v>1409.4449999999999</v>
      </c>
      <c r="F48">
        <v>1550.9269999999999</v>
      </c>
      <c r="G48">
        <v>23.312999999999999</v>
      </c>
      <c r="H48">
        <v>1332.797</v>
      </c>
      <c r="I48">
        <v>1467.0889999999999</v>
      </c>
      <c r="J48">
        <v>28.875</v>
      </c>
      <c r="N48">
        <f>IF(ISBLANK($B48),NA(),IFERROR(SUM($B48:$B$177),NA()))</f>
        <v>846532.31499999971</v>
      </c>
      <c r="O48">
        <f>IF(ISBLANK($C48),NA(),IFERROR(SUM($C48:$C$177),NA()))</f>
        <v>1086784.5790000004</v>
      </c>
      <c r="P48">
        <f>IF(ISBLANK($D48),NA(),IFERROR(SUM($D48:$D$177),NA()))</f>
        <v>681549.89999999991</v>
      </c>
      <c r="Q48">
        <f t="shared" si="9"/>
        <v>1768334.4790000003</v>
      </c>
      <c r="R48">
        <f t="shared" si="10"/>
        <v>47.871730436354824</v>
      </c>
      <c r="S48">
        <f t="shared" si="11"/>
        <v>61.458089060989252</v>
      </c>
      <c r="T48">
        <f>IF(ISBLANK($E48),NA(),IFERROR(SUM($E48:$E$177),NA()))</f>
        <v>873789.78400000033</v>
      </c>
      <c r="U48">
        <f>IF(ISBLANK($F48),NA(),IFERROR(SUM($F48:$F$177),NA()))</f>
        <v>1126246.4839999999</v>
      </c>
      <c r="V48">
        <f>IF(ISBLANK($G48),NA(),IFERROR(SUM($G48:$G$177),NA()))</f>
        <v>704265.24100000004</v>
      </c>
      <c r="W48">
        <f t="shared" si="12"/>
        <v>1830511.7250000001</v>
      </c>
      <c r="X48">
        <f t="shared" si="13"/>
        <v>47.734727511783639</v>
      </c>
      <c r="Y48">
        <f t="shared" si="14"/>
        <v>61.526319040649682</v>
      </c>
      <c r="Z48">
        <f>IF(ISBLANK($H48),NA(),IFERROR(SUM($H48:$H$177),NA()))</f>
        <v>846532.31400000001</v>
      </c>
      <c r="AA48">
        <f>IF(ISBLANK($I48),NA(),IFERROR(SUM($I48:$I$177),NA()))</f>
        <v>1086784.5820000004</v>
      </c>
      <c r="AB48">
        <f>IF(ISBLANK($J48),NA(),IFERROR(SUM($J48:$J$177),NA()))</f>
        <v>681066.06500000006</v>
      </c>
      <c r="AC48">
        <f t="shared" si="15"/>
        <v>1767850.6470000003</v>
      </c>
      <c r="AD48">
        <f t="shared" si="16"/>
        <v>47.884832094642434</v>
      </c>
      <c r="AE48">
        <f t="shared" si="17"/>
        <v>61.474909311159706</v>
      </c>
    </row>
    <row r="49" spans="1:31" x14ac:dyDescent="0.35">
      <c r="A49">
        <v>1896</v>
      </c>
      <c r="B49">
        <v>1373.6990000000001</v>
      </c>
      <c r="C49">
        <v>1514.0260000000001</v>
      </c>
      <c r="D49">
        <v>31.425000000000001</v>
      </c>
      <c r="E49">
        <v>1452.633</v>
      </c>
      <c r="F49">
        <v>1600.403</v>
      </c>
      <c r="G49">
        <v>25.541</v>
      </c>
      <c r="H49">
        <v>1373.6990000000001</v>
      </c>
      <c r="I49">
        <v>1514.0260000000001</v>
      </c>
      <c r="J49">
        <v>31.425000000000001</v>
      </c>
      <c r="N49">
        <f>IF(ISBLANK($B49),NA(),IFERROR(SUM($B49:$B$177),NA()))</f>
        <v>845199.51799999969</v>
      </c>
      <c r="O49">
        <f>IF(ISBLANK($C49),NA(),IFERROR(SUM($C49:$C$177),NA()))</f>
        <v>1085317.49</v>
      </c>
      <c r="P49">
        <f>IF(ISBLANK($D49),NA(),IFERROR(SUM($D49:$D$177),NA()))</f>
        <v>681521.02499999991</v>
      </c>
      <c r="Q49">
        <f t="shared" si="9"/>
        <v>1766838.5149999999</v>
      </c>
      <c r="R49">
        <f t="shared" si="10"/>
        <v>47.836828936231321</v>
      </c>
      <c r="S49">
        <f t="shared" si="11"/>
        <v>61.427090296364753</v>
      </c>
      <c r="T49">
        <f>IF(ISBLANK($E49),NA(),IFERROR(SUM($E49:$E$177),NA()))</f>
        <v>872380.33900000027</v>
      </c>
      <c r="U49">
        <f>IF(ISBLANK($F49),NA(),IFERROR(SUM($F49:$F$177),NA()))</f>
        <v>1124695.557</v>
      </c>
      <c r="V49">
        <f>IF(ISBLANK($G49),NA(),IFERROR(SUM($G49:$G$177),NA()))</f>
        <v>704241.92799999996</v>
      </c>
      <c r="W49">
        <f t="shared" si="12"/>
        <v>1828937.4849999999</v>
      </c>
      <c r="X49">
        <f t="shared" si="13"/>
        <v>47.69875111395622</v>
      </c>
      <c r="Y49">
        <f t="shared" si="14"/>
        <v>61.494477871669851</v>
      </c>
      <c r="Z49">
        <f>IF(ISBLANK($H49),NA(),IFERROR(SUM($H49:$H$177),NA()))</f>
        <v>845199.51699999988</v>
      </c>
      <c r="AA49">
        <f>IF(ISBLANK($I49),NA(),IFERROR(SUM($I49:$I$177),NA()))</f>
        <v>1085317.493</v>
      </c>
      <c r="AB49">
        <f>IF(ISBLANK($J49),NA(),IFERROR(SUM($J49:$J$177),NA()))</f>
        <v>681037.19000000006</v>
      </c>
      <c r="AC49">
        <f t="shared" si="15"/>
        <v>1766354.6830000002</v>
      </c>
      <c r="AD49">
        <f t="shared" si="16"/>
        <v>47.849932130533482</v>
      </c>
      <c r="AE49">
        <f t="shared" si="17"/>
        <v>61.443916300925615</v>
      </c>
    </row>
    <row r="50" spans="1:31" x14ac:dyDescent="0.35">
      <c r="A50">
        <v>1897</v>
      </c>
      <c r="B50">
        <v>1433.442</v>
      </c>
      <c r="C50">
        <v>1584.5440000000001</v>
      </c>
      <c r="D50">
        <v>33.860999999999997</v>
      </c>
      <c r="E50">
        <v>1517.1020000000001</v>
      </c>
      <c r="F50">
        <v>1676.373</v>
      </c>
      <c r="G50">
        <v>28.189</v>
      </c>
      <c r="H50">
        <v>1433.442</v>
      </c>
      <c r="I50">
        <v>1584.5440000000001</v>
      </c>
      <c r="J50">
        <v>33.860999999999997</v>
      </c>
      <c r="N50">
        <f>IF(ISBLANK($B50),NA(),IFERROR(SUM($B50:$B$177),NA()))</f>
        <v>843825.81899999967</v>
      </c>
      <c r="O50">
        <f>IF(ISBLANK($C50),NA(),IFERROR(SUM($C50:$C$177),NA()))</f>
        <v>1083803.4640000002</v>
      </c>
      <c r="P50">
        <f>IF(ISBLANK($D50),NA(),IFERROR(SUM($D50:$D$177),NA()))</f>
        <v>681489.6</v>
      </c>
      <c r="Q50">
        <f t="shared" si="9"/>
        <v>1765293.0640000002</v>
      </c>
      <c r="R50">
        <f t="shared" si="10"/>
        <v>47.800891319878858</v>
      </c>
      <c r="S50">
        <f t="shared" si="11"/>
        <v>61.395101249885151</v>
      </c>
      <c r="T50">
        <f>IF(ISBLANK($E50),NA(),IFERROR(SUM($E50:$E$177),NA()))</f>
        <v>870927.70600000035</v>
      </c>
      <c r="U50">
        <f>IF(ISBLANK($F50),NA(),IFERROR(SUM($F50:$F$177),NA()))</f>
        <v>1123095.1540000001</v>
      </c>
      <c r="V50">
        <f>IF(ISBLANK($G50),NA(),IFERROR(SUM($G50:$G$177),NA()))</f>
        <v>704216.38699999999</v>
      </c>
      <c r="W50">
        <f t="shared" si="12"/>
        <v>1827311.5410000002</v>
      </c>
      <c r="X50">
        <f t="shared" si="13"/>
        <v>47.661697880120826</v>
      </c>
      <c r="Y50">
        <f t="shared" si="14"/>
        <v>61.461613348393996</v>
      </c>
      <c r="Z50">
        <f>IF(ISBLANK($H50),NA(),IFERROR(SUM($H50:$H$177),NA()))</f>
        <v>843825.81799999997</v>
      </c>
      <c r="AA50">
        <f>IF(ISBLANK($I50),NA(),IFERROR(SUM($I50:$I$177),NA()))</f>
        <v>1083803.4670000002</v>
      </c>
      <c r="AB50">
        <f>IF(ISBLANK($J50),NA(),IFERROR(SUM($J50:$J$177),NA()))</f>
        <v>681005.76500000001</v>
      </c>
      <c r="AC50">
        <f t="shared" si="15"/>
        <v>1764809.2320000003</v>
      </c>
      <c r="AD50">
        <f t="shared" si="16"/>
        <v>47.813996136212403</v>
      </c>
      <c r="AE50">
        <f t="shared" si="17"/>
        <v>61.411933219080069</v>
      </c>
    </row>
    <row r="51" spans="1:31" x14ac:dyDescent="0.35">
      <c r="A51">
        <v>1898</v>
      </c>
      <c r="B51">
        <v>1504.634</v>
      </c>
      <c r="C51">
        <v>1668.5640000000001</v>
      </c>
      <c r="D51">
        <v>38.402000000000001</v>
      </c>
      <c r="E51">
        <v>1592.796</v>
      </c>
      <c r="F51">
        <v>1765.415</v>
      </c>
      <c r="G51">
        <v>32.625999999999998</v>
      </c>
      <c r="H51">
        <v>1504.634</v>
      </c>
      <c r="I51">
        <v>1668.5640000000001</v>
      </c>
      <c r="J51">
        <v>38.402000000000001</v>
      </c>
      <c r="N51">
        <f>IF(ISBLANK($B51),NA(),IFERROR(SUM($B51:$B$177),NA()))</f>
        <v>842392.37699999975</v>
      </c>
      <c r="O51">
        <f>IF(ISBLANK($C51),NA(),IFERROR(SUM($C51:$C$177),NA()))</f>
        <v>1082218.9200000002</v>
      </c>
      <c r="P51">
        <f>IF(ISBLANK($D51),NA(),IFERROR(SUM($D51:$D$177),NA()))</f>
        <v>681455.73899999994</v>
      </c>
      <c r="Q51">
        <f t="shared" si="9"/>
        <v>1763674.659</v>
      </c>
      <c r="R51">
        <f t="shared" si="10"/>
        <v>47.763479091865761</v>
      </c>
      <c r="S51">
        <f t="shared" si="11"/>
        <v>61.361596056135213</v>
      </c>
      <c r="T51">
        <f>IF(ISBLANK($E51),NA(),IFERROR(SUM($E51:$E$177),NA()))</f>
        <v>869410.60400000017</v>
      </c>
      <c r="U51">
        <f>IF(ISBLANK($F51),NA(),IFERROR(SUM($F51:$F$177),NA()))</f>
        <v>1121418.781</v>
      </c>
      <c r="V51">
        <f>IF(ISBLANK($G51),NA(),IFERROR(SUM($G51:$G$177),NA()))</f>
        <v>704188.19799999997</v>
      </c>
      <c r="W51">
        <f t="shared" si="12"/>
        <v>1825606.9789999998</v>
      </c>
      <c r="X51">
        <f t="shared" si="13"/>
        <v>47.623098180542186</v>
      </c>
      <c r="Y51">
        <f t="shared" si="14"/>
        <v>61.427174298724019</v>
      </c>
      <c r="Z51">
        <f>IF(ISBLANK($H51),NA(),IFERROR(SUM($H51:$H$177),NA()))</f>
        <v>842392.37599999993</v>
      </c>
      <c r="AA51">
        <f>IF(ISBLANK($I51),NA(),IFERROR(SUM($I51:$I$177),NA()))</f>
        <v>1082218.9230000002</v>
      </c>
      <c r="AB51">
        <f>IF(ISBLANK($J51),NA(),IFERROR(SUM($J51:$J$177),NA()))</f>
        <v>680971.9040000001</v>
      </c>
      <c r="AC51">
        <f t="shared" si="15"/>
        <v>1763190.8270000003</v>
      </c>
      <c r="AD51">
        <f t="shared" si="16"/>
        <v>47.776585670723875</v>
      </c>
      <c r="AE51">
        <f t="shared" si="17"/>
        <v>61.378434281067186</v>
      </c>
    </row>
    <row r="52" spans="1:31" x14ac:dyDescent="0.35">
      <c r="A52">
        <v>1899</v>
      </c>
      <c r="B52">
        <v>1648.3879999999999</v>
      </c>
      <c r="C52">
        <v>1823.2270000000001</v>
      </c>
      <c r="D52">
        <v>41.197000000000003</v>
      </c>
      <c r="E52">
        <v>1746.1959999999999</v>
      </c>
      <c r="F52">
        <v>1930.45</v>
      </c>
      <c r="G52">
        <v>35.130000000000003</v>
      </c>
      <c r="H52">
        <v>1648.3879999999999</v>
      </c>
      <c r="I52">
        <v>1823.2270000000001</v>
      </c>
      <c r="J52">
        <v>41.197000000000003</v>
      </c>
      <c r="N52">
        <f>IF(ISBLANK($B52),NA(),IFERROR(SUM($B52:$B$177),NA()))</f>
        <v>840887.74299999967</v>
      </c>
      <c r="O52">
        <f>IF(ISBLANK($C52),NA(),IFERROR(SUM($C52:$C$177),NA()))</f>
        <v>1080550.3560000001</v>
      </c>
      <c r="P52">
        <f>IF(ISBLANK($D52),NA(),IFERROR(SUM($D52:$D$177),NA()))</f>
        <v>681417.33699999994</v>
      </c>
      <c r="Q52">
        <f t="shared" si="9"/>
        <v>1761967.693</v>
      </c>
      <c r="R52">
        <f t="shared" si="10"/>
        <v>47.724356487392171</v>
      </c>
      <c r="S52">
        <f t="shared" si="11"/>
        <v>61.326343286136535</v>
      </c>
      <c r="T52">
        <f>IF(ISBLANK($E52),NA(),IFERROR(SUM($E52:$E$177),NA()))</f>
        <v>867817.80800000031</v>
      </c>
      <c r="U52">
        <f>IF(ISBLANK($F52),NA(),IFERROR(SUM($F52:$F$177),NA()))</f>
        <v>1119653.3659999999</v>
      </c>
      <c r="V52">
        <f>IF(ISBLANK($G52),NA(),IFERROR(SUM($G52:$G$177),NA()))</f>
        <v>704155.57200000004</v>
      </c>
      <c r="W52">
        <f t="shared" si="12"/>
        <v>1823808.9380000001</v>
      </c>
      <c r="X52">
        <f t="shared" si="13"/>
        <v>47.582714938970227</v>
      </c>
      <c r="Y52">
        <f t="shared" si="14"/>
        <v>61.390935348075359</v>
      </c>
      <c r="Z52">
        <f>IF(ISBLANK($H52),NA(),IFERROR(SUM($H52:$H$177),NA()))</f>
        <v>840887.74199999997</v>
      </c>
      <c r="AA52">
        <f>IF(ISBLANK($I52),NA(),IFERROR(SUM($I52:$I$177),NA()))</f>
        <v>1080550.3590000002</v>
      </c>
      <c r="AB52">
        <f>IF(ISBLANK($J52),NA(),IFERROR(SUM($J52:$J$177),NA()))</f>
        <v>680933.50200000009</v>
      </c>
      <c r="AC52">
        <f t="shared" si="15"/>
        <v>1761483.8610000003</v>
      </c>
      <c r="AD52">
        <f t="shared" si="16"/>
        <v>47.737465021259133</v>
      </c>
      <c r="AE52">
        <f t="shared" si="17"/>
        <v>61.343188145168028</v>
      </c>
    </row>
    <row r="53" spans="1:31" x14ac:dyDescent="0.35">
      <c r="A53">
        <v>1900</v>
      </c>
      <c r="B53">
        <v>1737.3140000000001</v>
      </c>
      <c r="C53">
        <v>1922.241</v>
      </c>
      <c r="D53">
        <v>40.643000000000001</v>
      </c>
      <c r="E53">
        <v>1844.5119999999999</v>
      </c>
      <c r="F53">
        <v>2039.3330000000001</v>
      </c>
      <c r="G53">
        <v>34.926000000000002</v>
      </c>
      <c r="H53">
        <v>1737.3140000000001</v>
      </c>
      <c r="I53">
        <v>1922.241</v>
      </c>
      <c r="J53">
        <v>40.643000000000001</v>
      </c>
      <c r="N53">
        <f>IF(ISBLANK($B53),NA(),IFERROR(SUM($B53:$B$177),NA()))</f>
        <v>839239.35499999975</v>
      </c>
      <c r="O53">
        <f>IF(ISBLANK($C53),NA(),IFERROR(SUM($C53:$C$177),NA()))</f>
        <v>1078727.1290000002</v>
      </c>
      <c r="P53">
        <f>IF(ISBLANK($D53),NA(),IFERROR(SUM($D53:$D$177),NA()))</f>
        <v>681376.1399999999</v>
      </c>
      <c r="Q53">
        <f t="shared" si="9"/>
        <v>1760103.2690000001</v>
      </c>
      <c r="R53">
        <f t="shared" si="10"/>
        <v>47.681256536544716</v>
      </c>
      <c r="S53">
        <f t="shared" si="11"/>
        <v>61.28771805604778</v>
      </c>
      <c r="T53">
        <f>IF(ISBLANK($E53),NA(),IFERROR(SUM($E53:$E$177),NA()))</f>
        <v>866071.61200000031</v>
      </c>
      <c r="U53">
        <f>IF(ISBLANK($F53),NA(),IFERROR(SUM($F53:$F$177),NA()))</f>
        <v>1117722.916</v>
      </c>
      <c r="V53">
        <f>IF(ISBLANK($G53),NA(),IFERROR(SUM($G53:$G$177),NA()))</f>
        <v>704120.44199999992</v>
      </c>
      <c r="W53">
        <f t="shared" si="12"/>
        <v>1821843.358</v>
      </c>
      <c r="X53">
        <f t="shared" si="13"/>
        <v>47.538203995252609</v>
      </c>
      <c r="Y53">
        <f t="shared" si="14"/>
        <v>61.351208439073716</v>
      </c>
      <c r="Z53">
        <f>IF(ISBLANK($H53),NA(),IFERROR(SUM($H53:$H$177),NA()))</f>
        <v>839239.35399999993</v>
      </c>
      <c r="AA53">
        <f>IF(ISBLANK($I53),NA(),IFERROR(SUM($I53:$I$177),NA()))</f>
        <v>1078727.132</v>
      </c>
      <c r="AB53">
        <f>IF(ISBLANK($J53),NA(),IFERROR(SUM($J53:$J$177),NA()))</f>
        <v>680892.30500000005</v>
      </c>
      <c r="AC53">
        <f t="shared" si="15"/>
        <v>1759619.4369999999</v>
      </c>
      <c r="AD53">
        <f t="shared" si="16"/>
        <v>47.694367108767047</v>
      </c>
      <c r="AE53">
        <f t="shared" si="17"/>
        <v>61.304570142685918</v>
      </c>
    </row>
    <row r="54" spans="1:31" x14ac:dyDescent="0.35">
      <c r="A54">
        <v>1901</v>
      </c>
      <c r="B54">
        <v>1786.6420000000001</v>
      </c>
      <c r="C54">
        <v>1979.2629999999999</v>
      </c>
      <c r="D54">
        <v>46.365000000000002</v>
      </c>
      <c r="E54">
        <v>1893.808</v>
      </c>
      <c r="F54">
        <v>2096.8180000000002</v>
      </c>
      <c r="G54">
        <v>44.545999999999999</v>
      </c>
      <c r="H54">
        <v>1786.6420000000001</v>
      </c>
      <c r="I54">
        <v>1979.2629999999999</v>
      </c>
      <c r="J54">
        <v>46.365000000000002</v>
      </c>
      <c r="N54">
        <f>IF(ISBLANK($B54),NA(),IFERROR(SUM($B54:$B$177),NA()))</f>
        <v>837502.04099999985</v>
      </c>
      <c r="O54">
        <f>IF(ISBLANK($C54),NA(),IFERROR(SUM($C54:$C$177),NA()))</f>
        <v>1076804.888</v>
      </c>
      <c r="P54">
        <f>IF(ISBLANK($D54),NA(),IFERROR(SUM($D54:$D$177),NA()))</f>
        <v>681335.49699999997</v>
      </c>
      <c r="Q54">
        <f t="shared" si="9"/>
        <v>1758140.385</v>
      </c>
      <c r="R54">
        <f t="shared" si="10"/>
        <v>47.635675065845199</v>
      </c>
      <c r="S54">
        <f t="shared" si="11"/>
        <v>61.246809252948253</v>
      </c>
      <c r="T54">
        <f>IF(ISBLANK($E54),NA(),IFERROR(SUM($E54:$E$177),NA()))</f>
        <v>864227.10000000021</v>
      </c>
      <c r="U54">
        <f>IF(ISBLANK($F54),NA(),IFERROR(SUM($F54:$F$177),NA()))</f>
        <v>1115683.5830000001</v>
      </c>
      <c r="V54">
        <f>IF(ISBLANK($G54),NA(),IFERROR(SUM($G54:$G$177),NA()))</f>
        <v>704085.51599999995</v>
      </c>
      <c r="W54">
        <f t="shared" si="12"/>
        <v>1819769.0989999999</v>
      </c>
      <c r="X54">
        <f t="shared" si="13"/>
        <v>47.491030618934602</v>
      </c>
      <c r="Y54">
        <f t="shared" si="14"/>
        <v>61.309073970598291</v>
      </c>
      <c r="Z54">
        <f>IF(ISBLANK($H54),NA(),IFERROR(SUM($H54:$H$177),NA()))</f>
        <v>837502.04</v>
      </c>
      <c r="AA54">
        <f>IF(ISBLANK($I54),NA(),IFERROR(SUM($I54:$I$177),NA()))</f>
        <v>1076804.8910000001</v>
      </c>
      <c r="AB54">
        <f>IF(ISBLANK($J54),NA(),IFERROR(SUM($J54:$J$177),NA()))</f>
        <v>680851.66200000001</v>
      </c>
      <c r="AC54">
        <f t="shared" si="15"/>
        <v>1757656.5530000001</v>
      </c>
      <c r="AD54">
        <f t="shared" si="16"/>
        <v>47.648787732195821</v>
      </c>
      <c r="AE54">
        <f t="shared" si="17"/>
        <v>61.263668898345927</v>
      </c>
    </row>
    <row r="55" spans="1:31" x14ac:dyDescent="0.35">
      <c r="A55">
        <v>1902</v>
      </c>
      <c r="B55">
        <v>1838.635</v>
      </c>
      <c r="C55">
        <v>2027.4780000000001</v>
      </c>
      <c r="D55">
        <v>49.478000000000002</v>
      </c>
      <c r="E55">
        <v>1947.749</v>
      </c>
      <c r="F55">
        <v>2146.9270000000001</v>
      </c>
      <c r="G55">
        <v>48.182000000000002</v>
      </c>
      <c r="H55">
        <v>1838.635</v>
      </c>
      <c r="I55">
        <v>2027.4780000000001</v>
      </c>
      <c r="J55">
        <v>49.478000000000002</v>
      </c>
      <c r="N55">
        <f>IF(ISBLANK($B55),NA(),IFERROR(SUM($B55:$B$177),NA()))</f>
        <v>835715.39899999986</v>
      </c>
      <c r="O55">
        <f>IF(ISBLANK($C55),NA(),IFERROR(SUM($C55:$C$177),NA()))</f>
        <v>1074825.625</v>
      </c>
      <c r="P55">
        <f>IF(ISBLANK($D55),NA(),IFERROR(SUM($D55:$D$177),NA()))</f>
        <v>681289.13199999998</v>
      </c>
      <c r="Q55">
        <f t="shared" si="9"/>
        <v>1756114.757</v>
      </c>
      <c r="R55">
        <f t="shared" si="10"/>
        <v>47.588883110786355</v>
      </c>
      <c r="S55">
        <f t="shared" si="11"/>
        <v>61.204748762327043</v>
      </c>
      <c r="T55">
        <f>IF(ISBLANK($E55),NA(),IFERROR(SUM($E55:$E$177),NA()))</f>
        <v>862333.29200000025</v>
      </c>
      <c r="U55">
        <f>IF(ISBLANK($F55),NA(),IFERROR(SUM($F55:$F$177),NA()))</f>
        <v>1113586.7649999999</v>
      </c>
      <c r="V55">
        <f>IF(ISBLANK($G55),NA(),IFERROR(SUM($G55:$G$177),NA()))</f>
        <v>704040.96999999986</v>
      </c>
      <c r="W55">
        <f t="shared" si="12"/>
        <v>1817627.7349999999</v>
      </c>
      <c r="X55">
        <f t="shared" si="13"/>
        <v>47.442789048330638</v>
      </c>
      <c r="Y55">
        <f t="shared" si="14"/>
        <v>61.265942610630333</v>
      </c>
      <c r="Z55">
        <f>IF(ISBLANK($H55),NA(),IFERROR(SUM($H55:$H$177),NA()))</f>
        <v>835715.39800000004</v>
      </c>
      <c r="AA55">
        <f>IF(ISBLANK($I55),NA(),IFERROR(SUM($I55:$I$177),NA()))</f>
        <v>1074825.628</v>
      </c>
      <c r="AB55">
        <f>IF(ISBLANK($J55),NA(),IFERROR(SUM($J55:$J$177),NA()))</f>
        <v>680805.29700000002</v>
      </c>
      <c r="AC55">
        <f t="shared" si="15"/>
        <v>1755630.925</v>
      </c>
      <c r="AD55">
        <f t="shared" si="16"/>
        <v>47.601998011056914</v>
      </c>
      <c r="AE55">
        <f t="shared" si="17"/>
        <v>61.221616268806613</v>
      </c>
    </row>
    <row r="56" spans="1:31" x14ac:dyDescent="0.35">
      <c r="A56">
        <v>1903</v>
      </c>
      <c r="B56">
        <v>2018.0139999999999</v>
      </c>
      <c r="C56">
        <v>2210.0970000000002</v>
      </c>
      <c r="D56">
        <v>54.494999999999997</v>
      </c>
      <c r="E56">
        <v>2136.3119999999999</v>
      </c>
      <c r="F56">
        <v>2338.75</v>
      </c>
      <c r="G56">
        <v>54.465000000000003</v>
      </c>
      <c r="H56">
        <v>2018.0139999999999</v>
      </c>
      <c r="I56">
        <v>2210.0970000000002</v>
      </c>
      <c r="J56">
        <v>54.494999999999997</v>
      </c>
      <c r="N56">
        <f>IF(ISBLANK($B56),NA(),IFERROR(SUM($B56:$B$177),NA()))</f>
        <v>833876.76399999985</v>
      </c>
      <c r="O56">
        <f>IF(ISBLANK($C56),NA(),IFERROR(SUM($C56:$C$177),NA()))</f>
        <v>1072798.1470000001</v>
      </c>
      <c r="P56">
        <f>IF(ISBLANK($D56),NA(),IFERROR(SUM($D56:$D$177),NA()))</f>
        <v>681239.65399999998</v>
      </c>
      <c r="Q56">
        <f t="shared" si="9"/>
        <v>1754037.801</v>
      </c>
      <c r="R56">
        <f t="shared" si="10"/>
        <v>47.540410105449027</v>
      </c>
      <c r="S56">
        <f t="shared" si="11"/>
        <v>61.161632114677566</v>
      </c>
      <c r="T56">
        <f>IF(ISBLANK($E56),NA(),IFERROR(SUM($E56:$E$177),NA()))</f>
        <v>860385.54300000018</v>
      </c>
      <c r="U56">
        <f>IF(ISBLANK($F56),NA(),IFERROR(SUM($F56:$F$177),NA()))</f>
        <v>1111439.838</v>
      </c>
      <c r="V56">
        <f>IF(ISBLANK($G56),NA(),IFERROR(SUM($G56:$G$177),NA()))</f>
        <v>703992.78800000006</v>
      </c>
      <c r="W56">
        <f t="shared" si="12"/>
        <v>1815432.6260000002</v>
      </c>
      <c r="X56">
        <f t="shared" si="13"/>
        <v>47.392865517444996</v>
      </c>
      <c r="Y56">
        <f t="shared" si="14"/>
        <v>61.221761803899625</v>
      </c>
      <c r="Z56">
        <f>IF(ISBLANK($H56),NA(),IFERROR(SUM($H56:$H$177),NA()))</f>
        <v>833876.76300000004</v>
      </c>
      <c r="AA56">
        <f>IF(ISBLANK($I56),NA(),IFERROR(SUM($I56:$I$177),NA()))</f>
        <v>1072798.1499999999</v>
      </c>
      <c r="AB56">
        <f>IF(ISBLANK($J56),NA(),IFERROR(SUM($J56:$J$177),NA()))</f>
        <v>680755.81900000002</v>
      </c>
      <c r="AC56">
        <f t="shared" si="15"/>
        <v>1753553.969</v>
      </c>
      <c r="AD56">
        <f t="shared" si="16"/>
        <v>47.553527164922976</v>
      </c>
      <c r="AE56">
        <f t="shared" si="17"/>
        <v>61.178507702947115</v>
      </c>
    </row>
    <row r="57" spans="1:31" x14ac:dyDescent="0.35">
      <c r="A57">
        <v>1904</v>
      </c>
      <c r="B57">
        <v>2029.0329999999999</v>
      </c>
      <c r="C57">
        <v>2230.2370000000001</v>
      </c>
      <c r="D57">
        <v>60.018000000000001</v>
      </c>
      <c r="E57">
        <v>2146.8820000000001</v>
      </c>
      <c r="F57">
        <v>2359.0790000000002</v>
      </c>
      <c r="G57">
        <v>60.863</v>
      </c>
      <c r="H57">
        <v>2029.0329999999999</v>
      </c>
      <c r="I57">
        <v>2230.2370000000001</v>
      </c>
      <c r="J57">
        <v>60.018000000000001</v>
      </c>
      <c r="N57">
        <f>IF(ISBLANK($B57),NA(),IFERROR(SUM($B57:$B$177),NA()))</f>
        <v>831858.74999999977</v>
      </c>
      <c r="O57">
        <f>IF(ISBLANK($C57),NA(),IFERROR(SUM($C57:$C$177),NA()))</f>
        <v>1070588.05</v>
      </c>
      <c r="P57">
        <f>IF(ISBLANK($D57),NA(),IFERROR(SUM($D57:$D$177),NA()))</f>
        <v>681185.15899999999</v>
      </c>
      <c r="Q57">
        <f t="shared" si="9"/>
        <v>1751773.209</v>
      </c>
      <c r="R57">
        <f t="shared" si="10"/>
        <v>47.486669263247066</v>
      </c>
      <c r="S57">
        <f t="shared" si="11"/>
        <v>61.114534946629618</v>
      </c>
      <c r="T57">
        <f>IF(ISBLANK($E57),NA(),IFERROR(SUM($E57:$E$177),NA()))</f>
        <v>858249.23100000026</v>
      </c>
      <c r="U57">
        <f>IF(ISBLANK($F57),NA(),IFERROR(SUM($F57:$F$177),NA()))</f>
        <v>1109101.088</v>
      </c>
      <c r="V57">
        <f>IF(ISBLANK($G57),NA(),IFERROR(SUM($G57:$G$177),NA()))</f>
        <v>703938.32299999997</v>
      </c>
      <c r="W57">
        <f t="shared" si="12"/>
        <v>1813039.4109999998</v>
      </c>
      <c r="X57">
        <f t="shared" si="13"/>
        <v>47.337593755153087</v>
      </c>
      <c r="Y57">
        <f t="shared" si="14"/>
        <v>61.173578537284214</v>
      </c>
      <c r="Z57">
        <f>IF(ISBLANK($H57),NA(),IFERROR(SUM($H57:$H$177),NA()))</f>
        <v>831858.74900000007</v>
      </c>
      <c r="AA57">
        <f>IF(ISBLANK($I57),NA(),IFERROR(SUM($I57:$I$177),NA()))</f>
        <v>1070588.0530000001</v>
      </c>
      <c r="AB57">
        <f>IF(ISBLANK($J57),NA(),IFERROR(SUM($J57:$J$177),NA()))</f>
        <v>680701.32400000002</v>
      </c>
      <c r="AC57">
        <f t="shared" si="15"/>
        <v>1751289.3770000001</v>
      </c>
      <c r="AD57">
        <f t="shared" si="16"/>
        <v>47.499788437305185</v>
      </c>
      <c r="AE57">
        <f t="shared" si="17"/>
        <v>61.131419345096617</v>
      </c>
    </row>
    <row r="58" spans="1:31" x14ac:dyDescent="0.35">
      <c r="A58">
        <v>1905</v>
      </c>
      <c r="B58">
        <v>2175.154</v>
      </c>
      <c r="C58">
        <v>2376.6619999999998</v>
      </c>
      <c r="D58">
        <v>63.908999999999999</v>
      </c>
      <c r="E58">
        <v>2299.511</v>
      </c>
      <c r="F58">
        <v>2511.4989999999998</v>
      </c>
      <c r="G58">
        <v>63.024000000000001</v>
      </c>
      <c r="H58">
        <v>2175.154</v>
      </c>
      <c r="I58">
        <v>2376.6619999999998</v>
      </c>
      <c r="J58">
        <v>63.908999999999999</v>
      </c>
      <c r="N58">
        <f>IF(ISBLANK($B58),NA(),IFERROR(SUM($B58:$B$177),NA()))</f>
        <v>829829.71699999983</v>
      </c>
      <c r="O58">
        <f>IF(ISBLANK($C58),NA(),IFERROR(SUM($C58:$C$177),NA()))</f>
        <v>1068357.8130000001</v>
      </c>
      <c r="P58">
        <f>IF(ISBLANK($D58),NA(),IFERROR(SUM($D58:$D$177),NA()))</f>
        <v>681125.14099999995</v>
      </c>
      <c r="Q58">
        <f t="shared" si="9"/>
        <v>1749482.9539999999</v>
      </c>
      <c r="R58">
        <f t="shared" si="10"/>
        <v>47.432855238897048</v>
      </c>
      <c r="S58">
        <f t="shared" si="11"/>
        <v>61.067060445334306</v>
      </c>
      <c r="T58">
        <f>IF(ISBLANK($E58),NA(),IFERROR(SUM($E58:$E$177),NA()))</f>
        <v>856102.34900000028</v>
      </c>
      <c r="U58">
        <f>IF(ISBLANK($F58),NA(),IFERROR(SUM($F58:$F$177),NA()))</f>
        <v>1106742.0090000001</v>
      </c>
      <c r="V58">
        <f>IF(ISBLANK($G58),NA(),IFERROR(SUM($G58:$G$177),NA()))</f>
        <v>703877.45999999985</v>
      </c>
      <c r="W58">
        <f t="shared" si="12"/>
        <v>1810619.469</v>
      </c>
      <c r="X58">
        <f t="shared" si="13"/>
        <v>47.28229004810288</v>
      </c>
      <c r="Y58">
        <f t="shared" si="14"/>
        <v>61.125047418784831</v>
      </c>
      <c r="Z58">
        <f>IF(ISBLANK($H58),NA(),IFERROR(SUM($H58:$H$177),NA()))</f>
        <v>829829.71600000001</v>
      </c>
      <c r="AA58">
        <f>IF(ISBLANK($I58),NA(),IFERROR(SUM($I58:$I$177),NA()))</f>
        <v>1068357.8160000001</v>
      </c>
      <c r="AB58">
        <f>IF(ISBLANK($J58),NA(),IFERROR(SUM($J58:$J$177),NA()))</f>
        <v>680641.3060000001</v>
      </c>
      <c r="AC58">
        <f t="shared" si="15"/>
        <v>1748999.1220000002</v>
      </c>
      <c r="AD58">
        <f t="shared" si="16"/>
        <v>47.445976705298762</v>
      </c>
      <c r="AE58">
        <f t="shared" si="17"/>
        <v>61.083953820303861</v>
      </c>
    </row>
    <row r="59" spans="1:31" x14ac:dyDescent="0.35">
      <c r="A59">
        <v>1906</v>
      </c>
      <c r="B59">
        <v>2257.6930000000002</v>
      </c>
      <c r="C59">
        <v>2475.7249999999999</v>
      </c>
      <c r="D59">
        <v>73.253</v>
      </c>
      <c r="E59">
        <v>2387.1790000000001</v>
      </c>
      <c r="F59">
        <v>2616.4859999999999</v>
      </c>
      <c r="G59">
        <v>88.668000000000006</v>
      </c>
      <c r="H59">
        <v>2257.6930000000002</v>
      </c>
      <c r="I59">
        <v>2475.7249999999999</v>
      </c>
      <c r="J59">
        <v>73.253</v>
      </c>
      <c r="N59">
        <f>IF(ISBLANK($B59),NA(),IFERROR(SUM($B59:$B$177),NA()))</f>
        <v>827654.56299999985</v>
      </c>
      <c r="O59">
        <f>IF(ISBLANK($C59),NA(),IFERROR(SUM($C59:$C$177),NA()))</f>
        <v>1065981.1510000001</v>
      </c>
      <c r="P59">
        <f>IF(ISBLANK($D59),NA(),IFERROR(SUM($D59:$D$177),NA()))</f>
        <v>681061.23199999996</v>
      </c>
      <c r="Q59">
        <f t="shared" si="9"/>
        <v>1747042.3829999999</v>
      </c>
      <c r="R59">
        <f t="shared" si="10"/>
        <v>47.374612719970855</v>
      </c>
      <c r="S59">
        <f t="shared" si="11"/>
        <v>61.016330306166367</v>
      </c>
      <c r="T59">
        <f>IF(ISBLANK($E59),NA(),IFERROR(SUM($E59:$E$177),NA()))</f>
        <v>853802.83800000011</v>
      </c>
      <c r="U59">
        <f>IF(ISBLANK($F59),NA(),IFERROR(SUM($F59:$F$177),NA()))</f>
        <v>1104230.51</v>
      </c>
      <c r="V59">
        <f>IF(ISBLANK($G59),NA(),IFERROR(SUM($G59:$G$177),NA()))</f>
        <v>703814.43599999987</v>
      </c>
      <c r="W59">
        <f t="shared" si="12"/>
        <v>1808044.946</v>
      </c>
      <c r="X59">
        <f t="shared" si="13"/>
        <v>47.222434369726123</v>
      </c>
      <c r="Y59">
        <f t="shared" si="14"/>
        <v>61.073178100075843</v>
      </c>
      <c r="Z59">
        <f>IF(ISBLANK($H59),NA(),IFERROR(SUM($H59:$H$177),NA()))</f>
        <v>827654.56200000003</v>
      </c>
      <c r="AA59">
        <f>IF(ISBLANK($I59),NA(),IFERROR(SUM($I59:$I$177),NA()))</f>
        <v>1065981.1540000001</v>
      </c>
      <c r="AB59">
        <f>IF(ISBLANK($J59),NA(),IFERROR(SUM($J59:$J$177),NA()))</f>
        <v>680577.397</v>
      </c>
      <c r="AC59">
        <f t="shared" si="15"/>
        <v>1746558.551</v>
      </c>
      <c r="AD59">
        <f t="shared" si="16"/>
        <v>47.387736387430166</v>
      </c>
      <c r="AE59">
        <f t="shared" si="17"/>
        <v>61.033233233988504</v>
      </c>
    </row>
    <row r="60" spans="1:31" x14ac:dyDescent="0.35">
      <c r="A60">
        <v>1907</v>
      </c>
      <c r="B60">
        <v>2563.8319999999999</v>
      </c>
      <c r="C60">
        <v>2803.0169999999998</v>
      </c>
      <c r="D60">
        <v>101.932</v>
      </c>
      <c r="E60">
        <v>2714.1950000000002</v>
      </c>
      <c r="F60">
        <v>2965.933</v>
      </c>
      <c r="G60">
        <v>95.777000000000001</v>
      </c>
      <c r="H60">
        <v>2563.8319999999999</v>
      </c>
      <c r="I60">
        <v>2803.0169999999998</v>
      </c>
      <c r="J60">
        <v>101.932</v>
      </c>
      <c r="N60">
        <f>IF(ISBLANK($B60),NA(),IFERROR(SUM($B60:$B$177),NA()))</f>
        <v>825396.86999999988</v>
      </c>
      <c r="O60">
        <f>IF(ISBLANK($C60),NA(),IFERROR(SUM($C60:$C$177),NA()))</f>
        <v>1063505.426</v>
      </c>
      <c r="P60">
        <f>IF(ISBLANK($D60),NA(),IFERROR(SUM($D60:$D$177),NA()))</f>
        <v>680987.97899999993</v>
      </c>
      <c r="Q60">
        <f t="shared" si="9"/>
        <v>1744493.4049999998</v>
      </c>
      <c r="R60">
        <f t="shared" si="10"/>
        <v>47.314416187202497</v>
      </c>
      <c r="S60">
        <f t="shared" si="11"/>
        <v>60.963568159777601</v>
      </c>
      <c r="T60">
        <f>IF(ISBLANK($E60),NA(),IFERROR(SUM($E60:$E$177),NA()))</f>
        <v>851415.6590000001</v>
      </c>
      <c r="U60">
        <f>IF(ISBLANK($F60),NA(),IFERROR(SUM($F60:$F$177),NA()))</f>
        <v>1101614.024</v>
      </c>
      <c r="V60">
        <f>IF(ISBLANK($G60),NA(),IFERROR(SUM($G60:$G$177),NA()))</f>
        <v>703725.76800000004</v>
      </c>
      <c r="W60">
        <f t="shared" si="12"/>
        <v>1805339.7919999999</v>
      </c>
      <c r="X60">
        <f t="shared" si="13"/>
        <v>47.160964532708874</v>
      </c>
      <c r="Y60">
        <f t="shared" si="14"/>
        <v>61.01976087169745</v>
      </c>
      <c r="Z60">
        <f>IF(ISBLANK($H60),NA(),IFERROR(SUM($H60:$H$177),NA()))</f>
        <v>825396.86899999995</v>
      </c>
      <c r="AA60">
        <f>IF(ISBLANK($I60),NA(),IFERROR(SUM($I60:$I$177),NA()))</f>
        <v>1063505.429</v>
      </c>
      <c r="AB60">
        <f>IF(ISBLANK($J60),NA(),IFERROR(SUM($J60:$J$177),NA()))</f>
        <v>680504.14400000009</v>
      </c>
      <c r="AC60">
        <f t="shared" si="15"/>
        <v>1744009.5730000001</v>
      </c>
      <c r="AD60">
        <f t="shared" si="16"/>
        <v>47.327542335686474</v>
      </c>
      <c r="AE60">
        <f t="shared" si="17"/>
        <v>60.980481154732743</v>
      </c>
    </row>
    <row r="61" spans="1:31" x14ac:dyDescent="0.35">
      <c r="A61">
        <v>1908</v>
      </c>
      <c r="B61">
        <v>2433.6660000000002</v>
      </c>
      <c r="C61">
        <v>2680.5859999999998</v>
      </c>
      <c r="D61">
        <v>109.809</v>
      </c>
      <c r="E61">
        <v>2586.4549999999999</v>
      </c>
      <c r="F61">
        <v>2846.47</v>
      </c>
      <c r="G61">
        <v>110.419</v>
      </c>
      <c r="H61">
        <v>2433.6660000000002</v>
      </c>
      <c r="I61">
        <v>2680.5859999999998</v>
      </c>
      <c r="J61">
        <v>109.809</v>
      </c>
      <c r="N61">
        <f>IF(ISBLANK($B61),NA(),IFERROR(SUM($B61:$B$177),NA()))</f>
        <v>822833.03799999983</v>
      </c>
      <c r="O61">
        <f>IF(ISBLANK($C61),NA(),IFERROR(SUM($C61:$C$177),NA()))</f>
        <v>1060702.409</v>
      </c>
      <c r="P61">
        <f>IF(ISBLANK($D61),NA(),IFERROR(SUM($D61:$D$177),NA()))</f>
        <v>680886.0469999999</v>
      </c>
      <c r="Q61">
        <f t="shared" si="9"/>
        <v>1741588.4559999998</v>
      </c>
      <c r="R61">
        <f t="shared" si="10"/>
        <v>47.246123799525222</v>
      </c>
      <c r="S61">
        <f t="shared" si="11"/>
        <v>60.90430866980897</v>
      </c>
      <c r="T61">
        <f>IF(ISBLANK($E61),NA(),IFERROR(SUM($E61:$E$177),NA()))</f>
        <v>848701.46400000027</v>
      </c>
      <c r="U61">
        <f>IF(ISBLANK($F61),NA(),IFERROR(SUM($F61:$F$177),NA()))</f>
        <v>1098648.091</v>
      </c>
      <c r="V61">
        <f>IF(ISBLANK($G61),NA(),IFERROR(SUM($G61:$G$177),NA()))</f>
        <v>703629.99100000004</v>
      </c>
      <c r="W61">
        <f t="shared" si="12"/>
        <v>1802278.0819999999</v>
      </c>
      <c r="X61">
        <f t="shared" si="13"/>
        <v>47.090483565010715</v>
      </c>
      <c r="Y61">
        <f t="shared" si="14"/>
        <v>60.958855460352879</v>
      </c>
      <c r="Z61">
        <f>IF(ISBLANK($H61),NA(),IFERROR(SUM($H61:$H$177),NA()))</f>
        <v>822833.03700000001</v>
      </c>
      <c r="AA61">
        <f>IF(ISBLANK($I61),NA(),IFERROR(SUM($I61:$I$177),NA()))</f>
        <v>1060702.412</v>
      </c>
      <c r="AB61">
        <f>IF(ISBLANK($J61),NA(),IFERROR(SUM($J61:$J$177),NA()))</f>
        <v>680402.21200000006</v>
      </c>
      <c r="AC61">
        <f t="shared" si="15"/>
        <v>1741104.6240000001</v>
      </c>
      <c r="AD61">
        <f t="shared" si="16"/>
        <v>47.259252870722371</v>
      </c>
      <c r="AE61">
        <f t="shared" si="17"/>
        <v>60.921233415781217</v>
      </c>
    </row>
    <row r="62" spans="1:31" x14ac:dyDescent="0.35">
      <c r="A62">
        <v>1909</v>
      </c>
      <c r="B62">
        <v>2537.627</v>
      </c>
      <c r="C62">
        <v>2792.9850000000001</v>
      </c>
      <c r="D62">
        <v>114.126</v>
      </c>
      <c r="E62">
        <v>2688.9609999999998</v>
      </c>
      <c r="F62">
        <v>2957.8339999999998</v>
      </c>
      <c r="G62">
        <v>110.2</v>
      </c>
      <c r="H62">
        <v>2537.6280000000002</v>
      </c>
      <c r="I62">
        <v>2792.9859999999999</v>
      </c>
      <c r="J62">
        <v>114.126</v>
      </c>
      <c r="N62">
        <f>IF(ISBLANK($B62),NA(),IFERROR(SUM($B62:$B$177),NA()))</f>
        <v>820399.37199999974</v>
      </c>
      <c r="O62">
        <f>IF(ISBLANK($C62),NA(),IFERROR(SUM($C62:$C$177),NA()))</f>
        <v>1058021.8230000001</v>
      </c>
      <c r="P62">
        <f>IF(ISBLANK($D62),NA(),IFERROR(SUM($D62:$D$177),NA()))</f>
        <v>680776.2379999999</v>
      </c>
      <c r="Q62">
        <f t="shared" si="9"/>
        <v>1738798.061</v>
      </c>
      <c r="R62">
        <f t="shared" si="10"/>
        <v>47.181981070773674</v>
      </c>
      <c r="S62">
        <f t="shared" si="11"/>
        <v>60.847883761241441</v>
      </c>
      <c r="T62">
        <f>IF(ISBLANK($E62),NA(),IFERROR(SUM($E62:$E$177),NA()))</f>
        <v>846115.00900000019</v>
      </c>
      <c r="U62">
        <f>IF(ISBLANK($F62),NA(),IFERROR(SUM($F62:$F$177),NA()))</f>
        <v>1095801.621</v>
      </c>
      <c r="V62">
        <f>IF(ISBLANK($G62),NA(),IFERROR(SUM($G62:$G$177),NA()))</f>
        <v>703519.57200000004</v>
      </c>
      <c r="W62">
        <f t="shared" si="12"/>
        <v>1799321.193</v>
      </c>
      <c r="X62">
        <f t="shared" si="13"/>
        <v>47.024122890992935</v>
      </c>
      <c r="Y62">
        <f t="shared" si="14"/>
        <v>60.900834451517518</v>
      </c>
      <c r="Z62">
        <f>IF(ISBLANK($H62),NA(),IFERROR(SUM($H62:$H$177),NA()))</f>
        <v>820399.37100000004</v>
      </c>
      <c r="AA62">
        <f>IF(ISBLANK($I62),NA(),IFERROR(SUM($I62:$I$177),NA()))</f>
        <v>1058021.8259999999</v>
      </c>
      <c r="AB62">
        <f>IF(ISBLANK($J62),NA(),IFERROR(SUM($J62:$J$177),NA()))</f>
        <v>680292.40300000005</v>
      </c>
      <c r="AC62">
        <f t="shared" si="15"/>
        <v>1738314.2289999998</v>
      </c>
      <c r="AD62">
        <f t="shared" si="16"/>
        <v>47.195113364052212</v>
      </c>
      <c r="AE62">
        <f t="shared" si="17"/>
        <v>60.864819970359918</v>
      </c>
    </row>
    <row r="63" spans="1:31" x14ac:dyDescent="0.35">
      <c r="A63">
        <v>1910</v>
      </c>
      <c r="B63">
        <v>2678.8359999999998</v>
      </c>
      <c r="C63">
        <v>2930.7280000000001</v>
      </c>
      <c r="D63">
        <v>119.545</v>
      </c>
      <c r="E63">
        <v>2838.2330000000002</v>
      </c>
      <c r="F63">
        <v>3103.3330000000001</v>
      </c>
      <c r="G63">
        <v>115.015</v>
      </c>
      <c r="H63">
        <v>2678.8359999999998</v>
      </c>
      <c r="I63">
        <v>2930.7280000000001</v>
      </c>
      <c r="J63">
        <v>119.545</v>
      </c>
      <c r="N63">
        <f>IF(ISBLANK($B63),NA(),IFERROR(SUM($B63:$B$177),NA()))</f>
        <v>817861.74499999976</v>
      </c>
      <c r="O63">
        <f>IF(ISBLANK($C63),NA(),IFERROR(SUM($C63:$C$177),NA()))</f>
        <v>1055228.838</v>
      </c>
      <c r="P63">
        <f>IF(ISBLANK($D63),NA(),IFERROR(SUM($D63:$D$177),NA()))</f>
        <v>680662.11199999996</v>
      </c>
      <c r="Q63">
        <f t="shared" si="9"/>
        <v>1735890.95</v>
      </c>
      <c r="R63">
        <f t="shared" si="10"/>
        <v>47.114811273139004</v>
      </c>
      <c r="S63">
        <f t="shared" si="11"/>
        <v>60.788889878134334</v>
      </c>
      <c r="T63">
        <f>IF(ISBLANK($E63),NA(),IFERROR(SUM($E63:$E$177),NA()))</f>
        <v>843426.04800000007</v>
      </c>
      <c r="U63">
        <f>IF(ISBLANK($F63),NA(),IFERROR(SUM($F63:$F$177),NA()))</f>
        <v>1092843.787</v>
      </c>
      <c r="V63">
        <f>IF(ISBLANK($G63),NA(),IFERROR(SUM($G63:$G$177),NA()))</f>
        <v>703409.37199999986</v>
      </c>
      <c r="W63">
        <f t="shared" si="12"/>
        <v>1796253.159</v>
      </c>
      <c r="X63">
        <f t="shared" si="13"/>
        <v>46.95474264159666</v>
      </c>
      <c r="Y63">
        <f t="shared" si="14"/>
        <v>60.8401873379809</v>
      </c>
      <c r="Z63">
        <f>IF(ISBLANK($H63),NA(),IFERROR(SUM($H63:$H$177),NA()))</f>
        <v>817861.74300000002</v>
      </c>
      <c r="AA63">
        <f>IF(ISBLANK($I63),NA(),IFERROR(SUM($I63:$I$177),NA()))</f>
        <v>1055228.8399999999</v>
      </c>
      <c r="AB63">
        <f>IF(ISBLANK($J63),NA(),IFERROR(SUM($J63:$J$177),NA()))</f>
        <v>680178.277</v>
      </c>
      <c r="AC63">
        <f t="shared" si="15"/>
        <v>1735407.1169999999</v>
      </c>
      <c r="AD63">
        <f t="shared" si="16"/>
        <v>47.127946807884392</v>
      </c>
      <c r="AE63">
        <f t="shared" si="17"/>
        <v>60.805837988274192</v>
      </c>
    </row>
    <row r="64" spans="1:31" x14ac:dyDescent="0.35">
      <c r="A64">
        <v>1911</v>
      </c>
      <c r="B64">
        <v>2706.087</v>
      </c>
      <c r="C64">
        <v>2968.7</v>
      </c>
      <c r="D64">
        <v>128.50700000000001</v>
      </c>
      <c r="E64">
        <v>2865.3020000000001</v>
      </c>
      <c r="F64">
        <v>3141.2289999999998</v>
      </c>
      <c r="G64">
        <v>132.90100000000001</v>
      </c>
      <c r="H64">
        <v>2706.087</v>
      </c>
      <c r="I64">
        <v>2968.7</v>
      </c>
      <c r="J64">
        <v>128.50700000000001</v>
      </c>
      <c r="N64">
        <f>IF(ISBLANK($B64),NA(),IFERROR(SUM($B64:$B$177),NA()))</f>
        <v>815182.90899999975</v>
      </c>
      <c r="O64">
        <f>IF(ISBLANK($C64),NA(),IFERROR(SUM($C64:$C$177),NA()))</f>
        <v>1052298.1099999999</v>
      </c>
      <c r="P64">
        <f>IF(ISBLANK($D64),NA(),IFERROR(SUM($D64:$D$177),NA()))</f>
        <v>680542.56699999992</v>
      </c>
      <c r="Q64">
        <f t="shared" si="9"/>
        <v>1732840.6769999997</v>
      </c>
      <c r="R64">
        <f t="shared" si="10"/>
        <v>47.043154042949553</v>
      </c>
      <c r="S64">
        <f t="shared" si="11"/>
        <v>60.72676639965556</v>
      </c>
      <c r="T64">
        <f>IF(ISBLANK($E64),NA(),IFERROR(SUM($E64:$E$177),NA()))</f>
        <v>840587.81500000006</v>
      </c>
      <c r="U64">
        <f>IF(ISBLANK($F64),NA(),IFERROR(SUM($F64:$F$177),NA()))</f>
        <v>1089740.4540000001</v>
      </c>
      <c r="V64">
        <f>IF(ISBLANK($G64),NA(),IFERROR(SUM($G64:$G$177),NA()))</f>
        <v>703294.35699999996</v>
      </c>
      <c r="W64">
        <f t="shared" si="12"/>
        <v>1793034.8110000002</v>
      </c>
      <c r="X64">
        <f t="shared" si="13"/>
        <v>46.880730359673976</v>
      </c>
      <c r="Y64">
        <f t="shared" si="14"/>
        <v>60.77631328263152</v>
      </c>
      <c r="Z64">
        <f>IF(ISBLANK($H64),NA(),IFERROR(SUM($H64:$H$177),NA()))</f>
        <v>815182.90700000001</v>
      </c>
      <c r="AA64">
        <f>IF(ISBLANK($I64),NA(),IFERROR(SUM($I64:$I$177),NA()))</f>
        <v>1052298.112</v>
      </c>
      <c r="AB64">
        <f>IF(ISBLANK($J64),NA(),IFERROR(SUM($J64:$J$177),NA()))</f>
        <v>680058.73200000008</v>
      </c>
      <c r="AC64">
        <f t="shared" si="15"/>
        <v>1732356.844</v>
      </c>
      <c r="AD64">
        <f t="shared" si="16"/>
        <v>47.056292693008231</v>
      </c>
      <c r="AE64">
        <f t="shared" si="17"/>
        <v>60.743727000855721</v>
      </c>
    </row>
    <row r="65" spans="1:31" x14ac:dyDescent="0.35">
      <c r="A65">
        <v>1912</v>
      </c>
      <c r="B65">
        <v>2836.694</v>
      </c>
      <c r="C65">
        <v>3125.9520000000002</v>
      </c>
      <c r="D65">
        <v>127.977</v>
      </c>
      <c r="E65">
        <v>3009.4659999999999</v>
      </c>
      <c r="F65">
        <v>3313.123</v>
      </c>
      <c r="G65">
        <v>122.404</v>
      </c>
      <c r="H65">
        <v>2836.694</v>
      </c>
      <c r="I65">
        <v>3125.9520000000002</v>
      </c>
      <c r="J65">
        <v>127.977</v>
      </c>
      <c r="N65">
        <f>IF(ISBLANK($B65),NA(),IFERROR(SUM($B65:$B$177),NA()))</f>
        <v>812476.82199999981</v>
      </c>
      <c r="O65">
        <f>IF(ISBLANK($C65),NA(),IFERROR(SUM($C65:$C$177),NA()))</f>
        <v>1049329.4099999999</v>
      </c>
      <c r="P65">
        <f>IF(ISBLANK($D65),NA(),IFERROR(SUM($D65:$D$177),NA()))</f>
        <v>680414.05999999994</v>
      </c>
      <c r="Q65">
        <f t="shared" si="9"/>
        <v>1729743.4699999997</v>
      </c>
      <c r="R65">
        <f t="shared" si="10"/>
        <v>46.970943153784525</v>
      </c>
      <c r="S65">
        <f t="shared" si="11"/>
        <v>60.663874626449669</v>
      </c>
      <c r="T65">
        <f>IF(ISBLANK($E65),NA(),IFERROR(SUM($E65:$E$177),NA()))</f>
        <v>837722.51300000015</v>
      </c>
      <c r="U65">
        <f>IF(ISBLANK($F65),NA(),IFERROR(SUM($F65:$F$177),NA()))</f>
        <v>1086599.2250000001</v>
      </c>
      <c r="V65">
        <f>IF(ISBLANK($G65),NA(),IFERROR(SUM($G65:$G$177),NA()))</f>
        <v>703161.45599999989</v>
      </c>
      <c r="W65">
        <f t="shared" si="12"/>
        <v>1789760.6809999999</v>
      </c>
      <c r="X65">
        <f t="shared" si="13"/>
        <v>46.806398301919131</v>
      </c>
      <c r="Y65">
        <f t="shared" si="14"/>
        <v>60.711984375077478</v>
      </c>
      <c r="Z65">
        <f>IF(ISBLANK($H65),NA(),IFERROR(SUM($H65:$H$177),NA()))</f>
        <v>812476.82</v>
      </c>
      <c r="AA65">
        <f>IF(ISBLANK($I65),NA(),IFERROR(SUM($I65:$I$177),NA()))</f>
        <v>1049329.4119999998</v>
      </c>
      <c r="AB65">
        <f>IF(ISBLANK($J65),NA(),IFERROR(SUM($J65:$J$177),NA()))</f>
        <v>679930.22500000009</v>
      </c>
      <c r="AC65">
        <f t="shared" si="15"/>
        <v>1729259.6369999999</v>
      </c>
      <c r="AD65">
        <f t="shared" si="16"/>
        <v>46.984085131919379</v>
      </c>
      <c r="AE65">
        <f t="shared" si="17"/>
        <v>60.680848008482137</v>
      </c>
    </row>
    <row r="66" spans="1:31" x14ac:dyDescent="0.35">
      <c r="A66">
        <v>1913</v>
      </c>
      <c r="B66">
        <v>3068.6469999999999</v>
      </c>
      <c r="C66">
        <v>3376.7280000000001</v>
      </c>
      <c r="D66">
        <v>148.11799999999999</v>
      </c>
      <c r="E66">
        <v>3253.4250000000002</v>
      </c>
      <c r="F66">
        <v>3576.5610000000001</v>
      </c>
      <c r="G66">
        <v>138.119</v>
      </c>
      <c r="H66">
        <v>3068.6480000000001</v>
      </c>
      <c r="I66">
        <v>3376.7280000000001</v>
      </c>
      <c r="J66">
        <v>148.11799999999999</v>
      </c>
      <c r="N66">
        <f>IF(ISBLANK($B66),NA(),IFERROR(SUM($B66:$B$177),NA()))</f>
        <v>809640.12799999979</v>
      </c>
      <c r="O66">
        <f>IF(ISBLANK($C66),NA(),IFERROR(SUM($C66:$C$177),NA()))</f>
        <v>1046203.458</v>
      </c>
      <c r="P66">
        <f>IF(ISBLANK($D66),NA(),IFERROR(SUM($D66:$D$177),NA()))</f>
        <v>680286.08299999998</v>
      </c>
      <c r="Q66">
        <f t="shared" si="9"/>
        <v>1726489.541</v>
      </c>
      <c r="R66">
        <f t="shared" si="10"/>
        <v>46.895165523623625</v>
      </c>
      <c r="S66">
        <f t="shared" si="11"/>
        <v>60.597150064055903</v>
      </c>
      <c r="T66">
        <f>IF(ISBLANK($E66),NA(),IFERROR(SUM($E66:$E$177),NA()))</f>
        <v>834713.04700000014</v>
      </c>
      <c r="U66">
        <f>IF(ISBLANK($F66),NA(),IFERROR(SUM($F66:$F$177),NA()))</f>
        <v>1083286.1020000002</v>
      </c>
      <c r="V66">
        <f>IF(ISBLANK($G66),NA(),IFERROR(SUM($G66:$G$177),NA()))</f>
        <v>703039.05200000003</v>
      </c>
      <c r="W66">
        <f t="shared" si="12"/>
        <v>1786325.1540000001</v>
      </c>
      <c r="X66">
        <f t="shared" si="13"/>
        <v>46.727945644771459</v>
      </c>
      <c r="Y66">
        <f t="shared" si="14"/>
        <v>60.643276481567142</v>
      </c>
      <c r="Z66">
        <f>IF(ISBLANK($H66),NA(),IFERROR(SUM($H66:$H$177),NA()))</f>
        <v>809640.12600000005</v>
      </c>
      <c r="AA66">
        <f>IF(ISBLANK($I66),NA(),IFERROR(SUM($I66:$I$177),NA()))</f>
        <v>1046203.4600000001</v>
      </c>
      <c r="AB66">
        <f>IF(ISBLANK($J66),NA(),IFERROR(SUM($J66:$J$177),NA()))</f>
        <v>679802.24800000002</v>
      </c>
      <c r="AC66">
        <f t="shared" si="15"/>
        <v>1726005.7080000001</v>
      </c>
      <c r="AD66">
        <f t="shared" si="16"/>
        <v>46.90831103555076</v>
      </c>
      <c r="AE66">
        <f t="shared" si="17"/>
        <v>60.614136740734345</v>
      </c>
    </row>
    <row r="67" spans="1:31" x14ac:dyDescent="0.35">
      <c r="A67">
        <v>1914</v>
      </c>
      <c r="B67">
        <v>2787.6089999999999</v>
      </c>
      <c r="C67">
        <v>3056.8470000000002</v>
      </c>
      <c r="D67">
        <v>140.90299999999999</v>
      </c>
      <c r="E67">
        <v>2956.114</v>
      </c>
      <c r="F67">
        <v>3239.6329999999998</v>
      </c>
      <c r="G67">
        <v>135.32900000000001</v>
      </c>
      <c r="H67">
        <v>2787.6089999999999</v>
      </c>
      <c r="I67">
        <v>3056.8470000000002</v>
      </c>
      <c r="J67">
        <v>140.90299999999999</v>
      </c>
      <c r="N67">
        <f>IF(ISBLANK($B67),NA(),IFERROR(SUM($B67:$B$177),NA()))</f>
        <v>806571.4809999998</v>
      </c>
      <c r="O67">
        <f>IF(ISBLANK($C67),NA(),IFERROR(SUM($C67:$C$177),NA()))</f>
        <v>1042826.7300000001</v>
      </c>
      <c r="P67">
        <f>IF(ISBLANK($D67),NA(),IFERROR(SUM($D67:$D$177),NA()))</f>
        <v>680137.96499999997</v>
      </c>
      <c r="Q67">
        <f t="shared" ref="Q67:Q98" si="18">IFERROR(O67+P67,"")</f>
        <v>1722964.6950000001</v>
      </c>
      <c r="R67">
        <f t="shared" ref="R67:R98" si="19">IFERROR(N67/Q67*100,NA())</f>
        <v>46.813001063843608</v>
      </c>
      <c r="S67">
        <f t="shared" ref="S67:S98" si="20">IFERROR(O67/Q67*100,NA())</f>
        <v>60.525136297119545</v>
      </c>
      <c r="T67">
        <f>IF(ISBLANK($E67),NA(),IFERROR(SUM($E67:$E$177),NA()))</f>
        <v>831459.62200000009</v>
      </c>
      <c r="U67">
        <f>IF(ISBLANK($F67),NA(),IFERROR(SUM($F67:$F$177),NA()))</f>
        <v>1079709.5410000002</v>
      </c>
      <c r="V67">
        <f>IF(ISBLANK($G67),NA(),IFERROR(SUM($G67:$G$177),NA()))</f>
        <v>702900.93299999984</v>
      </c>
      <c r="W67">
        <f t="shared" ref="W67:W98" si="21">IFERROR(U67+V67,"")</f>
        <v>1782610.4739999999</v>
      </c>
      <c r="X67">
        <f t="shared" ref="X67:X98" si="22">IFERROR(T67/W67*100,NA())</f>
        <v>46.642810312579826</v>
      </c>
      <c r="Y67">
        <f t="shared" ref="Y67:Y98" si="23">IFERROR(U67/W67*100,NA())</f>
        <v>60.569011387958462</v>
      </c>
      <c r="Z67">
        <f>IF(ISBLANK($H67),NA(),IFERROR(SUM($H67:$H$177),NA()))</f>
        <v>806571.478</v>
      </c>
      <c r="AA67">
        <f>IF(ISBLANK($I67),NA(),IFERROR(SUM($I67:$I$177),NA()))</f>
        <v>1042826.732</v>
      </c>
      <c r="AB67">
        <f>IF(ISBLANK($J67),NA(),IFERROR(SUM($J67:$J$177),NA()))</f>
        <v>679654.13</v>
      </c>
      <c r="AC67">
        <f t="shared" ref="AC67:AC98" si="24">IFERROR(AA67+AB67,"")</f>
        <v>1722480.862</v>
      </c>
      <c r="AD67">
        <f t="shared" ref="AD67:AD98" si="25">IFERROR(Z67/AC67*100,NA())</f>
        <v>46.826150338963821</v>
      </c>
      <c r="AE67">
        <f t="shared" ref="AE67:AE98" si="26">IFERROR(AA67/AC67*100,NA())</f>
        <v>60.542137506779447</v>
      </c>
    </row>
    <row r="68" spans="1:31" x14ac:dyDescent="0.35">
      <c r="A68">
        <v>1915</v>
      </c>
      <c r="B68">
        <v>2751.989</v>
      </c>
      <c r="C68">
        <v>3009.4760000000001</v>
      </c>
      <c r="D68">
        <v>138.554</v>
      </c>
      <c r="E68">
        <v>2915.5610000000001</v>
      </c>
      <c r="F68">
        <v>3186.6819999999998</v>
      </c>
      <c r="G68">
        <v>138.41300000000001</v>
      </c>
      <c r="H68">
        <v>2751.989</v>
      </c>
      <c r="I68">
        <v>3009.4760000000001</v>
      </c>
      <c r="J68">
        <v>138.554</v>
      </c>
      <c r="N68">
        <f>IF(ISBLANK($B68),NA(),IFERROR(SUM($B68:$B$177),NA()))</f>
        <v>803783.87199999974</v>
      </c>
      <c r="O68">
        <f>IF(ISBLANK($C68),NA(),IFERROR(SUM($C68:$C$177),NA()))</f>
        <v>1039769.8830000003</v>
      </c>
      <c r="P68">
        <f>IF(ISBLANK($D68),NA(),IFERROR(SUM($D68:$D$177),NA()))</f>
        <v>679997.06199999992</v>
      </c>
      <c r="Q68">
        <f t="shared" si="18"/>
        <v>1719766.9450000003</v>
      </c>
      <c r="R68">
        <f t="shared" si="19"/>
        <v>46.737953321925232</v>
      </c>
      <c r="S68">
        <f t="shared" si="20"/>
        <v>60.459929528416424</v>
      </c>
      <c r="T68">
        <f>IF(ISBLANK($E68),NA(),IFERROR(SUM($E68:$E$177),NA()))</f>
        <v>828503.50800000003</v>
      </c>
      <c r="U68">
        <f>IF(ISBLANK($F68),NA(),IFERROR(SUM($F68:$F$177),NA()))</f>
        <v>1076469.9080000003</v>
      </c>
      <c r="V68">
        <f>IF(ISBLANK($G68),NA(),IFERROR(SUM($G68:$G$177),NA()))</f>
        <v>702765.60399999993</v>
      </c>
      <c r="W68">
        <f t="shared" si="21"/>
        <v>1779235.5120000001</v>
      </c>
      <c r="X68">
        <f t="shared" si="22"/>
        <v>46.565140051004107</v>
      </c>
      <c r="Y68">
        <f t="shared" si="23"/>
        <v>60.501822312998002</v>
      </c>
      <c r="Z68">
        <f>IF(ISBLANK($H68),NA(),IFERROR(SUM($H68:$H$177),NA()))</f>
        <v>803783.86899999995</v>
      </c>
      <c r="AA68">
        <f>IF(ISBLANK($I68),NA(),IFERROR(SUM($I68:$I$177),NA()))</f>
        <v>1039769.8850000001</v>
      </c>
      <c r="AB68">
        <f>IF(ISBLANK($J68),NA(),IFERROR(SUM($J68:$J$177),NA()))</f>
        <v>679513.22700000007</v>
      </c>
      <c r="AC68">
        <f t="shared" si="24"/>
        <v>1719283.1120000002</v>
      </c>
      <c r="AD68">
        <f t="shared" si="25"/>
        <v>46.751105934204041</v>
      </c>
      <c r="AE68">
        <f t="shared" si="26"/>
        <v>60.476944008974833</v>
      </c>
    </row>
    <row r="69" spans="1:31" x14ac:dyDescent="0.35">
      <c r="A69">
        <v>1916</v>
      </c>
      <c r="B69">
        <v>2969.3020000000001</v>
      </c>
      <c r="C69">
        <v>3247.779</v>
      </c>
      <c r="D69">
        <v>152.453</v>
      </c>
      <c r="E69">
        <v>3134.4830000000002</v>
      </c>
      <c r="F69">
        <v>3427.8609999999999</v>
      </c>
      <c r="G69">
        <v>148.64699999999999</v>
      </c>
      <c r="H69">
        <v>2969.3020000000001</v>
      </c>
      <c r="I69">
        <v>3247.779</v>
      </c>
      <c r="J69">
        <v>152.453</v>
      </c>
      <c r="N69">
        <f>IF(ISBLANK($B69),NA(),IFERROR(SUM($B69:$B$177),NA()))</f>
        <v>801031.88299999968</v>
      </c>
      <c r="O69">
        <f>IF(ISBLANK($C69),NA(),IFERROR(SUM($C69:$C$177),NA()))</f>
        <v>1036760.4070000002</v>
      </c>
      <c r="P69">
        <f>IF(ISBLANK($D69),NA(),IFERROR(SUM($D69:$D$177),NA()))</f>
        <v>679858.50799999991</v>
      </c>
      <c r="Q69">
        <f t="shared" si="18"/>
        <v>1716618.915</v>
      </c>
      <c r="R69">
        <f t="shared" si="19"/>
        <v>46.66334944817963</v>
      </c>
      <c r="S69">
        <f t="shared" si="20"/>
        <v>60.395490107948632</v>
      </c>
      <c r="T69">
        <f>IF(ISBLANK($E69),NA(),IFERROR(SUM($E69:$E$177),NA()))</f>
        <v>825587.94700000004</v>
      </c>
      <c r="U69">
        <f>IF(ISBLANK($F69),NA(),IFERROR(SUM($F69:$F$177),NA()))</f>
        <v>1073283.2260000003</v>
      </c>
      <c r="V69">
        <f>IF(ISBLANK($G69),NA(),IFERROR(SUM($G69:$G$177),NA()))</f>
        <v>702627.19099999999</v>
      </c>
      <c r="W69">
        <f t="shared" si="21"/>
        <v>1775910.4170000004</v>
      </c>
      <c r="X69">
        <f t="shared" si="22"/>
        <v>46.488152729834454</v>
      </c>
      <c r="Y69">
        <f t="shared" si="23"/>
        <v>60.435662504478685</v>
      </c>
      <c r="Z69">
        <f>IF(ISBLANK($H69),NA(),IFERROR(SUM($H69:$H$177),NA()))</f>
        <v>801031.87999999989</v>
      </c>
      <c r="AA69">
        <f>IF(ISBLANK($I69),NA(),IFERROR(SUM($I69:$I$177),NA()))</f>
        <v>1036760.4090000001</v>
      </c>
      <c r="AB69">
        <f>IF(ISBLANK($J69),NA(),IFERROR(SUM($J69:$J$177),NA()))</f>
        <v>679374.67300000007</v>
      </c>
      <c r="AC69">
        <f t="shared" si="24"/>
        <v>1716135.0820000002</v>
      </c>
      <c r="AD69">
        <f t="shared" si="25"/>
        <v>46.676505154038907</v>
      </c>
      <c r="AE69">
        <f t="shared" si="26"/>
        <v>60.412517631872518</v>
      </c>
    </row>
    <row r="70" spans="1:31" x14ac:dyDescent="0.35">
      <c r="A70">
        <v>1917</v>
      </c>
      <c r="B70">
        <v>3111.7530000000002</v>
      </c>
      <c r="C70">
        <v>3390.8069999999998</v>
      </c>
      <c r="D70">
        <v>165.691</v>
      </c>
      <c r="E70">
        <v>3257.07</v>
      </c>
      <c r="F70">
        <v>3550.366</v>
      </c>
      <c r="G70">
        <v>159.30500000000001</v>
      </c>
      <c r="H70">
        <v>3111.7530000000002</v>
      </c>
      <c r="I70">
        <v>3390.8069999999998</v>
      </c>
      <c r="J70">
        <v>165.691</v>
      </c>
      <c r="N70">
        <f>IF(ISBLANK($B70),NA(),IFERROR(SUM($B70:$B$177),NA()))</f>
        <v>798062.58099999977</v>
      </c>
      <c r="O70">
        <f>IF(ISBLANK($C70),NA(),IFERROR(SUM($C70:$C$177),NA()))</f>
        <v>1033512.6280000001</v>
      </c>
      <c r="P70">
        <f>IF(ISBLANK($D70),NA(),IFERROR(SUM($D70:$D$177),NA()))</f>
        <v>679706.05499999993</v>
      </c>
      <c r="Q70">
        <f t="shared" si="18"/>
        <v>1713218.6830000002</v>
      </c>
      <c r="R70">
        <f t="shared" si="19"/>
        <v>46.582645223230948</v>
      </c>
      <c r="S70">
        <f t="shared" si="20"/>
        <v>60.325785508609243</v>
      </c>
      <c r="T70">
        <f>IF(ISBLANK($E70),NA(),IFERROR(SUM($E70:$E$177),NA()))</f>
        <v>822453.46400000004</v>
      </c>
      <c r="U70">
        <f>IF(ISBLANK($F70),NA(),IFERROR(SUM($F70:$F$177),NA()))</f>
        <v>1069855.3650000002</v>
      </c>
      <c r="V70">
        <f>IF(ISBLANK($G70),NA(),IFERROR(SUM($G70:$G$177),NA()))</f>
        <v>702478.54399999988</v>
      </c>
      <c r="W70">
        <f t="shared" si="21"/>
        <v>1772333.909</v>
      </c>
      <c r="X70">
        <f t="shared" si="22"/>
        <v>46.405107966593675</v>
      </c>
      <c r="Y70">
        <f t="shared" si="23"/>
        <v>60.364210128081474</v>
      </c>
      <c r="Z70">
        <f>IF(ISBLANK($H70),NA(),IFERROR(SUM($H70:$H$177),NA()))</f>
        <v>798062.57799999998</v>
      </c>
      <c r="AA70">
        <f>IF(ISBLANK($I70),NA(),IFERROR(SUM($I70:$I$177),NA()))</f>
        <v>1033512.6300000002</v>
      </c>
      <c r="AB70">
        <f>IF(ISBLANK($J70),NA(),IFERROR(SUM($J70:$J$177),NA()))</f>
        <v>679222.22000000009</v>
      </c>
      <c r="AC70">
        <f t="shared" si="24"/>
        <v>1712734.8500000003</v>
      </c>
      <c r="AD70">
        <f t="shared" si="25"/>
        <v>46.595804248392554</v>
      </c>
      <c r="AE70">
        <f t="shared" si="26"/>
        <v>60.34282714571961</v>
      </c>
    </row>
    <row r="71" spans="1:31" x14ac:dyDescent="0.35">
      <c r="A71">
        <v>1918</v>
      </c>
      <c r="B71">
        <v>3137.6390000000001</v>
      </c>
      <c r="C71">
        <v>3337.2559999999999</v>
      </c>
      <c r="D71">
        <v>168.82900000000001</v>
      </c>
      <c r="E71">
        <v>3291.721</v>
      </c>
      <c r="F71">
        <v>3500.3969999999999</v>
      </c>
      <c r="G71">
        <v>161.05600000000001</v>
      </c>
      <c r="H71">
        <v>3137.6390000000001</v>
      </c>
      <c r="I71">
        <v>3337.2559999999999</v>
      </c>
      <c r="J71">
        <v>168.82900000000001</v>
      </c>
      <c r="N71">
        <f>IF(ISBLANK($B71),NA(),IFERROR(SUM($B71:$B$177),NA()))</f>
        <v>794950.82799999975</v>
      </c>
      <c r="O71">
        <f>IF(ISBLANK($C71),NA(),IFERROR(SUM($C71:$C$177),NA()))</f>
        <v>1030121.8210000001</v>
      </c>
      <c r="P71">
        <f>IF(ISBLANK($D71),NA(),IFERROR(SUM($D71:$D$177),NA()))</f>
        <v>679540.36399999994</v>
      </c>
      <c r="Q71">
        <f t="shared" si="18"/>
        <v>1709662.1850000001</v>
      </c>
      <c r="R71">
        <f t="shared" si="19"/>
        <v>46.497538225658289</v>
      </c>
      <c r="S71">
        <f t="shared" si="20"/>
        <v>60.252945291645446</v>
      </c>
      <c r="T71">
        <f>IF(ISBLANK($E71),NA(),IFERROR(SUM($E71:$E$177),NA()))</f>
        <v>819196.39399999997</v>
      </c>
      <c r="U71">
        <f>IF(ISBLANK($F71),NA(),IFERROR(SUM($F71:$F$177),NA()))</f>
        <v>1066304.9990000003</v>
      </c>
      <c r="V71">
        <f>IF(ISBLANK($G71),NA(),IFERROR(SUM($G71:$G$177),NA()))</f>
        <v>702319.23899999994</v>
      </c>
      <c r="W71">
        <f t="shared" si="21"/>
        <v>1768624.2380000004</v>
      </c>
      <c r="X71">
        <f t="shared" si="22"/>
        <v>46.318283804951434</v>
      </c>
      <c r="Y71">
        <f t="shared" si="23"/>
        <v>60.290081753363381</v>
      </c>
      <c r="Z71">
        <f>IF(ISBLANK($H71),NA(),IFERROR(SUM($H71:$H$177),NA()))</f>
        <v>794950.82499999995</v>
      </c>
      <c r="AA71">
        <f>IF(ISBLANK($I71),NA(),IFERROR(SUM($I71:$I$177),NA()))</f>
        <v>1030121.8230000002</v>
      </c>
      <c r="AB71">
        <f>IF(ISBLANK($J71),NA(),IFERROR(SUM($J71:$J$177),NA()))</f>
        <v>679056.5290000001</v>
      </c>
      <c r="AC71">
        <f t="shared" si="24"/>
        <v>1709178.3520000004</v>
      </c>
      <c r="AD71">
        <f t="shared" si="25"/>
        <v>46.510700540396257</v>
      </c>
      <c r="AE71">
        <f t="shared" si="26"/>
        <v>60.270001769832845</v>
      </c>
    </row>
    <row r="72" spans="1:31" x14ac:dyDescent="0.35">
      <c r="A72">
        <v>1919</v>
      </c>
      <c r="B72">
        <v>2760.8159999999998</v>
      </c>
      <c r="C72">
        <v>2850.3339999999998</v>
      </c>
      <c r="D72">
        <v>190.779</v>
      </c>
      <c r="E72">
        <v>2895.7469999999998</v>
      </c>
      <c r="F72">
        <v>2991.5149999999999</v>
      </c>
      <c r="G72">
        <v>183.261</v>
      </c>
      <c r="H72">
        <v>2760.8159999999998</v>
      </c>
      <c r="I72">
        <v>2850.3339999999998</v>
      </c>
      <c r="J72">
        <v>190.779</v>
      </c>
      <c r="N72">
        <f>IF(ISBLANK($B72),NA(),IFERROR(SUM($B72:$B$177),NA()))</f>
        <v>791813.18899999978</v>
      </c>
      <c r="O72">
        <f>IF(ISBLANK($C72),NA(),IFERROR(SUM($C72:$C$177),NA()))</f>
        <v>1026784.5650000001</v>
      </c>
      <c r="P72">
        <f>IF(ISBLANK($D72),NA(),IFERROR(SUM($D72:$D$177),NA()))</f>
        <v>679371.53499999992</v>
      </c>
      <c r="Q72">
        <f t="shared" si="18"/>
        <v>1706156.1</v>
      </c>
      <c r="R72">
        <f t="shared" si="19"/>
        <v>46.409187822849255</v>
      </c>
      <c r="S72">
        <f t="shared" si="20"/>
        <v>60.181161911269434</v>
      </c>
      <c r="T72">
        <f>IF(ISBLANK($E72),NA(),IFERROR(SUM($E72:$E$177),NA()))</f>
        <v>815904.67300000007</v>
      </c>
      <c r="U72">
        <f>IF(ISBLANK($F72),NA(),IFERROR(SUM($F72:$F$177),NA()))</f>
        <v>1062804.6020000002</v>
      </c>
      <c r="V72">
        <f>IF(ISBLANK($G72),NA(),IFERROR(SUM($G72:$G$177),NA()))</f>
        <v>702158.18299999984</v>
      </c>
      <c r="W72">
        <f t="shared" si="21"/>
        <v>1764962.7850000001</v>
      </c>
      <c r="X72">
        <f t="shared" si="22"/>
        <v>46.227868368340694</v>
      </c>
      <c r="Y72">
        <f t="shared" si="23"/>
        <v>60.2168278579313</v>
      </c>
      <c r="Z72">
        <f>IF(ISBLANK($H72),NA(),IFERROR(SUM($H72:$H$177),NA()))</f>
        <v>791813.18599999987</v>
      </c>
      <c r="AA72">
        <f>IF(ISBLANK($I72),NA(),IFERROR(SUM($I72:$I$177),NA()))</f>
        <v>1026784.5669999999</v>
      </c>
      <c r="AB72">
        <f>IF(ISBLANK($J72),NA(),IFERROR(SUM($J72:$J$177),NA()))</f>
        <v>678887.70000000007</v>
      </c>
      <c r="AC72">
        <f t="shared" si="24"/>
        <v>1705672.267</v>
      </c>
      <c r="AD72">
        <f t="shared" si="25"/>
        <v>46.42235213172988</v>
      </c>
      <c r="AE72">
        <f t="shared" si="26"/>
        <v>60.198233087646244</v>
      </c>
    </row>
    <row r="73" spans="1:31" x14ac:dyDescent="0.35">
      <c r="A73">
        <v>1920</v>
      </c>
      <c r="B73">
        <v>3154.5430000000001</v>
      </c>
      <c r="C73">
        <v>3317.4250000000002</v>
      </c>
      <c r="D73">
        <v>229.333</v>
      </c>
      <c r="E73">
        <v>3301.5410000000002</v>
      </c>
      <c r="F73">
        <v>3471.7910000000002</v>
      </c>
      <c r="G73">
        <v>217.744</v>
      </c>
      <c r="H73">
        <v>3154.5430000000001</v>
      </c>
      <c r="I73">
        <v>3317.4250000000002</v>
      </c>
      <c r="J73">
        <v>229.333</v>
      </c>
      <c r="N73">
        <f>IF(ISBLANK($B73),NA(),IFERROR(SUM($B73:$B$177),NA()))</f>
        <v>789052.37299999979</v>
      </c>
      <c r="O73">
        <f>IF(ISBLANK($C73),NA(),IFERROR(SUM($C73:$C$177),NA()))</f>
        <v>1023934.231</v>
      </c>
      <c r="P73">
        <f>IF(ISBLANK($D73),NA(),IFERROR(SUM($D73:$D$177),NA()))</f>
        <v>679180.75599999994</v>
      </c>
      <c r="Q73">
        <f t="shared" si="18"/>
        <v>1703114.987</v>
      </c>
      <c r="R73">
        <f t="shared" si="19"/>
        <v>46.329952999233385</v>
      </c>
      <c r="S73">
        <f t="shared" si="20"/>
        <v>60.121262440631675</v>
      </c>
      <c r="T73">
        <f>IF(ISBLANK($E73),NA(),IFERROR(SUM($E73:$E$177),NA()))</f>
        <v>813008.92599999986</v>
      </c>
      <c r="U73">
        <f>IF(ISBLANK($F73),NA(),IFERROR(SUM($F73:$F$177),NA()))</f>
        <v>1059813.0870000003</v>
      </c>
      <c r="V73">
        <f>IF(ISBLANK($G73),NA(),IFERROR(SUM($G73:$G$177),NA()))</f>
        <v>701974.9219999999</v>
      </c>
      <c r="W73">
        <f t="shared" si="21"/>
        <v>1761788.0090000001</v>
      </c>
      <c r="X73">
        <f t="shared" si="22"/>
        <v>46.14680777975483</v>
      </c>
      <c r="Y73">
        <f t="shared" si="23"/>
        <v>60.155539803086498</v>
      </c>
      <c r="Z73">
        <f>IF(ISBLANK($H73),NA(),IFERROR(SUM($H73:$H$177),NA()))</f>
        <v>789052.36999999988</v>
      </c>
      <c r="AA73">
        <f>IF(ISBLANK($I73),NA(),IFERROR(SUM($I73:$I$177),NA()))</f>
        <v>1023934.2330000001</v>
      </c>
      <c r="AB73">
        <f>IF(ISBLANK($J73),NA(),IFERROR(SUM($J73:$J$177),NA()))</f>
        <v>678696.92100000009</v>
      </c>
      <c r="AC73">
        <f t="shared" si="24"/>
        <v>1702631.1540000001</v>
      </c>
      <c r="AD73">
        <f t="shared" si="25"/>
        <v>46.343118305234526</v>
      </c>
      <c r="AE73">
        <f t="shared" si="26"/>
        <v>60.138347086770153</v>
      </c>
    </row>
    <row r="74" spans="1:31" x14ac:dyDescent="0.35">
      <c r="A74">
        <v>1921</v>
      </c>
      <c r="B74">
        <v>2704.346</v>
      </c>
      <c r="C74">
        <v>2870.1329999999998</v>
      </c>
      <c r="D74">
        <v>244.86099999999999</v>
      </c>
      <c r="E74">
        <v>2828.77</v>
      </c>
      <c r="F74">
        <v>3001.4830000000002</v>
      </c>
      <c r="G74">
        <v>234.78299999999999</v>
      </c>
      <c r="H74">
        <v>2704.346</v>
      </c>
      <c r="I74">
        <v>2870.1329999999998</v>
      </c>
      <c r="J74">
        <v>244.86099999999999</v>
      </c>
      <c r="N74">
        <f>IF(ISBLANK($B74),NA(),IFERROR(SUM($B74:$B$177),NA()))</f>
        <v>785897.82999999973</v>
      </c>
      <c r="O74">
        <f>IF(ISBLANK($C74),NA(),IFERROR(SUM($C74:$C$177),NA()))</f>
        <v>1020616.806</v>
      </c>
      <c r="P74">
        <f>IF(ISBLANK($D74),NA(),IFERROR(SUM($D74:$D$177),NA()))</f>
        <v>678951.42299999995</v>
      </c>
      <c r="Q74">
        <f t="shared" si="18"/>
        <v>1699568.2289999998</v>
      </c>
      <c r="R74">
        <f t="shared" si="19"/>
        <v>46.241028550081218</v>
      </c>
      <c r="S74">
        <f t="shared" si="20"/>
        <v>60.051534771305739</v>
      </c>
      <c r="T74">
        <f>IF(ISBLANK($E74),NA(),IFERROR(SUM($E74:$E$177),NA()))</f>
        <v>809707.38499999989</v>
      </c>
      <c r="U74">
        <f>IF(ISBLANK($F74),NA(),IFERROR(SUM($F74:$F$177),NA()))</f>
        <v>1056341.2960000001</v>
      </c>
      <c r="V74">
        <f>IF(ISBLANK($G74),NA(),IFERROR(SUM($G74:$G$177),NA()))</f>
        <v>701757.17799999996</v>
      </c>
      <c r="W74">
        <f t="shared" si="21"/>
        <v>1758098.4739999999</v>
      </c>
      <c r="X74">
        <f t="shared" si="22"/>
        <v>46.055860748105054</v>
      </c>
      <c r="Y74">
        <f t="shared" si="23"/>
        <v>60.084307655226375</v>
      </c>
      <c r="Z74">
        <f>IF(ISBLANK($H74),NA(),IFERROR(SUM($H74:$H$177),NA()))</f>
        <v>785897.82699999993</v>
      </c>
      <c r="AA74">
        <f>IF(ISBLANK($I74),NA(),IFERROR(SUM($I74:$I$177),NA()))</f>
        <v>1020616.8080000001</v>
      </c>
      <c r="AB74">
        <f>IF(ISBLANK($J74),NA(),IFERROR(SUM($J74:$J$177),NA()))</f>
        <v>678467.58799999999</v>
      </c>
      <c r="AC74">
        <f t="shared" si="24"/>
        <v>1699084.3960000002</v>
      </c>
      <c r="AD74">
        <f t="shared" si="25"/>
        <v>46.254196015816973</v>
      </c>
      <c r="AE74">
        <f t="shared" si="26"/>
        <v>60.068635225109787</v>
      </c>
    </row>
    <row r="75" spans="1:31" x14ac:dyDescent="0.35">
      <c r="A75">
        <v>1922</v>
      </c>
      <c r="B75">
        <v>2852.5239999999999</v>
      </c>
      <c r="C75">
        <v>3020.723</v>
      </c>
      <c r="D75">
        <v>243.994</v>
      </c>
      <c r="E75">
        <v>2993.5529999999999</v>
      </c>
      <c r="F75">
        <v>3168.3809999999999</v>
      </c>
      <c r="G75">
        <v>237.285</v>
      </c>
      <c r="H75">
        <v>2852.5239999999999</v>
      </c>
      <c r="I75">
        <v>3020.723</v>
      </c>
      <c r="J75">
        <v>243.994</v>
      </c>
      <c r="N75">
        <f>IF(ISBLANK($B75),NA(),IFERROR(SUM($B75:$B$177),NA()))</f>
        <v>783193.48399999971</v>
      </c>
      <c r="O75">
        <f>IF(ISBLANK($C75),NA(),IFERROR(SUM($C75:$C$177),NA()))</f>
        <v>1017746.6730000001</v>
      </c>
      <c r="P75">
        <f>IF(ISBLANK($D75),NA(),IFERROR(SUM($D75:$D$177),NA()))</f>
        <v>678706.56199999992</v>
      </c>
      <c r="Q75">
        <f t="shared" si="18"/>
        <v>1696453.2349999999</v>
      </c>
      <c r="R75">
        <f t="shared" si="19"/>
        <v>46.166523653096739</v>
      </c>
      <c r="S75">
        <f t="shared" si="20"/>
        <v>59.992615888406739</v>
      </c>
      <c r="T75">
        <f>IF(ISBLANK($E75),NA(),IFERROR(SUM($E75:$E$177),NA()))</f>
        <v>806878.61499999987</v>
      </c>
      <c r="U75">
        <f>IF(ISBLANK($F75),NA(),IFERROR(SUM($F75:$F$177),NA()))</f>
        <v>1053339.8130000001</v>
      </c>
      <c r="V75">
        <f>IF(ISBLANK($G75),NA(),IFERROR(SUM($G75:$G$177),NA()))</f>
        <v>701522.3949999999</v>
      </c>
      <c r="W75">
        <f t="shared" si="21"/>
        <v>1754862.2080000001</v>
      </c>
      <c r="X75">
        <f t="shared" si="22"/>
        <v>45.979599499130579</v>
      </c>
      <c r="Y75">
        <f t="shared" si="23"/>
        <v>60.024075291955917</v>
      </c>
      <c r="Z75">
        <f>IF(ISBLANK($H75),NA(),IFERROR(SUM($H75:$H$177),NA()))</f>
        <v>783193.48099999991</v>
      </c>
      <c r="AA75">
        <f>IF(ISBLANK($I75),NA(),IFERROR(SUM($I75:$I$177),NA()))</f>
        <v>1017746.6750000002</v>
      </c>
      <c r="AB75">
        <f>IF(ISBLANK($J75),NA(),IFERROR(SUM($J75:$J$177),NA()))</f>
        <v>678222.72700000007</v>
      </c>
      <c r="AC75">
        <f t="shared" si="24"/>
        <v>1695969.4020000002</v>
      </c>
      <c r="AD75">
        <f t="shared" si="25"/>
        <v>46.179694048513255</v>
      </c>
      <c r="AE75">
        <f t="shared" si="26"/>
        <v>60.009730942068018</v>
      </c>
    </row>
    <row r="76" spans="1:31" x14ac:dyDescent="0.35">
      <c r="A76">
        <v>1923</v>
      </c>
      <c r="B76">
        <v>3292.88</v>
      </c>
      <c r="C76">
        <v>3450.66</v>
      </c>
      <c r="D76">
        <v>252.33600000000001</v>
      </c>
      <c r="E76">
        <v>3448.4290000000001</v>
      </c>
      <c r="F76">
        <v>3612.855</v>
      </c>
      <c r="G76">
        <v>247.339</v>
      </c>
      <c r="H76">
        <v>3292.88</v>
      </c>
      <c r="I76">
        <v>3450.66</v>
      </c>
      <c r="J76">
        <v>252.33600000000001</v>
      </c>
      <c r="N76">
        <f>IF(ISBLANK($B76),NA(),IFERROR(SUM($B76:$B$177),NA()))</f>
        <v>780340.95999999973</v>
      </c>
      <c r="O76">
        <f>IF(ISBLANK($C76),NA(),IFERROR(SUM($C76:$C$177),NA()))</f>
        <v>1014725.9500000001</v>
      </c>
      <c r="P76">
        <f>IF(ISBLANK($D76),NA(),IFERROR(SUM($D76:$D$177),NA()))</f>
        <v>678462.56799999997</v>
      </c>
      <c r="Q76">
        <f t="shared" si="18"/>
        <v>1693188.5180000002</v>
      </c>
      <c r="R76">
        <f t="shared" si="19"/>
        <v>46.08706896511093</v>
      </c>
      <c r="S76">
        <f t="shared" si="20"/>
        <v>59.929886082537209</v>
      </c>
      <c r="T76">
        <f>IF(ISBLANK($E76),NA(),IFERROR(SUM($E76:$E$177),NA()))</f>
        <v>803885.06200000003</v>
      </c>
      <c r="U76">
        <f>IF(ISBLANK($F76),NA(),IFERROR(SUM($F76:$F$177),NA()))</f>
        <v>1050171.4320000003</v>
      </c>
      <c r="V76">
        <f>IF(ISBLANK($G76),NA(),IFERROR(SUM($G76:$G$177),NA()))</f>
        <v>701285.11</v>
      </c>
      <c r="W76">
        <f t="shared" si="21"/>
        <v>1751456.5420000004</v>
      </c>
      <c r="X76">
        <f t="shared" si="22"/>
        <v>45.898087832772497</v>
      </c>
      <c r="Y76">
        <f t="shared" si="23"/>
        <v>59.959890914609971</v>
      </c>
      <c r="Z76">
        <f>IF(ISBLANK($H76),NA(),IFERROR(SUM($H76:$H$177),NA()))</f>
        <v>780340.95699999994</v>
      </c>
      <c r="AA76">
        <f>IF(ISBLANK($I76),NA(),IFERROR(SUM($I76:$I$177),NA()))</f>
        <v>1014725.9520000002</v>
      </c>
      <c r="AB76">
        <f>IF(ISBLANK($J76),NA(),IFERROR(SUM($J76:$J$177),NA()))</f>
        <v>677978.73300000001</v>
      </c>
      <c r="AC76">
        <f t="shared" si="24"/>
        <v>1692704.6850000001</v>
      </c>
      <c r="AD76">
        <f t="shared" si="25"/>
        <v>46.10024205137708</v>
      </c>
      <c r="AE76">
        <f t="shared" si="26"/>
        <v>59.947016215648986</v>
      </c>
    </row>
    <row r="77" spans="1:31" x14ac:dyDescent="0.35">
      <c r="A77">
        <v>1924</v>
      </c>
      <c r="B77">
        <v>3279.4810000000002</v>
      </c>
      <c r="C77">
        <v>3451.5010000000002</v>
      </c>
      <c r="D77">
        <v>264.642</v>
      </c>
      <c r="E77">
        <v>3439.422</v>
      </c>
      <c r="F77">
        <v>3619.328</v>
      </c>
      <c r="G77">
        <v>262.10700000000003</v>
      </c>
      <c r="H77">
        <v>3279.4810000000002</v>
      </c>
      <c r="I77">
        <v>3451.5010000000002</v>
      </c>
      <c r="J77">
        <v>264.642</v>
      </c>
      <c r="N77">
        <f>IF(ISBLANK($B77),NA(),IFERROR(SUM($B77:$B$177),NA()))</f>
        <v>777048.07999999973</v>
      </c>
      <c r="O77">
        <f>IF(ISBLANK($C77),NA(),IFERROR(SUM($C77:$C$177),NA()))</f>
        <v>1011275.2900000002</v>
      </c>
      <c r="P77">
        <f>IF(ISBLANK($D77),NA(),IFERROR(SUM($D77:$D$177),NA()))</f>
        <v>678210.23199999996</v>
      </c>
      <c r="Q77">
        <f t="shared" si="18"/>
        <v>1689485.5220000001</v>
      </c>
      <c r="R77">
        <f t="shared" si="19"/>
        <v>45.99317779770827</v>
      </c>
      <c r="S77">
        <f t="shared" si="20"/>
        <v>59.856996513522063</v>
      </c>
      <c r="T77">
        <f>IF(ISBLANK($E77),NA(),IFERROR(SUM($E77:$E$177),NA()))</f>
        <v>800436.63300000003</v>
      </c>
      <c r="U77">
        <f>IF(ISBLANK($F77),NA(),IFERROR(SUM($F77:$F$177),NA()))</f>
        <v>1046558.5770000003</v>
      </c>
      <c r="V77">
        <f>IF(ISBLANK($G77),NA(),IFERROR(SUM($G77:$G$177),NA()))</f>
        <v>701037.77099999983</v>
      </c>
      <c r="W77">
        <f t="shared" si="21"/>
        <v>1747596.3480000002</v>
      </c>
      <c r="X77">
        <f t="shared" si="22"/>
        <v>45.802146125794032</v>
      </c>
      <c r="Y77">
        <f t="shared" si="23"/>
        <v>59.885601054140004</v>
      </c>
      <c r="Z77">
        <f>IF(ISBLANK($H77),NA(),IFERROR(SUM($H77:$H$177),NA()))</f>
        <v>777048.07699999993</v>
      </c>
      <c r="AA77">
        <f>IF(ISBLANK($I77),NA(),IFERROR(SUM($I77:$I$177),NA()))</f>
        <v>1011275.292</v>
      </c>
      <c r="AB77">
        <f>IF(ISBLANK($J77),NA(),IFERROR(SUM($J77:$J$177),NA()))</f>
        <v>677726.397</v>
      </c>
      <c r="AC77">
        <f t="shared" si="24"/>
        <v>1689001.689</v>
      </c>
      <c r="AD77">
        <f t="shared" si="25"/>
        <v>46.006352868721137</v>
      </c>
      <c r="AE77">
        <f t="shared" si="26"/>
        <v>59.874143323014763</v>
      </c>
    </row>
    <row r="78" spans="1:31" x14ac:dyDescent="0.35">
      <c r="A78">
        <v>1925</v>
      </c>
      <c r="B78">
        <v>3314.5189999999998</v>
      </c>
      <c r="C78">
        <v>3483.8739999999998</v>
      </c>
      <c r="D78">
        <v>256.75900000000001</v>
      </c>
      <c r="E78">
        <v>3498.4389999999999</v>
      </c>
      <c r="F78">
        <v>3675.4110000000001</v>
      </c>
      <c r="G78">
        <v>257.62</v>
      </c>
      <c r="H78">
        <v>3314.5189999999998</v>
      </c>
      <c r="I78">
        <v>3483.8739999999998</v>
      </c>
      <c r="J78">
        <v>256.75900000000001</v>
      </c>
      <c r="N78">
        <f>IF(ISBLANK($B78),NA(),IFERROR(SUM($B78:$B$177),NA()))</f>
        <v>773768.59899999981</v>
      </c>
      <c r="O78">
        <f>IF(ISBLANK($C78),NA(),IFERROR(SUM($C78:$C$177),NA()))</f>
        <v>1007823.7890000002</v>
      </c>
      <c r="P78">
        <f>IF(ISBLANK($D78),NA(),IFERROR(SUM($D78:$D$177),NA()))</f>
        <v>677945.59</v>
      </c>
      <c r="Q78">
        <f t="shared" si="18"/>
        <v>1685769.3790000002</v>
      </c>
      <c r="R78">
        <f t="shared" si="19"/>
        <v>45.900026933636674</v>
      </c>
      <c r="S78">
        <f t="shared" si="20"/>
        <v>59.78420307989235</v>
      </c>
      <c r="T78">
        <f>IF(ISBLANK($E78),NA(),IFERROR(SUM($E78:$E$177),NA()))</f>
        <v>796997.21100000001</v>
      </c>
      <c r="U78">
        <f>IF(ISBLANK($F78),NA(),IFERROR(SUM($F78:$F$177),NA()))</f>
        <v>1042939.2490000001</v>
      </c>
      <c r="V78">
        <f>IF(ISBLANK($G78),NA(),IFERROR(SUM($G78:$G$177),NA()))</f>
        <v>700775.66399999999</v>
      </c>
      <c r="W78">
        <f t="shared" si="21"/>
        <v>1743714.9130000002</v>
      </c>
      <c r="X78">
        <f t="shared" si="22"/>
        <v>45.706852941275493</v>
      </c>
      <c r="Y78">
        <f t="shared" si="23"/>
        <v>59.811339641848896</v>
      </c>
      <c r="Z78">
        <f>IF(ISBLANK($H78),NA(),IFERROR(SUM($H78:$H$177),NA()))</f>
        <v>773768.59600000002</v>
      </c>
      <c r="AA78">
        <f>IF(ISBLANK($I78),NA(),IFERROR(SUM($I78:$I$177),NA()))</f>
        <v>1007823.7910000001</v>
      </c>
      <c r="AB78">
        <f>IF(ISBLANK($J78),NA(),IFERROR(SUM($J78:$J$177),NA()))</f>
        <v>677461.755</v>
      </c>
      <c r="AC78">
        <f t="shared" si="24"/>
        <v>1685285.5460000001</v>
      </c>
      <c r="AD78">
        <f t="shared" si="25"/>
        <v>45.91320431344873</v>
      </c>
      <c r="AE78">
        <f t="shared" si="26"/>
        <v>59.801366800543363</v>
      </c>
    </row>
    <row r="79" spans="1:31" x14ac:dyDescent="0.35">
      <c r="A79">
        <v>1926</v>
      </c>
      <c r="B79">
        <v>3231.8629999999998</v>
      </c>
      <c r="C79">
        <v>3427.5259999999998</v>
      </c>
      <c r="D79">
        <v>249.88</v>
      </c>
      <c r="E79">
        <v>3409.0619999999999</v>
      </c>
      <c r="F79">
        <v>3613.5909999999999</v>
      </c>
      <c r="G79">
        <v>261.85700000000003</v>
      </c>
      <c r="H79">
        <v>3231.8629999999998</v>
      </c>
      <c r="I79">
        <v>3427.5259999999998</v>
      </c>
      <c r="J79">
        <v>249.88</v>
      </c>
      <c r="N79">
        <f>IF(ISBLANK($B79),NA(),IFERROR(SUM($B79:$B$177),NA()))</f>
        <v>770454.07999999973</v>
      </c>
      <c r="O79">
        <f>IF(ISBLANK($C79),NA(),IFERROR(SUM($C79:$C$177),NA()))</f>
        <v>1004339.9150000002</v>
      </c>
      <c r="P79">
        <f>IF(ISBLANK($D79),NA(),IFERROR(SUM($D79:$D$177),NA()))</f>
        <v>677688.83100000001</v>
      </c>
      <c r="Q79">
        <f t="shared" si="18"/>
        <v>1682028.7460000003</v>
      </c>
      <c r="R79">
        <f t="shared" si="19"/>
        <v>45.805048328228729</v>
      </c>
      <c r="S79">
        <f t="shared" si="20"/>
        <v>59.710032743994489</v>
      </c>
      <c r="T79">
        <f>IF(ISBLANK($E79),NA(),IFERROR(SUM($E79:$E$177),NA()))</f>
        <v>793498.772</v>
      </c>
      <c r="U79">
        <f>IF(ISBLANK($F79),NA(),IFERROR(SUM($F79:$F$177),NA()))</f>
        <v>1039263.8380000002</v>
      </c>
      <c r="V79">
        <f>IF(ISBLANK($G79),NA(),IFERROR(SUM($G79:$G$177),NA()))</f>
        <v>700518.04399999988</v>
      </c>
      <c r="W79">
        <f t="shared" si="21"/>
        <v>1739781.8820000002</v>
      </c>
      <c r="X79">
        <f t="shared" si="22"/>
        <v>45.609095037121435</v>
      </c>
      <c r="Y79">
        <f t="shared" si="23"/>
        <v>59.735294909801809</v>
      </c>
      <c r="Z79">
        <f>IF(ISBLANK($H79),NA(),IFERROR(SUM($H79:$H$177),NA()))</f>
        <v>770454.07699999993</v>
      </c>
      <c r="AA79">
        <f>IF(ISBLANK($I79),NA(),IFERROR(SUM($I79:$I$177),NA()))</f>
        <v>1004339.917</v>
      </c>
      <c r="AB79">
        <f>IF(ISBLANK($J79),NA(),IFERROR(SUM($J79:$J$177),NA()))</f>
        <v>677204.99600000004</v>
      </c>
      <c r="AC79">
        <f t="shared" si="24"/>
        <v>1681544.9130000002</v>
      </c>
      <c r="AD79">
        <f t="shared" si="25"/>
        <v>45.818227693095217</v>
      </c>
      <c r="AE79">
        <f t="shared" si="26"/>
        <v>59.727213304590457</v>
      </c>
    </row>
    <row r="80" spans="1:31" x14ac:dyDescent="0.35">
      <c r="A80">
        <v>1927</v>
      </c>
      <c r="B80">
        <v>3530.0419999999999</v>
      </c>
      <c r="C80">
        <v>3761.45</v>
      </c>
      <c r="D80">
        <v>251.49700000000001</v>
      </c>
      <c r="E80">
        <v>3735.9659999999999</v>
      </c>
      <c r="F80">
        <v>3981.0520000000001</v>
      </c>
      <c r="G80">
        <v>268.71199999999999</v>
      </c>
      <c r="H80">
        <v>3530.0419999999999</v>
      </c>
      <c r="I80">
        <v>3761.45</v>
      </c>
      <c r="J80">
        <v>251.49700000000001</v>
      </c>
      <c r="N80">
        <f>IF(ISBLANK($B80),NA(),IFERROR(SUM($B80:$B$177),NA()))</f>
        <v>767222.21699999971</v>
      </c>
      <c r="O80">
        <f>IF(ISBLANK($C80),NA(),IFERROR(SUM($C80:$C$177),NA()))</f>
        <v>1000912.3890000001</v>
      </c>
      <c r="P80">
        <f>IF(ISBLANK($D80),NA(),IFERROR(SUM($D80:$D$177),NA()))</f>
        <v>677438.951</v>
      </c>
      <c r="Q80">
        <f t="shared" si="18"/>
        <v>1678351.34</v>
      </c>
      <c r="R80">
        <f t="shared" si="19"/>
        <v>45.712849194019157</v>
      </c>
      <c r="S80">
        <f t="shared" si="20"/>
        <v>59.636642528018001</v>
      </c>
      <c r="T80">
        <f>IF(ISBLANK($E80),NA(),IFERROR(SUM($E80:$E$177),NA()))</f>
        <v>790089.71000000008</v>
      </c>
      <c r="U80">
        <f>IF(ISBLANK($F80),NA(),IFERROR(SUM($F80:$F$177),NA()))</f>
        <v>1035650.2470000002</v>
      </c>
      <c r="V80">
        <f>IF(ISBLANK($G80),NA(),IFERROR(SUM($G80:$G$177),NA()))</f>
        <v>700256.18700000003</v>
      </c>
      <c r="W80">
        <f t="shared" si="21"/>
        <v>1735906.4340000004</v>
      </c>
      <c r="X80">
        <f t="shared" si="22"/>
        <v>45.514533187103787</v>
      </c>
      <c r="Y80">
        <f t="shared" si="23"/>
        <v>59.660487841708175</v>
      </c>
      <c r="Z80">
        <f>IF(ISBLANK($H80),NA(),IFERROR(SUM($H80:$H$177),NA()))</f>
        <v>767222.21399999992</v>
      </c>
      <c r="AA80">
        <f>IF(ISBLANK($I80),NA(),IFERROR(SUM($I80:$I$177),NA()))</f>
        <v>1000912.3910000002</v>
      </c>
      <c r="AB80">
        <f>IF(ISBLANK($J80),NA(),IFERROR(SUM($J80:$J$177),NA()))</f>
        <v>676955.11600000004</v>
      </c>
      <c r="AC80">
        <f t="shared" si="24"/>
        <v>1677867.5070000002</v>
      </c>
      <c r="AD80">
        <f t="shared" si="25"/>
        <v>45.726030857572347</v>
      </c>
      <c r="AE80">
        <f t="shared" si="26"/>
        <v>59.65383958055277</v>
      </c>
    </row>
    <row r="81" spans="1:31" x14ac:dyDescent="0.35">
      <c r="A81">
        <v>1928</v>
      </c>
      <c r="B81">
        <v>3491.248</v>
      </c>
      <c r="C81">
        <v>3740.0320000000002</v>
      </c>
      <c r="D81">
        <v>256.279</v>
      </c>
      <c r="E81">
        <v>3683.21</v>
      </c>
      <c r="F81">
        <v>3944.6179999999999</v>
      </c>
      <c r="G81">
        <v>290.52699999999999</v>
      </c>
      <c r="H81">
        <v>3491.248</v>
      </c>
      <c r="I81">
        <v>3740.0320000000002</v>
      </c>
      <c r="J81">
        <v>256.279</v>
      </c>
      <c r="N81">
        <f>IF(ISBLANK($B81),NA(),IFERROR(SUM($B81:$B$177),NA()))</f>
        <v>763692.1749999997</v>
      </c>
      <c r="O81">
        <f>IF(ISBLANK($C81),NA(),IFERROR(SUM($C81:$C$177),NA()))</f>
        <v>997150.93900000013</v>
      </c>
      <c r="P81">
        <f>IF(ISBLANK($D81),NA(),IFERROR(SUM($D81:$D$177),NA()))</f>
        <v>677187.45399999991</v>
      </c>
      <c r="Q81">
        <f t="shared" si="18"/>
        <v>1674338.3930000002</v>
      </c>
      <c r="R81">
        <f t="shared" si="19"/>
        <v>45.611578770027023</v>
      </c>
      <c r="S81">
        <f t="shared" si="20"/>
        <v>59.554922897835027</v>
      </c>
      <c r="T81">
        <f>IF(ISBLANK($E81),NA(),IFERROR(SUM($E81:$E$177),NA()))</f>
        <v>786353.74400000006</v>
      </c>
      <c r="U81">
        <f>IF(ISBLANK($F81),NA(),IFERROR(SUM($F81:$F$177),NA()))</f>
        <v>1031669.1950000001</v>
      </c>
      <c r="V81">
        <f>IF(ISBLANK($G81),NA(),IFERROR(SUM($G81:$G$177),NA()))</f>
        <v>699987.47499999998</v>
      </c>
      <c r="W81">
        <f t="shared" si="21"/>
        <v>1731656.67</v>
      </c>
      <c r="X81">
        <f t="shared" si="22"/>
        <v>45.410487980853624</v>
      </c>
      <c r="Y81">
        <f t="shared" si="23"/>
        <v>59.577005816054751</v>
      </c>
      <c r="Z81">
        <f>IF(ISBLANK($H81),NA(),IFERROR(SUM($H81:$H$177),NA()))</f>
        <v>763692.1719999999</v>
      </c>
      <c r="AA81">
        <f>IF(ISBLANK($I81),NA(),IFERROR(SUM($I81:$I$177),NA()))</f>
        <v>997150.94100000022</v>
      </c>
      <c r="AB81">
        <f>IF(ISBLANK($J81),NA(),IFERROR(SUM($J81:$J$177),NA()))</f>
        <v>676703.61900000006</v>
      </c>
      <c r="AC81">
        <f t="shared" si="24"/>
        <v>1673854.5600000003</v>
      </c>
      <c r="AD81">
        <f t="shared" si="25"/>
        <v>45.624762763139934</v>
      </c>
      <c r="AE81">
        <f t="shared" si="26"/>
        <v>59.572137557757706</v>
      </c>
    </row>
    <row r="82" spans="1:31" x14ac:dyDescent="0.35">
      <c r="A82">
        <v>1929</v>
      </c>
      <c r="B82">
        <v>3745.6320000000001</v>
      </c>
      <c r="C82">
        <v>4022.3220000000001</v>
      </c>
      <c r="D82">
        <v>265.88799999999998</v>
      </c>
      <c r="E82">
        <v>3954.39</v>
      </c>
      <c r="F82">
        <v>4244.4189999999999</v>
      </c>
      <c r="G82">
        <v>311.21899999999999</v>
      </c>
      <c r="H82">
        <v>3745.6320000000001</v>
      </c>
      <c r="I82">
        <v>4022.3220000000001</v>
      </c>
      <c r="J82">
        <v>265.88799999999998</v>
      </c>
      <c r="N82">
        <f>IF(ISBLANK($B82),NA(),IFERROR(SUM($B82:$B$177),NA()))</f>
        <v>760200.92699999968</v>
      </c>
      <c r="O82">
        <f>IF(ISBLANK($C82),NA(),IFERROR(SUM($C82:$C$177),NA()))</f>
        <v>993410.90700000001</v>
      </c>
      <c r="P82">
        <f>IF(ISBLANK($D82),NA(),IFERROR(SUM($D82:$D$177),NA()))</f>
        <v>676931.17499999993</v>
      </c>
      <c r="Q82">
        <f t="shared" si="18"/>
        <v>1670342.0819999999</v>
      </c>
      <c r="R82">
        <f t="shared" si="19"/>
        <v>45.511690999831956</v>
      </c>
      <c r="S82">
        <f t="shared" si="20"/>
        <v>59.47350053053384</v>
      </c>
      <c r="T82">
        <f>IF(ISBLANK($E82),NA(),IFERROR(SUM($E82:$E$177),NA()))</f>
        <v>782670.5340000001</v>
      </c>
      <c r="U82">
        <f>IF(ISBLANK($F82),NA(),IFERROR(SUM($F82:$F$177),NA()))</f>
        <v>1027724.577</v>
      </c>
      <c r="V82">
        <f>IF(ISBLANK($G82),NA(),IFERROR(SUM($G82:$G$177),NA()))</f>
        <v>699696.94799999997</v>
      </c>
      <c r="W82">
        <f t="shared" si="21"/>
        <v>1727421.5249999999</v>
      </c>
      <c r="X82">
        <f t="shared" si="22"/>
        <v>45.308601442835453</v>
      </c>
      <c r="Y82">
        <f t="shared" si="23"/>
        <v>59.494718696410828</v>
      </c>
      <c r="Z82">
        <f>IF(ISBLANK($H82),NA(),IFERROR(SUM($H82:$H$177),NA()))</f>
        <v>760200.92399999988</v>
      </c>
      <c r="AA82">
        <f>IF(ISBLANK($I82),NA(),IFERROR(SUM($I82:$I$177),NA()))</f>
        <v>993410.9090000001</v>
      </c>
      <c r="AB82">
        <f>IF(ISBLANK($J82),NA(),IFERROR(SUM($J82:$J$177),NA()))</f>
        <v>676447.34</v>
      </c>
      <c r="AC82">
        <f t="shared" si="24"/>
        <v>1669858.2490000001</v>
      </c>
      <c r="AD82">
        <f t="shared" si="25"/>
        <v>45.524877602949147</v>
      </c>
      <c r="AE82">
        <f t="shared" si="26"/>
        <v>59.490732796924974</v>
      </c>
    </row>
    <row r="83" spans="1:31" x14ac:dyDescent="0.35">
      <c r="A83">
        <v>1930</v>
      </c>
      <c r="B83">
        <v>3403.625</v>
      </c>
      <c r="C83">
        <v>3692.9180000000001</v>
      </c>
      <c r="D83">
        <v>265.17700000000002</v>
      </c>
      <c r="E83">
        <v>3588.0920000000001</v>
      </c>
      <c r="F83">
        <v>3893.1309999999999</v>
      </c>
      <c r="G83">
        <v>320.66899999999998</v>
      </c>
      <c r="H83">
        <v>3403.625</v>
      </c>
      <c r="I83">
        <v>3692.9180000000001</v>
      </c>
      <c r="J83">
        <v>265.17700000000002</v>
      </c>
      <c r="N83">
        <f>IF(ISBLANK($B83),NA(),IFERROR(SUM($B83:$B$177),NA()))</f>
        <v>756455.29499999969</v>
      </c>
      <c r="O83">
        <f>IF(ISBLANK($C83),NA(),IFERROR(SUM($C83:$C$177),NA()))</f>
        <v>989388.58500000008</v>
      </c>
      <c r="P83">
        <f>IF(ISBLANK($D83),NA(),IFERROR(SUM($D83:$D$177),NA()))</f>
        <v>676665.28699999989</v>
      </c>
      <c r="Q83">
        <f t="shared" si="18"/>
        <v>1666053.872</v>
      </c>
      <c r="R83">
        <f t="shared" si="19"/>
        <v>45.404011701729637</v>
      </c>
      <c r="S83">
        <f t="shared" si="20"/>
        <v>59.385149641787812</v>
      </c>
      <c r="T83">
        <f>IF(ISBLANK($E83),NA(),IFERROR(SUM($E83:$E$177),NA()))</f>
        <v>778716.14399999997</v>
      </c>
      <c r="U83">
        <f>IF(ISBLANK($F83),NA(),IFERROR(SUM($F83:$F$177),NA()))</f>
        <v>1023480.1580000003</v>
      </c>
      <c r="V83">
        <f>IF(ISBLANK($G83),NA(),IFERROR(SUM($G83:$G$177),NA()))</f>
        <v>699385.72899999993</v>
      </c>
      <c r="W83">
        <f t="shared" si="21"/>
        <v>1722865.8870000001</v>
      </c>
      <c r="X83">
        <f t="shared" si="22"/>
        <v>45.198883434622203</v>
      </c>
      <c r="Y83">
        <f t="shared" si="23"/>
        <v>59.405677814085145</v>
      </c>
      <c r="Z83">
        <f>IF(ISBLANK($H83),NA(),IFERROR(SUM($H83:$H$177),NA()))</f>
        <v>756455.29199999978</v>
      </c>
      <c r="AA83">
        <f>IF(ISBLANK($I83),NA(),IFERROR(SUM($I83:$I$177),NA()))</f>
        <v>989388.58700000017</v>
      </c>
      <c r="AB83">
        <f>IF(ISBLANK($J83),NA(),IFERROR(SUM($J83:$J$177),NA()))</f>
        <v>676181.45200000005</v>
      </c>
      <c r="AC83">
        <f t="shared" si="24"/>
        <v>1665570.0390000003</v>
      </c>
      <c r="AD83">
        <f t="shared" si="25"/>
        <v>45.417200975479339</v>
      </c>
      <c r="AE83">
        <f t="shared" si="26"/>
        <v>59.40240060958493</v>
      </c>
    </row>
    <row r="84" spans="1:31" x14ac:dyDescent="0.35">
      <c r="A84">
        <v>1931</v>
      </c>
      <c r="B84">
        <v>2974.7719999999999</v>
      </c>
      <c r="C84">
        <v>3286.8589999999999</v>
      </c>
      <c r="D84">
        <v>252.46</v>
      </c>
      <c r="E84">
        <v>3137.3440000000001</v>
      </c>
      <c r="F84">
        <v>3466.8820000000001</v>
      </c>
      <c r="G84">
        <v>301.03500000000003</v>
      </c>
      <c r="H84">
        <v>2974.7719999999999</v>
      </c>
      <c r="I84">
        <v>3286.8589999999999</v>
      </c>
      <c r="J84">
        <v>252.46</v>
      </c>
      <c r="N84">
        <f>IF(ISBLANK($B84),NA(),IFERROR(SUM($B84:$B$177),NA()))</f>
        <v>753051.66999999969</v>
      </c>
      <c r="O84">
        <f>IF(ISBLANK($C84),NA(),IFERROR(SUM($C84:$C$177),NA()))</f>
        <v>985695.66700000002</v>
      </c>
      <c r="P84">
        <f>IF(ISBLANK($D84),NA(),IFERROR(SUM($D84:$D$177),NA()))</f>
        <v>676400.11</v>
      </c>
      <c r="Q84">
        <f t="shared" si="18"/>
        <v>1662095.777</v>
      </c>
      <c r="R84">
        <f t="shared" si="19"/>
        <v>45.307357158395554</v>
      </c>
      <c r="S84">
        <f t="shared" si="20"/>
        <v>59.304384298426626</v>
      </c>
      <c r="T84">
        <f>IF(ISBLANK($E84),NA(),IFERROR(SUM($E84:$E$177),NA()))</f>
        <v>775128.05200000003</v>
      </c>
      <c r="U84">
        <f>IF(ISBLANK($F84),NA(),IFERROR(SUM($F84:$F$177),NA()))</f>
        <v>1019587.0270000002</v>
      </c>
      <c r="V84">
        <f>IF(ISBLANK($G84),NA(),IFERROR(SUM($G84:$G$177),NA()))</f>
        <v>699065.05999999994</v>
      </c>
      <c r="W84">
        <f t="shared" si="21"/>
        <v>1718652.0870000003</v>
      </c>
      <c r="X84">
        <f t="shared" si="22"/>
        <v>45.100928679115491</v>
      </c>
      <c r="Y84">
        <f t="shared" si="23"/>
        <v>59.324806615150614</v>
      </c>
      <c r="Z84">
        <f>IF(ISBLANK($H84),NA(),IFERROR(SUM($H84:$H$177),NA()))</f>
        <v>753051.6669999999</v>
      </c>
      <c r="AA84">
        <f>IF(ISBLANK($I84),NA(),IFERROR(SUM($I84:$I$177),NA()))</f>
        <v>985695.66900000011</v>
      </c>
      <c r="AB84">
        <f>IF(ISBLANK($J84),NA(),IFERROR(SUM($J84:$J$177),NA()))</f>
        <v>675916.27500000002</v>
      </c>
      <c r="AC84">
        <f t="shared" si="24"/>
        <v>1661611.9440000001</v>
      </c>
      <c r="AD84">
        <f t="shared" si="25"/>
        <v>45.320549705918573</v>
      </c>
      <c r="AE84">
        <f t="shared" si="26"/>
        <v>59.321652841946594</v>
      </c>
    </row>
    <row r="85" spans="1:31" x14ac:dyDescent="0.35">
      <c r="A85">
        <v>1932</v>
      </c>
      <c r="B85">
        <v>2626.5079999999998</v>
      </c>
      <c r="C85">
        <v>2940.5410000000002</v>
      </c>
      <c r="D85">
        <v>252.04900000000001</v>
      </c>
      <c r="E85">
        <v>2770.1640000000002</v>
      </c>
      <c r="F85">
        <v>3101.7260000000001</v>
      </c>
      <c r="G85">
        <v>298.14</v>
      </c>
      <c r="H85">
        <v>2626.5079999999998</v>
      </c>
      <c r="I85">
        <v>2940.5410000000002</v>
      </c>
      <c r="J85">
        <v>252.04900000000001</v>
      </c>
      <c r="N85">
        <f>IF(ISBLANK($B85),NA(),IFERROR(SUM($B85:$B$177),NA()))</f>
        <v>750076.8979999997</v>
      </c>
      <c r="O85">
        <f>IF(ISBLANK($C85),NA(),IFERROR(SUM($C85:$C$177),NA()))</f>
        <v>982408.80800000008</v>
      </c>
      <c r="P85">
        <f>IF(ISBLANK($D85),NA(),IFERROR(SUM($D85:$D$177),NA()))</f>
        <v>676147.64999999991</v>
      </c>
      <c r="Q85">
        <f t="shared" si="18"/>
        <v>1658556.4580000001</v>
      </c>
      <c r="R85">
        <f t="shared" si="19"/>
        <v>45.224682848872888</v>
      </c>
      <c r="S85">
        <f t="shared" si="20"/>
        <v>59.232762518356182</v>
      </c>
      <c r="T85">
        <f>IF(ISBLANK($E85),NA(),IFERROR(SUM($E85:$E$177),NA()))</f>
        <v>771990.70799999998</v>
      </c>
      <c r="U85">
        <f>IF(ISBLANK($F85),NA(),IFERROR(SUM($F85:$F$177),NA()))</f>
        <v>1016120.145</v>
      </c>
      <c r="V85">
        <f>IF(ISBLANK($G85),NA(),IFERROR(SUM($G85:$G$177),NA()))</f>
        <v>698764.02500000002</v>
      </c>
      <c r="W85">
        <f t="shared" si="21"/>
        <v>1714884.17</v>
      </c>
      <c r="X85">
        <f t="shared" si="22"/>
        <v>45.017075876325805</v>
      </c>
      <c r="Y85">
        <f t="shared" si="23"/>
        <v>59.252989955583999</v>
      </c>
      <c r="Z85">
        <f>IF(ISBLANK($H85),NA(),IFERROR(SUM($H85:$H$177),NA()))</f>
        <v>750076.8949999999</v>
      </c>
      <c r="AA85">
        <f>IF(ISBLANK($I85),NA(),IFERROR(SUM($I85:$I$177),NA()))</f>
        <v>982408.80999999994</v>
      </c>
      <c r="AB85">
        <f>IF(ISBLANK($J85),NA(),IFERROR(SUM($J85:$J$177),NA()))</f>
        <v>675663.81500000006</v>
      </c>
      <c r="AC85">
        <f t="shared" si="24"/>
        <v>1658072.625</v>
      </c>
      <c r="AD85">
        <f t="shared" si="25"/>
        <v>45.237879432452473</v>
      </c>
      <c r="AE85">
        <f t="shared" si="26"/>
        <v>59.250047023724306</v>
      </c>
    </row>
    <row r="86" spans="1:31" x14ac:dyDescent="0.35">
      <c r="A86">
        <v>1933</v>
      </c>
      <c r="B86">
        <v>2759.7240000000002</v>
      </c>
      <c r="C86">
        <v>3092.6289999999999</v>
      </c>
      <c r="D86">
        <v>270.053</v>
      </c>
      <c r="E86">
        <v>2908.3690000000001</v>
      </c>
      <c r="F86">
        <v>3259.6019999999999</v>
      </c>
      <c r="G86">
        <v>319.05599999999998</v>
      </c>
      <c r="H86">
        <v>2759.7240000000002</v>
      </c>
      <c r="I86">
        <v>3092.6289999999999</v>
      </c>
      <c r="J86">
        <v>270.053</v>
      </c>
      <c r="N86">
        <f>IF(ISBLANK($B86),NA(),IFERROR(SUM($B86:$B$177),NA()))</f>
        <v>747450.38999999978</v>
      </c>
      <c r="O86">
        <f>IF(ISBLANK($C86),NA(),IFERROR(SUM($C86:$C$177),NA()))</f>
        <v>979468.26700000011</v>
      </c>
      <c r="P86">
        <f>IF(ISBLANK($D86),NA(),IFERROR(SUM($D86:$D$177),NA()))</f>
        <v>675895.60099999991</v>
      </c>
      <c r="Q86">
        <f t="shared" si="18"/>
        <v>1655363.868</v>
      </c>
      <c r="R86">
        <f t="shared" si="19"/>
        <v>45.153238176151838</v>
      </c>
      <c r="S86">
        <f t="shared" si="20"/>
        <v>59.169363662829454</v>
      </c>
      <c r="T86">
        <f>IF(ISBLANK($E86),NA(),IFERROR(SUM($E86:$E$177),NA()))</f>
        <v>769220.54399999988</v>
      </c>
      <c r="U86">
        <f>IF(ISBLANK($F86),NA(),IFERROR(SUM($F86:$F$177),NA()))</f>
        <v>1013018.4190000002</v>
      </c>
      <c r="V86">
        <f>IF(ISBLANK($G86),NA(),IFERROR(SUM($G86:$G$177),NA()))</f>
        <v>698465.88499999989</v>
      </c>
      <c r="W86">
        <f t="shared" si="21"/>
        <v>1711484.304</v>
      </c>
      <c r="X86">
        <f t="shared" si="22"/>
        <v>44.944644961231255</v>
      </c>
      <c r="Y86">
        <f t="shared" si="23"/>
        <v>59.189465929218379</v>
      </c>
      <c r="Z86">
        <f>IF(ISBLANK($H86),NA(),IFERROR(SUM($H86:$H$177),NA()))</f>
        <v>747450.38699999987</v>
      </c>
      <c r="AA86">
        <f>IF(ISBLANK($I86),NA(),IFERROR(SUM($I86:$I$177),NA()))</f>
        <v>979468.26899999997</v>
      </c>
      <c r="AB86">
        <f>IF(ISBLANK($J86),NA(),IFERROR(SUM($J86:$J$177),NA()))</f>
        <v>675411.76600000006</v>
      </c>
      <c r="AC86">
        <f t="shared" si="24"/>
        <v>1654880.0350000001</v>
      </c>
      <c r="AD86">
        <f t="shared" si="25"/>
        <v>45.166439330449705</v>
      </c>
      <c r="AE86">
        <f t="shared" si="26"/>
        <v>59.186662977658067</v>
      </c>
    </row>
    <row r="87" spans="1:31" x14ac:dyDescent="0.35">
      <c r="A87">
        <v>1934</v>
      </c>
      <c r="B87">
        <v>2965.8159999999998</v>
      </c>
      <c r="C87">
        <v>3349.5549999999998</v>
      </c>
      <c r="D87">
        <v>306.63</v>
      </c>
      <c r="E87">
        <v>3126.36</v>
      </c>
      <c r="F87">
        <v>3531.4549999999999</v>
      </c>
      <c r="G87">
        <v>364.60599999999999</v>
      </c>
      <c r="H87">
        <v>2965.8159999999998</v>
      </c>
      <c r="I87">
        <v>3349.5549999999998</v>
      </c>
      <c r="J87">
        <v>306.63</v>
      </c>
      <c r="N87">
        <f>IF(ISBLANK($B87),NA(),IFERROR(SUM($B87:$B$177),NA()))</f>
        <v>744690.66599999985</v>
      </c>
      <c r="O87">
        <f>IF(ISBLANK($C87),NA(),IFERROR(SUM($C87:$C$177),NA()))</f>
        <v>976375.63799999992</v>
      </c>
      <c r="P87">
        <f>IF(ISBLANK($D87),NA(),IFERROR(SUM($D87:$D$177),NA()))</f>
        <v>675625.54799999995</v>
      </c>
      <c r="Q87">
        <f t="shared" si="18"/>
        <v>1652001.1859999998</v>
      </c>
      <c r="R87">
        <f t="shared" si="19"/>
        <v>45.078095119478924</v>
      </c>
      <c r="S87">
        <f t="shared" si="20"/>
        <v>59.102599094623173</v>
      </c>
      <c r="T87">
        <f>IF(ISBLANK($E87),NA(),IFERROR(SUM($E87:$E$177),NA()))</f>
        <v>766312.17499999993</v>
      </c>
      <c r="U87">
        <f>IF(ISBLANK($F87),NA(),IFERROR(SUM($F87:$F$177),NA()))</f>
        <v>1009758.817</v>
      </c>
      <c r="V87">
        <f>IF(ISBLANK($G87),NA(),IFERROR(SUM($G87:$G$177),NA()))</f>
        <v>698146.82900000003</v>
      </c>
      <c r="W87">
        <f t="shared" si="21"/>
        <v>1707905.6460000002</v>
      </c>
      <c r="X87">
        <f t="shared" si="22"/>
        <v>44.868531045303413</v>
      </c>
      <c r="Y87">
        <f t="shared" si="23"/>
        <v>59.122634752388414</v>
      </c>
      <c r="Z87">
        <f>IF(ISBLANK($H87),NA(),IFERROR(SUM($H87:$H$177),NA()))</f>
        <v>744690.66299999983</v>
      </c>
      <c r="AA87">
        <f>IF(ISBLANK($I87),NA(),IFERROR(SUM($I87:$I$177),NA()))</f>
        <v>976375.64</v>
      </c>
      <c r="AB87">
        <f>IF(ISBLANK($J87),NA(),IFERROR(SUM($J87:$J$177),NA()))</f>
        <v>675141.71299999999</v>
      </c>
      <c r="AC87">
        <f t="shared" si="24"/>
        <v>1651517.3530000001</v>
      </c>
      <c r="AD87">
        <f t="shared" si="25"/>
        <v>45.091301138753451</v>
      </c>
      <c r="AE87">
        <f t="shared" si="26"/>
        <v>59.119914073346102</v>
      </c>
    </row>
    <row r="88" spans="1:31" x14ac:dyDescent="0.35">
      <c r="A88">
        <v>1935</v>
      </c>
      <c r="B88">
        <v>3077.8879999999999</v>
      </c>
      <c r="C88">
        <v>3496.8510000000001</v>
      </c>
      <c r="D88">
        <v>338.89</v>
      </c>
      <c r="E88">
        <v>3246.6579999999999</v>
      </c>
      <c r="F88">
        <v>3689.3649999999998</v>
      </c>
      <c r="G88">
        <v>408.315</v>
      </c>
      <c r="H88">
        <v>3077.8879999999999</v>
      </c>
      <c r="I88">
        <v>3496.8510000000001</v>
      </c>
      <c r="J88">
        <v>338.89</v>
      </c>
      <c r="N88">
        <f>IF(ISBLANK($B88),NA(),IFERROR(SUM($B88:$B$177),NA()))</f>
        <v>741724.84999999986</v>
      </c>
      <c r="O88">
        <f>IF(ISBLANK($C88),NA(),IFERROR(SUM($C88:$C$177),NA()))</f>
        <v>973026.08299999998</v>
      </c>
      <c r="P88">
        <f>IF(ISBLANK($D88),NA(),IFERROR(SUM($D88:$D$177),NA()))</f>
        <v>675318.91799999995</v>
      </c>
      <c r="Q88">
        <f t="shared" si="18"/>
        <v>1648345.0009999999</v>
      </c>
      <c r="R88">
        <f t="shared" si="19"/>
        <v>44.998155698595767</v>
      </c>
      <c r="S88">
        <f t="shared" si="20"/>
        <v>59.030487089152764</v>
      </c>
      <c r="T88">
        <f>IF(ISBLANK($E88),NA(),IFERROR(SUM($E88:$E$177),NA()))</f>
        <v>763185.81499999983</v>
      </c>
      <c r="U88">
        <f>IF(ISBLANK($F88),NA(),IFERROR(SUM($F88:$F$177),NA()))</f>
        <v>1006227.3620000002</v>
      </c>
      <c r="V88">
        <f>IF(ISBLANK($G88),NA(),IFERROR(SUM($G88:$G$177),NA()))</f>
        <v>697782.22299999988</v>
      </c>
      <c r="W88">
        <f t="shared" si="21"/>
        <v>1704009.585</v>
      </c>
      <c r="X88">
        <f t="shared" si="22"/>
        <v>44.787648010794484</v>
      </c>
      <c r="Y88">
        <f t="shared" si="23"/>
        <v>59.050569366368919</v>
      </c>
      <c r="Z88">
        <f>IF(ISBLANK($H88),NA(),IFERROR(SUM($H88:$H$177),NA()))</f>
        <v>741724.84699999983</v>
      </c>
      <c r="AA88">
        <f>IF(ISBLANK($I88),NA(),IFERROR(SUM($I88:$I$177),NA()))</f>
        <v>973026.08500000008</v>
      </c>
      <c r="AB88">
        <f>IF(ISBLANK($J88),NA(),IFERROR(SUM($J88:$J$177),NA()))</f>
        <v>674835.08299999998</v>
      </c>
      <c r="AC88">
        <f t="shared" si="24"/>
        <v>1647861.1680000001</v>
      </c>
      <c r="AD88">
        <f t="shared" si="25"/>
        <v>45.011367547438915</v>
      </c>
      <c r="AE88">
        <f t="shared" si="26"/>
        <v>59.047819312409459</v>
      </c>
    </row>
    <row r="89" spans="1:31" x14ac:dyDescent="0.35">
      <c r="A89">
        <v>1936</v>
      </c>
      <c r="B89">
        <v>3378.7060000000001</v>
      </c>
      <c r="C89">
        <v>3848.183</v>
      </c>
      <c r="D89">
        <v>359.74599999999998</v>
      </c>
      <c r="E89">
        <v>3561.6529999999998</v>
      </c>
      <c r="F89">
        <v>4058.2739999999999</v>
      </c>
      <c r="G89">
        <v>438.99900000000002</v>
      </c>
      <c r="H89">
        <v>3378.7060000000001</v>
      </c>
      <c r="I89">
        <v>3848.183</v>
      </c>
      <c r="J89">
        <v>359.74599999999998</v>
      </c>
      <c r="N89">
        <f>IF(ISBLANK($B89),NA(),IFERROR(SUM($B89:$B$177),NA()))</f>
        <v>738646.96199999982</v>
      </c>
      <c r="O89">
        <f>IF(ISBLANK($C89),NA(),IFERROR(SUM($C89:$C$177),NA()))</f>
        <v>969529.23199999996</v>
      </c>
      <c r="P89">
        <f>IF(ISBLANK($D89),NA(),IFERROR(SUM($D89:$D$177),NA()))</f>
        <v>674980.02799999993</v>
      </c>
      <c r="Q89">
        <f t="shared" si="18"/>
        <v>1644509.2599999998</v>
      </c>
      <c r="R89">
        <f t="shared" si="19"/>
        <v>44.915950306050568</v>
      </c>
      <c r="S89">
        <f t="shared" si="20"/>
        <v>58.955534978258505</v>
      </c>
      <c r="T89">
        <f>IF(ISBLANK($E89),NA(),IFERROR(SUM($E89:$E$177),NA()))</f>
        <v>759939.15700000001</v>
      </c>
      <c r="U89">
        <f>IF(ISBLANK($F89),NA(),IFERROR(SUM($F89:$F$177),NA()))</f>
        <v>1002537.9970000002</v>
      </c>
      <c r="V89">
        <f>IF(ISBLANK($G89),NA(),IFERROR(SUM($G89:$G$177),NA()))</f>
        <v>697373.90799999994</v>
      </c>
      <c r="W89">
        <f t="shared" si="21"/>
        <v>1699911.9050000003</v>
      </c>
      <c r="X89">
        <f t="shared" si="22"/>
        <v>44.704619972644991</v>
      </c>
      <c r="Y89">
        <f t="shared" si="23"/>
        <v>58.975879517709487</v>
      </c>
      <c r="Z89">
        <f>IF(ISBLANK($H89),NA(),IFERROR(SUM($H89:$H$177),NA()))</f>
        <v>738646.95899999992</v>
      </c>
      <c r="AA89">
        <f>IF(ISBLANK($I89),NA(),IFERROR(SUM($I89:$I$177),NA()))</f>
        <v>969529.23400000005</v>
      </c>
      <c r="AB89">
        <f>IF(ISBLANK($J89),NA(),IFERROR(SUM($J89:$J$177),NA()))</f>
        <v>674496.19299999997</v>
      </c>
      <c r="AC89">
        <f t="shared" si="24"/>
        <v>1644025.4270000001</v>
      </c>
      <c r="AD89">
        <f t="shared" si="25"/>
        <v>44.92916878711997</v>
      </c>
      <c r="AE89">
        <f t="shared" si="26"/>
        <v>58.972885581775124</v>
      </c>
    </row>
    <row r="90" spans="1:31" x14ac:dyDescent="0.35">
      <c r="A90">
        <v>1937</v>
      </c>
      <c r="B90">
        <v>3615.6889999999999</v>
      </c>
      <c r="C90">
        <v>4104.1409999999996</v>
      </c>
      <c r="D90">
        <v>392.57299999999998</v>
      </c>
      <c r="E90">
        <v>3818.835</v>
      </c>
      <c r="F90">
        <v>4336.2190000000001</v>
      </c>
      <c r="G90">
        <v>483.072</v>
      </c>
      <c r="H90">
        <v>3615.6889999999999</v>
      </c>
      <c r="I90">
        <v>4104.1409999999996</v>
      </c>
      <c r="J90">
        <v>392.57299999999998</v>
      </c>
      <c r="N90">
        <f>IF(ISBLANK($B90),NA(),IFERROR(SUM($B90:$B$177),NA()))</f>
        <v>735268.25599999982</v>
      </c>
      <c r="O90">
        <f>IF(ISBLANK($C90),NA(),IFERROR(SUM($C90:$C$177),NA()))</f>
        <v>965681.049</v>
      </c>
      <c r="P90">
        <f>IF(ISBLANK($D90),NA(),IFERROR(SUM($D90:$D$177),NA()))</f>
        <v>674620.28200000001</v>
      </c>
      <c r="Q90">
        <f t="shared" si="18"/>
        <v>1640301.331</v>
      </c>
      <c r="R90">
        <f t="shared" si="19"/>
        <v>44.825194133796614</v>
      </c>
      <c r="S90">
        <f t="shared" si="20"/>
        <v>58.872173712818864</v>
      </c>
      <c r="T90">
        <f>IF(ISBLANK($E90),NA(),IFERROR(SUM($E90:$E$177),NA()))</f>
        <v>756377.50399999984</v>
      </c>
      <c r="U90">
        <f>IF(ISBLANK($F90),NA(),IFERROR(SUM($F90:$F$177),NA()))</f>
        <v>998479.72300000023</v>
      </c>
      <c r="V90">
        <f>IF(ISBLANK($G90),NA(),IFERROR(SUM($G90:$G$177),NA()))</f>
        <v>696934.90899999987</v>
      </c>
      <c r="W90">
        <f t="shared" si="21"/>
        <v>1695414.6320000002</v>
      </c>
      <c r="X90">
        <f t="shared" si="22"/>
        <v>44.613128241540373</v>
      </c>
      <c r="Y90">
        <f t="shared" si="23"/>
        <v>58.892951856982677</v>
      </c>
      <c r="Z90">
        <f>IF(ISBLANK($H90),NA(),IFERROR(SUM($H90:$H$177),NA()))</f>
        <v>735268.25299999991</v>
      </c>
      <c r="AA90">
        <f>IF(ISBLANK($I90),NA(),IFERROR(SUM($I90:$I$177),NA()))</f>
        <v>965681.05099999986</v>
      </c>
      <c r="AB90">
        <f>IF(ISBLANK($J90),NA(),IFERROR(SUM($J90:$J$177),NA()))</f>
        <v>674136.44700000004</v>
      </c>
      <c r="AC90">
        <f t="shared" si="24"/>
        <v>1639817.4979999999</v>
      </c>
      <c r="AD90">
        <f t="shared" si="25"/>
        <v>44.838419756879553</v>
      </c>
      <c r="AE90">
        <f t="shared" si="26"/>
        <v>58.889544243660694</v>
      </c>
    </row>
    <row r="91" spans="1:31" x14ac:dyDescent="0.35">
      <c r="A91">
        <v>1938</v>
      </c>
      <c r="B91">
        <v>3317.5329999999999</v>
      </c>
      <c r="C91">
        <v>3835.578</v>
      </c>
      <c r="D91">
        <v>394.03899999999999</v>
      </c>
      <c r="E91">
        <v>3499.7539999999999</v>
      </c>
      <c r="F91">
        <v>4048.7890000000002</v>
      </c>
      <c r="G91">
        <v>494.541</v>
      </c>
      <c r="H91">
        <v>3317.5329999999999</v>
      </c>
      <c r="I91">
        <v>3835.578</v>
      </c>
      <c r="J91">
        <v>394.03899999999999</v>
      </c>
      <c r="N91">
        <f>IF(ISBLANK($B91),NA(),IFERROR(SUM($B91:$B$177),NA()))</f>
        <v>731652.56699999992</v>
      </c>
      <c r="O91">
        <f>IF(ISBLANK($C91),NA(),IFERROR(SUM($C91:$C$177),NA()))</f>
        <v>961576.90799999994</v>
      </c>
      <c r="P91">
        <f>IF(ISBLANK($D91),NA(),IFERROR(SUM($D91:$D$177),NA()))</f>
        <v>674227.70899999992</v>
      </c>
      <c r="Q91">
        <f t="shared" si="18"/>
        <v>1635804.6169999999</v>
      </c>
      <c r="R91">
        <f t="shared" si="19"/>
        <v>44.727381216335075</v>
      </c>
      <c r="S91">
        <f t="shared" si="20"/>
        <v>58.7831149274718</v>
      </c>
      <c r="T91">
        <f>IF(ISBLANK($E91),NA(),IFERROR(SUM($E91:$E$177),NA()))</f>
        <v>752558.66899999988</v>
      </c>
      <c r="U91">
        <f>IF(ISBLANK($F91),NA(),IFERROR(SUM($F91:$F$177),NA()))</f>
        <v>994143.50400000019</v>
      </c>
      <c r="V91">
        <f>IF(ISBLANK($G91),NA(),IFERROR(SUM($G91:$G$177),NA()))</f>
        <v>696451.83699999994</v>
      </c>
      <c r="W91">
        <f t="shared" si="21"/>
        <v>1690595.341</v>
      </c>
      <c r="X91">
        <f t="shared" si="22"/>
        <v>44.514417539732229</v>
      </c>
      <c r="Y91">
        <f t="shared" si="23"/>
        <v>58.804344238400461</v>
      </c>
      <c r="Z91">
        <f>IF(ISBLANK($H91),NA(),IFERROR(SUM($H91:$H$177),NA()))</f>
        <v>731652.56400000001</v>
      </c>
      <c r="AA91">
        <f>IF(ISBLANK($I91),NA(),IFERROR(SUM($I91:$I$177),NA()))</f>
        <v>961576.91</v>
      </c>
      <c r="AB91">
        <f>IF(ISBLANK($J91),NA(),IFERROR(SUM($J91:$J$177),NA()))</f>
        <v>673743.87400000007</v>
      </c>
      <c r="AC91">
        <f t="shared" si="24"/>
        <v>1635320.784</v>
      </c>
      <c r="AD91">
        <f t="shared" si="25"/>
        <v>44.740614267151642</v>
      </c>
      <c r="AE91">
        <f t="shared" si="26"/>
        <v>58.800506873518707</v>
      </c>
    </row>
    <row r="92" spans="1:31" x14ac:dyDescent="0.35">
      <c r="A92">
        <v>1939</v>
      </c>
      <c r="B92">
        <v>3527.6080000000002</v>
      </c>
      <c r="C92">
        <v>4046.7689999999998</v>
      </c>
      <c r="D92">
        <v>423.363</v>
      </c>
      <c r="E92">
        <v>3733.1410000000001</v>
      </c>
      <c r="F92">
        <v>4283.1490000000003</v>
      </c>
      <c r="G92">
        <v>533.34299999999996</v>
      </c>
      <c r="H92">
        <v>3527.6080000000002</v>
      </c>
      <c r="I92">
        <v>4046.7689999999998</v>
      </c>
      <c r="J92">
        <v>423.363</v>
      </c>
      <c r="N92">
        <f>IF(ISBLANK($B92),NA(),IFERROR(SUM($B92:$B$177),NA()))</f>
        <v>728335.03399999987</v>
      </c>
      <c r="O92">
        <f>IF(ISBLANK($C92),NA(),IFERROR(SUM($C92:$C$177),NA()))</f>
        <v>957741.33</v>
      </c>
      <c r="P92">
        <f>IF(ISBLANK($D92),NA(),IFERROR(SUM($D92:$D$177),NA()))</f>
        <v>673833.66999999993</v>
      </c>
      <c r="Q92">
        <f t="shared" si="18"/>
        <v>1631575</v>
      </c>
      <c r="R92">
        <f t="shared" si="19"/>
        <v>44.639997180638332</v>
      </c>
      <c r="S92">
        <f t="shared" si="20"/>
        <v>58.70041708165423</v>
      </c>
      <c r="T92">
        <f>IF(ISBLANK($E92),NA(),IFERROR(SUM($E92:$E$177),NA()))</f>
        <v>749058.91499999992</v>
      </c>
      <c r="U92">
        <f>IF(ISBLANK($F92),NA(),IFERROR(SUM($F92:$F$177),NA()))</f>
        <v>990094.71500000008</v>
      </c>
      <c r="V92">
        <f>IF(ISBLANK($G92),NA(),IFERROR(SUM($G92:$G$177),NA()))</f>
        <v>695957.29599999997</v>
      </c>
      <c r="W92">
        <f t="shared" si="21"/>
        <v>1686052.0109999999</v>
      </c>
      <c r="X92">
        <f t="shared" si="22"/>
        <v>44.426797638094925</v>
      </c>
      <c r="Y92">
        <f t="shared" si="23"/>
        <v>58.722667423098848</v>
      </c>
      <c r="Z92">
        <f>IF(ISBLANK($H92),NA(),IFERROR(SUM($H92:$H$177),NA()))</f>
        <v>728335.03100000008</v>
      </c>
      <c r="AA92">
        <f>IF(ISBLANK($I92),NA(),IFERROR(SUM($I92:$I$177),NA()))</f>
        <v>957741.33200000005</v>
      </c>
      <c r="AB92">
        <f>IF(ISBLANK($J92),NA(),IFERROR(SUM($J92:$J$177),NA()))</f>
        <v>673349.83499999996</v>
      </c>
      <c r="AC92">
        <f t="shared" si="24"/>
        <v>1631091.1669999999</v>
      </c>
      <c r="AD92">
        <f t="shared" si="25"/>
        <v>44.653238625502297</v>
      </c>
      <c r="AE92">
        <f t="shared" si="26"/>
        <v>58.717829596339179</v>
      </c>
    </row>
    <row r="93" spans="1:31" x14ac:dyDescent="0.35">
      <c r="A93">
        <v>1940</v>
      </c>
      <c r="B93">
        <v>3709.15</v>
      </c>
      <c r="C93">
        <v>4423.4170000000004</v>
      </c>
      <c r="D93">
        <v>461.24400000000003</v>
      </c>
      <c r="E93">
        <v>3888.4140000000002</v>
      </c>
      <c r="F93">
        <v>4640.5529999999999</v>
      </c>
      <c r="G93">
        <v>555.303</v>
      </c>
      <c r="H93">
        <v>3709.15</v>
      </c>
      <c r="I93">
        <v>4423.4170000000004</v>
      </c>
      <c r="J93">
        <v>461.24400000000003</v>
      </c>
      <c r="N93">
        <f>IF(ISBLANK($B93),NA(),IFERROR(SUM($B93:$B$177),NA()))</f>
        <v>724807.42599999998</v>
      </c>
      <c r="O93">
        <f>IF(ISBLANK($C93),NA(),IFERROR(SUM($C93:$C$177),NA()))</f>
        <v>953694.5610000001</v>
      </c>
      <c r="P93">
        <f>IF(ISBLANK($D93),NA(),IFERROR(SUM($D93:$D$177),NA()))</f>
        <v>673410.30699999991</v>
      </c>
      <c r="Q93">
        <f t="shared" si="18"/>
        <v>1627104.868</v>
      </c>
      <c r="R93">
        <f t="shared" si="19"/>
        <v>44.545833538739068</v>
      </c>
      <c r="S93">
        <f t="shared" si="20"/>
        <v>58.612974477315625</v>
      </c>
      <c r="T93">
        <f>IF(ISBLANK($E93),NA(),IFERROR(SUM($E93:$E$177),NA()))</f>
        <v>745325.77399999986</v>
      </c>
      <c r="U93">
        <f>IF(ISBLANK($F93),NA(),IFERROR(SUM($F93:$F$177),NA()))</f>
        <v>985811.56600000011</v>
      </c>
      <c r="V93">
        <f>IF(ISBLANK($G93),NA(),IFERROR(SUM($G93:$G$177),NA()))</f>
        <v>695423.95299999986</v>
      </c>
      <c r="W93">
        <f t="shared" si="21"/>
        <v>1681235.5189999999</v>
      </c>
      <c r="X93">
        <f t="shared" si="22"/>
        <v>44.332026392311782</v>
      </c>
      <c r="Y93">
        <f t="shared" si="23"/>
        <v>58.636137225221219</v>
      </c>
      <c r="Z93">
        <f>IF(ISBLANK($H93),NA(),IFERROR(SUM($H93:$H$177),NA()))</f>
        <v>724807.42300000007</v>
      </c>
      <c r="AA93">
        <f>IF(ISBLANK($I93),NA(),IFERROR(SUM($I93:$I$177),NA()))</f>
        <v>953694.56299999997</v>
      </c>
      <c r="AB93">
        <f>IF(ISBLANK($J93),NA(),IFERROR(SUM($J93:$J$177),NA()))</f>
        <v>672926.47200000007</v>
      </c>
      <c r="AC93">
        <f t="shared" si="24"/>
        <v>1626621.0350000001</v>
      </c>
      <c r="AD93">
        <f t="shared" si="25"/>
        <v>44.559083363876454</v>
      </c>
      <c r="AE93">
        <f t="shared" si="26"/>
        <v>58.630408833978954</v>
      </c>
    </row>
    <row r="94" spans="1:31" x14ac:dyDescent="0.35">
      <c r="A94">
        <v>1941</v>
      </c>
      <c r="B94">
        <v>3877.7779999999998</v>
      </c>
      <c r="C94">
        <v>4537.3339999999998</v>
      </c>
      <c r="D94">
        <v>461.75599999999997</v>
      </c>
      <c r="E94">
        <v>4051.846</v>
      </c>
      <c r="F94">
        <v>4748.8819999999996</v>
      </c>
      <c r="G94">
        <v>567.13199999999995</v>
      </c>
      <c r="H94">
        <v>3877.777</v>
      </c>
      <c r="I94">
        <v>4537.3339999999998</v>
      </c>
      <c r="J94">
        <v>461.75599999999997</v>
      </c>
      <c r="N94">
        <f>IF(ISBLANK($B94),NA(),IFERROR(SUM($B94:$B$177),NA()))</f>
        <v>721098.27599999984</v>
      </c>
      <c r="O94">
        <f>IF(ISBLANK($C94),NA(),IFERROR(SUM($C94:$C$177),NA()))</f>
        <v>949271.14399999997</v>
      </c>
      <c r="P94">
        <f>IF(ISBLANK($D94),NA(),IFERROR(SUM($D94:$D$177),NA()))</f>
        <v>672949.06299999997</v>
      </c>
      <c r="Q94">
        <f t="shared" si="18"/>
        <v>1622220.2069999999</v>
      </c>
      <c r="R94">
        <f t="shared" si="19"/>
        <v>44.451318809148574</v>
      </c>
      <c r="S94">
        <f t="shared" si="20"/>
        <v>58.5167870492443</v>
      </c>
      <c r="T94">
        <f>IF(ISBLANK($E94),NA(),IFERROR(SUM($E94:$E$177),NA()))</f>
        <v>741437.36</v>
      </c>
      <c r="U94">
        <f>IF(ISBLANK($F94),NA(),IFERROR(SUM($F94:$F$177),NA()))</f>
        <v>981171.01300000027</v>
      </c>
      <c r="V94">
        <f>IF(ISBLANK($G94),NA(),IFERROR(SUM($G94:$G$177),NA()))</f>
        <v>694868.65</v>
      </c>
      <c r="W94">
        <f t="shared" si="21"/>
        <v>1676039.6630000002</v>
      </c>
      <c r="X94">
        <f t="shared" si="22"/>
        <v>44.237459074976556</v>
      </c>
      <c r="Y94">
        <f t="shared" si="23"/>
        <v>58.541037820296502</v>
      </c>
      <c r="Z94">
        <f>IF(ISBLANK($H94),NA(),IFERROR(SUM($H94:$H$177),NA()))</f>
        <v>721098.27299999993</v>
      </c>
      <c r="AA94">
        <f>IF(ISBLANK($I94),NA(),IFERROR(SUM($I94:$I$177),NA()))</f>
        <v>949271.14600000007</v>
      </c>
      <c r="AB94">
        <f>IF(ISBLANK($J94),NA(),IFERROR(SUM($J94:$J$177),NA()))</f>
        <v>672465.228</v>
      </c>
      <c r="AC94">
        <f t="shared" si="24"/>
        <v>1621736.3740000001</v>
      </c>
      <c r="AD94">
        <f t="shared" si="25"/>
        <v>44.464580344918616</v>
      </c>
      <c r="AE94">
        <f t="shared" si="26"/>
        <v>58.53424522128897</v>
      </c>
    </row>
    <row r="95" spans="1:31" x14ac:dyDescent="0.35">
      <c r="A95">
        <v>1942</v>
      </c>
      <c r="B95">
        <v>4030.2849999999999</v>
      </c>
      <c r="C95">
        <v>4547.3280000000004</v>
      </c>
      <c r="D95">
        <v>435.19499999999999</v>
      </c>
      <c r="E95">
        <v>4211.799</v>
      </c>
      <c r="F95">
        <v>4815.3649999999998</v>
      </c>
      <c r="G95">
        <v>518.52099999999996</v>
      </c>
      <c r="H95">
        <v>4030.2849999999999</v>
      </c>
      <c r="I95">
        <v>4547.3280000000004</v>
      </c>
      <c r="J95">
        <v>435.19499999999999</v>
      </c>
      <c r="N95">
        <f>IF(ISBLANK($B95),NA(),IFERROR(SUM($B95:$B$177),NA()))</f>
        <v>717220.49799999991</v>
      </c>
      <c r="O95">
        <f>IF(ISBLANK($C95),NA(),IFERROR(SUM($C95:$C$177),NA()))</f>
        <v>944733.80999999994</v>
      </c>
      <c r="P95">
        <f>IF(ISBLANK($D95),NA(),IFERROR(SUM($D95:$D$177),NA()))</f>
        <v>672487.30699999991</v>
      </c>
      <c r="Q95">
        <f t="shared" si="18"/>
        <v>1617221.1169999999</v>
      </c>
      <c r="R95">
        <f t="shared" si="19"/>
        <v>44.348944647128299</v>
      </c>
      <c r="S95">
        <f t="shared" si="20"/>
        <v>58.417108215388211</v>
      </c>
      <c r="T95">
        <f>IF(ISBLANK($E95),NA(),IFERROR(SUM($E95:$E$177),NA()))</f>
        <v>737385.51399999985</v>
      </c>
      <c r="U95">
        <f>IF(ISBLANK($F95),NA(),IFERROR(SUM($F95:$F$177),NA()))</f>
        <v>976422.13100000028</v>
      </c>
      <c r="V95">
        <f>IF(ISBLANK($G95),NA(),IFERROR(SUM($G95:$G$177),NA()))</f>
        <v>694301.51800000004</v>
      </c>
      <c r="W95">
        <f t="shared" si="21"/>
        <v>1670723.6490000002</v>
      </c>
      <c r="X95">
        <f t="shared" si="22"/>
        <v>44.135696196157674</v>
      </c>
      <c r="Y95">
        <f t="shared" si="23"/>
        <v>58.443066367345118</v>
      </c>
      <c r="Z95">
        <f>IF(ISBLANK($H95),NA(),IFERROR(SUM($H95:$H$177),NA()))</f>
        <v>717220.49599999993</v>
      </c>
      <c r="AA95">
        <f>IF(ISBLANK($I95),NA(),IFERROR(SUM($I95:$I$177),NA()))</f>
        <v>944733.81200000003</v>
      </c>
      <c r="AB95">
        <f>IF(ISBLANK($J95),NA(),IFERROR(SUM($J95:$J$177),NA()))</f>
        <v>672003.47200000007</v>
      </c>
      <c r="AC95">
        <f t="shared" si="24"/>
        <v>1616737.284</v>
      </c>
      <c r="AD95">
        <f t="shared" si="25"/>
        <v>44.362216613543495</v>
      </c>
      <c r="AE95">
        <f t="shared" si="26"/>
        <v>58.434590539201047</v>
      </c>
    </row>
    <row r="96" spans="1:31" x14ac:dyDescent="0.35">
      <c r="A96">
        <v>1943</v>
      </c>
      <c r="B96">
        <v>4098.326</v>
      </c>
      <c r="C96">
        <v>4649.4279999999999</v>
      </c>
      <c r="D96">
        <v>425.84500000000003</v>
      </c>
      <c r="E96">
        <v>4265.4170000000004</v>
      </c>
      <c r="F96">
        <v>4969.1499999999996</v>
      </c>
      <c r="G96">
        <v>544.84400000000005</v>
      </c>
      <c r="H96">
        <v>4098.326</v>
      </c>
      <c r="I96">
        <v>4649.4279999999999</v>
      </c>
      <c r="J96">
        <v>425.846</v>
      </c>
      <c r="N96">
        <f>IF(ISBLANK($B96),NA(),IFERROR(SUM($B96:$B$177),NA()))</f>
        <v>713190.21299999987</v>
      </c>
      <c r="O96">
        <f>IF(ISBLANK($C96),NA(),IFERROR(SUM($C96:$C$177),NA()))</f>
        <v>940186.48199999996</v>
      </c>
      <c r="P96">
        <f>IF(ISBLANK($D96),NA(),IFERROR(SUM($D96:$D$177),NA()))</f>
        <v>672052.11199999996</v>
      </c>
      <c r="Q96">
        <f t="shared" si="18"/>
        <v>1612238.594</v>
      </c>
      <c r="R96">
        <f t="shared" si="19"/>
        <v>44.236021619514702</v>
      </c>
      <c r="S96">
        <f t="shared" si="20"/>
        <v>58.315592090335478</v>
      </c>
      <c r="T96">
        <f>IF(ISBLANK($E96),NA(),IFERROR(SUM($E96:$E$177),NA()))</f>
        <v>733173.71499999997</v>
      </c>
      <c r="U96">
        <f>IF(ISBLANK($F96),NA(),IFERROR(SUM($F96:$F$177),NA()))</f>
        <v>971606.76600000029</v>
      </c>
      <c r="V96">
        <f>IF(ISBLANK($G96),NA(),IFERROR(SUM($G96:$G$177),NA()))</f>
        <v>693782.99699999986</v>
      </c>
      <c r="W96">
        <f t="shared" si="21"/>
        <v>1665389.7630000003</v>
      </c>
      <c r="X96">
        <f t="shared" si="22"/>
        <v>44.024151660406233</v>
      </c>
      <c r="Y96">
        <f t="shared" si="23"/>
        <v>58.34110354141766</v>
      </c>
      <c r="Z96">
        <f>IF(ISBLANK($H96),NA(),IFERROR(SUM($H96:$H$177),NA()))</f>
        <v>713190.21099999989</v>
      </c>
      <c r="AA96">
        <f>IF(ISBLANK($I96),NA(),IFERROR(SUM($I96:$I$177),NA()))</f>
        <v>940186.48400000005</v>
      </c>
      <c r="AB96">
        <f>IF(ISBLANK($J96),NA(),IFERROR(SUM($J96:$J$177),NA()))</f>
        <v>671568.277</v>
      </c>
      <c r="AC96">
        <f t="shared" si="24"/>
        <v>1611754.7609999999</v>
      </c>
      <c r="AD96">
        <f t="shared" si="25"/>
        <v>44.249300716041127</v>
      </c>
      <c r="AE96">
        <f t="shared" si="26"/>
        <v>58.333097984253456</v>
      </c>
    </row>
    <row r="97" spans="1:31" x14ac:dyDescent="0.35">
      <c r="A97">
        <v>1944</v>
      </c>
      <c r="B97">
        <v>4090.645</v>
      </c>
      <c r="C97">
        <v>4711.6570000000002</v>
      </c>
      <c r="D97">
        <v>450.82799999999997</v>
      </c>
      <c r="E97">
        <v>4224.5140000000001</v>
      </c>
      <c r="F97">
        <v>4882.5240000000003</v>
      </c>
      <c r="G97">
        <v>577.04600000000005</v>
      </c>
      <c r="H97">
        <v>4090.645</v>
      </c>
      <c r="I97">
        <v>4711.6570000000002</v>
      </c>
      <c r="J97">
        <v>450.82799999999997</v>
      </c>
      <c r="N97">
        <f>IF(ISBLANK($B97),NA(),IFERROR(SUM($B97:$B$177),NA()))</f>
        <v>709091.88699999987</v>
      </c>
      <c r="O97">
        <f>IF(ISBLANK($C97),NA(),IFERROR(SUM($C97:$C$177),NA()))</f>
        <v>935537.05399999989</v>
      </c>
      <c r="P97">
        <f>IF(ISBLANK($D97),NA(),IFERROR(SUM($D97:$D$177),NA()))</f>
        <v>671626.26699999999</v>
      </c>
      <c r="Q97">
        <f t="shared" si="18"/>
        <v>1607163.321</v>
      </c>
      <c r="R97">
        <f t="shared" si="19"/>
        <v>44.12071117693209</v>
      </c>
      <c r="S97">
        <f t="shared" si="20"/>
        <v>58.21045327352887</v>
      </c>
      <c r="T97">
        <f>IF(ISBLANK($E97),NA(),IFERROR(SUM($E97:$E$177),NA()))</f>
        <v>728908.29799999984</v>
      </c>
      <c r="U97">
        <f>IF(ISBLANK($F97),NA(),IFERROR(SUM($F97:$F$177),NA()))</f>
        <v>966637.61600000015</v>
      </c>
      <c r="V97">
        <f>IF(ISBLANK($G97),NA(),IFERROR(SUM($G97:$G$177),NA()))</f>
        <v>693238.15300000005</v>
      </c>
      <c r="W97">
        <f t="shared" si="21"/>
        <v>1659875.7690000003</v>
      </c>
      <c r="X97">
        <f t="shared" si="22"/>
        <v>43.913424824505626</v>
      </c>
      <c r="Y97">
        <f t="shared" si="23"/>
        <v>58.235539915276632</v>
      </c>
      <c r="Z97">
        <f>IF(ISBLANK($H97),NA(),IFERROR(SUM($H97:$H$177),NA()))</f>
        <v>709091.88499999989</v>
      </c>
      <c r="AA97">
        <f>IF(ISBLANK($I97),NA(),IFERROR(SUM($I97:$I$177),NA()))</f>
        <v>935537.05599999998</v>
      </c>
      <c r="AB97">
        <f>IF(ISBLANK($J97),NA(),IFERROR(SUM($J97:$J$177),NA()))</f>
        <v>671142.43099999998</v>
      </c>
      <c r="AC97">
        <f t="shared" si="24"/>
        <v>1606679.487</v>
      </c>
      <c r="AD97">
        <f t="shared" si="25"/>
        <v>44.133997523303158</v>
      </c>
      <c r="AE97">
        <f t="shared" si="26"/>
        <v>58.227982840985881</v>
      </c>
    </row>
    <row r="98" spans="1:31" x14ac:dyDescent="0.35">
      <c r="A98">
        <v>1945</v>
      </c>
      <c r="B98">
        <v>3413.9369999999999</v>
      </c>
      <c r="C98">
        <v>3880.7930000000001</v>
      </c>
      <c r="D98">
        <v>408.51900000000001</v>
      </c>
      <c r="E98">
        <v>3512.7840000000001</v>
      </c>
      <c r="F98">
        <v>4010.0360000000001</v>
      </c>
      <c r="G98">
        <v>565.28300000000002</v>
      </c>
      <c r="H98">
        <v>3413.9369999999999</v>
      </c>
      <c r="I98">
        <v>3880.7930000000001</v>
      </c>
      <c r="J98">
        <v>408.51900000000001</v>
      </c>
      <c r="N98">
        <f>IF(ISBLANK($B98),NA(),IFERROR(SUM($B98:$B$177),NA()))</f>
        <v>705001.24199999985</v>
      </c>
      <c r="O98">
        <f>IF(ISBLANK($C98),NA(),IFERROR(SUM($C98:$C$177),NA()))</f>
        <v>930825.397</v>
      </c>
      <c r="P98">
        <f>IF(ISBLANK($D98),NA(),IFERROR(SUM($D98:$D$177),NA()))</f>
        <v>671175.43900000001</v>
      </c>
      <c r="Q98">
        <f t="shared" si="18"/>
        <v>1602000.8360000001</v>
      </c>
      <c r="R98">
        <f t="shared" si="19"/>
        <v>44.007545199558173</v>
      </c>
      <c r="S98">
        <f t="shared" si="20"/>
        <v>58.10392704439262</v>
      </c>
      <c r="T98">
        <f>IF(ISBLANK($E98),NA(),IFERROR(SUM($E98:$E$177),NA()))</f>
        <v>724683.78399999987</v>
      </c>
      <c r="U98">
        <f>IF(ISBLANK($F98),NA(),IFERROR(SUM($F98:$F$177),NA()))</f>
        <v>961755.09200000018</v>
      </c>
      <c r="V98">
        <f>IF(ISBLANK($G98),NA(),IFERROR(SUM($G98:$G$177),NA()))</f>
        <v>692661.10699999996</v>
      </c>
      <c r="W98">
        <f t="shared" si="21"/>
        <v>1654416.199</v>
      </c>
      <c r="X98">
        <f t="shared" si="22"/>
        <v>43.802991317301519</v>
      </c>
      <c r="Y98">
        <f t="shared" si="23"/>
        <v>58.132596415661673</v>
      </c>
      <c r="Z98">
        <f>IF(ISBLANK($H98),NA(),IFERROR(SUM($H98:$H$177),NA()))</f>
        <v>705001.24</v>
      </c>
      <c r="AA98">
        <f>IF(ISBLANK($I98),NA(),IFERROR(SUM($I98:$I$177),NA()))</f>
        <v>930825.39900000009</v>
      </c>
      <c r="AB98">
        <f>IF(ISBLANK($J98),NA(),IFERROR(SUM($J98:$J$177),NA()))</f>
        <v>670691.603</v>
      </c>
      <c r="AC98">
        <f t="shared" si="24"/>
        <v>1601517.0020000001</v>
      </c>
      <c r="AD98">
        <f t="shared" si="25"/>
        <v>44.020840185872714</v>
      </c>
      <c r="AE98">
        <f t="shared" si="26"/>
        <v>58.12148093573596</v>
      </c>
    </row>
    <row r="99" spans="1:31" x14ac:dyDescent="0.35">
      <c r="A99">
        <v>1946</v>
      </c>
      <c r="B99">
        <v>3612.6550000000002</v>
      </c>
      <c r="C99">
        <v>4177.92</v>
      </c>
      <c r="D99">
        <v>430.625</v>
      </c>
      <c r="E99">
        <v>3771.8330000000001</v>
      </c>
      <c r="F99">
        <v>4376.1890000000003</v>
      </c>
      <c r="G99">
        <v>657.79600000000005</v>
      </c>
      <c r="H99">
        <v>3612.6550000000002</v>
      </c>
      <c r="I99">
        <v>4177.9210000000003</v>
      </c>
      <c r="J99">
        <v>430.625</v>
      </c>
      <c r="N99">
        <f>IF(ISBLANK($B99),NA(),IFERROR(SUM($B99:$B$177),NA()))</f>
        <v>701587.30499999993</v>
      </c>
      <c r="O99">
        <f>IF(ISBLANK($C99),NA(),IFERROR(SUM($C99:$C$177),NA()))</f>
        <v>926944.60399999993</v>
      </c>
      <c r="P99">
        <f>IF(ISBLANK($D99),NA(),IFERROR(SUM($D99:$D$177),NA()))</f>
        <v>670766.91999999993</v>
      </c>
      <c r="Q99">
        <f t="shared" ref="Q99:Q130" si="27">IFERROR(O99+P99,"")</f>
        <v>1597711.5239999997</v>
      </c>
      <c r="R99">
        <f t="shared" ref="R99:R130" si="28">IFERROR(N99/Q99*100,NA())</f>
        <v>43.912013806066788</v>
      </c>
      <c r="S99">
        <f t="shared" ref="S99:S130" si="29">IFERROR(O99/Q99*100,NA())</f>
        <v>58.017019347730511</v>
      </c>
      <c r="T99">
        <f>IF(ISBLANK($E99),NA(),IFERROR(SUM($E99:$E$177),NA()))</f>
        <v>721170.99999999988</v>
      </c>
      <c r="U99">
        <f>IF(ISBLANK($F99),NA(),IFERROR(SUM($F99:$F$177),NA()))</f>
        <v>957745.0560000001</v>
      </c>
      <c r="V99">
        <f>IF(ISBLANK($G99),NA(),IFERROR(SUM($G99:$G$177),NA()))</f>
        <v>692095.82399999991</v>
      </c>
      <c r="W99">
        <f t="shared" ref="W99:W130" si="30">IFERROR(U99+V99,"")</f>
        <v>1649840.88</v>
      </c>
      <c r="X99">
        <f t="shared" ref="X99:X130" si="31">IFERROR(T99/W99*100,NA())</f>
        <v>43.711548716140427</v>
      </c>
      <c r="Y99">
        <f t="shared" ref="Y99:Y130" si="32">IFERROR(U99/W99*100,NA())</f>
        <v>58.050753112627454</v>
      </c>
      <c r="Z99">
        <f>IF(ISBLANK($H99),NA(),IFERROR(SUM($H99:$H$177),NA()))</f>
        <v>701587.30299999996</v>
      </c>
      <c r="AA99">
        <f>IF(ISBLANK($I99),NA(),IFERROR(SUM($I99:$I$177),NA()))</f>
        <v>926944.60600000003</v>
      </c>
      <c r="AB99">
        <f>IF(ISBLANK($J99),NA(),IFERROR(SUM($J99:$J$177),NA()))</f>
        <v>670283.08400000003</v>
      </c>
      <c r="AC99">
        <f t="shared" ref="AC99:AC130" si="33">IFERROR(AA99+AB99,"")</f>
        <v>1597227.69</v>
      </c>
      <c r="AD99">
        <f t="shared" ref="AD99:AD130" si="34">IFERROR(Z99/AC99*100,NA())</f>
        <v>43.925315557232793</v>
      </c>
      <c r="AE99">
        <f t="shared" ref="AE99:AE130" si="35">IFERROR(AA99/AC99*100,NA())</f>
        <v>58.034594053400113</v>
      </c>
    </row>
    <row r="100" spans="1:31" x14ac:dyDescent="0.35">
      <c r="A100">
        <v>1947</v>
      </c>
      <c r="B100">
        <v>4035.6329999999998</v>
      </c>
      <c r="C100">
        <v>4673.5469999999996</v>
      </c>
      <c r="D100">
        <v>491.65699999999998</v>
      </c>
      <c r="E100">
        <v>4249.7380000000003</v>
      </c>
      <c r="F100">
        <v>4936.8819999999996</v>
      </c>
      <c r="G100">
        <v>684.98800000000006</v>
      </c>
      <c r="H100">
        <v>4035.6329999999998</v>
      </c>
      <c r="I100">
        <v>4673.5469999999996</v>
      </c>
      <c r="J100">
        <v>491.65699999999998</v>
      </c>
      <c r="N100">
        <f>IF(ISBLANK($B100),NA(),IFERROR(SUM($B100:$B$177),NA()))</f>
        <v>697974.64999999991</v>
      </c>
      <c r="O100">
        <f>IF(ISBLANK($C100),NA(),IFERROR(SUM($C100:$C$177),NA()))</f>
        <v>922766.68400000001</v>
      </c>
      <c r="P100">
        <f>IF(ISBLANK($D100),NA(),IFERROR(SUM($D100:$D$177),NA()))</f>
        <v>670336.29499999993</v>
      </c>
      <c r="Q100">
        <f t="shared" si="27"/>
        <v>1593102.9789999998</v>
      </c>
      <c r="R100">
        <f t="shared" si="28"/>
        <v>43.812274485741199</v>
      </c>
      <c r="S100">
        <f t="shared" si="29"/>
        <v>57.92260112269868</v>
      </c>
      <c r="T100">
        <f>IF(ISBLANK($E100),NA(),IFERROR(SUM($E100:$E$177),NA()))</f>
        <v>717399.16700000002</v>
      </c>
      <c r="U100">
        <f>IF(ISBLANK($F100),NA(),IFERROR(SUM($F100:$F$177),NA()))</f>
        <v>953368.86700000009</v>
      </c>
      <c r="V100">
        <f>IF(ISBLANK($G100),NA(),IFERROR(SUM($G100:$G$177),NA()))</f>
        <v>691438.02800000005</v>
      </c>
      <c r="W100">
        <f t="shared" si="30"/>
        <v>1644806.895</v>
      </c>
      <c r="X100">
        <f t="shared" si="31"/>
        <v>43.616011653453093</v>
      </c>
      <c r="Y100">
        <f t="shared" si="32"/>
        <v>57.962358371558267</v>
      </c>
      <c r="Z100">
        <f>IF(ISBLANK($H100),NA(),IFERROR(SUM($H100:$H$177),NA()))</f>
        <v>697974.64799999993</v>
      </c>
      <c r="AA100">
        <f>IF(ISBLANK($I100),NA(),IFERROR(SUM($I100:$I$177),NA()))</f>
        <v>922766.68499999994</v>
      </c>
      <c r="AB100">
        <f>IF(ISBLANK($J100),NA(),IFERROR(SUM($J100:$J$177),NA()))</f>
        <v>669852.45900000003</v>
      </c>
      <c r="AC100">
        <f t="shared" si="33"/>
        <v>1592619.1439999999</v>
      </c>
      <c r="AD100">
        <f t="shared" si="34"/>
        <v>43.825584454986306</v>
      </c>
      <c r="AE100">
        <f t="shared" si="35"/>
        <v>57.940197973659423</v>
      </c>
    </row>
    <row r="101" spans="1:31" x14ac:dyDescent="0.35">
      <c r="A101">
        <v>1948</v>
      </c>
      <c r="B101">
        <v>4277.8819999999996</v>
      </c>
      <c r="C101">
        <v>4956.8519999999999</v>
      </c>
      <c r="D101">
        <v>491.03100000000001</v>
      </c>
      <c r="E101">
        <v>4516.0060000000003</v>
      </c>
      <c r="F101">
        <v>5251.317</v>
      </c>
      <c r="G101">
        <v>680.18899999999996</v>
      </c>
      <c r="H101">
        <v>4277.8819999999996</v>
      </c>
      <c r="I101">
        <v>4956.8519999999999</v>
      </c>
      <c r="J101">
        <v>491.03100000000001</v>
      </c>
      <c r="N101">
        <f>IF(ISBLANK($B101),NA(),IFERROR(SUM($B101:$B$177),NA()))</f>
        <v>693939.01699999988</v>
      </c>
      <c r="O101">
        <f>IF(ISBLANK($C101),NA(),IFERROR(SUM($C101:$C$177),NA()))</f>
        <v>918093.13699999999</v>
      </c>
      <c r="P101">
        <f>IF(ISBLANK($D101),NA(),IFERROR(SUM($D101:$D$177),NA()))</f>
        <v>669844.63799999992</v>
      </c>
      <c r="Q101">
        <f t="shared" si="27"/>
        <v>1587937.7749999999</v>
      </c>
      <c r="R101">
        <f t="shared" si="28"/>
        <v>43.700642929789865</v>
      </c>
      <c r="S101">
        <f t="shared" si="29"/>
        <v>57.816694800903015</v>
      </c>
      <c r="T101">
        <f>IF(ISBLANK($E101),NA(),IFERROR(SUM($E101:$E$177),NA()))</f>
        <v>713149.42899999989</v>
      </c>
      <c r="U101">
        <f>IF(ISBLANK($F101),NA(),IFERROR(SUM($F101:$F$177),NA()))</f>
        <v>948431.9850000001</v>
      </c>
      <c r="V101">
        <f>IF(ISBLANK($G101),NA(),IFERROR(SUM($G101:$G$177),NA()))</f>
        <v>690753.03999999992</v>
      </c>
      <c r="W101">
        <f t="shared" si="30"/>
        <v>1639185.0249999999</v>
      </c>
      <c r="X101">
        <f t="shared" si="31"/>
        <v>43.506341146570684</v>
      </c>
      <c r="Y101">
        <f t="shared" si="32"/>
        <v>57.859971298847135</v>
      </c>
      <c r="Z101">
        <f>IF(ISBLANK($H101),NA(),IFERROR(SUM($H101:$H$177),NA()))</f>
        <v>693939.01500000001</v>
      </c>
      <c r="AA101">
        <f>IF(ISBLANK($I101),NA(),IFERROR(SUM($I101:$I$177),NA()))</f>
        <v>918093.13799999992</v>
      </c>
      <c r="AB101">
        <f>IF(ISBLANK($J101),NA(),IFERROR(SUM($J101:$J$177),NA()))</f>
        <v>669360.80200000003</v>
      </c>
      <c r="AC101">
        <f t="shared" si="33"/>
        <v>1587453.94</v>
      </c>
      <c r="AD101">
        <f t="shared" si="34"/>
        <v>43.713962182738989</v>
      </c>
      <c r="AE101">
        <f t="shared" si="35"/>
        <v>57.834316629054442</v>
      </c>
    </row>
    <row r="102" spans="1:31" x14ac:dyDescent="0.35">
      <c r="A102">
        <v>1949</v>
      </c>
      <c r="B102">
        <v>3947.9859999999999</v>
      </c>
      <c r="C102">
        <v>4716.0649999999996</v>
      </c>
      <c r="D102">
        <v>487.96800000000002</v>
      </c>
      <c r="E102">
        <v>4180.9780000000001</v>
      </c>
      <c r="F102">
        <v>5014.6360000000004</v>
      </c>
      <c r="G102">
        <v>723.26400000000001</v>
      </c>
      <c r="H102">
        <v>3947.9859999999999</v>
      </c>
      <c r="I102">
        <v>4716.0649999999996</v>
      </c>
      <c r="J102">
        <v>487.96800000000002</v>
      </c>
      <c r="N102">
        <f>IF(ISBLANK($B102),NA(),IFERROR(SUM($B102:$B$177),NA()))</f>
        <v>689661.13499999989</v>
      </c>
      <c r="O102">
        <f>IF(ISBLANK($C102),NA(),IFERROR(SUM($C102:$C$177),NA()))</f>
        <v>913136.28500000003</v>
      </c>
      <c r="P102">
        <f>IF(ISBLANK($D102),NA(),IFERROR(SUM($D102:$D$177),NA()))</f>
        <v>669353.60699999996</v>
      </c>
      <c r="Q102">
        <f t="shared" si="27"/>
        <v>1582489.892</v>
      </c>
      <c r="R102">
        <f t="shared" si="28"/>
        <v>43.580760830540576</v>
      </c>
      <c r="S102">
        <f t="shared" si="29"/>
        <v>57.702503479876889</v>
      </c>
      <c r="T102">
        <f>IF(ISBLANK($E102),NA(),IFERROR(SUM($E102:$E$177),NA()))</f>
        <v>708633.42299999984</v>
      </c>
      <c r="U102">
        <f>IF(ISBLANK($F102),NA(),IFERROR(SUM($F102:$F$177),NA()))</f>
        <v>943180.66800000006</v>
      </c>
      <c r="V102">
        <f>IF(ISBLANK($G102),NA(),IFERROR(SUM($G102:$G$177),NA()))</f>
        <v>690072.85100000002</v>
      </c>
      <c r="W102">
        <f t="shared" si="30"/>
        <v>1633253.5190000001</v>
      </c>
      <c r="X102">
        <f t="shared" si="31"/>
        <v>43.387839962155915</v>
      </c>
      <c r="Y102">
        <f t="shared" si="32"/>
        <v>57.748577120928893</v>
      </c>
      <c r="Z102">
        <f>IF(ISBLANK($H102),NA(),IFERROR(SUM($H102:$H$177),NA()))</f>
        <v>689661.13299999991</v>
      </c>
      <c r="AA102">
        <f>IF(ISBLANK($I102),NA(),IFERROR(SUM($I102:$I$177),NA()))</f>
        <v>913136.28599999996</v>
      </c>
      <c r="AB102">
        <f>IF(ISBLANK($J102),NA(),IFERROR(SUM($J102:$J$177),NA()))</f>
        <v>668869.77100000007</v>
      </c>
      <c r="AC102">
        <f t="shared" si="33"/>
        <v>1582006.057</v>
      </c>
      <c r="AD102">
        <f t="shared" si="34"/>
        <v>43.594089286094302</v>
      </c>
      <c r="AE102">
        <f t="shared" si="35"/>
        <v>57.720151067664339</v>
      </c>
    </row>
    <row r="103" spans="1:31" x14ac:dyDescent="0.35">
      <c r="A103">
        <v>1950</v>
      </c>
      <c r="B103">
        <v>4400.9690000000001</v>
      </c>
      <c r="C103">
        <v>5233.9160000000002</v>
      </c>
      <c r="D103">
        <v>565.77599999999995</v>
      </c>
      <c r="E103">
        <v>4654.3280000000004</v>
      </c>
      <c r="F103">
        <v>5567.4229999999998</v>
      </c>
      <c r="G103">
        <v>616.00900000000001</v>
      </c>
      <c r="H103">
        <v>4400.9690000000001</v>
      </c>
      <c r="I103">
        <v>5233.9160000000002</v>
      </c>
      <c r="J103">
        <v>565.77599999999995</v>
      </c>
      <c r="N103">
        <f>IF(ISBLANK($B103),NA(),IFERROR(SUM($B103:$B$177),NA()))</f>
        <v>685713.14899999998</v>
      </c>
      <c r="O103">
        <f>IF(ISBLANK($C103),NA(),IFERROR(SUM($C103:$C$177),NA()))</f>
        <v>908420.21999999986</v>
      </c>
      <c r="P103">
        <f>IF(ISBLANK($D103),NA(),IFERROR(SUM($D103:$D$177),NA()))</f>
        <v>668865.63899999997</v>
      </c>
      <c r="Q103">
        <f t="shared" si="27"/>
        <v>1577285.8589999997</v>
      </c>
      <c r="R103">
        <f t="shared" si="28"/>
        <v>43.474246921527751</v>
      </c>
      <c r="S103">
        <f t="shared" si="29"/>
        <v>57.593886030014808</v>
      </c>
      <c r="T103">
        <f>IF(ISBLANK($E103),NA(),IFERROR(SUM($E103:$E$177),NA()))</f>
        <v>704452.44499999995</v>
      </c>
      <c r="U103">
        <f>IF(ISBLANK($F103),NA(),IFERROR(SUM($F103:$F$177),NA()))</f>
        <v>938166.03200000012</v>
      </c>
      <c r="V103">
        <f>IF(ISBLANK($G103),NA(),IFERROR(SUM($G103:$G$177),NA()))</f>
        <v>689349.58699999994</v>
      </c>
      <c r="W103">
        <f t="shared" si="30"/>
        <v>1627515.6189999999</v>
      </c>
      <c r="X103">
        <f t="shared" si="31"/>
        <v>43.283913025230383</v>
      </c>
      <c r="Y103">
        <f t="shared" si="32"/>
        <v>57.644057055282872</v>
      </c>
      <c r="Z103">
        <f>IF(ISBLANK($H103),NA(),IFERROR(SUM($H103:$H$177),NA()))</f>
        <v>685713.14699999988</v>
      </c>
      <c r="AA103">
        <f>IF(ISBLANK($I103),NA(),IFERROR(SUM($I103:$I$177),NA()))</f>
        <v>908420.22100000002</v>
      </c>
      <c r="AB103">
        <f>IF(ISBLANK($J103),NA(),IFERROR(SUM($J103:$J$177),NA()))</f>
        <v>668381.80299999996</v>
      </c>
      <c r="AC103">
        <f t="shared" si="33"/>
        <v>1576802.024</v>
      </c>
      <c r="AD103">
        <f t="shared" si="34"/>
        <v>43.487586682600551</v>
      </c>
      <c r="AE103">
        <f t="shared" si="35"/>
        <v>57.611558532601173</v>
      </c>
    </row>
    <row r="104" spans="1:31" x14ac:dyDescent="0.35">
      <c r="A104">
        <v>1951</v>
      </c>
      <c r="B104">
        <v>4688.3320000000003</v>
      </c>
      <c r="C104">
        <v>5593.2619999999997</v>
      </c>
      <c r="D104">
        <v>632.92499999999995</v>
      </c>
      <c r="E104">
        <v>4971.2910000000002</v>
      </c>
      <c r="F104">
        <v>5967.799</v>
      </c>
      <c r="G104">
        <v>696.43799999999999</v>
      </c>
      <c r="H104">
        <v>4688.3320000000003</v>
      </c>
      <c r="I104">
        <v>5593.2619999999997</v>
      </c>
      <c r="J104">
        <v>632.92499999999995</v>
      </c>
      <c r="N104">
        <f>IF(ISBLANK($B104),NA(),IFERROR(SUM($B104:$B$177),NA()))</f>
        <v>681312.17999999993</v>
      </c>
      <c r="O104">
        <f>IF(ISBLANK($C104),NA(),IFERROR(SUM($C104:$C$177),NA()))</f>
        <v>903186.30399999989</v>
      </c>
      <c r="P104">
        <f>IF(ISBLANK($D104),NA(),IFERROR(SUM($D104:$D$177),NA()))</f>
        <v>668299.86300000001</v>
      </c>
      <c r="Q104">
        <f t="shared" si="27"/>
        <v>1571486.1669999999</v>
      </c>
      <c r="R104">
        <f t="shared" si="28"/>
        <v>43.354640613899846</v>
      </c>
      <c r="S104">
        <f t="shared" si="29"/>
        <v>57.47338557387377</v>
      </c>
      <c r="T104">
        <f>IF(ISBLANK($E104),NA(),IFERROR(SUM($E104:$E$177),NA()))</f>
        <v>699798.11699999997</v>
      </c>
      <c r="U104">
        <f>IF(ISBLANK($F104),NA(),IFERROR(SUM($F104:$F$177),NA()))</f>
        <v>932598.60899999994</v>
      </c>
      <c r="V104">
        <f>IF(ISBLANK($G104),NA(),IFERROR(SUM($G104:$G$177),NA()))</f>
        <v>688733.57799999998</v>
      </c>
      <c r="W104">
        <f t="shared" si="30"/>
        <v>1621332.1869999999</v>
      </c>
      <c r="X104">
        <f t="shared" si="31"/>
        <v>43.161920956794035</v>
      </c>
      <c r="Y104">
        <f t="shared" si="32"/>
        <v>57.520514085741759</v>
      </c>
      <c r="Z104">
        <f>IF(ISBLANK($H104),NA(),IFERROR(SUM($H104:$H$177),NA()))</f>
        <v>681312.17799999996</v>
      </c>
      <c r="AA104">
        <f>IF(ISBLANK($I104),NA(),IFERROR(SUM($I104:$I$177),NA()))</f>
        <v>903186.30500000005</v>
      </c>
      <c r="AB104">
        <f>IF(ISBLANK($J104),NA(),IFERROR(SUM($J104:$J$177),NA()))</f>
        <v>667816.027</v>
      </c>
      <c r="AC104">
        <f t="shared" si="33"/>
        <v>1571002.3319999999</v>
      </c>
      <c r="AD104">
        <f t="shared" si="34"/>
        <v>43.367992785385631</v>
      </c>
      <c r="AE104">
        <f t="shared" si="35"/>
        <v>57.491086206739006</v>
      </c>
    </row>
    <row r="105" spans="1:31" x14ac:dyDescent="0.35">
      <c r="A105">
        <v>1952</v>
      </c>
      <c r="B105">
        <v>4643.6120000000001</v>
      </c>
      <c r="C105">
        <v>5615.7169999999996</v>
      </c>
      <c r="D105">
        <v>693.85599999999999</v>
      </c>
      <c r="E105">
        <v>4926.9250000000002</v>
      </c>
      <c r="F105">
        <v>6001.2740000000003</v>
      </c>
      <c r="G105">
        <v>758.88900000000001</v>
      </c>
      <c r="H105">
        <v>4643.6120000000001</v>
      </c>
      <c r="I105">
        <v>5615.7169999999996</v>
      </c>
      <c r="J105">
        <v>693.85599999999999</v>
      </c>
      <c r="N105">
        <f>IF(ISBLANK($B105),NA(),IFERROR(SUM($B105:$B$177),NA()))</f>
        <v>676623.84799999988</v>
      </c>
      <c r="O105">
        <f>IF(ISBLANK($C105),NA(),IFERROR(SUM($C105:$C$177),NA()))</f>
        <v>897593.04200000002</v>
      </c>
      <c r="P105">
        <f>IF(ISBLANK($D105),NA(),IFERROR(SUM($D105:$D$177),NA()))</f>
        <v>667666.93799999997</v>
      </c>
      <c r="Q105">
        <f t="shared" si="27"/>
        <v>1565259.98</v>
      </c>
      <c r="R105">
        <f t="shared" si="28"/>
        <v>43.227569646289673</v>
      </c>
      <c r="S105">
        <f t="shared" si="29"/>
        <v>57.344661811388043</v>
      </c>
      <c r="T105">
        <f>IF(ISBLANK($E105),NA(),IFERROR(SUM($E105:$E$177),NA()))</f>
        <v>694826.826</v>
      </c>
      <c r="U105">
        <f>IF(ISBLANK($F105),NA(),IFERROR(SUM($F105:$F$177),NA()))</f>
        <v>926630.81</v>
      </c>
      <c r="V105">
        <f>IF(ISBLANK($G105),NA(),IFERROR(SUM($G105:$G$177),NA()))</f>
        <v>688037.14</v>
      </c>
      <c r="W105">
        <f t="shared" si="30"/>
        <v>1614667.9500000002</v>
      </c>
      <c r="X105">
        <f t="shared" si="31"/>
        <v>43.032180455430478</v>
      </c>
      <c r="Y105">
        <f t="shared" si="32"/>
        <v>57.388319994832372</v>
      </c>
      <c r="Z105">
        <f>IF(ISBLANK($H105),NA(),IFERROR(SUM($H105:$H$177),NA()))</f>
        <v>676623.8459999999</v>
      </c>
      <c r="AA105">
        <f>IF(ISBLANK($I105),NA(),IFERROR(SUM($I105:$I$177),NA()))</f>
        <v>897593.04299999995</v>
      </c>
      <c r="AB105">
        <f>IF(ISBLANK($J105),NA(),IFERROR(SUM($J105:$J$177),NA()))</f>
        <v>667183.10199999996</v>
      </c>
      <c r="AC105">
        <f t="shared" si="33"/>
        <v>1564776.145</v>
      </c>
      <c r="AD105">
        <f t="shared" si="34"/>
        <v>43.240935654729064</v>
      </c>
      <c r="AE105">
        <f t="shared" si="35"/>
        <v>57.362393072524753</v>
      </c>
    </row>
    <row r="106" spans="1:31" x14ac:dyDescent="0.35">
      <c r="A106">
        <v>1953</v>
      </c>
      <c r="B106">
        <v>4735.7889999999998</v>
      </c>
      <c r="C106">
        <v>5773.7479999999996</v>
      </c>
      <c r="D106">
        <v>713.61300000000006</v>
      </c>
      <c r="E106">
        <v>5027.9110000000001</v>
      </c>
      <c r="F106">
        <v>6178.9359999999997</v>
      </c>
      <c r="G106">
        <v>786.94799999999998</v>
      </c>
      <c r="H106">
        <v>4735.7889999999998</v>
      </c>
      <c r="I106">
        <v>5773.7479999999996</v>
      </c>
      <c r="J106">
        <v>713.61300000000006</v>
      </c>
      <c r="N106">
        <f>IF(ISBLANK($B106),NA(),IFERROR(SUM($B106:$B$177),NA()))</f>
        <v>671980.23599999992</v>
      </c>
      <c r="O106">
        <f>IF(ISBLANK($C106),NA(),IFERROR(SUM($C106:$C$177),NA()))</f>
        <v>891977.32499999995</v>
      </c>
      <c r="P106">
        <f>IF(ISBLANK($D106),NA(),IFERROR(SUM($D106:$D$177),NA()))</f>
        <v>666973.08199999994</v>
      </c>
      <c r="Q106">
        <f t="shared" si="27"/>
        <v>1558950.4069999999</v>
      </c>
      <c r="R106">
        <f t="shared" si="28"/>
        <v>43.104657658298422</v>
      </c>
      <c r="S106">
        <f t="shared" si="29"/>
        <v>57.216529852062195</v>
      </c>
      <c r="T106">
        <f>IF(ISBLANK($E106),NA(),IFERROR(SUM($E106:$E$177),NA()))</f>
        <v>689899.90099999995</v>
      </c>
      <c r="U106">
        <f>IF(ISBLANK($F106),NA(),IFERROR(SUM($F106:$F$177),NA()))</f>
        <v>920629.53599999985</v>
      </c>
      <c r="V106">
        <f>IF(ISBLANK($G106),NA(),IFERROR(SUM($G106:$G$177),NA()))</f>
        <v>687278.25100000005</v>
      </c>
      <c r="W106">
        <f t="shared" si="30"/>
        <v>1607907.787</v>
      </c>
      <c r="X106">
        <f t="shared" si="31"/>
        <v>42.906683242526015</v>
      </c>
      <c r="Y106">
        <f t="shared" si="32"/>
        <v>57.256364042971065</v>
      </c>
      <c r="Z106">
        <f>IF(ISBLANK($H106),NA(),IFERROR(SUM($H106:$H$177),NA()))</f>
        <v>671980.23399999994</v>
      </c>
      <c r="AA106">
        <f>IF(ISBLANK($I106),NA(),IFERROR(SUM($I106:$I$177),NA()))</f>
        <v>891977.326</v>
      </c>
      <c r="AB106">
        <f>IF(ISBLANK($J106),NA(),IFERROR(SUM($J106:$J$177),NA()))</f>
        <v>666489.24600000004</v>
      </c>
      <c r="AC106">
        <f t="shared" si="33"/>
        <v>1558466.5720000002</v>
      </c>
      <c r="AD106">
        <f t="shared" si="34"/>
        <v>43.118039621320783</v>
      </c>
      <c r="AE106">
        <f t="shared" si="35"/>
        <v>57.23429312027617</v>
      </c>
    </row>
    <row r="107" spans="1:31" x14ac:dyDescent="0.35">
      <c r="A107">
        <v>1954</v>
      </c>
      <c r="B107">
        <v>4704.8249999999998</v>
      </c>
      <c r="C107">
        <v>5830.9219999999996</v>
      </c>
      <c r="D107">
        <v>794.73</v>
      </c>
      <c r="E107">
        <v>5013.7060000000001</v>
      </c>
      <c r="F107">
        <v>6267.8220000000001</v>
      </c>
      <c r="G107">
        <v>879.99599999999998</v>
      </c>
      <c r="H107">
        <v>4704.8249999999998</v>
      </c>
      <c r="I107">
        <v>5830.9219999999996</v>
      </c>
      <c r="J107">
        <v>794.73</v>
      </c>
      <c r="N107">
        <f>IF(ISBLANK($B107),NA(),IFERROR(SUM($B107:$B$177),NA()))</f>
        <v>667244.44699999993</v>
      </c>
      <c r="O107">
        <f>IF(ISBLANK($C107),NA(),IFERROR(SUM($C107:$C$177),NA()))</f>
        <v>886203.57699999993</v>
      </c>
      <c r="P107">
        <f>IF(ISBLANK($D107),NA(),IFERROR(SUM($D107:$D$177),NA()))</f>
        <v>666259.46899999992</v>
      </c>
      <c r="Q107">
        <f t="shared" si="27"/>
        <v>1552463.0459999999</v>
      </c>
      <c r="R107">
        <f t="shared" si="28"/>
        <v>42.979731383570723</v>
      </c>
      <c r="S107">
        <f t="shared" si="29"/>
        <v>57.083714764312653</v>
      </c>
      <c r="T107">
        <f>IF(ISBLANK($E107),NA(),IFERROR(SUM($E107:$E$177),NA()))</f>
        <v>684871.98999999987</v>
      </c>
      <c r="U107">
        <f>IF(ISBLANK($F107),NA(),IFERROR(SUM($F107:$F$177),NA()))</f>
        <v>914450.59999999986</v>
      </c>
      <c r="V107">
        <f>IF(ISBLANK($G107),NA(),IFERROR(SUM($G107:$G$177),NA()))</f>
        <v>686491.30299999996</v>
      </c>
      <c r="W107">
        <f t="shared" si="30"/>
        <v>1600941.9029999999</v>
      </c>
      <c r="X107">
        <f t="shared" si="31"/>
        <v>42.779315646409181</v>
      </c>
      <c r="Y107">
        <f t="shared" si="32"/>
        <v>57.119536835559984</v>
      </c>
      <c r="Z107">
        <f>IF(ISBLANK($H107),NA(),IFERROR(SUM($H107:$H$177),NA()))</f>
        <v>667244.44499999995</v>
      </c>
      <c r="AA107">
        <f>IF(ISBLANK($I107),NA(),IFERROR(SUM($I107:$I$177),NA()))</f>
        <v>886203.57799999986</v>
      </c>
      <c r="AB107">
        <f>IF(ISBLANK($J107),NA(),IFERROR(SUM($J107:$J$177),NA()))</f>
        <v>665775.63300000003</v>
      </c>
      <c r="AC107">
        <f t="shared" si="33"/>
        <v>1551979.2109999999</v>
      </c>
      <c r="AD107">
        <f t="shared" si="34"/>
        <v>42.993130337749093</v>
      </c>
      <c r="AE107">
        <f t="shared" si="35"/>
        <v>57.101510878421159</v>
      </c>
    </row>
    <row r="108" spans="1:31" x14ac:dyDescent="0.35">
      <c r="A108">
        <v>1955</v>
      </c>
      <c r="B108">
        <v>5092.7169999999996</v>
      </c>
      <c r="C108">
        <v>6340.7730000000001</v>
      </c>
      <c r="D108">
        <v>915.04399999999998</v>
      </c>
      <c r="E108">
        <v>5432.2910000000002</v>
      </c>
      <c r="F108">
        <v>6829.2879999999996</v>
      </c>
      <c r="G108">
        <v>1001.139</v>
      </c>
      <c r="H108">
        <v>5092.7169999999996</v>
      </c>
      <c r="I108">
        <v>6340.7730000000001</v>
      </c>
      <c r="J108">
        <v>915.03300000000002</v>
      </c>
      <c r="N108">
        <f>IF(ISBLANK($B108),NA(),IFERROR(SUM($B108:$B$177),NA()))</f>
        <v>662539.62199999997</v>
      </c>
      <c r="O108">
        <f>IF(ISBLANK($C108),NA(),IFERROR(SUM($C108:$C$177),NA()))</f>
        <v>880372.65499999991</v>
      </c>
      <c r="P108">
        <f>IF(ISBLANK($D108),NA(),IFERROR(SUM($D108:$D$177),NA()))</f>
        <v>665464.73899999994</v>
      </c>
      <c r="Q108">
        <f t="shared" si="27"/>
        <v>1545837.3939999999</v>
      </c>
      <c r="R108">
        <f t="shared" si="28"/>
        <v>42.859593419823824</v>
      </c>
      <c r="S108">
        <f t="shared" si="29"/>
        <v>56.951181179668112</v>
      </c>
      <c r="T108">
        <f>IF(ISBLANK($E108),NA(),IFERROR(SUM($E108:$E$177),NA()))</f>
        <v>679858.28399999987</v>
      </c>
      <c r="U108">
        <f>IF(ISBLANK($F108),NA(),IFERROR(SUM($F108:$F$177),NA()))</f>
        <v>908182.77799999993</v>
      </c>
      <c r="V108">
        <f>IF(ISBLANK($G108),NA(),IFERROR(SUM($G108:$G$177),NA()))</f>
        <v>685611.30700000003</v>
      </c>
      <c r="W108">
        <f t="shared" si="30"/>
        <v>1593794.085</v>
      </c>
      <c r="X108">
        <f t="shared" si="31"/>
        <v>42.656594750757897</v>
      </c>
      <c r="Y108">
        <f t="shared" si="32"/>
        <v>56.982441241774339</v>
      </c>
      <c r="Z108">
        <f>IF(ISBLANK($H108),NA(),IFERROR(SUM($H108:$H$177),NA()))</f>
        <v>662539.61999999988</v>
      </c>
      <c r="AA108">
        <f>IF(ISBLANK($I108),NA(),IFERROR(SUM($I108:$I$177),NA()))</f>
        <v>880372.65599999996</v>
      </c>
      <c r="AB108">
        <f>IF(ISBLANK($J108),NA(),IFERROR(SUM($J108:$J$177),NA()))</f>
        <v>664980.90300000005</v>
      </c>
      <c r="AC108">
        <f t="shared" si="33"/>
        <v>1545353.5589999999</v>
      </c>
      <c r="AD108">
        <f t="shared" si="34"/>
        <v>42.873012207557863</v>
      </c>
      <c r="AE108">
        <f t="shared" si="35"/>
        <v>56.969012099062311</v>
      </c>
    </row>
    <row r="109" spans="1:31" x14ac:dyDescent="0.35">
      <c r="A109">
        <v>1956</v>
      </c>
      <c r="B109">
        <v>5366.8339999999998</v>
      </c>
      <c r="C109">
        <v>6724.3069999999998</v>
      </c>
      <c r="D109">
        <v>999.88699999999994</v>
      </c>
      <c r="E109">
        <v>5730.0039999999999</v>
      </c>
      <c r="F109">
        <v>7254.05</v>
      </c>
      <c r="G109">
        <v>1092.8879999999999</v>
      </c>
      <c r="H109">
        <v>5366.8339999999998</v>
      </c>
      <c r="I109">
        <v>6724.3069999999998</v>
      </c>
      <c r="J109">
        <v>999.87599999999998</v>
      </c>
      <c r="N109">
        <f>IF(ISBLANK($B109),NA(),IFERROR(SUM($B109:$B$177),NA()))</f>
        <v>657446.90499999991</v>
      </c>
      <c r="O109">
        <f>IF(ISBLANK($C109),NA(),IFERROR(SUM($C109:$C$177),NA()))</f>
        <v>874031.88199999998</v>
      </c>
      <c r="P109">
        <f>IF(ISBLANK($D109),NA(),IFERROR(SUM($D109:$D$177),NA()))</f>
        <v>664549.69499999995</v>
      </c>
      <c r="Q109">
        <f t="shared" si="27"/>
        <v>1538581.577</v>
      </c>
      <c r="R109">
        <f t="shared" si="28"/>
        <v>42.730714758844393</v>
      </c>
      <c r="S109">
        <f t="shared" si="29"/>
        <v>56.807639911055553</v>
      </c>
      <c r="T109">
        <f>IF(ISBLANK($E109),NA(),IFERROR(SUM($E109:$E$177),NA()))</f>
        <v>674425.9929999999</v>
      </c>
      <c r="U109">
        <f>IF(ISBLANK($F109),NA(),IFERROR(SUM($F109:$F$177),NA()))</f>
        <v>901353.49</v>
      </c>
      <c r="V109">
        <f>IF(ISBLANK($G109),NA(),IFERROR(SUM($G109:$G$177),NA()))</f>
        <v>684610.16799999995</v>
      </c>
      <c r="W109">
        <f t="shared" si="30"/>
        <v>1585963.6579999998</v>
      </c>
      <c r="X109">
        <f t="shared" si="31"/>
        <v>42.524681419906784</v>
      </c>
      <c r="Y109">
        <f t="shared" si="32"/>
        <v>56.833174294590307</v>
      </c>
      <c r="Z109">
        <f>IF(ISBLANK($H109),NA(),IFERROR(SUM($H109:$H$177),NA()))</f>
        <v>657446.90299999993</v>
      </c>
      <c r="AA109">
        <f>IF(ISBLANK($I109),NA(),IFERROR(SUM($I109:$I$177),NA()))</f>
        <v>874031.88299999991</v>
      </c>
      <c r="AB109">
        <f>IF(ISBLANK($J109),NA(),IFERROR(SUM($J109:$J$177),NA()))</f>
        <v>664065.87</v>
      </c>
      <c r="AC109">
        <f t="shared" si="33"/>
        <v>1538097.753</v>
      </c>
      <c r="AD109">
        <f t="shared" si="34"/>
        <v>42.744156001637428</v>
      </c>
      <c r="AE109">
        <f t="shared" si="35"/>
        <v>56.825509386203485</v>
      </c>
    </row>
    <row r="110" spans="1:31" x14ac:dyDescent="0.35">
      <c r="A110">
        <v>1957</v>
      </c>
      <c r="B110">
        <v>5387.076</v>
      </c>
      <c r="C110">
        <v>6867.692</v>
      </c>
      <c r="D110">
        <v>1093.9159999999999</v>
      </c>
      <c r="E110">
        <v>5758.6930000000002</v>
      </c>
      <c r="F110">
        <v>7425.3590000000004</v>
      </c>
      <c r="G110">
        <v>1212.0229999999999</v>
      </c>
      <c r="H110">
        <v>5387.0749999999998</v>
      </c>
      <c r="I110">
        <v>6867.692</v>
      </c>
      <c r="J110">
        <v>1093.9010000000001</v>
      </c>
      <c r="N110">
        <f>IF(ISBLANK($B110),NA(),IFERROR(SUM($B110:$B$177),NA()))</f>
        <v>652080.071</v>
      </c>
      <c r="O110">
        <f>IF(ISBLANK($C110),NA(),IFERROR(SUM($C110:$C$177),NA()))</f>
        <v>867307.57499999995</v>
      </c>
      <c r="P110">
        <f>IF(ISBLANK($D110),NA(),IFERROR(SUM($D110:$D$177),NA()))</f>
        <v>663549.80799999996</v>
      </c>
      <c r="Q110">
        <f t="shared" si="27"/>
        <v>1530857.3829999999</v>
      </c>
      <c r="R110">
        <f t="shared" si="28"/>
        <v>42.595742636856727</v>
      </c>
      <c r="S110">
        <f t="shared" si="29"/>
        <v>56.655021207811615</v>
      </c>
      <c r="T110">
        <f>IF(ISBLANK($E110),NA(),IFERROR(SUM($E110:$E$177),NA()))</f>
        <v>668695.98899999994</v>
      </c>
      <c r="U110">
        <f>IF(ISBLANK($F110),NA(),IFERROR(SUM($F110:$F$177),NA()))</f>
        <v>894099.44</v>
      </c>
      <c r="V110">
        <f>IF(ISBLANK($G110),NA(),IFERROR(SUM($G110:$G$177),NA()))</f>
        <v>683517.28</v>
      </c>
      <c r="W110">
        <f t="shared" si="30"/>
        <v>1577616.72</v>
      </c>
      <c r="X110">
        <f t="shared" si="31"/>
        <v>42.386466910670165</v>
      </c>
      <c r="Y110">
        <f t="shared" si="32"/>
        <v>56.674059590342061</v>
      </c>
      <c r="Z110">
        <f>IF(ISBLANK($H110),NA(),IFERROR(SUM($H110:$H$177),NA()))</f>
        <v>652080.06900000002</v>
      </c>
      <c r="AA110">
        <f>IF(ISBLANK($I110),NA(),IFERROR(SUM($I110:$I$177),NA()))</f>
        <v>867307.57599999988</v>
      </c>
      <c r="AB110">
        <f>IF(ISBLANK($J110),NA(),IFERROR(SUM($J110:$J$177),NA()))</f>
        <v>663065.99400000006</v>
      </c>
      <c r="AC110">
        <f t="shared" si="33"/>
        <v>1530373.5699999998</v>
      </c>
      <c r="AD110">
        <f t="shared" si="34"/>
        <v>42.60920874371871</v>
      </c>
      <c r="AE110">
        <f t="shared" si="35"/>
        <v>56.672932217458516</v>
      </c>
    </row>
    <row r="111" spans="1:31" x14ac:dyDescent="0.35">
      <c r="A111">
        <v>1958</v>
      </c>
      <c r="B111">
        <v>5245.5479999999998</v>
      </c>
      <c r="C111">
        <v>6812.2669999999998</v>
      </c>
      <c r="D111">
        <v>1396.816</v>
      </c>
      <c r="E111">
        <v>5614.9290000000001</v>
      </c>
      <c r="F111">
        <v>7383.3419999999996</v>
      </c>
      <c r="G111">
        <v>1547.7809999999999</v>
      </c>
      <c r="H111">
        <v>5245.5479999999998</v>
      </c>
      <c r="I111">
        <v>6812.2669999999998</v>
      </c>
      <c r="J111">
        <v>1396.8009999999999</v>
      </c>
      <c r="N111">
        <f>IF(ISBLANK($B111),NA(),IFERROR(SUM($B111:$B$177),NA()))</f>
        <v>646692.995</v>
      </c>
      <c r="O111">
        <f>IF(ISBLANK($C111),NA(),IFERROR(SUM($C111:$C$177),NA()))</f>
        <v>860439.88299999991</v>
      </c>
      <c r="P111">
        <f>IF(ISBLANK($D111),NA(),IFERROR(SUM($D111:$D$177),NA()))</f>
        <v>662455.89199999988</v>
      </c>
      <c r="Q111">
        <f t="shared" si="27"/>
        <v>1522895.7749999999</v>
      </c>
      <c r="R111">
        <f t="shared" si="28"/>
        <v>42.464691649696121</v>
      </c>
      <c r="S111">
        <f t="shared" si="29"/>
        <v>56.500247562903638</v>
      </c>
      <c r="T111">
        <f>IF(ISBLANK($E111),NA(),IFERROR(SUM($E111:$E$177),NA()))</f>
        <v>662937.29599999974</v>
      </c>
      <c r="U111">
        <f>IF(ISBLANK($F111),NA(),IFERROR(SUM($F111:$F$177),NA()))</f>
        <v>886674.08100000001</v>
      </c>
      <c r="V111">
        <f>IF(ISBLANK($G111),NA(),IFERROR(SUM($G111:$G$177),NA()))</f>
        <v>682305.2570000001</v>
      </c>
      <c r="W111">
        <f t="shared" si="30"/>
        <v>1568979.338</v>
      </c>
      <c r="X111">
        <f t="shared" si="31"/>
        <v>42.252774140738858</v>
      </c>
      <c r="Y111">
        <f t="shared" si="32"/>
        <v>56.512795262827098</v>
      </c>
      <c r="Z111">
        <f>IF(ISBLANK($H111),NA(),IFERROR(SUM($H111:$H$177),NA()))</f>
        <v>646692.99400000006</v>
      </c>
      <c r="AA111">
        <f>IF(ISBLANK($I111),NA(),IFERROR(SUM($I111:$I$177),NA()))</f>
        <v>860439.88399999996</v>
      </c>
      <c r="AB111">
        <f>IF(ISBLANK($J111),NA(),IFERROR(SUM($J111:$J$177),NA()))</f>
        <v>661972.09299999999</v>
      </c>
      <c r="AC111">
        <f t="shared" si="33"/>
        <v>1522411.977</v>
      </c>
      <c r="AD111">
        <f t="shared" si="34"/>
        <v>42.478186178904451</v>
      </c>
      <c r="AE111">
        <f t="shared" si="35"/>
        <v>56.518202497036718</v>
      </c>
    </row>
    <row r="112" spans="1:31" x14ac:dyDescent="0.35">
      <c r="A112">
        <v>1959</v>
      </c>
      <c r="B112">
        <v>5346.9449999999997</v>
      </c>
      <c r="C112">
        <v>6995.2150000000001</v>
      </c>
      <c r="D112">
        <v>1646.1130000000001</v>
      </c>
      <c r="E112">
        <v>5735.2449999999999</v>
      </c>
      <c r="F112">
        <v>7599.9650000000001</v>
      </c>
      <c r="G112">
        <v>1817.6510000000001</v>
      </c>
      <c r="H112">
        <v>5346.9449999999997</v>
      </c>
      <c r="I112">
        <v>6995.2150000000001</v>
      </c>
      <c r="J112">
        <v>1646.0989999999999</v>
      </c>
      <c r="N112">
        <f>IF(ISBLANK($B112),NA(),IFERROR(SUM($B112:$B$177),NA()))</f>
        <v>641447.44700000004</v>
      </c>
      <c r="O112">
        <f>IF(ISBLANK($C112),NA(),IFERROR(SUM($C112:$C$177),NA()))</f>
        <v>853627.61599999992</v>
      </c>
      <c r="P112">
        <f>IF(ISBLANK($D112),NA(),IFERROR(SUM($D112:$D$177),NA()))</f>
        <v>661059.07599999988</v>
      </c>
      <c r="Q112">
        <f t="shared" si="27"/>
        <v>1514686.6919999998</v>
      </c>
      <c r="R112">
        <f t="shared" si="28"/>
        <v>42.348523320887551</v>
      </c>
      <c r="S112">
        <f t="shared" si="29"/>
        <v>56.356711952942938</v>
      </c>
      <c r="T112">
        <f>IF(ISBLANK($E112),NA(),IFERROR(SUM($E112:$E$177),NA()))</f>
        <v>657322.36699999997</v>
      </c>
      <c r="U112">
        <f>IF(ISBLANK($F112),NA(),IFERROR(SUM($F112:$F$177),NA()))</f>
        <v>879290.73899999983</v>
      </c>
      <c r="V112">
        <f>IF(ISBLANK($G112),NA(),IFERROR(SUM($G112:$G$177),NA()))</f>
        <v>680757.47600000002</v>
      </c>
      <c r="W112">
        <f t="shared" si="30"/>
        <v>1560048.2149999999</v>
      </c>
      <c r="X112">
        <f t="shared" si="31"/>
        <v>42.13474690588329</v>
      </c>
      <c r="Y112">
        <f t="shared" si="32"/>
        <v>56.363048945894271</v>
      </c>
      <c r="Z112">
        <f>IF(ISBLANK($H112),NA(),IFERROR(SUM($H112:$H$177),NA()))</f>
        <v>641447.446</v>
      </c>
      <c r="AA112">
        <f>IF(ISBLANK($I112),NA(),IFERROR(SUM($I112:$I$177),NA()))</f>
        <v>853627.61699999997</v>
      </c>
      <c r="AB112">
        <f>IF(ISBLANK($J112),NA(),IFERROR(SUM($J112:$J$177),NA()))</f>
        <v>660575.29200000002</v>
      </c>
      <c r="AC112">
        <f t="shared" si="33"/>
        <v>1514202.909</v>
      </c>
      <c r="AD112">
        <f t="shared" si="34"/>
        <v>42.362053472980087</v>
      </c>
      <c r="AE112">
        <f t="shared" si="35"/>
        <v>56.374717808708155</v>
      </c>
    </row>
    <row r="113" spans="1:31" x14ac:dyDescent="0.35">
      <c r="A113">
        <v>1960</v>
      </c>
      <c r="B113">
        <v>5639.1260000000002</v>
      </c>
      <c r="C113">
        <v>7363.95</v>
      </c>
      <c r="D113">
        <v>1786.3489999999999</v>
      </c>
      <c r="E113">
        <v>6026.884</v>
      </c>
      <c r="F113">
        <v>7981.18</v>
      </c>
      <c r="G113">
        <v>1974.7809999999999</v>
      </c>
      <c r="H113">
        <v>5639.1260000000002</v>
      </c>
      <c r="I113">
        <v>7363.95</v>
      </c>
      <c r="J113">
        <v>1786.335</v>
      </c>
      <c r="N113">
        <f>IF(ISBLANK($B113),NA(),IFERROR(SUM($B113:$B$177),NA()))</f>
        <v>636100.50199999998</v>
      </c>
      <c r="O113">
        <f>IF(ISBLANK($C113),NA(),IFERROR(SUM($C113:$C$177),NA()))</f>
        <v>846632.40099999995</v>
      </c>
      <c r="P113">
        <f>IF(ISBLANK($D113),NA(),IFERROR(SUM($D113:$D$177),NA()))</f>
        <v>659412.96299999999</v>
      </c>
      <c r="Q113">
        <f t="shared" si="27"/>
        <v>1506045.3640000001</v>
      </c>
      <c r="R113">
        <f t="shared" si="28"/>
        <v>42.236476882113358</v>
      </c>
      <c r="S113">
        <f t="shared" si="29"/>
        <v>56.215597566820698</v>
      </c>
      <c r="T113">
        <f>IF(ISBLANK($E113),NA(),IFERROR(SUM($E113:$E$177),NA()))</f>
        <v>651587.12199999986</v>
      </c>
      <c r="U113">
        <f>IF(ISBLANK($F113),NA(),IFERROR(SUM($F113:$F$177),NA()))</f>
        <v>871690.77399999998</v>
      </c>
      <c r="V113">
        <f>IF(ISBLANK($G113),NA(),IFERROR(SUM($G113:$G$177),NA()))</f>
        <v>678939.82500000007</v>
      </c>
      <c r="W113">
        <f t="shared" si="30"/>
        <v>1550630.5989999999</v>
      </c>
      <c r="X113">
        <f t="shared" si="31"/>
        <v>42.020783184609392</v>
      </c>
      <c r="Y113">
        <f t="shared" si="32"/>
        <v>56.215243950567753</v>
      </c>
      <c r="Z113">
        <f>IF(ISBLANK($H113),NA(),IFERROR(SUM($H113:$H$177),NA()))</f>
        <v>636100.50100000005</v>
      </c>
      <c r="AA113">
        <f>IF(ISBLANK($I113),NA(),IFERROR(SUM($I113:$I$177),NA()))</f>
        <v>846632.40199999989</v>
      </c>
      <c r="AB113">
        <f>IF(ISBLANK($J113),NA(),IFERROR(SUM($J113:$J$177),NA()))</f>
        <v>658929.19299999997</v>
      </c>
      <c r="AC113">
        <f t="shared" si="33"/>
        <v>1505561.5949999997</v>
      </c>
      <c r="AD113">
        <f t="shared" si="34"/>
        <v>42.250048295101486</v>
      </c>
      <c r="AE113">
        <f t="shared" si="35"/>
        <v>56.233660901797911</v>
      </c>
    </row>
    <row r="114" spans="1:31" x14ac:dyDescent="0.35">
      <c r="A114">
        <v>1961</v>
      </c>
      <c r="B114">
        <v>5755.4679999999998</v>
      </c>
      <c r="C114">
        <v>7548.625</v>
      </c>
      <c r="D114">
        <v>1604.85</v>
      </c>
      <c r="E114">
        <v>6152.0330000000004</v>
      </c>
      <c r="F114">
        <v>8183.9380000000001</v>
      </c>
      <c r="G114">
        <v>1799.278</v>
      </c>
      <c r="H114">
        <v>5755.4679999999998</v>
      </c>
      <c r="I114">
        <v>7548.625</v>
      </c>
      <c r="J114">
        <v>1604.799</v>
      </c>
      <c r="N114">
        <f>IF(ISBLANK($B114),NA(),IFERROR(SUM($B114:$B$177),NA()))</f>
        <v>630461.37599999993</v>
      </c>
      <c r="O114">
        <f>IF(ISBLANK($C114),NA(),IFERROR(SUM($C114:$C$177),NA()))</f>
        <v>839268.451</v>
      </c>
      <c r="P114">
        <f>IF(ISBLANK($D114),NA(),IFERROR(SUM($D114:$D$177),NA()))</f>
        <v>657626.61399999994</v>
      </c>
      <c r="Q114">
        <f t="shared" si="27"/>
        <v>1496895.0649999999</v>
      </c>
      <c r="R114">
        <f t="shared" si="28"/>
        <v>42.11794071216341</v>
      </c>
      <c r="S114">
        <f t="shared" si="29"/>
        <v>56.067286921010727</v>
      </c>
      <c r="T114">
        <f>IF(ISBLANK($E114),NA(),IFERROR(SUM($E114:$E$177),NA()))</f>
        <v>645560.23799999978</v>
      </c>
      <c r="U114">
        <f>IF(ISBLANK($F114),NA(),IFERROR(SUM($F114:$F$177),NA()))</f>
        <v>863709.59400000004</v>
      </c>
      <c r="V114">
        <f>IF(ISBLANK($G114),NA(),IFERROR(SUM($G114:$G$177),NA()))</f>
        <v>676965.04400000011</v>
      </c>
      <c r="W114">
        <f t="shared" si="30"/>
        <v>1540674.6380000003</v>
      </c>
      <c r="X114">
        <f t="shared" si="31"/>
        <v>41.901140064071051</v>
      </c>
      <c r="Y114">
        <f t="shared" si="32"/>
        <v>56.060479785739162</v>
      </c>
      <c r="Z114">
        <f>IF(ISBLANK($H114),NA(),IFERROR(SUM($H114:$H$177),NA()))</f>
        <v>630461.375</v>
      </c>
      <c r="AA114">
        <f>IF(ISBLANK($I114),NA(),IFERROR(SUM($I114:$I$177),NA()))</f>
        <v>839268.45199999982</v>
      </c>
      <c r="AB114">
        <f>IF(ISBLANK($J114),NA(),IFERROR(SUM($J114:$J$177),NA()))</f>
        <v>657142.85800000001</v>
      </c>
      <c r="AC114">
        <f t="shared" si="33"/>
        <v>1496411.3099999998</v>
      </c>
      <c r="AD114">
        <f t="shared" si="34"/>
        <v>42.131556396750305</v>
      </c>
      <c r="AE114">
        <f t="shared" si="35"/>
        <v>56.08541223869792</v>
      </c>
    </row>
    <row r="115" spans="1:31" x14ac:dyDescent="0.35">
      <c r="A115">
        <v>1962</v>
      </c>
      <c r="B115">
        <v>6017.5209999999997</v>
      </c>
      <c r="C115">
        <v>7912.0389999999998</v>
      </c>
      <c r="D115">
        <v>1564.155</v>
      </c>
      <c r="E115">
        <v>6446.95</v>
      </c>
      <c r="F115">
        <v>8592.9449999999997</v>
      </c>
      <c r="G115">
        <v>1770.6969999999999</v>
      </c>
      <c r="H115">
        <v>6017.5209999999997</v>
      </c>
      <c r="I115">
        <v>7912.0389999999998</v>
      </c>
      <c r="J115">
        <v>1564.104</v>
      </c>
      <c r="N115">
        <f>IF(ISBLANK($B115),NA(),IFERROR(SUM($B115:$B$177),NA()))</f>
        <v>624705.90799999994</v>
      </c>
      <c r="O115">
        <f>IF(ISBLANK($C115),NA(),IFERROR(SUM($C115:$C$177),NA()))</f>
        <v>831719.826</v>
      </c>
      <c r="P115">
        <f>IF(ISBLANK($D115),NA(),IFERROR(SUM($D115:$D$177),NA()))</f>
        <v>656021.76399999997</v>
      </c>
      <c r="Q115">
        <f t="shared" si="27"/>
        <v>1487741.5899999999</v>
      </c>
      <c r="R115">
        <f t="shared" si="28"/>
        <v>41.990216056270903</v>
      </c>
      <c r="S115">
        <f t="shared" si="29"/>
        <v>55.904858181722275</v>
      </c>
      <c r="T115">
        <f>IF(ISBLANK($E115),NA(),IFERROR(SUM($E115:$E$177),NA()))</f>
        <v>639408.20499999996</v>
      </c>
      <c r="U115">
        <f>IF(ISBLANK($F115),NA(),IFERROR(SUM($F115:$F$177),NA()))</f>
        <v>855525.65599999996</v>
      </c>
      <c r="V115">
        <f>IF(ISBLANK($G115),NA(),IFERROR(SUM($G115:$G$177),NA()))</f>
        <v>675165.76600000006</v>
      </c>
      <c r="W115">
        <f t="shared" si="30"/>
        <v>1530691.422</v>
      </c>
      <c r="X115">
        <f t="shared" si="31"/>
        <v>41.772508541568079</v>
      </c>
      <c r="Y115">
        <f t="shared" si="32"/>
        <v>55.891451647528733</v>
      </c>
      <c r="Z115">
        <f>IF(ISBLANK($H115),NA(),IFERROR(SUM($H115:$H$177),NA()))</f>
        <v>624705.90700000001</v>
      </c>
      <c r="AA115">
        <f>IF(ISBLANK($I115),NA(),IFERROR(SUM($I115:$I$177),NA()))</f>
        <v>831719.82699999993</v>
      </c>
      <c r="AB115">
        <f>IF(ISBLANK($J115),NA(),IFERROR(SUM($J115:$J$177),NA()))</f>
        <v>655538.05900000001</v>
      </c>
      <c r="AC115">
        <f t="shared" si="33"/>
        <v>1487257.8859999999</v>
      </c>
      <c r="AD115">
        <f t="shared" si="34"/>
        <v>42.003872555025069</v>
      </c>
      <c r="AE115">
        <f t="shared" si="35"/>
        <v>55.923040303179803</v>
      </c>
    </row>
    <row r="116" spans="1:31" x14ac:dyDescent="0.35">
      <c r="A116">
        <v>1963</v>
      </c>
      <c r="B116">
        <v>6324.9139999999998</v>
      </c>
      <c r="C116">
        <v>8356.7870000000003</v>
      </c>
      <c r="D116">
        <v>1625.952</v>
      </c>
      <c r="E116">
        <v>6823.6139999999996</v>
      </c>
      <c r="F116">
        <v>9125.7289999999994</v>
      </c>
      <c r="G116">
        <v>1852.6189999999999</v>
      </c>
      <c r="H116">
        <v>6324.9139999999998</v>
      </c>
      <c r="I116">
        <v>8356.7860000000001</v>
      </c>
      <c r="J116">
        <v>1625.8969999999999</v>
      </c>
      <c r="N116">
        <f>IF(ISBLANK($B116),NA(),IFERROR(SUM($B116:$B$177),NA()))</f>
        <v>618688.38699999987</v>
      </c>
      <c r="O116">
        <f>IF(ISBLANK($C116),NA(),IFERROR(SUM($C116:$C$177),NA()))</f>
        <v>823807.78700000001</v>
      </c>
      <c r="P116">
        <f>IF(ISBLANK($D116),NA(),IFERROR(SUM($D116:$D$177),NA()))</f>
        <v>654457.60899999994</v>
      </c>
      <c r="Q116">
        <f t="shared" si="27"/>
        <v>1478265.3959999999</v>
      </c>
      <c r="R116">
        <f t="shared" si="28"/>
        <v>41.852321557014918</v>
      </c>
      <c r="S116">
        <f t="shared" si="29"/>
        <v>55.728003187324823</v>
      </c>
      <c r="T116">
        <f>IF(ISBLANK($E116),NA(),IFERROR(SUM($E116:$E$177),NA()))</f>
        <v>632961.25499999977</v>
      </c>
      <c r="U116">
        <f>IF(ISBLANK($F116),NA(),IFERROR(SUM($F116:$F$177),NA()))</f>
        <v>846932.71099999989</v>
      </c>
      <c r="V116">
        <f>IF(ISBLANK($G116),NA(),IFERROR(SUM($G116:$G$177),NA()))</f>
        <v>673395.06900000002</v>
      </c>
      <c r="W116">
        <f t="shared" si="30"/>
        <v>1520327.7799999998</v>
      </c>
      <c r="X116">
        <f t="shared" si="31"/>
        <v>41.63320984636615</v>
      </c>
      <c r="Y116">
        <f t="shared" si="32"/>
        <v>55.707244328588146</v>
      </c>
      <c r="Z116">
        <f>IF(ISBLANK($H116),NA(),IFERROR(SUM($H116:$H$177),NA()))</f>
        <v>618688.38599999982</v>
      </c>
      <c r="AA116">
        <f>IF(ISBLANK($I116),NA(),IFERROR(SUM($I116:$I$177),NA()))</f>
        <v>823807.78799999994</v>
      </c>
      <c r="AB116">
        <f>IF(ISBLANK($J116),NA(),IFERROR(SUM($J116:$J$177),NA()))</f>
        <v>653973.95499999996</v>
      </c>
      <c r="AC116">
        <f t="shared" si="33"/>
        <v>1477781.7429999998</v>
      </c>
      <c r="AD116">
        <f t="shared" si="34"/>
        <v>41.866019047171292</v>
      </c>
      <c r="AE116">
        <f t="shared" si="35"/>
        <v>55.746242089011922</v>
      </c>
    </row>
    <row r="117" spans="1:31" x14ac:dyDescent="0.35">
      <c r="A117">
        <v>1964</v>
      </c>
      <c r="B117">
        <v>6627.8119999999999</v>
      </c>
      <c r="C117">
        <v>8792.4330000000009</v>
      </c>
      <c r="D117">
        <v>1720.671</v>
      </c>
      <c r="E117">
        <v>7138.2240000000002</v>
      </c>
      <c r="F117">
        <v>9591.8009999999995</v>
      </c>
      <c r="G117">
        <v>1943.5129999999999</v>
      </c>
      <c r="H117">
        <v>6627.8119999999999</v>
      </c>
      <c r="I117">
        <v>8792.4330000000009</v>
      </c>
      <c r="J117">
        <v>1720.6120000000001</v>
      </c>
      <c r="N117">
        <f>IF(ISBLANK($B117),NA(),IFERROR(SUM($B117:$B$177),NA()))</f>
        <v>612363.47299999988</v>
      </c>
      <c r="O117">
        <f>IF(ISBLANK($C117),NA(),IFERROR(SUM($C117:$C$177),NA()))</f>
        <v>815451</v>
      </c>
      <c r="P117">
        <f>IF(ISBLANK($D117),NA(),IFERROR(SUM($D117:$D$177),NA()))</f>
        <v>652831.65699999989</v>
      </c>
      <c r="Q117">
        <f t="shared" si="27"/>
        <v>1468282.6569999999</v>
      </c>
      <c r="R117">
        <f t="shared" si="28"/>
        <v>41.706102709895312</v>
      </c>
      <c r="S117">
        <f t="shared" si="29"/>
        <v>55.537739692855347</v>
      </c>
      <c r="T117">
        <f>IF(ISBLANK($E117),NA(),IFERROR(SUM($E117:$E$177),NA()))</f>
        <v>626137.64099999971</v>
      </c>
      <c r="U117">
        <f>IF(ISBLANK($F117),NA(),IFERROR(SUM($F117:$F$177),NA()))</f>
        <v>837806.98199999996</v>
      </c>
      <c r="V117">
        <f>IF(ISBLANK($G117),NA(),IFERROR(SUM($G117:$G$177),NA()))</f>
        <v>671542.45000000007</v>
      </c>
      <c r="W117">
        <f t="shared" si="30"/>
        <v>1509349.432</v>
      </c>
      <c r="X117">
        <f t="shared" si="31"/>
        <v>41.483941870923871</v>
      </c>
      <c r="Y117">
        <f t="shared" si="32"/>
        <v>55.507821067639952</v>
      </c>
      <c r="Z117">
        <f>IF(ISBLANK($H117),NA(),IFERROR(SUM($H117:$H$177),NA()))</f>
        <v>612363.47199999983</v>
      </c>
      <c r="AA117">
        <f>IF(ISBLANK($I117),NA(),IFERROR(SUM($I117:$I$177),NA()))</f>
        <v>815451.00199999986</v>
      </c>
      <c r="AB117">
        <f>IF(ISBLANK($J117),NA(),IFERROR(SUM($J117:$J$177),NA()))</f>
        <v>652348.05799999996</v>
      </c>
      <c r="AC117">
        <f t="shared" si="33"/>
        <v>1467799.0599999998</v>
      </c>
      <c r="AD117">
        <f t="shared" si="34"/>
        <v>41.719843586764519</v>
      </c>
      <c r="AE117">
        <f t="shared" si="35"/>
        <v>55.556037895268851</v>
      </c>
    </row>
    <row r="118" spans="1:31" x14ac:dyDescent="0.35">
      <c r="A118">
        <v>1965</v>
      </c>
      <c r="B118">
        <v>6852.8149999999996</v>
      </c>
      <c r="C118">
        <v>9121.2610000000004</v>
      </c>
      <c r="D118">
        <v>1867.393</v>
      </c>
      <c r="E118">
        <v>7403.5349999999999</v>
      </c>
      <c r="F118">
        <v>9980.6749999999993</v>
      </c>
      <c r="G118">
        <v>2093.7719999999999</v>
      </c>
      <c r="H118">
        <v>6852.8149999999996</v>
      </c>
      <c r="I118">
        <v>9121.2610000000004</v>
      </c>
      <c r="J118">
        <v>1867.327</v>
      </c>
      <c r="N118">
        <f>IF(ISBLANK($B118),NA(),IFERROR(SUM($B118:$B$177),NA()))</f>
        <v>605735.66099999973</v>
      </c>
      <c r="O118">
        <f>IF(ISBLANK($C118),NA(),IFERROR(SUM($C118:$C$177),NA()))</f>
        <v>806658.56700000004</v>
      </c>
      <c r="P118">
        <f>IF(ISBLANK($D118),NA(),IFERROR(SUM($D118:$D$177),NA()))</f>
        <v>651110.98599999992</v>
      </c>
      <c r="Q118">
        <f t="shared" si="27"/>
        <v>1457769.5529999998</v>
      </c>
      <c r="R118">
        <f t="shared" si="28"/>
        <v>41.55222337806638</v>
      </c>
      <c r="S118">
        <f t="shared" si="29"/>
        <v>55.335122436872588</v>
      </c>
      <c r="T118">
        <f>IF(ISBLANK($E118),NA(),IFERROR(SUM($E118:$E$177),NA()))</f>
        <v>618999.41699999978</v>
      </c>
      <c r="U118">
        <f>IF(ISBLANK($F118),NA(),IFERROR(SUM($F118:$F$177),NA()))</f>
        <v>828215.18099999998</v>
      </c>
      <c r="V118">
        <f>IF(ISBLANK($G118),NA(),IFERROR(SUM($G118:$G$177),NA()))</f>
        <v>669598.93700000003</v>
      </c>
      <c r="W118">
        <f t="shared" si="30"/>
        <v>1497814.118</v>
      </c>
      <c r="X118">
        <f t="shared" si="31"/>
        <v>41.326851547275893</v>
      </c>
      <c r="Y118">
        <f t="shared" si="32"/>
        <v>55.294924186313487</v>
      </c>
      <c r="Z118">
        <f>IF(ISBLANK($H118),NA(),IFERROR(SUM($H118:$H$177),NA()))</f>
        <v>605735.6599999998</v>
      </c>
      <c r="AA118">
        <f>IF(ISBLANK($I118),NA(),IFERROR(SUM($I118:$I$177),NA()))</f>
        <v>806658.5689999999</v>
      </c>
      <c r="AB118">
        <f>IF(ISBLANK($J118),NA(),IFERROR(SUM($J118:$J$177),NA()))</f>
        <v>650627.446</v>
      </c>
      <c r="AC118">
        <f t="shared" si="33"/>
        <v>1457286.0149999999</v>
      </c>
      <c r="AD118">
        <f t="shared" si="34"/>
        <v>41.566010636559895</v>
      </c>
      <c r="AE118">
        <f t="shared" si="35"/>
        <v>55.353483166446225</v>
      </c>
    </row>
    <row r="119" spans="1:31" x14ac:dyDescent="0.35">
      <c r="A119">
        <v>1966</v>
      </c>
      <c r="B119">
        <v>7133.3969999999999</v>
      </c>
      <c r="C119">
        <v>9510.152</v>
      </c>
      <c r="D119">
        <v>2004.0619999999999</v>
      </c>
      <c r="E119">
        <v>7678.9390000000003</v>
      </c>
      <c r="F119">
        <v>10385.483</v>
      </c>
      <c r="G119">
        <v>2264.27</v>
      </c>
      <c r="H119">
        <v>7133.3969999999999</v>
      </c>
      <c r="I119">
        <v>9510.152</v>
      </c>
      <c r="J119">
        <v>2003.9960000000001</v>
      </c>
      <c r="N119">
        <f>IF(ISBLANK($B119),NA(),IFERROR(SUM($B119:$B$177),NA()))</f>
        <v>598882.84599999967</v>
      </c>
      <c r="O119">
        <f>IF(ISBLANK($C119),NA(),IFERROR(SUM($C119:$C$177),NA()))</f>
        <v>797537.30599999998</v>
      </c>
      <c r="P119">
        <f>IF(ISBLANK($D119),NA(),IFERROR(SUM($D119:$D$177),NA()))</f>
        <v>649243.59299999999</v>
      </c>
      <c r="Q119">
        <f t="shared" si="27"/>
        <v>1446780.899</v>
      </c>
      <c r="R119">
        <f t="shared" si="28"/>
        <v>41.394163166927441</v>
      </c>
      <c r="S119">
        <f t="shared" si="29"/>
        <v>55.124954065349463</v>
      </c>
      <c r="T119">
        <f>IF(ISBLANK($E119),NA(),IFERROR(SUM($E119:$E$177),NA()))</f>
        <v>611595.88199999987</v>
      </c>
      <c r="U119">
        <f>IF(ISBLANK($F119),NA(),IFERROR(SUM($F119:$F$177),NA()))</f>
        <v>818234.50599999994</v>
      </c>
      <c r="V119">
        <f>IF(ISBLANK($G119),NA(),IFERROR(SUM($G119:$G$177),NA()))</f>
        <v>667505.16499999992</v>
      </c>
      <c r="W119">
        <f t="shared" si="30"/>
        <v>1485739.6709999999</v>
      </c>
      <c r="X119">
        <f t="shared" si="31"/>
        <v>41.16440409700818</v>
      </c>
      <c r="Y119">
        <f t="shared" si="32"/>
        <v>55.072535382276946</v>
      </c>
      <c r="Z119">
        <f>IF(ISBLANK($H119),NA(),IFERROR(SUM($H119:$H$177),NA()))</f>
        <v>598882.84499999974</v>
      </c>
      <c r="AA119">
        <f>IF(ISBLANK($I119),NA(),IFERROR(SUM($I119:$I$177),NA()))</f>
        <v>797537.30799999996</v>
      </c>
      <c r="AB119">
        <f>IF(ISBLANK($J119),NA(),IFERROR(SUM($J119:$J$177),NA()))</f>
        <v>648760.11900000006</v>
      </c>
      <c r="AC119">
        <f t="shared" si="33"/>
        <v>1446297.4270000001</v>
      </c>
      <c r="AD119">
        <f t="shared" si="34"/>
        <v>41.408000444434151</v>
      </c>
      <c r="AE119">
        <f t="shared" si="35"/>
        <v>55.143381514153788</v>
      </c>
    </row>
    <row r="120" spans="1:31" x14ac:dyDescent="0.35">
      <c r="A120">
        <v>1967</v>
      </c>
      <c r="B120">
        <v>7382.3209999999999</v>
      </c>
      <c r="C120">
        <v>9857.6919999999991</v>
      </c>
      <c r="D120">
        <v>2006.9090000000001</v>
      </c>
      <c r="E120">
        <v>7943.3029999999999</v>
      </c>
      <c r="F120">
        <v>10761.748</v>
      </c>
      <c r="G120">
        <v>2237.4639999999999</v>
      </c>
      <c r="H120">
        <v>7382.3209999999999</v>
      </c>
      <c r="I120">
        <v>9857.6919999999991</v>
      </c>
      <c r="J120">
        <v>2006.835</v>
      </c>
      <c r="N120">
        <f>IF(ISBLANK($B120),NA(),IFERROR(SUM($B120:$B$177),NA()))</f>
        <v>591749.44899999967</v>
      </c>
      <c r="O120">
        <f>IF(ISBLANK($C120),NA(),IFERROR(SUM($C120:$C$177),NA()))</f>
        <v>788027.15399999998</v>
      </c>
      <c r="P120">
        <f>IF(ISBLANK($D120),NA(),IFERROR(SUM($D120:$D$177),NA()))</f>
        <v>647239.53099999996</v>
      </c>
      <c r="Q120">
        <f t="shared" si="27"/>
        <v>1435266.6850000001</v>
      </c>
      <c r="R120">
        <f t="shared" si="28"/>
        <v>41.229233227830385</v>
      </c>
      <c r="S120">
        <f t="shared" si="29"/>
        <v>54.904580607610207</v>
      </c>
      <c r="T120">
        <f>IF(ISBLANK($E120),NA(),IFERROR(SUM($E120:$E$177),NA()))</f>
        <v>603916.94299999985</v>
      </c>
      <c r="U120">
        <f>IF(ISBLANK($F120),NA(),IFERROR(SUM($F120:$F$177),NA()))</f>
        <v>807849.02300000004</v>
      </c>
      <c r="V120">
        <f>IF(ISBLANK($G120),NA(),IFERROR(SUM($G120:$G$177),NA()))</f>
        <v>665240.89500000002</v>
      </c>
      <c r="W120">
        <f t="shared" si="30"/>
        <v>1473089.9180000001</v>
      </c>
      <c r="X120">
        <f t="shared" si="31"/>
        <v>40.996610975379696</v>
      </c>
      <c r="Y120">
        <f t="shared" si="32"/>
        <v>54.8404420618674</v>
      </c>
      <c r="Z120">
        <f>IF(ISBLANK($H120),NA(),IFERROR(SUM($H120:$H$177),NA()))</f>
        <v>591749.44799999974</v>
      </c>
      <c r="AA120">
        <f>IF(ISBLANK($I120),NA(),IFERROR(SUM($I120:$I$177),NA()))</f>
        <v>788027.15599999996</v>
      </c>
      <c r="AB120">
        <f>IF(ISBLANK($J120),NA(),IFERROR(SUM($J120:$J$177),NA()))</f>
        <v>646756.12300000002</v>
      </c>
      <c r="AC120">
        <f t="shared" si="33"/>
        <v>1434783.2790000001</v>
      </c>
      <c r="AD120">
        <f t="shared" si="34"/>
        <v>41.24312407741683</v>
      </c>
      <c r="AE120">
        <f t="shared" si="35"/>
        <v>54.92307915305723</v>
      </c>
    </row>
    <row r="121" spans="1:31" x14ac:dyDescent="0.35">
      <c r="A121">
        <v>1968</v>
      </c>
      <c r="B121">
        <v>7769.8149999999996</v>
      </c>
      <c r="C121">
        <v>10338.859</v>
      </c>
      <c r="D121">
        <v>2172.2220000000002</v>
      </c>
      <c r="E121">
        <v>8350.5499999999993</v>
      </c>
      <c r="F121">
        <v>11272.227999999999</v>
      </c>
      <c r="G121">
        <v>2437.6590000000001</v>
      </c>
      <c r="H121">
        <v>7769.8149999999996</v>
      </c>
      <c r="I121">
        <v>10338.859</v>
      </c>
      <c r="J121">
        <v>2172.145</v>
      </c>
      <c r="N121">
        <f>IF(ISBLANK($B121),NA(),IFERROR(SUM($B121:$B$177),NA()))</f>
        <v>584367.12799999968</v>
      </c>
      <c r="O121">
        <f>IF(ISBLANK($C121),NA(),IFERROR(SUM($C121:$C$177),NA()))</f>
        <v>778169.46200000006</v>
      </c>
      <c r="P121">
        <f>IF(ISBLANK($D121),NA(),IFERROR(SUM($D121:$D$177),NA()))</f>
        <v>645232.62199999997</v>
      </c>
      <c r="Q121">
        <f t="shared" si="27"/>
        <v>1423402.084</v>
      </c>
      <c r="R121">
        <f t="shared" si="28"/>
        <v>41.05425547487112</v>
      </c>
      <c r="S121">
        <f t="shared" si="29"/>
        <v>54.669686854273294</v>
      </c>
      <c r="T121">
        <f>IF(ISBLANK($E121),NA(),IFERROR(SUM($E121:$E$177),NA()))</f>
        <v>595973.63999999978</v>
      </c>
      <c r="U121">
        <f>IF(ISBLANK($F121),NA(),IFERROR(SUM($F121:$F$177),NA()))</f>
        <v>797087.27500000002</v>
      </c>
      <c r="V121">
        <f>IF(ISBLANK($G121),NA(),IFERROR(SUM($G121:$G$177),NA()))</f>
        <v>663003.43099999998</v>
      </c>
      <c r="W121">
        <f t="shared" si="30"/>
        <v>1460090.706</v>
      </c>
      <c r="X121">
        <f t="shared" si="31"/>
        <v>40.817576438980481</v>
      </c>
      <c r="Y121">
        <f t="shared" si="32"/>
        <v>54.591627199906313</v>
      </c>
      <c r="Z121">
        <f>IF(ISBLANK($H121),NA(),IFERROR(SUM($H121:$H$177),NA()))</f>
        <v>584367.12699999975</v>
      </c>
      <c r="AA121">
        <f>IF(ISBLANK($I121),NA(),IFERROR(SUM($I121:$I$177),NA()))</f>
        <v>778169.46400000004</v>
      </c>
      <c r="AB121">
        <f>IF(ISBLANK($J121),NA(),IFERROR(SUM($J121:$J$177),NA()))</f>
        <v>644749.28800000006</v>
      </c>
      <c r="AC121">
        <f t="shared" si="33"/>
        <v>1422918.7520000001</v>
      </c>
      <c r="AD121">
        <f t="shared" si="34"/>
        <v>41.068200568629493</v>
      </c>
      <c r="AE121">
        <f t="shared" si="35"/>
        <v>54.688257000354724</v>
      </c>
    </row>
    <row r="122" spans="1:31" x14ac:dyDescent="0.35">
      <c r="A122">
        <v>1969</v>
      </c>
      <c r="B122">
        <v>8240.8050000000003</v>
      </c>
      <c r="C122">
        <v>10937.124</v>
      </c>
      <c r="D122">
        <v>2412.172</v>
      </c>
      <c r="E122">
        <v>8855.0329999999994</v>
      </c>
      <c r="F122">
        <v>11918.591</v>
      </c>
      <c r="G122">
        <v>2693.0909999999999</v>
      </c>
      <c r="H122">
        <v>8240.8050000000003</v>
      </c>
      <c r="I122">
        <v>10937.124</v>
      </c>
      <c r="J122">
        <v>2412.04</v>
      </c>
      <c r="N122">
        <f>IF(ISBLANK($B122),NA(),IFERROR(SUM($B122:$B$177),NA()))</f>
        <v>576597.31299999973</v>
      </c>
      <c r="O122">
        <f>IF(ISBLANK($C122),NA(),IFERROR(SUM($C122:$C$177),NA()))</f>
        <v>767830.60300000012</v>
      </c>
      <c r="P122">
        <f>IF(ISBLANK($D122),NA(),IFERROR(SUM($D122:$D$177),NA()))</f>
        <v>643060.39999999991</v>
      </c>
      <c r="Q122">
        <f t="shared" si="27"/>
        <v>1410891.003</v>
      </c>
      <c r="R122">
        <f t="shared" si="28"/>
        <v>40.867601520880896</v>
      </c>
      <c r="S122">
        <f t="shared" si="29"/>
        <v>54.421681148107801</v>
      </c>
      <c r="T122">
        <f>IF(ISBLANK($E122),NA(),IFERROR(SUM($E122:$E$177),NA()))</f>
        <v>587623.08999999985</v>
      </c>
      <c r="U122">
        <f>IF(ISBLANK($F122),NA(),IFERROR(SUM($F122:$F$177),NA()))</f>
        <v>785815.04700000002</v>
      </c>
      <c r="V122">
        <f>IF(ISBLANK($G122),NA(),IFERROR(SUM($G122:$G$177),NA()))</f>
        <v>660565.772</v>
      </c>
      <c r="W122">
        <f t="shared" si="30"/>
        <v>1446380.8190000001</v>
      </c>
      <c r="X122">
        <f t="shared" si="31"/>
        <v>40.627135141785907</v>
      </c>
      <c r="Y122">
        <f t="shared" si="32"/>
        <v>54.329747510292449</v>
      </c>
      <c r="Z122">
        <f>IF(ISBLANK($H122),NA(),IFERROR(SUM($H122:$H$177),NA()))</f>
        <v>576597.31199999969</v>
      </c>
      <c r="AA122">
        <f>IF(ISBLANK($I122),NA(),IFERROR(SUM($I122:$I$177),NA()))</f>
        <v>767830.60499999998</v>
      </c>
      <c r="AB122">
        <f>IF(ISBLANK($J122),NA(),IFERROR(SUM($J122:$J$177),NA()))</f>
        <v>642577.14299999992</v>
      </c>
      <c r="AC122">
        <f t="shared" si="33"/>
        <v>1410407.7479999999</v>
      </c>
      <c r="AD122">
        <f t="shared" si="34"/>
        <v>40.881604118924599</v>
      </c>
      <c r="AE122">
        <f t="shared" si="35"/>
        <v>54.440328060364571</v>
      </c>
    </row>
    <row r="123" spans="1:31" x14ac:dyDescent="0.35">
      <c r="A123">
        <v>1970</v>
      </c>
      <c r="B123">
        <v>8822.9850000000006</v>
      </c>
      <c r="C123">
        <v>11675.703</v>
      </c>
      <c r="D123">
        <v>2788.864</v>
      </c>
      <c r="E123">
        <v>9418.8559999999998</v>
      </c>
      <c r="F123">
        <v>12641.286</v>
      </c>
      <c r="G123">
        <v>3106.6260000000002</v>
      </c>
      <c r="H123">
        <v>8822.9850000000006</v>
      </c>
      <c r="I123">
        <v>11675.703</v>
      </c>
      <c r="J123">
        <v>2788.6590000000001</v>
      </c>
      <c r="N123">
        <f>IF(ISBLANK($B123),NA(),IFERROR(SUM($B123:$B$177),NA()))</f>
        <v>568356.50799999968</v>
      </c>
      <c r="O123">
        <f>IF(ISBLANK($C123),NA(),IFERROR(SUM($C123:$C$177),NA()))</f>
        <v>756893.47900000017</v>
      </c>
      <c r="P123">
        <f>IF(ISBLANK($D123),NA(),IFERROR(SUM($D123:$D$177),NA()))</f>
        <v>640648.22799999989</v>
      </c>
      <c r="Q123">
        <f t="shared" si="27"/>
        <v>1397541.7069999999</v>
      </c>
      <c r="R123">
        <f t="shared" si="28"/>
        <v>40.668303861932593</v>
      </c>
      <c r="S123">
        <f t="shared" si="29"/>
        <v>54.158918850784623</v>
      </c>
      <c r="T123">
        <f>IF(ISBLANK($E123),NA(),IFERROR(SUM($E123:$E$177),NA()))</f>
        <v>578768.05699999991</v>
      </c>
      <c r="U123">
        <f>IF(ISBLANK($F123),NA(),IFERROR(SUM($F123:$F$177),NA()))</f>
        <v>773896.45600000012</v>
      </c>
      <c r="V123">
        <f>IF(ISBLANK($G123),NA(),IFERROR(SUM($G123:$G$177),NA()))</f>
        <v>657872.68099999998</v>
      </c>
      <c r="W123">
        <f t="shared" si="30"/>
        <v>1431769.1370000001</v>
      </c>
      <c r="X123">
        <f t="shared" si="31"/>
        <v>40.423280684251814</v>
      </c>
      <c r="Y123">
        <f t="shared" si="32"/>
        <v>54.051762676038187</v>
      </c>
      <c r="Z123">
        <f>IF(ISBLANK($H123),NA(),IFERROR(SUM($H123:$H$177),NA()))</f>
        <v>568356.50699999975</v>
      </c>
      <c r="AA123">
        <f>IF(ISBLANK($I123),NA(),IFERROR(SUM($I123:$I$177),NA()))</f>
        <v>756893.48100000015</v>
      </c>
      <c r="AB123">
        <f>IF(ISBLANK($J123),NA(),IFERROR(SUM($J123:$J$177),NA()))</f>
        <v>640165.103</v>
      </c>
      <c r="AC123">
        <f t="shared" si="33"/>
        <v>1397058.5840000003</v>
      </c>
      <c r="AD123">
        <f t="shared" si="34"/>
        <v>40.682367476151569</v>
      </c>
      <c r="AE123">
        <f t="shared" si="35"/>
        <v>54.177647928900306</v>
      </c>
    </row>
    <row r="124" spans="1:31" x14ac:dyDescent="0.35">
      <c r="A124">
        <v>1971</v>
      </c>
      <c r="B124">
        <v>8964.1810000000005</v>
      </c>
      <c r="C124">
        <v>11974.58</v>
      </c>
      <c r="D124">
        <v>3070.2249999999999</v>
      </c>
      <c r="E124">
        <v>9534.4760000000006</v>
      </c>
      <c r="F124">
        <v>12880.087</v>
      </c>
      <c r="G124">
        <v>3380.5479999999998</v>
      </c>
      <c r="H124">
        <v>8964.1810000000005</v>
      </c>
      <c r="I124">
        <v>11974.58</v>
      </c>
      <c r="J124">
        <v>3069.9760000000001</v>
      </c>
      <c r="N124">
        <f>IF(ISBLANK($B124),NA(),IFERROR(SUM($B124:$B$177),NA()))</f>
        <v>559533.52299999981</v>
      </c>
      <c r="O124">
        <f>IF(ISBLANK($C124),NA(),IFERROR(SUM($C124:$C$177),NA()))</f>
        <v>745217.77600000019</v>
      </c>
      <c r="P124">
        <f>IF(ISBLANK($D124),NA(),IFERROR(SUM($D124:$D$177),NA()))</f>
        <v>637859.36399999983</v>
      </c>
      <c r="Q124">
        <f t="shared" si="27"/>
        <v>1383077.1400000001</v>
      </c>
      <c r="R124">
        <f t="shared" si="28"/>
        <v>40.455698877359779</v>
      </c>
      <c r="S124">
        <f t="shared" si="29"/>
        <v>53.881143317862957</v>
      </c>
      <c r="T124">
        <f>IF(ISBLANK($E124),NA(),IFERROR(SUM($E124:$E$177),NA()))</f>
        <v>569349.20099999988</v>
      </c>
      <c r="U124">
        <f>IF(ISBLANK($F124),NA(),IFERROR(SUM($F124:$F$177),NA()))</f>
        <v>761255.17</v>
      </c>
      <c r="V124">
        <f>IF(ISBLANK($G124),NA(),IFERROR(SUM($G124:$G$177),NA()))</f>
        <v>654766.05499999993</v>
      </c>
      <c r="W124">
        <f t="shared" si="30"/>
        <v>1416021.2250000001</v>
      </c>
      <c r="X124">
        <f t="shared" si="31"/>
        <v>40.207674217595141</v>
      </c>
      <c r="Y124">
        <f t="shared" si="32"/>
        <v>53.760152500538958</v>
      </c>
      <c r="Z124">
        <f>IF(ISBLANK($H124),NA(),IFERROR(SUM($H124:$H$177),NA()))</f>
        <v>559533.52199999976</v>
      </c>
      <c r="AA124">
        <f>IF(ISBLANK($I124),NA(),IFERROR(SUM($I124:$I$177),NA()))</f>
        <v>745217.77800000017</v>
      </c>
      <c r="AB124">
        <f>IF(ISBLANK($J124),NA(),IFERROR(SUM($J124:$J$177),NA()))</f>
        <v>637376.44400000002</v>
      </c>
      <c r="AC124">
        <f t="shared" si="33"/>
        <v>1382594.2220000001</v>
      </c>
      <c r="AD124">
        <f t="shared" si="34"/>
        <v>40.469829332181298</v>
      </c>
      <c r="AE124">
        <f t="shared" si="35"/>
        <v>53.899963282213115</v>
      </c>
    </row>
    <row r="125" spans="1:31" x14ac:dyDescent="0.35">
      <c r="A125">
        <v>1972</v>
      </c>
      <c r="B125">
        <v>9356.3780000000006</v>
      </c>
      <c r="C125">
        <v>12511.487999999999</v>
      </c>
      <c r="D125">
        <v>3223.373</v>
      </c>
      <c r="E125">
        <v>9953.9490000000005</v>
      </c>
      <c r="F125">
        <v>13471.791999999999</v>
      </c>
      <c r="G125">
        <v>3532.2510000000002</v>
      </c>
      <c r="H125">
        <v>9356.3780000000006</v>
      </c>
      <c r="I125">
        <v>12511.487999999999</v>
      </c>
      <c r="J125">
        <v>3223.116</v>
      </c>
      <c r="N125">
        <f>IF(ISBLANK($B125),NA(),IFERROR(SUM($B125:$B$177),NA()))</f>
        <v>550569.34199999983</v>
      </c>
      <c r="O125">
        <f>IF(ISBLANK($C125),NA(),IFERROR(SUM($C125:$C$177),NA()))</f>
        <v>733243.19600000011</v>
      </c>
      <c r="P125">
        <f>IF(ISBLANK($D125),NA(),IFERROR(SUM($D125:$D$177),NA()))</f>
        <v>634789.13899999997</v>
      </c>
      <c r="Q125">
        <f t="shared" si="27"/>
        <v>1368032.335</v>
      </c>
      <c r="R125">
        <f t="shared" si="28"/>
        <v>40.245345662827468</v>
      </c>
      <c r="S125">
        <f t="shared" si="29"/>
        <v>53.598381941754333</v>
      </c>
      <c r="T125">
        <f>IF(ISBLANK($E125),NA(),IFERROR(SUM($E125:$E$177),NA()))</f>
        <v>559814.72499999998</v>
      </c>
      <c r="U125">
        <f>IF(ISBLANK($F125),NA(),IFERROR(SUM($F125:$F$177),NA()))</f>
        <v>748375.0830000001</v>
      </c>
      <c r="V125">
        <f>IF(ISBLANK($G125),NA(),IFERROR(SUM($G125:$G$177),NA()))</f>
        <v>651385.50699999998</v>
      </c>
      <c r="W125">
        <f t="shared" si="30"/>
        <v>1399760.59</v>
      </c>
      <c r="X125">
        <f t="shared" si="31"/>
        <v>39.993605263597253</v>
      </c>
      <c r="Y125">
        <f t="shared" si="32"/>
        <v>53.464505883824032</v>
      </c>
      <c r="Z125">
        <f>IF(ISBLANK($H125),NA(),IFERROR(SUM($H125:$H$177),NA()))</f>
        <v>550569.34099999967</v>
      </c>
      <c r="AA125">
        <f>IF(ISBLANK($I125),NA(),IFERROR(SUM($I125:$I$177),NA()))</f>
        <v>733243.19800000009</v>
      </c>
      <c r="AB125">
        <f>IF(ISBLANK($J125),NA(),IFERROR(SUM($J125:$J$177),NA()))</f>
        <v>634306.46799999999</v>
      </c>
      <c r="AC125">
        <f t="shared" si="33"/>
        <v>1367549.6660000002</v>
      </c>
      <c r="AD125">
        <f t="shared" si="34"/>
        <v>40.259549959189535</v>
      </c>
      <c r="AE125">
        <f t="shared" si="35"/>
        <v>53.617299336900281</v>
      </c>
    </row>
    <row r="126" spans="1:31" x14ac:dyDescent="0.35">
      <c r="A126">
        <v>1973</v>
      </c>
      <c r="B126">
        <v>9790.0859999999993</v>
      </c>
      <c r="C126">
        <v>13076.36</v>
      </c>
      <c r="D126">
        <v>3477.1509999999998</v>
      </c>
      <c r="E126">
        <v>10428.007</v>
      </c>
      <c r="F126">
        <v>14095.019</v>
      </c>
      <c r="G126">
        <v>3791.261</v>
      </c>
      <c r="H126">
        <v>9790.0859999999993</v>
      </c>
      <c r="I126">
        <v>13076.36</v>
      </c>
      <c r="J126">
        <v>3476.9050000000002</v>
      </c>
      <c r="N126">
        <f>IF(ISBLANK($B126),NA(),IFERROR(SUM($B126:$B$177),NA()))</f>
        <v>541212.96399999992</v>
      </c>
      <c r="O126">
        <f>IF(ISBLANK($C126),NA(),IFERROR(SUM($C126:$C$177),NA()))</f>
        <v>720731.7080000001</v>
      </c>
      <c r="P126">
        <f>IF(ISBLANK($D126),NA(),IFERROR(SUM($D126:$D$177),NA()))</f>
        <v>631565.76599999995</v>
      </c>
      <c r="Q126">
        <f t="shared" si="27"/>
        <v>1352297.4739999999</v>
      </c>
      <c r="R126">
        <f t="shared" si="28"/>
        <v>40.021738885537545</v>
      </c>
      <c r="S126">
        <f t="shared" si="29"/>
        <v>53.296831640757766</v>
      </c>
      <c r="T126">
        <f>IF(ISBLANK($E126),NA(),IFERROR(SUM($E126:$E$177),NA()))</f>
        <v>549860.77600000007</v>
      </c>
      <c r="U126">
        <f>IF(ISBLANK($F126),NA(),IFERROR(SUM($F126:$F$177),NA()))</f>
        <v>734903.29100000008</v>
      </c>
      <c r="V126">
        <f>IF(ISBLANK($G126),NA(),IFERROR(SUM($G126:$G$177),NA()))</f>
        <v>647853.25599999994</v>
      </c>
      <c r="W126">
        <f t="shared" si="30"/>
        <v>1382756.547</v>
      </c>
      <c r="X126">
        <f t="shared" si="31"/>
        <v>39.765552164114979</v>
      </c>
      <c r="Y126">
        <f t="shared" si="32"/>
        <v>53.14769925294739</v>
      </c>
      <c r="Z126">
        <f>IF(ISBLANK($H126),NA(),IFERROR(SUM($H126:$H$177),NA()))</f>
        <v>541212.96299999987</v>
      </c>
      <c r="AA126">
        <f>IF(ISBLANK($I126),NA(),IFERROR(SUM($I126:$I$177),NA()))</f>
        <v>720731.71000000008</v>
      </c>
      <c r="AB126">
        <f>IF(ISBLANK($J126),NA(),IFERROR(SUM($J126:$J$177),NA()))</f>
        <v>631083.35199999996</v>
      </c>
      <c r="AC126">
        <f t="shared" si="33"/>
        <v>1351815.0619999999</v>
      </c>
      <c r="AD126">
        <f t="shared" si="34"/>
        <v>40.036021066319492</v>
      </c>
      <c r="AE126">
        <f t="shared" si="35"/>
        <v>53.315851425244745</v>
      </c>
    </row>
    <row r="127" spans="1:31" x14ac:dyDescent="0.35">
      <c r="A127">
        <v>1974</v>
      </c>
      <c r="B127">
        <v>9531.6980000000003</v>
      </c>
      <c r="C127">
        <v>12931.427</v>
      </c>
      <c r="D127">
        <v>3580.11</v>
      </c>
      <c r="E127">
        <v>10127.852999999999</v>
      </c>
      <c r="F127">
        <v>13882.816999999999</v>
      </c>
      <c r="G127">
        <v>3890.5219999999999</v>
      </c>
      <c r="H127">
        <v>9531.6980000000003</v>
      </c>
      <c r="I127">
        <v>12931.428</v>
      </c>
      <c r="J127">
        <v>3579.7919999999999</v>
      </c>
      <c r="N127">
        <f>IF(ISBLANK($B127),NA(),IFERROR(SUM($B127:$B$177),NA()))</f>
        <v>531422.87800000003</v>
      </c>
      <c r="O127">
        <f>IF(ISBLANK($C127),NA(),IFERROR(SUM($C127:$C$177),NA()))</f>
        <v>707655.34800000011</v>
      </c>
      <c r="P127">
        <f>IF(ISBLANK($D127),NA(),IFERROR(SUM($D127:$D$177),NA()))</f>
        <v>628088.61499999987</v>
      </c>
      <c r="Q127">
        <f t="shared" si="27"/>
        <v>1335743.963</v>
      </c>
      <c r="R127">
        <f t="shared" si="28"/>
        <v>39.784786060829838</v>
      </c>
      <c r="S127">
        <f t="shared" si="29"/>
        <v>52.978367681381776</v>
      </c>
      <c r="T127">
        <f>IF(ISBLANK($E127),NA(),IFERROR(SUM($E127:$E$177),NA()))</f>
        <v>539432.76899999985</v>
      </c>
      <c r="U127">
        <f>IF(ISBLANK($F127),NA(),IFERROR(SUM($F127:$F$177),NA()))</f>
        <v>720808.27200000011</v>
      </c>
      <c r="V127">
        <f>IF(ISBLANK($G127),NA(),IFERROR(SUM($G127:$G$177),NA()))</f>
        <v>644061.99499999988</v>
      </c>
      <c r="W127">
        <f t="shared" si="30"/>
        <v>1364870.267</v>
      </c>
      <c r="X127">
        <f t="shared" si="31"/>
        <v>39.522640506022533</v>
      </c>
      <c r="Y127">
        <f t="shared" si="32"/>
        <v>52.811486148375451</v>
      </c>
      <c r="Z127">
        <f>IF(ISBLANK($H127),NA(),IFERROR(SUM($H127:$H$177),NA()))</f>
        <v>531422.87699999986</v>
      </c>
      <c r="AA127">
        <f>IF(ISBLANK($I127),NA(),IFERROR(SUM($I127:$I$177),NA()))</f>
        <v>707655.35</v>
      </c>
      <c r="AB127">
        <f>IF(ISBLANK($J127),NA(),IFERROR(SUM($J127:$J$177),NA()))</f>
        <v>627606.44699999993</v>
      </c>
      <c r="AC127">
        <f t="shared" si="33"/>
        <v>1335261.7969999998</v>
      </c>
      <c r="AD127">
        <f t="shared" si="34"/>
        <v>39.799152360531437</v>
      </c>
      <c r="AE127">
        <f t="shared" si="35"/>
        <v>52.997498437379477</v>
      </c>
    </row>
    <row r="128" spans="1:31" x14ac:dyDescent="0.35">
      <c r="A128">
        <v>1975</v>
      </c>
      <c r="B128">
        <v>9162.3240000000005</v>
      </c>
      <c r="C128">
        <v>12745.973</v>
      </c>
      <c r="D128">
        <v>3797.4670000000001</v>
      </c>
      <c r="E128">
        <v>9672.8680000000004</v>
      </c>
      <c r="F128">
        <v>13600.438</v>
      </c>
      <c r="G128">
        <v>4110.6689999999999</v>
      </c>
      <c r="H128">
        <v>9162.3240000000005</v>
      </c>
      <c r="I128">
        <v>12745.973</v>
      </c>
      <c r="J128">
        <v>3797.1370000000002</v>
      </c>
      <c r="N128">
        <f>IF(ISBLANK($B128),NA(),IFERROR(SUM($B128:$B$177),NA()))</f>
        <v>521891.17999999993</v>
      </c>
      <c r="O128">
        <f>IF(ISBLANK($C128),NA(),IFERROR(SUM($C128:$C$177),NA()))</f>
        <v>694723.92100000009</v>
      </c>
      <c r="P128">
        <f>IF(ISBLANK($D128),NA(),IFERROR(SUM($D128:$D$177),NA()))</f>
        <v>624508.50499999989</v>
      </c>
      <c r="Q128">
        <f t="shared" si="27"/>
        <v>1319232.426</v>
      </c>
      <c r="R128">
        <f t="shared" si="28"/>
        <v>39.560214691084312</v>
      </c>
      <c r="S128">
        <f t="shared" si="29"/>
        <v>52.661222337177463</v>
      </c>
      <c r="T128">
        <f>IF(ISBLANK($E128),NA(),IFERROR(SUM($E128:$E$177),NA()))</f>
        <v>529304.91599999997</v>
      </c>
      <c r="U128">
        <f>IF(ISBLANK($F128),NA(),IFERROR(SUM($F128:$F$177),NA()))</f>
        <v>706925.45500000019</v>
      </c>
      <c r="V128">
        <f>IF(ISBLANK($G128),NA(),IFERROR(SUM($G128:$G$177),NA()))</f>
        <v>640171.47299999988</v>
      </c>
      <c r="W128">
        <f t="shared" si="30"/>
        <v>1347096.9280000001</v>
      </c>
      <c r="X128">
        <f t="shared" si="31"/>
        <v>39.292266576974924</v>
      </c>
      <c r="Y128">
        <f t="shared" si="32"/>
        <v>52.4776978037916</v>
      </c>
      <c r="Z128">
        <f>IF(ISBLANK($H128),NA(),IFERROR(SUM($H128:$H$177),NA()))</f>
        <v>521891.17899999995</v>
      </c>
      <c r="AA128">
        <f>IF(ISBLANK($I128),NA(),IFERROR(SUM($I128:$I$177),NA()))</f>
        <v>694723.92200000002</v>
      </c>
      <c r="AB128">
        <f>IF(ISBLANK($J128),NA(),IFERROR(SUM($J128:$J$177),NA()))</f>
        <v>624026.65500000003</v>
      </c>
      <c r="AC128">
        <f t="shared" si="33"/>
        <v>1318750.577</v>
      </c>
      <c r="AD128">
        <f t="shared" si="34"/>
        <v>39.574669243917228</v>
      </c>
      <c r="AE128">
        <f t="shared" si="35"/>
        <v>52.680463926727818</v>
      </c>
    </row>
    <row r="129" spans="1:31" x14ac:dyDescent="0.35">
      <c r="A129">
        <v>1976</v>
      </c>
      <c r="B129">
        <v>9630.5349999999999</v>
      </c>
      <c r="C129">
        <v>13372.009</v>
      </c>
      <c r="D129">
        <v>4054.3270000000002</v>
      </c>
      <c r="E129">
        <v>10199.027</v>
      </c>
      <c r="F129">
        <v>14295.599</v>
      </c>
      <c r="G129">
        <v>4350.2700000000004</v>
      </c>
      <c r="H129">
        <v>9630.5349999999999</v>
      </c>
      <c r="I129">
        <v>13372.009</v>
      </c>
      <c r="J129">
        <v>4054.0889999999999</v>
      </c>
      <c r="N129">
        <f>IF(ISBLANK($B129),NA(),IFERROR(SUM($B129:$B$177),NA()))</f>
        <v>512728.85600000003</v>
      </c>
      <c r="O129">
        <f>IF(ISBLANK($C129),NA(),IFERROR(SUM($C129:$C$177),NA()))</f>
        <v>681977.94800000009</v>
      </c>
      <c r="P129">
        <f>IF(ISBLANK($D129),NA(),IFERROR(SUM($D129:$D$177),NA()))</f>
        <v>620711.03799999994</v>
      </c>
      <c r="Q129">
        <f t="shared" si="27"/>
        <v>1302688.986</v>
      </c>
      <c r="R129">
        <f t="shared" si="28"/>
        <v>39.359268521519539</v>
      </c>
      <c r="S129">
        <f t="shared" si="29"/>
        <v>52.351555538522078</v>
      </c>
      <c r="T129">
        <f>IF(ISBLANK($E129),NA(),IFERROR(SUM($E129:$E$177),NA()))</f>
        <v>519632.04800000007</v>
      </c>
      <c r="U129">
        <f>IF(ISBLANK($F129),NA(),IFERROR(SUM($F129:$F$177),NA()))</f>
        <v>693325.01700000011</v>
      </c>
      <c r="V129">
        <f>IF(ISBLANK($G129),NA(),IFERROR(SUM($G129:$G$177),NA()))</f>
        <v>636060.80399999989</v>
      </c>
      <c r="W129">
        <f t="shared" si="30"/>
        <v>1329385.821</v>
      </c>
      <c r="X129">
        <f t="shared" si="31"/>
        <v>39.088129254238531</v>
      </c>
      <c r="Y129">
        <f t="shared" si="32"/>
        <v>52.153784555823101</v>
      </c>
      <c r="Z129">
        <f>IF(ISBLANK($H129),NA(),IFERROR(SUM($H129:$H$177),NA()))</f>
        <v>512728.85499999992</v>
      </c>
      <c r="AA129">
        <f>IF(ISBLANK($I129),NA(),IFERROR(SUM($I129:$I$177),NA()))</f>
        <v>681977.94900000002</v>
      </c>
      <c r="AB129">
        <f>IF(ISBLANK($J129),NA(),IFERROR(SUM($J129:$J$177),NA()))</f>
        <v>620229.51800000004</v>
      </c>
      <c r="AC129">
        <f t="shared" si="33"/>
        <v>1302207.4670000002</v>
      </c>
      <c r="AD129">
        <f t="shared" si="34"/>
        <v>39.373822374188535</v>
      </c>
      <c r="AE129">
        <f t="shared" si="35"/>
        <v>52.370913720156075</v>
      </c>
    </row>
    <row r="130" spans="1:31" x14ac:dyDescent="0.35">
      <c r="A130">
        <v>1977</v>
      </c>
      <c r="B130">
        <v>9735.9719999999998</v>
      </c>
      <c r="C130">
        <v>13612.130999999999</v>
      </c>
      <c r="D130">
        <v>4299.7960000000003</v>
      </c>
      <c r="E130">
        <v>10281.288</v>
      </c>
      <c r="F130">
        <v>14501.748</v>
      </c>
      <c r="G130">
        <v>4586.2259999999997</v>
      </c>
      <c r="H130">
        <v>9735.9719999999998</v>
      </c>
      <c r="I130">
        <v>13612.132</v>
      </c>
      <c r="J130">
        <v>4299.5219999999999</v>
      </c>
      <c r="N130">
        <f>IF(ISBLANK($B130),NA(),IFERROR(SUM($B130:$B$177),NA()))</f>
        <v>503098.321</v>
      </c>
      <c r="O130">
        <f>IF(ISBLANK($C130),NA(),IFERROR(SUM($C130:$C$177),NA()))</f>
        <v>668605.93900000001</v>
      </c>
      <c r="P130">
        <f>IF(ISBLANK($D130),NA(),IFERROR(SUM($D130:$D$177),NA()))</f>
        <v>616656.71100000001</v>
      </c>
      <c r="Q130">
        <f t="shared" si="27"/>
        <v>1285262.6499999999</v>
      </c>
      <c r="R130">
        <f t="shared" si="28"/>
        <v>39.143619477310729</v>
      </c>
      <c r="S130">
        <f t="shared" si="29"/>
        <v>52.020957661844456</v>
      </c>
      <c r="T130">
        <f>IF(ISBLANK($E130),NA(),IFERROR(SUM($E130:$E$177),NA()))</f>
        <v>509433.02100000007</v>
      </c>
      <c r="U130">
        <f>IF(ISBLANK($F130),NA(),IFERROR(SUM($F130:$F$177),NA()))</f>
        <v>679029.41800000018</v>
      </c>
      <c r="V130">
        <f>IF(ISBLANK($G130),NA(),IFERROR(SUM($G130:$G$177),NA()))</f>
        <v>631710.53399999987</v>
      </c>
      <c r="W130">
        <f t="shared" si="30"/>
        <v>1310739.952</v>
      </c>
      <c r="X130">
        <f t="shared" si="31"/>
        <v>38.866063418810022</v>
      </c>
      <c r="Y130">
        <f t="shared" si="32"/>
        <v>51.805044697378698</v>
      </c>
      <c r="Z130">
        <f>IF(ISBLANK($H130),NA(),IFERROR(SUM($H130:$H$177),NA()))</f>
        <v>503098.31999999989</v>
      </c>
      <c r="AA130">
        <f>IF(ISBLANK($I130),NA(),IFERROR(SUM($I130:$I$177),NA()))</f>
        <v>668605.93999999994</v>
      </c>
      <c r="AB130">
        <f>IF(ISBLANK($J130),NA(),IFERROR(SUM($J130:$J$177),NA()))</f>
        <v>616175.429</v>
      </c>
      <c r="AC130">
        <f t="shared" si="33"/>
        <v>1284781.3689999999</v>
      </c>
      <c r="AD130">
        <f t="shared" si="34"/>
        <v>39.158282657195031</v>
      </c>
      <c r="AE130">
        <f t="shared" si="35"/>
        <v>52.040444867316559</v>
      </c>
    </row>
    <row r="131" spans="1:31" x14ac:dyDescent="0.35">
      <c r="A131">
        <v>1978</v>
      </c>
      <c r="B131">
        <v>9951.5619999999999</v>
      </c>
      <c r="C131">
        <v>13962.567999999999</v>
      </c>
      <c r="D131">
        <v>4608.9530000000004</v>
      </c>
      <c r="E131">
        <v>10528.058999999999</v>
      </c>
      <c r="F131">
        <v>14887.385</v>
      </c>
      <c r="G131">
        <v>4876.45</v>
      </c>
      <c r="H131">
        <v>9951.5619999999999</v>
      </c>
      <c r="I131">
        <v>13962.567999999999</v>
      </c>
      <c r="J131">
        <v>4608.7510000000002</v>
      </c>
      <c r="N131">
        <f>IF(ISBLANK($B131),NA(),IFERROR(SUM($B131:$B$177),NA()))</f>
        <v>493362.34900000005</v>
      </c>
      <c r="O131">
        <f>IF(ISBLANK($C131),NA(),IFERROR(SUM($C131:$C$177),NA()))</f>
        <v>654993.80799999996</v>
      </c>
      <c r="P131">
        <f>IF(ISBLANK($D131),NA(),IFERROR(SUM($D131:$D$177),NA()))</f>
        <v>612356.91500000004</v>
      </c>
      <c r="Q131">
        <f t="shared" ref="Q131:Q162" si="36">IFERROR(O131+P131,"")</f>
        <v>1267350.723</v>
      </c>
      <c r="R131">
        <f t="shared" ref="R131:R162" si="37">IFERROR(N131/Q131*100,NA())</f>
        <v>38.928635936873178</v>
      </c>
      <c r="S131">
        <f t="shared" ref="S131:S162" si="38">IFERROR(O131/Q131*100,NA())</f>
        <v>51.682126826703204</v>
      </c>
      <c r="T131">
        <f>IF(ISBLANK($E131),NA(),IFERROR(SUM($E131:$E$177),NA()))</f>
        <v>499151.73300000001</v>
      </c>
      <c r="U131">
        <f>IF(ISBLANK($F131),NA(),IFERROR(SUM($F131:$F$177),NA()))</f>
        <v>664527.67000000016</v>
      </c>
      <c r="V131">
        <f>IF(ISBLANK($G131),NA(),IFERROR(SUM($G131:$G$177),NA()))</f>
        <v>627124.30799999984</v>
      </c>
      <c r="W131">
        <f t="shared" ref="W131:W162" si="39">IFERROR(U131+V131,"")</f>
        <v>1291651.9780000001</v>
      </c>
      <c r="X131">
        <f t="shared" ref="X131:X162" si="40">IFERROR(T131/W131*100,NA())</f>
        <v>38.644444595121428</v>
      </c>
      <c r="Y131">
        <f t="shared" ref="Y131:Y162" si="41">IFERROR(U131/W131*100,NA())</f>
        <v>51.447888542621044</v>
      </c>
      <c r="Z131">
        <f>IF(ISBLANK($H131),NA(),IFERROR(SUM($H131:$H$177),NA()))</f>
        <v>493362.34799999994</v>
      </c>
      <c r="AA131">
        <f>IF(ISBLANK($I131),NA(),IFERROR(SUM($I131:$I$177),NA()))</f>
        <v>654993.80799999996</v>
      </c>
      <c r="AB131">
        <f>IF(ISBLANK($J131),NA(),IFERROR(SUM($J131:$J$177),NA()))</f>
        <v>611875.90700000001</v>
      </c>
      <c r="AC131">
        <f t="shared" ref="AC131:AC162" si="42">IFERROR(AA131+AB131,"")</f>
        <v>1266869.7149999999</v>
      </c>
      <c r="AD131">
        <f t="shared" ref="AD131:AD162" si="43">IFERROR(Z131/AC131*100,NA())</f>
        <v>38.943416371745847</v>
      </c>
      <c r="AE131">
        <f t="shared" ref="AE131:AE162" si="44">IFERROR(AA131/AC131*100,NA())</f>
        <v>51.701749615192284</v>
      </c>
    </row>
    <row r="132" spans="1:31" x14ac:dyDescent="0.35">
      <c r="A132">
        <v>1979</v>
      </c>
      <c r="B132">
        <v>10184.583000000001</v>
      </c>
      <c r="C132">
        <v>14222.119000000001</v>
      </c>
      <c r="D132">
        <v>4831.6130000000003</v>
      </c>
      <c r="E132">
        <v>10793.316999999999</v>
      </c>
      <c r="F132">
        <v>15190.695</v>
      </c>
      <c r="G132">
        <v>5105.3540000000003</v>
      </c>
      <c r="H132">
        <v>10184.583000000001</v>
      </c>
      <c r="I132">
        <v>14222.119000000001</v>
      </c>
      <c r="J132">
        <v>4831.3900000000003</v>
      </c>
      <c r="N132">
        <f>IF(ISBLANK($B132),NA(),IFERROR(SUM($B132:$B$177),NA()))</f>
        <v>483410.78700000001</v>
      </c>
      <c r="O132">
        <f>IF(ISBLANK($C132),NA(),IFERROR(SUM($C132:$C$177),NA()))</f>
        <v>641031.23999999987</v>
      </c>
      <c r="P132">
        <f>IF(ISBLANK($D132),NA(),IFERROR(SUM($D132:$D$177),NA()))</f>
        <v>607747.96200000006</v>
      </c>
      <c r="Q132">
        <f t="shared" si="36"/>
        <v>1248779.202</v>
      </c>
      <c r="R132">
        <f t="shared" si="37"/>
        <v>38.710669286114516</v>
      </c>
      <c r="S132">
        <f t="shared" si="38"/>
        <v>51.332632620189955</v>
      </c>
      <c r="T132">
        <f>IF(ISBLANK($E132),NA(),IFERROR(SUM($E132:$E$177),NA()))</f>
        <v>488623.674</v>
      </c>
      <c r="U132">
        <f>IF(ISBLANK($F132),NA(),IFERROR(SUM($F132:$F$177),NA()))</f>
        <v>649640.28500000015</v>
      </c>
      <c r="V132">
        <f>IF(ISBLANK($G132),NA(),IFERROR(SUM($G132:$G$177),NA()))</f>
        <v>622247.85799999989</v>
      </c>
      <c r="W132">
        <f t="shared" si="39"/>
        <v>1271888.1430000002</v>
      </c>
      <c r="X132">
        <f t="shared" si="40"/>
        <v>38.41718917573084</v>
      </c>
      <c r="Y132">
        <f t="shared" si="41"/>
        <v>51.076841039471823</v>
      </c>
      <c r="Z132">
        <f>IF(ISBLANK($H132),NA(),IFERROR(SUM($H132:$H$177),NA()))</f>
        <v>483410.78599999991</v>
      </c>
      <c r="AA132">
        <f>IF(ISBLANK($I132),NA(),IFERROR(SUM($I132:$I$177),NA()))</f>
        <v>641031.23999999987</v>
      </c>
      <c r="AB132">
        <f>IF(ISBLANK($J132),NA(),IFERROR(SUM($J132:$J$177),NA()))</f>
        <v>607267.15600000008</v>
      </c>
      <c r="AC132">
        <f t="shared" si="42"/>
        <v>1248298.3959999999</v>
      </c>
      <c r="AD132">
        <f t="shared" si="43"/>
        <v>38.725579360593834</v>
      </c>
      <c r="AE132">
        <f t="shared" si="44"/>
        <v>51.352404365342139</v>
      </c>
    </row>
    <row r="133" spans="1:31" x14ac:dyDescent="0.35">
      <c r="A133">
        <v>1980</v>
      </c>
      <c r="B133">
        <v>9880.0750000000007</v>
      </c>
      <c r="C133">
        <v>14055.347</v>
      </c>
      <c r="D133">
        <v>4910.1310000000003</v>
      </c>
      <c r="E133">
        <v>10426.483</v>
      </c>
      <c r="F133">
        <v>14950.561</v>
      </c>
      <c r="G133">
        <v>5157.3370000000004</v>
      </c>
      <c r="H133">
        <v>9880.0750000000007</v>
      </c>
      <c r="I133">
        <v>14055.347</v>
      </c>
      <c r="J133">
        <v>4909.8739999999998</v>
      </c>
      <c r="N133">
        <f>IF(ISBLANK($B133),NA(),IFERROR(SUM($B133:$B$177),NA()))</f>
        <v>473226.20399999991</v>
      </c>
      <c r="O133">
        <f>IF(ISBLANK($C133),NA(),IFERROR(SUM($C133:$C$177),NA()))</f>
        <v>626809.12099999993</v>
      </c>
      <c r="P133">
        <f>IF(ISBLANK($D133),NA(),IFERROR(SUM($D133:$D$177),NA()))</f>
        <v>602916.34900000005</v>
      </c>
      <c r="Q133">
        <f t="shared" si="36"/>
        <v>1229725.47</v>
      </c>
      <c r="R133">
        <f t="shared" si="37"/>
        <v>38.482264175596839</v>
      </c>
      <c r="S133">
        <f t="shared" si="38"/>
        <v>50.971467721165432</v>
      </c>
      <c r="T133">
        <f>IF(ISBLANK($E133),NA(),IFERROR(SUM($E133:$E$177),NA()))</f>
        <v>477830.35700000008</v>
      </c>
      <c r="U133">
        <f>IF(ISBLANK($F133),NA(),IFERROR(SUM($F133:$F$177),NA()))</f>
        <v>634449.59000000008</v>
      </c>
      <c r="V133">
        <f>IF(ISBLANK($G133),NA(),IFERROR(SUM($G133:$G$177),NA()))</f>
        <v>617142.50399999984</v>
      </c>
      <c r="W133">
        <f t="shared" si="39"/>
        <v>1251592.094</v>
      </c>
      <c r="X133">
        <f t="shared" si="40"/>
        <v>38.177802439841876</v>
      </c>
      <c r="Y133">
        <f t="shared" si="41"/>
        <v>50.691402817378297</v>
      </c>
      <c r="Z133">
        <f>IF(ISBLANK($H133),NA(),IFERROR(SUM($H133:$H$177),NA()))</f>
        <v>473226.20299999992</v>
      </c>
      <c r="AA133">
        <f>IF(ISBLANK($I133),NA(),IFERROR(SUM($I133:$I$177),NA()))</f>
        <v>626809.12099999993</v>
      </c>
      <c r="AB133">
        <f>IF(ISBLANK($J133),NA(),IFERROR(SUM($J133:$J$177),NA()))</f>
        <v>602435.76600000006</v>
      </c>
      <c r="AC133">
        <f t="shared" si="42"/>
        <v>1229244.8870000001</v>
      </c>
      <c r="AD133">
        <f t="shared" si="43"/>
        <v>38.497309039447721</v>
      </c>
      <c r="AE133">
        <f t="shared" si="44"/>
        <v>50.991395419161897</v>
      </c>
    </row>
    <row r="134" spans="1:31" x14ac:dyDescent="0.35">
      <c r="A134">
        <v>1981</v>
      </c>
      <c r="B134">
        <v>9488.0130000000008</v>
      </c>
      <c r="C134">
        <v>13559.878000000001</v>
      </c>
      <c r="D134">
        <v>4909.71</v>
      </c>
      <c r="E134">
        <v>10031.494000000001</v>
      </c>
      <c r="F134">
        <v>14438.316999999999</v>
      </c>
      <c r="G134">
        <v>5178.8850000000002</v>
      </c>
      <c r="H134">
        <v>9488.0120000000006</v>
      </c>
      <c r="I134">
        <v>13559.878000000001</v>
      </c>
      <c r="J134">
        <v>4909.45</v>
      </c>
      <c r="N134">
        <f>IF(ISBLANK($B134),NA(),IFERROR(SUM($B134:$B$177),NA()))</f>
        <v>463346.12900000007</v>
      </c>
      <c r="O134">
        <f>IF(ISBLANK($C134),NA(),IFERROR(SUM($C134:$C$177),NA()))</f>
        <v>612753.77399999998</v>
      </c>
      <c r="P134">
        <f>IF(ISBLANK($D134),NA(),IFERROR(SUM($D134:$D$177),NA()))</f>
        <v>598006.21799999999</v>
      </c>
      <c r="Q134">
        <f t="shared" si="36"/>
        <v>1210759.9920000001</v>
      </c>
      <c r="R134">
        <f t="shared" si="37"/>
        <v>38.269032018031865</v>
      </c>
      <c r="S134">
        <f t="shared" si="38"/>
        <v>50.609020619174863</v>
      </c>
      <c r="T134">
        <f>IF(ISBLANK($E134),NA(),IFERROR(SUM($E134:$E$177),NA()))</f>
        <v>467403.87400000007</v>
      </c>
      <c r="U134">
        <f>IF(ISBLANK($F134),NA(),IFERROR(SUM($F134:$F$177),NA()))</f>
        <v>619499.02899999998</v>
      </c>
      <c r="V134">
        <f>IF(ISBLANK($G134),NA(),IFERROR(SUM($G134:$G$177),NA()))</f>
        <v>611985.1669999999</v>
      </c>
      <c r="W134">
        <f t="shared" si="39"/>
        <v>1231484.196</v>
      </c>
      <c r="X134">
        <f t="shared" si="40"/>
        <v>37.954516632708781</v>
      </c>
      <c r="Y134">
        <f t="shared" si="41"/>
        <v>50.3050734237762</v>
      </c>
      <c r="Z134">
        <f>IF(ISBLANK($H134),NA(),IFERROR(SUM($H134:$H$177),NA()))</f>
        <v>463346.12799999997</v>
      </c>
      <c r="AA134">
        <f>IF(ISBLANK($I134),NA(),IFERROR(SUM($I134:$I$177),NA()))</f>
        <v>612753.77399999986</v>
      </c>
      <c r="AB134">
        <f>IF(ISBLANK($J134),NA(),IFERROR(SUM($J134:$J$177),NA()))</f>
        <v>597525.89199999999</v>
      </c>
      <c r="AC134">
        <f t="shared" si="42"/>
        <v>1210279.6659999997</v>
      </c>
      <c r="AD134">
        <f t="shared" si="43"/>
        <v>38.284219839152456</v>
      </c>
      <c r="AE134">
        <f t="shared" si="44"/>
        <v>50.629105917739182</v>
      </c>
    </row>
    <row r="135" spans="1:31" x14ac:dyDescent="0.35">
      <c r="A135">
        <v>1982</v>
      </c>
      <c r="B135">
        <v>9093.1129999999994</v>
      </c>
      <c r="C135">
        <v>13242.053</v>
      </c>
      <c r="D135">
        <v>5116.3040000000001</v>
      </c>
      <c r="E135">
        <v>9547.9760000000006</v>
      </c>
      <c r="F135">
        <v>14027.572</v>
      </c>
      <c r="G135">
        <v>5345.7349999999997</v>
      </c>
      <c r="H135">
        <v>9093.1129999999994</v>
      </c>
      <c r="I135">
        <v>13242.053</v>
      </c>
      <c r="J135">
        <v>5116.0730000000003</v>
      </c>
      <c r="N135">
        <f>IF(ISBLANK($B135),NA(),IFERROR(SUM($B135:$B$177),NA()))</f>
        <v>453858.11600000004</v>
      </c>
      <c r="O135">
        <f>IF(ISBLANK($C135),NA(),IFERROR(SUM($C135:$C$177),NA()))</f>
        <v>599193.89600000007</v>
      </c>
      <c r="P135">
        <f>IF(ISBLANK($D135),NA(),IFERROR(SUM($D135:$D$177),NA()))</f>
        <v>593096.50800000003</v>
      </c>
      <c r="Q135">
        <f t="shared" si="36"/>
        <v>1192290.4040000001</v>
      </c>
      <c r="R135">
        <f t="shared" si="37"/>
        <v>38.066071359574579</v>
      </c>
      <c r="S135">
        <f t="shared" si="38"/>
        <v>50.255700623755082</v>
      </c>
      <c r="T135">
        <f>IF(ISBLANK($E135),NA(),IFERROR(SUM($E135:$E$177),NA()))</f>
        <v>457372.38000000012</v>
      </c>
      <c r="U135">
        <f>IF(ISBLANK($F135),NA(),IFERROR(SUM($F135:$F$177),NA()))</f>
        <v>605060.71200000017</v>
      </c>
      <c r="V135">
        <f>IF(ISBLANK($G135),NA(),IFERROR(SUM($G135:$G$177),NA()))</f>
        <v>606806.28199999989</v>
      </c>
      <c r="W135">
        <f t="shared" si="39"/>
        <v>1211866.9939999999</v>
      </c>
      <c r="X135">
        <f t="shared" si="40"/>
        <v>37.741136796733329</v>
      </c>
      <c r="Y135">
        <f t="shared" si="41"/>
        <v>49.927980132776867</v>
      </c>
      <c r="Z135">
        <f>IF(ISBLANK($H135),NA(),IFERROR(SUM($H135:$H$177),NA()))</f>
        <v>453858.11599999998</v>
      </c>
      <c r="AA135">
        <f>IF(ISBLANK($I135),NA(),IFERROR(SUM($I135:$I$177),NA()))</f>
        <v>599193.89599999995</v>
      </c>
      <c r="AB135">
        <f>IF(ISBLANK($J135),NA(),IFERROR(SUM($J135:$J$177),NA()))</f>
        <v>592616.44199999992</v>
      </c>
      <c r="AC135">
        <f t="shared" si="42"/>
        <v>1191810.338</v>
      </c>
      <c r="AD135">
        <f t="shared" si="43"/>
        <v>38.081404526296367</v>
      </c>
      <c r="AE135">
        <f t="shared" si="44"/>
        <v>50.275943822195636</v>
      </c>
    </row>
    <row r="136" spans="1:31" x14ac:dyDescent="0.35">
      <c r="A136">
        <v>1983</v>
      </c>
      <c r="B136">
        <v>9041.973</v>
      </c>
      <c r="C136">
        <v>13246.703</v>
      </c>
      <c r="D136">
        <v>5298.3149999999996</v>
      </c>
      <c r="E136">
        <v>9512.7720000000008</v>
      </c>
      <c r="F136">
        <v>14046.02</v>
      </c>
      <c r="G136">
        <v>5521.1139999999996</v>
      </c>
      <c r="H136">
        <v>9041.973</v>
      </c>
      <c r="I136">
        <v>13246.703</v>
      </c>
      <c r="J136">
        <v>5298.0770000000002</v>
      </c>
      <c r="N136">
        <f>IF(ISBLANK($B136),NA(),IFERROR(SUM($B136:$B$177),NA()))</f>
        <v>444765.00300000003</v>
      </c>
      <c r="O136">
        <f>IF(ISBLANK($C136),NA(),IFERROR(SUM($C136:$C$177),NA()))</f>
        <v>585951.84300000011</v>
      </c>
      <c r="P136">
        <f>IF(ISBLANK($D136),NA(),IFERROR(SUM($D136:$D$177),NA()))</f>
        <v>587980.20400000003</v>
      </c>
      <c r="Q136">
        <f t="shared" si="36"/>
        <v>1173932.0470000003</v>
      </c>
      <c r="R136">
        <f t="shared" si="37"/>
        <v>37.886775826301296</v>
      </c>
      <c r="S136">
        <f t="shared" si="38"/>
        <v>49.913608244822029</v>
      </c>
      <c r="T136">
        <f>IF(ISBLANK($E136),NA(),IFERROR(SUM($E136:$E$177),NA()))</f>
        <v>447824.4040000001</v>
      </c>
      <c r="U136">
        <f>IF(ISBLANK($F136),NA(),IFERROR(SUM($F136:$F$177),NA()))</f>
        <v>591033.14</v>
      </c>
      <c r="V136">
        <f>IF(ISBLANK($G136),NA(),IFERROR(SUM($G136:$G$177),NA()))</f>
        <v>601460.5469999999</v>
      </c>
      <c r="W136">
        <f t="shared" si="39"/>
        <v>1192493.6869999999</v>
      </c>
      <c r="X136">
        <f t="shared" si="40"/>
        <v>37.553607946269999</v>
      </c>
      <c r="Y136">
        <f t="shared" si="41"/>
        <v>49.562789844773413</v>
      </c>
      <c r="Z136">
        <f>IF(ISBLANK($H136),NA(),IFERROR(SUM($H136:$H$177),NA()))</f>
        <v>444765.00300000008</v>
      </c>
      <c r="AA136">
        <f>IF(ISBLANK($I136),NA(),IFERROR(SUM($I136:$I$177),NA()))</f>
        <v>585951.84299999999</v>
      </c>
      <c r="AB136">
        <f>IF(ISBLANK($J136),NA(),IFERROR(SUM($J136:$J$177),NA()))</f>
        <v>587500.36899999995</v>
      </c>
      <c r="AC136">
        <f t="shared" si="42"/>
        <v>1173452.2119999998</v>
      </c>
      <c r="AD136">
        <f t="shared" si="43"/>
        <v>37.902268064410968</v>
      </c>
      <c r="AE136">
        <f t="shared" si="44"/>
        <v>49.934018361201069</v>
      </c>
    </row>
    <row r="137" spans="1:31" x14ac:dyDescent="0.35">
      <c r="A137">
        <v>1984</v>
      </c>
      <c r="B137">
        <v>9268.99</v>
      </c>
      <c r="C137">
        <v>13514.973</v>
      </c>
      <c r="D137">
        <v>5584.125</v>
      </c>
      <c r="E137">
        <v>9776.3520000000008</v>
      </c>
      <c r="F137">
        <v>14362.081</v>
      </c>
      <c r="G137">
        <v>5844.9840000000004</v>
      </c>
      <c r="H137">
        <v>9268.99</v>
      </c>
      <c r="I137">
        <v>13514.973</v>
      </c>
      <c r="J137">
        <v>5583.9669999999996</v>
      </c>
      <c r="N137">
        <f>IF(ISBLANK($B137),NA(),IFERROR(SUM($B137:$B$177),NA()))</f>
        <v>435723.03</v>
      </c>
      <c r="O137">
        <f>IF(ISBLANK($C137),NA(),IFERROR(SUM($C137:$C$177),NA()))</f>
        <v>572705.14</v>
      </c>
      <c r="P137">
        <f>IF(ISBLANK($D137),NA(),IFERROR(SUM($D137:$D$177),NA()))</f>
        <v>582681.88899999997</v>
      </c>
      <c r="Q137">
        <f t="shared" si="36"/>
        <v>1155387.0290000001</v>
      </c>
      <c r="R137">
        <f t="shared" si="37"/>
        <v>37.712300645881662</v>
      </c>
      <c r="S137">
        <f t="shared" si="38"/>
        <v>49.568250778761339</v>
      </c>
      <c r="T137">
        <f>IF(ISBLANK($E137),NA(),IFERROR(SUM($E137:$E$177),NA()))</f>
        <v>438311.6320000001</v>
      </c>
      <c r="U137">
        <f>IF(ISBLANK($F137),NA(),IFERROR(SUM($F137:$F$177),NA()))</f>
        <v>576987.12</v>
      </c>
      <c r="V137">
        <f>IF(ISBLANK($G137),NA(),IFERROR(SUM($G137:$G$177),NA()))</f>
        <v>595939.43299999984</v>
      </c>
      <c r="W137">
        <f t="shared" si="39"/>
        <v>1172926.5529999998</v>
      </c>
      <c r="X137">
        <f t="shared" si="40"/>
        <v>37.369060396742519</v>
      </c>
      <c r="Y137">
        <f t="shared" si="41"/>
        <v>49.192092934057747</v>
      </c>
      <c r="Z137">
        <f>IF(ISBLANK($H137),NA(),IFERROR(SUM($H137:$H$177),NA()))</f>
        <v>435723.02999999997</v>
      </c>
      <c r="AA137">
        <f>IF(ISBLANK($I137),NA(),IFERROR(SUM($I137:$I$177),NA()))</f>
        <v>572705.1399999999</v>
      </c>
      <c r="AB137">
        <f>IF(ISBLANK($J137),NA(),IFERROR(SUM($J137:$J$177),NA()))</f>
        <v>582202.29200000002</v>
      </c>
      <c r="AC137">
        <f t="shared" si="42"/>
        <v>1154907.432</v>
      </c>
      <c r="AD137">
        <f t="shared" si="43"/>
        <v>37.727961386952089</v>
      </c>
      <c r="AE137">
        <f t="shared" si="44"/>
        <v>49.588834925776105</v>
      </c>
    </row>
    <row r="138" spans="1:31" x14ac:dyDescent="0.35">
      <c r="A138">
        <v>1985</v>
      </c>
      <c r="B138">
        <v>9332.9279999999999</v>
      </c>
      <c r="C138">
        <v>13842.078</v>
      </c>
      <c r="D138">
        <v>5936.9219999999996</v>
      </c>
      <c r="E138">
        <v>9823.9050000000007</v>
      </c>
      <c r="F138">
        <v>14661.217000000001</v>
      </c>
      <c r="G138">
        <v>6202.3159999999998</v>
      </c>
      <c r="H138">
        <v>9332.9279999999999</v>
      </c>
      <c r="I138">
        <v>13842.078</v>
      </c>
      <c r="J138">
        <v>5936.7610000000004</v>
      </c>
      <c r="N138">
        <f>IF(ISBLANK($B138),NA(),IFERROR(SUM($B138:$B$177),NA()))</f>
        <v>426454.04000000004</v>
      </c>
      <c r="O138">
        <f>IF(ISBLANK($C138),NA(),IFERROR(SUM($C138:$C$177),NA()))</f>
        <v>559190.1669999999</v>
      </c>
      <c r="P138">
        <f>IF(ISBLANK($D138),NA(),IFERROR(SUM($D138:$D$177),NA()))</f>
        <v>577097.76399999997</v>
      </c>
      <c r="Q138">
        <f t="shared" si="36"/>
        <v>1136287.9309999999</v>
      </c>
      <c r="R138">
        <f t="shared" si="37"/>
        <v>37.530455825989065</v>
      </c>
      <c r="S138">
        <f t="shared" si="38"/>
        <v>49.212013235754412</v>
      </c>
      <c r="T138">
        <f>IF(ISBLANK($E138),NA(),IFERROR(SUM($E138:$E$177),NA()))</f>
        <v>428535.28</v>
      </c>
      <c r="U138">
        <f>IF(ISBLANK($F138),NA(),IFERROR(SUM($F138:$F$177),NA()))</f>
        <v>562625.03899999999</v>
      </c>
      <c r="V138">
        <f>IF(ISBLANK($G138),NA(),IFERROR(SUM($G138:$G$177),NA()))</f>
        <v>590094.44899999991</v>
      </c>
      <c r="W138">
        <f t="shared" si="39"/>
        <v>1152719.4879999999</v>
      </c>
      <c r="X138">
        <f t="shared" si="40"/>
        <v>37.176024562881345</v>
      </c>
      <c r="Y138">
        <f t="shared" si="41"/>
        <v>48.80849546286148</v>
      </c>
      <c r="Z138">
        <f>IF(ISBLANK($H138),NA(),IFERROR(SUM($H138:$H$177),NA()))</f>
        <v>426454.04</v>
      </c>
      <c r="AA138">
        <f>IF(ISBLANK($I138),NA(),IFERROR(SUM($I138:$I$177),NA()))</f>
        <v>559190.1669999999</v>
      </c>
      <c r="AB138">
        <f>IF(ISBLANK($J138),NA(),IFERROR(SUM($J138:$J$177),NA()))</f>
        <v>576618.32499999995</v>
      </c>
      <c r="AC138">
        <f t="shared" si="42"/>
        <v>1135808.4919999999</v>
      </c>
      <c r="AD138">
        <f t="shared" si="43"/>
        <v>37.546297901776917</v>
      </c>
      <c r="AE138">
        <f t="shared" si="44"/>
        <v>49.232786243334409</v>
      </c>
    </row>
    <row r="139" spans="1:31" x14ac:dyDescent="0.35">
      <c r="A139">
        <v>1986</v>
      </c>
      <c r="B139">
        <v>9304.0079999999998</v>
      </c>
      <c r="C139">
        <v>13846.648999999999</v>
      </c>
      <c r="D139">
        <v>6199.2160000000003</v>
      </c>
      <c r="E139">
        <v>9780.1290000000008</v>
      </c>
      <c r="F139">
        <v>14667.307000000001</v>
      </c>
      <c r="G139">
        <v>6441.7889999999998</v>
      </c>
      <c r="H139">
        <v>9304.0079999999998</v>
      </c>
      <c r="I139">
        <v>13846.648999999999</v>
      </c>
      <c r="J139">
        <v>6199.0550000000003</v>
      </c>
      <c r="N139">
        <f>IF(ISBLANK($B139),NA(),IFERROR(SUM($B139:$B$177),NA()))</f>
        <v>417121.11200000008</v>
      </c>
      <c r="O139">
        <f>IF(ISBLANK($C139),NA(),IFERROR(SUM($C139:$C$177),NA()))</f>
        <v>545348.08899999992</v>
      </c>
      <c r="P139">
        <f>IF(ISBLANK($D139),NA(),IFERROR(SUM($D139:$D$177),NA()))</f>
        <v>571160.84200000006</v>
      </c>
      <c r="Q139">
        <f t="shared" si="36"/>
        <v>1116508.9309999999</v>
      </c>
      <c r="R139">
        <f t="shared" si="37"/>
        <v>37.359406666492681</v>
      </c>
      <c r="S139">
        <f t="shared" si="38"/>
        <v>48.844041803728302</v>
      </c>
      <c r="T139">
        <f>IF(ISBLANK($E139),NA(),IFERROR(SUM($E139:$E$177),NA()))</f>
        <v>418711.375</v>
      </c>
      <c r="U139">
        <f>IF(ISBLANK($F139),NA(),IFERROR(SUM($F139:$F$177),NA()))</f>
        <v>547963.82200000004</v>
      </c>
      <c r="V139">
        <f>IF(ISBLANK($G139),NA(),IFERROR(SUM($G139:$G$177),NA()))</f>
        <v>583892.13299999991</v>
      </c>
      <c r="W139">
        <f t="shared" si="39"/>
        <v>1131855.9550000001</v>
      </c>
      <c r="X139">
        <f t="shared" si="40"/>
        <v>36.99334470524564</v>
      </c>
      <c r="Y139">
        <f t="shared" si="41"/>
        <v>48.412858507247066</v>
      </c>
      <c r="Z139">
        <f>IF(ISBLANK($H139),NA(),IFERROR(SUM($H139:$H$177),NA()))</f>
        <v>417121.11200000002</v>
      </c>
      <c r="AA139">
        <f>IF(ISBLANK($I139),NA(),IFERROR(SUM($I139:$I$177),NA()))</f>
        <v>545348.08899999992</v>
      </c>
      <c r="AB139">
        <f>IF(ISBLANK($J139),NA(),IFERROR(SUM($J139:$J$177),NA()))</f>
        <v>570681.5639999999</v>
      </c>
      <c r="AC139">
        <f t="shared" si="42"/>
        <v>1116029.6529999999</v>
      </c>
      <c r="AD139">
        <f t="shared" si="43"/>
        <v>37.375450632403584</v>
      </c>
      <c r="AE139">
        <f t="shared" si="44"/>
        <v>48.865017836582517</v>
      </c>
    </row>
    <row r="140" spans="1:31" x14ac:dyDescent="0.35">
      <c r="A140">
        <v>1987</v>
      </c>
      <c r="B140">
        <v>9542.5529999999999</v>
      </c>
      <c r="C140">
        <v>14105.314</v>
      </c>
      <c r="D140">
        <v>6474.7669999999998</v>
      </c>
      <c r="E140">
        <v>10033.656999999999</v>
      </c>
      <c r="F140">
        <v>14936.527</v>
      </c>
      <c r="G140">
        <v>6721.8440000000001</v>
      </c>
      <c r="H140">
        <v>9542.5529999999999</v>
      </c>
      <c r="I140">
        <v>14105.314</v>
      </c>
      <c r="J140">
        <v>6474.6019999999999</v>
      </c>
      <c r="N140">
        <f>IF(ISBLANK($B140),NA(),IFERROR(SUM($B140:$B$177),NA()))</f>
        <v>407817.10400000005</v>
      </c>
      <c r="O140">
        <f>IF(ISBLANK($C140),NA(),IFERROR(SUM($C140:$C$177),NA()))</f>
        <v>531501.43999999994</v>
      </c>
      <c r="P140">
        <f>IF(ISBLANK($D140),NA(),IFERROR(SUM($D140:$D$177),NA()))</f>
        <v>564961.62600000005</v>
      </c>
      <c r="Q140">
        <f t="shared" si="36"/>
        <v>1096463.0660000001</v>
      </c>
      <c r="R140">
        <f t="shared" si="37"/>
        <v>37.193875165148519</v>
      </c>
      <c r="S140">
        <f t="shared" si="38"/>
        <v>48.474176329437796</v>
      </c>
      <c r="T140">
        <f>IF(ISBLANK($E140),NA(),IFERROR(SUM($E140:$E$177),NA()))</f>
        <v>408931.24600000004</v>
      </c>
      <c r="U140">
        <f>IF(ISBLANK($F140),NA(),IFERROR(SUM($F140:$F$177),NA()))</f>
        <v>533296.51500000001</v>
      </c>
      <c r="V140">
        <f>IF(ISBLANK($G140),NA(),IFERROR(SUM($G140:$G$177),NA()))</f>
        <v>577450.34399999992</v>
      </c>
      <c r="W140">
        <f t="shared" si="39"/>
        <v>1110746.8589999999</v>
      </c>
      <c r="X140">
        <f t="shared" si="40"/>
        <v>36.815881376262354</v>
      </c>
      <c r="Y140">
        <f t="shared" si="41"/>
        <v>48.012426114814701</v>
      </c>
      <c r="Z140">
        <f>IF(ISBLANK($H140),NA(),IFERROR(SUM($H140:$H$177),NA()))</f>
        <v>407817.10399999999</v>
      </c>
      <c r="AA140">
        <f>IF(ISBLANK($I140),NA(),IFERROR(SUM($I140:$I$177),NA()))</f>
        <v>531501.43999999994</v>
      </c>
      <c r="AB140">
        <f>IF(ISBLANK($J140),NA(),IFERROR(SUM($J140:$J$177),NA()))</f>
        <v>564482.50899999996</v>
      </c>
      <c r="AC140">
        <f t="shared" si="42"/>
        <v>1095983.949</v>
      </c>
      <c r="AD140">
        <f t="shared" si="43"/>
        <v>37.21013472616103</v>
      </c>
      <c r="AE140">
        <f t="shared" si="44"/>
        <v>48.495367152498318</v>
      </c>
    </row>
    <row r="141" spans="1:31" x14ac:dyDescent="0.35">
      <c r="A141">
        <v>1988</v>
      </c>
      <c r="B141">
        <v>9853.8279999999995</v>
      </c>
      <c r="C141">
        <v>14456.523999999999</v>
      </c>
      <c r="D141">
        <v>6917.9229999999998</v>
      </c>
      <c r="E141">
        <v>10374.199000000001</v>
      </c>
      <c r="F141">
        <v>15308.794</v>
      </c>
      <c r="G141">
        <v>7143.4459999999999</v>
      </c>
      <c r="H141">
        <v>9853.8279999999995</v>
      </c>
      <c r="I141">
        <v>14456.523999999999</v>
      </c>
      <c r="J141">
        <v>6917.732</v>
      </c>
      <c r="N141">
        <f>IF(ISBLANK($B141),NA(),IFERROR(SUM($B141:$B$177),NA()))</f>
        <v>398274.55099999998</v>
      </c>
      <c r="O141">
        <f>IF(ISBLANK($C141),NA(),IFERROR(SUM($C141:$C$177),NA()))</f>
        <v>517396.12599999987</v>
      </c>
      <c r="P141">
        <f>IF(ISBLANK($D141),NA(),IFERROR(SUM($D141:$D$177),NA()))</f>
        <v>558486.85900000005</v>
      </c>
      <c r="Q141">
        <f t="shared" si="36"/>
        <v>1075882.9849999999</v>
      </c>
      <c r="R141">
        <f t="shared" si="37"/>
        <v>37.018389225664727</v>
      </c>
      <c r="S141">
        <f t="shared" si="38"/>
        <v>48.090371649478215</v>
      </c>
      <c r="T141">
        <f>IF(ISBLANK($E141),NA(),IFERROR(SUM($E141:$E$177),NA()))</f>
        <v>398897.58900000004</v>
      </c>
      <c r="U141">
        <f>IF(ISBLANK($F141),NA(),IFERROR(SUM($F141:$F$177),NA()))</f>
        <v>518359.98800000007</v>
      </c>
      <c r="V141">
        <f>IF(ISBLANK($G141),NA(),IFERROR(SUM($G141:$G$177),NA()))</f>
        <v>570728.5</v>
      </c>
      <c r="W141">
        <f t="shared" si="39"/>
        <v>1089088.4880000001</v>
      </c>
      <c r="X141">
        <f t="shared" si="40"/>
        <v>36.626738175566871</v>
      </c>
      <c r="Y141">
        <f t="shared" si="41"/>
        <v>47.595764137762146</v>
      </c>
      <c r="Z141">
        <f>IF(ISBLANK($H141),NA(),IFERROR(SUM($H141:$H$177),NA()))</f>
        <v>398274.55100000004</v>
      </c>
      <c r="AA141">
        <f>IF(ISBLANK($I141),NA(),IFERROR(SUM($I141:$I$177),NA()))</f>
        <v>517396.12599999987</v>
      </c>
      <c r="AB141">
        <f>IF(ISBLANK($J141),NA(),IFERROR(SUM($J141:$J$177),NA()))</f>
        <v>558007.90699999989</v>
      </c>
      <c r="AC141">
        <f t="shared" si="42"/>
        <v>1075404.0329999998</v>
      </c>
      <c r="AD141">
        <f t="shared" si="43"/>
        <v>37.034876081778663</v>
      </c>
      <c r="AE141">
        <f t="shared" si="44"/>
        <v>48.111789627257231</v>
      </c>
    </row>
    <row r="142" spans="1:31" x14ac:dyDescent="0.35">
      <c r="A142">
        <v>1989</v>
      </c>
      <c r="B142">
        <v>10056.172</v>
      </c>
      <c r="C142">
        <v>14556.763000000001</v>
      </c>
      <c r="D142">
        <v>7079.4979999999996</v>
      </c>
      <c r="E142">
        <v>10583.754999999999</v>
      </c>
      <c r="F142">
        <v>15407.316000000001</v>
      </c>
      <c r="G142">
        <v>7398.4660000000003</v>
      </c>
      <c r="H142">
        <v>10056.172</v>
      </c>
      <c r="I142">
        <v>14556.763000000001</v>
      </c>
      <c r="J142">
        <v>7079.2640000000001</v>
      </c>
      <c r="N142">
        <f>IF(ISBLANK($B142),NA(),IFERROR(SUM($B142:$B$177),NA()))</f>
        <v>388420.723</v>
      </c>
      <c r="O142">
        <f>IF(ISBLANK($C142),NA(),IFERROR(SUM($C142:$C$177),NA()))</f>
        <v>502939.6019999999</v>
      </c>
      <c r="P142">
        <f>IF(ISBLANK($D142),NA(),IFERROR(SUM($D142:$D$177),NA()))</f>
        <v>551568.93599999999</v>
      </c>
      <c r="Q142">
        <f t="shared" si="36"/>
        <v>1054508.5379999999</v>
      </c>
      <c r="R142">
        <f t="shared" si="37"/>
        <v>36.834289055324845</v>
      </c>
      <c r="S142">
        <f t="shared" si="38"/>
        <v>47.69421810029953</v>
      </c>
      <c r="T142">
        <f>IF(ISBLANK($E142),NA(),IFERROR(SUM($E142:$E$177),NA()))</f>
        <v>388523.39</v>
      </c>
      <c r="U142">
        <f>IF(ISBLANK($F142),NA(),IFERROR(SUM($F142:$F$177),NA()))</f>
        <v>503051.19400000008</v>
      </c>
      <c r="V142">
        <f>IF(ISBLANK($G142),NA(),IFERROR(SUM($G142:$G$177),NA()))</f>
        <v>563585.054</v>
      </c>
      <c r="W142">
        <f t="shared" si="39"/>
        <v>1066636.2480000001</v>
      </c>
      <c r="X142">
        <f t="shared" si="40"/>
        <v>36.425106565476476</v>
      </c>
      <c r="Y142">
        <f t="shared" si="41"/>
        <v>47.162394391082046</v>
      </c>
      <c r="Z142">
        <f>IF(ISBLANK($H142),NA(),IFERROR(SUM($H142:$H$177),NA()))</f>
        <v>388420.72300000006</v>
      </c>
      <c r="AA142">
        <f>IF(ISBLANK($I142),NA(),IFERROR(SUM($I142:$I$177),NA()))</f>
        <v>502939.6019999999</v>
      </c>
      <c r="AB142">
        <f>IF(ISBLANK($J142),NA(),IFERROR(SUM($J142:$J$177),NA()))</f>
        <v>551090.17499999993</v>
      </c>
      <c r="AC142">
        <f t="shared" si="42"/>
        <v>1054029.7769999998</v>
      </c>
      <c r="AD142">
        <f t="shared" si="43"/>
        <v>36.851019911935573</v>
      </c>
      <c r="AE142">
        <f t="shared" si="44"/>
        <v>47.715881749705062</v>
      </c>
    </row>
    <row r="143" spans="1:31" x14ac:dyDescent="0.35">
      <c r="A143">
        <v>1990</v>
      </c>
      <c r="B143">
        <v>10535.674999999999</v>
      </c>
      <c r="C143">
        <v>15107.8</v>
      </c>
      <c r="D143">
        <v>7076.4740000000002</v>
      </c>
      <c r="E143">
        <v>10530.674000000001</v>
      </c>
      <c r="F143">
        <v>15102.897000000001</v>
      </c>
      <c r="G143">
        <v>7293.6530000000002</v>
      </c>
      <c r="H143">
        <v>10535.674999999999</v>
      </c>
      <c r="I143">
        <v>15107.8</v>
      </c>
      <c r="J143">
        <v>7076.2290000000003</v>
      </c>
      <c r="N143">
        <f>IF(ISBLANK($B143),NA(),IFERROR(SUM($B143:$B$177),NA()))</f>
        <v>378364.55100000009</v>
      </c>
      <c r="O143">
        <f>IF(ISBLANK($C143),NA(),IFERROR(SUM($C143:$C$177),NA()))</f>
        <v>488382.83899999992</v>
      </c>
      <c r="P143">
        <f>IF(ISBLANK($D143),NA(),IFERROR(SUM($D143:$D$177),NA()))</f>
        <v>544489.43799999997</v>
      </c>
      <c r="Q143">
        <f t="shared" si="36"/>
        <v>1032872.2769999999</v>
      </c>
      <c r="R143">
        <f t="shared" si="37"/>
        <v>36.632269006093203</v>
      </c>
      <c r="S143">
        <f t="shared" si="38"/>
        <v>47.283952708898198</v>
      </c>
      <c r="T143">
        <f>IF(ISBLANK($E143),NA(),IFERROR(SUM($E143:$E$177),NA()))</f>
        <v>377939.63500000001</v>
      </c>
      <c r="U143">
        <f>IF(ISBLANK($F143),NA(),IFERROR(SUM($F143:$F$177),NA()))</f>
        <v>487643.87800000003</v>
      </c>
      <c r="V143">
        <f>IF(ISBLANK($G143),NA(),IFERROR(SUM($G143:$G$177),NA()))</f>
        <v>556186.58799999999</v>
      </c>
      <c r="W143">
        <f t="shared" si="39"/>
        <v>1043830.466</v>
      </c>
      <c r="X143">
        <f t="shared" si="40"/>
        <v>36.206994077139726</v>
      </c>
      <c r="Y143">
        <f t="shared" si="41"/>
        <v>46.716770000848015</v>
      </c>
      <c r="Z143">
        <f>IF(ISBLANK($H143),NA(),IFERROR(SUM($H143:$H$177),NA()))</f>
        <v>378364.55100000004</v>
      </c>
      <c r="AA143">
        <f>IF(ISBLANK($I143),NA(),IFERROR(SUM($I143:$I$177),NA()))</f>
        <v>488382.83899999986</v>
      </c>
      <c r="AB143">
        <f>IF(ISBLANK($J143),NA(),IFERROR(SUM($J143:$J$177),NA()))</f>
        <v>544010.91099999996</v>
      </c>
      <c r="AC143">
        <f t="shared" si="42"/>
        <v>1032393.7499999998</v>
      </c>
      <c r="AD143">
        <f t="shared" si="43"/>
        <v>36.649248506202227</v>
      </c>
      <c r="AE143">
        <f t="shared" si="44"/>
        <v>47.305869393339506</v>
      </c>
    </row>
    <row r="144" spans="1:31" x14ac:dyDescent="0.35">
      <c r="A144">
        <v>1991</v>
      </c>
      <c r="B144">
        <v>10516.541999999999</v>
      </c>
      <c r="C144">
        <v>14800.344999999999</v>
      </c>
      <c r="D144">
        <v>7862.576</v>
      </c>
      <c r="E144">
        <v>10513.905000000001</v>
      </c>
      <c r="F144">
        <v>14797.806</v>
      </c>
      <c r="G144">
        <v>7892.1239999999998</v>
      </c>
      <c r="H144">
        <v>10516.541999999999</v>
      </c>
      <c r="I144">
        <v>14800.344999999999</v>
      </c>
      <c r="J144">
        <v>7384.402</v>
      </c>
      <c r="N144">
        <f>IF(ISBLANK($B144),NA(),IFERROR(SUM($B144:$B$177),NA()))</f>
        <v>367828.87600000005</v>
      </c>
      <c r="O144">
        <f>IF(ISBLANK($C144),NA(),IFERROR(SUM($C144:$C$177),NA()))</f>
        <v>473275.03899999987</v>
      </c>
      <c r="P144">
        <f>IF(ISBLANK($D144),NA(),IFERROR(SUM($D144:$D$177),NA()))</f>
        <v>537412.96400000004</v>
      </c>
      <c r="Q144">
        <f t="shared" si="36"/>
        <v>1010688.0029999999</v>
      </c>
      <c r="R144">
        <f t="shared" si="37"/>
        <v>36.393909387286953</v>
      </c>
      <c r="S144">
        <f t="shared" si="38"/>
        <v>46.827016606033652</v>
      </c>
      <c r="T144">
        <f>IF(ISBLANK($E144),NA(),IFERROR(SUM($E144:$E$177),NA()))</f>
        <v>367408.96100000001</v>
      </c>
      <c r="U144">
        <f>IF(ISBLANK($F144),NA(),IFERROR(SUM($F144:$F$177),NA()))</f>
        <v>472540.98100000003</v>
      </c>
      <c r="V144">
        <f>IF(ISBLANK($G144),NA(),IFERROR(SUM($G144:$G$177),NA()))</f>
        <v>548892.93499999994</v>
      </c>
      <c r="W144">
        <f t="shared" si="39"/>
        <v>1021433.916</v>
      </c>
      <c r="X144">
        <f t="shared" si="40"/>
        <v>35.96991985921094</v>
      </c>
      <c r="Y144">
        <f t="shared" si="41"/>
        <v>46.262511318451274</v>
      </c>
      <c r="Z144">
        <f>IF(ISBLANK($H144),NA(),IFERROR(SUM($H144:$H$177),NA()))</f>
        <v>367828.87600000011</v>
      </c>
      <c r="AA144">
        <f>IF(ISBLANK($I144),NA(),IFERROR(SUM($I144:$I$177),NA()))</f>
        <v>473275.03899999987</v>
      </c>
      <c r="AB144">
        <f>IF(ISBLANK($J144),NA(),IFERROR(SUM($J144:$J$177),NA()))</f>
        <v>536934.68199999991</v>
      </c>
      <c r="AC144">
        <f t="shared" si="42"/>
        <v>1010209.7209999998</v>
      </c>
      <c r="AD144">
        <f t="shared" si="43"/>
        <v>36.411140019112942</v>
      </c>
      <c r="AE144">
        <f t="shared" si="44"/>
        <v>46.849186773960966</v>
      </c>
    </row>
    <row r="145" spans="1:31" x14ac:dyDescent="0.35">
      <c r="A145">
        <v>1992</v>
      </c>
      <c r="B145">
        <v>10576.052</v>
      </c>
      <c r="C145">
        <v>14298.457</v>
      </c>
      <c r="D145">
        <v>7668.15</v>
      </c>
      <c r="E145">
        <v>10571.72</v>
      </c>
      <c r="F145">
        <v>14294.228999999999</v>
      </c>
      <c r="G145">
        <v>7834.7209999999995</v>
      </c>
      <c r="H145">
        <v>10576.052</v>
      </c>
      <c r="I145">
        <v>14298.457</v>
      </c>
      <c r="J145">
        <v>7668.1350000000002</v>
      </c>
      <c r="N145">
        <f>IF(ISBLANK($B145),NA(),IFERROR(SUM($B145:$B$177),NA()))</f>
        <v>357312.33400000015</v>
      </c>
      <c r="O145">
        <f>IF(ISBLANK($C145),NA(),IFERROR(SUM($C145:$C$177),NA()))</f>
        <v>458474.6939999999</v>
      </c>
      <c r="P145">
        <f>IF(ISBLANK($D145),NA(),IFERROR(SUM($D145:$D$177),NA()))</f>
        <v>529550.38799999992</v>
      </c>
      <c r="Q145">
        <f t="shared" si="36"/>
        <v>988025.08199999982</v>
      </c>
      <c r="R145">
        <f t="shared" si="37"/>
        <v>36.164297901902884</v>
      </c>
      <c r="S145">
        <f t="shared" si="38"/>
        <v>46.403143235183578</v>
      </c>
      <c r="T145">
        <f>IF(ISBLANK($E145),NA(),IFERROR(SUM($E145:$E$177),NA()))</f>
        <v>356895.05599999998</v>
      </c>
      <c r="U145">
        <f>IF(ISBLANK($F145),NA(),IFERROR(SUM($F145:$F$177),NA()))</f>
        <v>457743.17499999999</v>
      </c>
      <c r="V145">
        <f>IF(ISBLANK($G145),NA(),IFERROR(SUM($G145:$G$177),NA()))</f>
        <v>541000.81099999999</v>
      </c>
      <c r="W145">
        <f t="shared" si="39"/>
        <v>998743.98600000003</v>
      </c>
      <c r="X145">
        <f t="shared" si="40"/>
        <v>35.734388492227673</v>
      </c>
      <c r="Y145">
        <f t="shared" si="41"/>
        <v>45.831882986677627</v>
      </c>
      <c r="Z145">
        <f>IF(ISBLANK($H145),NA(),IFERROR(SUM($H145:$H$177),NA()))</f>
        <v>357312.33400000009</v>
      </c>
      <c r="AA145">
        <f>IF(ISBLANK($I145),NA(),IFERROR(SUM($I145:$I$177),NA()))</f>
        <v>458474.69399999984</v>
      </c>
      <c r="AB145">
        <f>IF(ISBLANK($J145),NA(),IFERROR(SUM($J145:$J$177),NA()))</f>
        <v>529550.27999999991</v>
      </c>
      <c r="AC145">
        <f t="shared" si="42"/>
        <v>988024.9739999997</v>
      </c>
      <c r="AD145">
        <f t="shared" si="43"/>
        <v>36.164301854985318</v>
      </c>
      <c r="AE145">
        <f t="shared" si="44"/>
        <v>46.403148307463731</v>
      </c>
    </row>
    <row r="146" spans="1:31" x14ac:dyDescent="0.35">
      <c r="A146">
        <v>1993</v>
      </c>
      <c r="B146">
        <v>10616.224</v>
      </c>
      <c r="C146">
        <v>14131.370999999999</v>
      </c>
      <c r="D146">
        <v>8061.0659999999998</v>
      </c>
      <c r="E146">
        <v>10612.349</v>
      </c>
      <c r="F146">
        <v>14127.598</v>
      </c>
      <c r="G146">
        <v>8186.6689999999999</v>
      </c>
      <c r="H146">
        <v>10616.224</v>
      </c>
      <c r="I146">
        <v>14131.370999999999</v>
      </c>
      <c r="J146">
        <v>8061.0519999999997</v>
      </c>
      <c r="N146">
        <f>IF(ISBLANK($B146),NA(),IFERROR(SUM($B146:$B$177),NA()))</f>
        <v>346736.28200000012</v>
      </c>
      <c r="O146">
        <f>IF(ISBLANK($C146),NA(),IFERROR(SUM($C146:$C$177),NA()))</f>
        <v>444176.23699999991</v>
      </c>
      <c r="P146">
        <f>IF(ISBLANK($D146),NA(),IFERROR(SUM($D146:$D$177),NA()))</f>
        <v>521882.23799999995</v>
      </c>
      <c r="Q146">
        <f t="shared" si="36"/>
        <v>966058.47499999986</v>
      </c>
      <c r="R146">
        <f t="shared" si="37"/>
        <v>35.891852405725253</v>
      </c>
      <c r="S146">
        <f t="shared" si="38"/>
        <v>45.978193711307178</v>
      </c>
      <c r="T146">
        <f>IF(ISBLANK($E146),NA(),IFERROR(SUM($E146:$E$177),NA()))</f>
        <v>346323.33600000001</v>
      </c>
      <c r="U146">
        <f>IF(ISBLANK($F146),NA(),IFERROR(SUM($F146:$F$177),NA()))</f>
        <v>443448.946</v>
      </c>
      <c r="V146">
        <f>IF(ISBLANK($G146),NA(),IFERROR(SUM($G146:$G$177),NA()))</f>
        <v>533166.09</v>
      </c>
      <c r="W146">
        <f t="shared" si="39"/>
        <v>976615.03599999996</v>
      </c>
      <c r="X146">
        <f t="shared" si="40"/>
        <v>35.461601883426255</v>
      </c>
      <c r="Y146">
        <f t="shared" si="41"/>
        <v>45.406729330757514</v>
      </c>
      <c r="Z146">
        <f>IF(ISBLANK($H146),NA(),IFERROR(SUM($H146:$H$177),NA()))</f>
        <v>346736.28200000018</v>
      </c>
      <c r="AA146">
        <f>IF(ISBLANK($I146),NA(),IFERROR(SUM($I146:$I$177),NA()))</f>
        <v>444176.23699999991</v>
      </c>
      <c r="AB146">
        <f>IF(ISBLANK($J146),NA(),IFERROR(SUM($J146:$J$177),NA()))</f>
        <v>521882.1449999999</v>
      </c>
      <c r="AC146">
        <f t="shared" si="42"/>
        <v>966058.38199999975</v>
      </c>
      <c r="AD146">
        <f t="shared" si="43"/>
        <v>35.891855860943224</v>
      </c>
      <c r="AE146">
        <f t="shared" si="44"/>
        <v>45.97819813751174</v>
      </c>
    </row>
    <row r="147" spans="1:31" x14ac:dyDescent="0.35">
      <c r="A147">
        <v>1994</v>
      </c>
      <c r="B147">
        <v>10770.22</v>
      </c>
      <c r="C147">
        <v>13936.629000000001</v>
      </c>
      <c r="D147">
        <v>8453.1389999999992</v>
      </c>
      <c r="E147">
        <v>10765.217000000001</v>
      </c>
      <c r="F147">
        <v>13931.728999999999</v>
      </c>
      <c r="G147">
        <v>8501.76</v>
      </c>
      <c r="H147">
        <v>10770.22</v>
      </c>
      <c r="I147">
        <v>13936.629000000001</v>
      </c>
      <c r="J147">
        <v>8453.125</v>
      </c>
      <c r="N147">
        <f>IF(ISBLANK($B147),NA(),IFERROR(SUM($B147:$B$177),NA()))</f>
        <v>336120.05800000008</v>
      </c>
      <c r="O147">
        <f>IF(ISBLANK($C147),NA(),IFERROR(SUM($C147:$C$177),NA()))</f>
        <v>430044.86599999992</v>
      </c>
      <c r="P147">
        <f>IF(ISBLANK($D147),NA(),IFERROR(SUM($D147:$D$177),NA()))</f>
        <v>513821.17199999996</v>
      </c>
      <c r="Q147">
        <f t="shared" si="36"/>
        <v>943866.03799999994</v>
      </c>
      <c r="R147">
        <f t="shared" si="37"/>
        <v>35.610991864080624</v>
      </c>
      <c r="S147">
        <f t="shared" si="38"/>
        <v>45.562065874437145</v>
      </c>
      <c r="T147">
        <f>IF(ISBLANK($E147),NA(),IFERROR(SUM($E147:$E$177),NA()))</f>
        <v>335710.98700000002</v>
      </c>
      <c r="U147">
        <f>IF(ISBLANK($F147),NA(),IFERROR(SUM($F147:$F$177),NA()))</f>
        <v>429321.34799999994</v>
      </c>
      <c r="V147">
        <f>IF(ISBLANK($G147),NA(),IFERROR(SUM($G147:$G$177),NA()))</f>
        <v>524979.42099999997</v>
      </c>
      <c r="W147">
        <f t="shared" si="39"/>
        <v>954300.76899999985</v>
      </c>
      <c r="X147">
        <f t="shared" si="40"/>
        <v>35.178740068687929</v>
      </c>
      <c r="Y147">
        <f t="shared" si="41"/>
        <v>44.988054285011273</v>
      </c>
      <c r="Z147">
        <f>IF(ISBLANK($H147),NA(),IFERROR(SUM($H147:$H$177),NA()))</f>
        <v>336120.05800000002</v>
      </c>
      <c r="AA147">
        <f>IF(ISBLANK($I147),NA(),IFERROR(SUM($I147:$I$177),NA()))</f>
        <v>430044.86599999992</v>
      </c>
      <c r="AB147">
        <f>IF(ISBLANK($J147),NA(),IFERROR(SUM($J147:$J$177),NA()))</f>
        <v>513821.09299999988</v>
      </c>
      <c r="AC147">
        <f t="shared" si="42"/>
        <v>943865.9589999998</v>
      </c>
      <c r="AD147">
        <f t="shared" si="43"/>
        <v>35.610994844661001</v>
      </c>
      <c r="AE147">
        <f t="shared" si="44"/>
        <v>45.562069687905762</v>
      </c>
    </row>
    <row r="148" spans="1:31" x14ac:dyDescent="0.35">
      <c r="A148">
        <v>1995</v>
      </c>
      <c r="B148">
        <v>10906.266</v>
      </c>
      <c r="C148">
        <v>14026.71</v>
      </c>
      <c r="D148">
        <v>8872.6710000000003</v>
      </c>
      <c r="E148">
        <v>10901.18</v>
      </c>
      <c r="F148">
        <v>14021.724</v>
      </c>
      <c r="G148">
        <v>8955.51</v>
      </c>
      <c r="H148">
        <v>10906.264999999999</v>
      </c>
      <c r="I148">
        <v>14026.71</v>
      </c>
      <c r="J148">
        <v>8872.6669999999995</v>
      </c>
      <c r="N148">
        <f>IF(ISBLANK($B148),NA(),IFERROR(SUM($B148:$B$177),NA()))</f>
        <v>325349.83800000011</v>
      </c>
      <c r="O148">
        <f>IF(ISBLANK($C148),NA(),IFERROR(SUM($C148:$C$177),NA()))</f>
        <v>416108.23699999991</v>
      </c>
      <c r="P148">
        <f>IF(ISBLANK($D148),NA(),IFERROR(SUM($D148:$D$177),NA()))</f>
        <v>505368.03299999994</v>
      </c>
      <c r="Q148">
        <f t="shared" si="36"/>
        <v>921476.26999999979</v>
      </c>
      <c r="R148">
        <f t="shared" si="37"/>
        <v>35.307457022197674</v>
      </c>
      <c r="S148">
        <f t="shared" si="38"/>
        <v>45.156695896249175</v>
      </c>
      <c r="T148">
        <f>IF(ISBLANK($E148),NA(),IFERROR(SUM($E148:$E$177),NA()))</f>
        <v>324945.77</v>
      </c>
      <c r="U148">
        <f>IF(ISBLANK($F148),NA(),IFERROR(SUM($F148:$F$177),NA()))</f>
        <v>415389.61899999995</v>
      </c>
      <c r="V148">
        <f>IF(ISBLANK($G148),NA(),IFERROR(SUM($G148:$G$177),NA()))</f>
        <v>516477.66100000002</v>
      </c>
      <c r="W148">
        <f t="shared" si="39"/>
        <v>931867.28</v>
      </c>
      <c r="X148">
        <f t="shared" si="40"/>
        <v>34.870391629159897</v>
      </c>
      <c r="Y148">
        <f t="shared" si="41"/>
        <v>44.576049391926276</v>
      </c>
      <c r="Z148">
        <f>IF(ISBLANK($H148),NA(),IFERROR(SUM($H148:$H$177),NA()))</f>
        <v>325349.83800000005</v>
      </c>
      <c r="AA148">
        <f>IF(ISBLANK($I148),NA(),IFERROR(SUM($I148:$I$177),NA()))</f>
        <v>416108.23699999991</v>
      </c>
      <c r="AB148">
        <f>IF(ISBLANK($J148),NA(),IFERROR(SUM($J148:$J$177),NA()))</f>
        <v>505367.96799999988</v>
      </c>
      <c r="AC148">
        <f t="shared" si="42"/>
        <v>921476.20499999984</v>
      </c>
      <c r="AD148">
        <f t="shared" si="43"/>
        <v>35.307459512749986</v>
      </c>
      <c r="AE148">
        <f t="shared" si="44"/>
        <v>45.156699081556859</v>
      </c>
    </row>
    <row r="149" spans="1:31" x14ac:dyDescent="0.35">
      <c r="A149">
        <v>1996</v>
      </c>
      <c r="B149">
        <v>11201.388999999999</v>
      </c>
      <c r="C149">
        <v>14297.953</v>
      </c>
      <c r="D149">
        <v>9267.009</v>
      </c>
      <c r="E149">
        <v>11196.349</v>
      </c>
      <c r="F149">
        <v>14293.014999999999</v>
      </c>
      <c r="G149">
        <v>9410.8140000000003</v>
      </c>
      <c r="H149">
        <v>11201.388999999999</v>
      </c>
      <c r="I149">
        <v>14297.951999999999</v>
      </c>
      <c r="J149">
        <v>9267.0049999999992</v>
      </c>
      <c r="N149">
        <f>IF(ISBLANK($B149),NA(),IFERROR(SUM($B149:$B$177),NA()))</f>
        <v>314443.57200000004</v>
      </c>
      <c r="O149">
        <f>IF(ISBLANK($C149),NA(),IFERROR(SUM($C149:$C$177),NA()))</f>
        <v>402081.52699999989</v>
      </c>
      <c r="P149">
        <f>IF(ISBLANK($D149),NA(),IFERROR(SUM($D149:$D$177),NA()))</f>
        <v>496495.36199999996</v>
      </c>
      <c r="Q149">
        <f t="shared" si="36"/>
        <v>898576.88899999985</v>
      </c>
      <c r="R149">
        <f t="shared" si="37"/>
        <v>34.99350760622557</v>
      </c>
      <c r="S149">
        <f t="shared" si="38"/>
        <v>44.746479897503797</v>
      </c>
      <c r="T149">
        <f>IF(ISBLANK($E149),NA(),IFERROR(SUM($E149:$E$177),NA()))</f>
        <v>314044.59000000003</v>
      </c>
      <c r="U149">
        <f>IF(ISBLANK($F149),NA(),IFERROR(SUM($F149:$F$177),NA()))</f>
        <v>401367.8949999999</v>
      </c>
      <c r="V149">
        <f>IF(ISBLANK($G149),NA(),IFERROR(SUM($G149:$G$177),NA()))</f>
        <v>507522.15100000001</v>
      </c>
      <c r="W149">
        <f t="shared" si="39"/>
        <v>908890.04599999986</v>
      </c>
      <c r="X149">
        <f t="shared" si="40"/>
        <v>34.552539262818605</v>
      </c>
      <c r="Y149">
        <f t="shared" si="41"/>
        <v>44.160225625355778</v>
      </c>
      <c r="Z149">
        <f>IF(ISBLANK($H149),NA(),IFERROR(SUM($H149:$H$177),NA()))</f>
        <v>314443.57300000003</v>
      </c>
      <c r="AA149">
        <f>IF(ISBLANK($I149),NA(),IFERROR(SUM($I149:$I$177),NA()))</f>
        <v>402081.52699999989</v>
      </c>
      <c r="AB149">
        <f>IF(ISBLANK($J149),NA(),IFERROR(SUM($J149:$J$177),NA()))</f>
        <v>496495.30099999986</v>
      </c>
      <c r="AC149">
        <f t="shared" si="42"/>
        <v>898576.82799999975</v>
      </c>
      <c r="AD149">
        <f t="shared" si="43"/>
        <v>34.993510093051292</v>
      </c>
      <c r="AE149">
        <f t="shared" si="44"/>
        <v>44.746482935124163</v>
      </c>
    </row>
    <row r="150" spans="1:31" x14ac:dyDescent="0.35">
      <c r="A150">
        <v>1997</v>
      </c>
      <c r="B150">
        <v>11227.772999999999</v>
      </c>
      <c r="C150">
        <v>14192.091</v>
      </c>
      <c r="D150">
        <v>9484.9470000000001</v>
      </c>
      <c r="E150">
        <v>11224.334000000001</v>
      </c>
      <c r="F150">
        <v>14188.753000000001</v>
      </c>
      <c r="G150">
        <v>9684.3520000000008</v>
      </c>
      <c r="H150">
        <v>11227.772999999999</v>
      </c>
      <c r="I150">
        <v>14192.091</v>
      </c>
      <c r="J150">
        <v>9484.9429999999993</v>
      </c>
      <c r="N150">
        <f>IF(ISBLANK($B150),NA(),IFERROR(SUM($B150:$B$177),NA()))</f>
        <v>303242.18300000002</v>
      </c>
      <c r="O150">
        <f>IF(ISBLANK($C150),NA(),IFERROR(SUM($C150:$C$177),NA()))</f>
        <v>387783.57399999991</v>
      </c>
      <c r="P150">
        <f>IF(ISBLANK($D150),NA(),IFERROR(SUM($D150:$D$177),NA()))</f>
        <v>487228.353</v>
      </c>
      <c r="Q150">
        <f t="shared" si="36"/>
        <v>875011.92699999991</v>
      </c>
      <c r="R150">
        <f t="shared" si="37"/>
        <v>34.655777097767498</v>
      </c>
      <c r="S150">
        <f t="shared" si="38"/>
        <v>44.317518657091398</v>
      </c>
      <c r="T150">
        <f>IF(ISBLANK($E150),NA(),IFERROR(SUM($E150:$E$177),NA()))</f>
        <v>302848.24099999998</v>
      </c>
      <c r="U150">
        <f>IF(ISBLANK($F150),NA(),IFERROR(SUM($F150:$F$177),NA()))</f>
        <v>387074.87999999995</v>
      </c>
      <c r="V150">
        <f>IF(ISBLANK($G150),NA(),IFERROR(SUM($G150:$G$177),NA()))</f>
        <v>498111.33700000006</v>
      </c>
      <c r="W150">
        <f t="shared" si="39"/>
        <v>885186.21699999995</v>
      </c>
      <c r="X150">
        <f t="shared" si="40"/>
        <v>34.212941320571872</v>
      </c>
      <c r="Y150">
        <f t="shared" si="41"/>
        <v>43.728073547263556</v>
      </c>
      <c r="Z150">
        <f>IF(ISBLANK($H150),NA(),IFERROR(SUM($H150:$H$177),NA()))</f>
        <v>303242.18400000007</v>
      </c>
      <c r="AA150">
        <f>IF(ISBLANK($I150),NA(),IFERROR(SUM($I150:$I$177),NA()))</f>
        <v>387783.5749999999</v>
      </c>
      <c r="AB150">
        <f>IF(ISBLANK($J150),NA(),IFERROR(SUM($J150:$J$177),NA()))</f>
        <v>487228.29599999997</v>
      </c>
      <c r="AC150">
        <f t="shared" si="42"/>
        <v>875011.87099999981</v>
      </c>
      <c r="AD150">
        <f t="shared" si="43"/>
        <v>34.655779429991313</v>
      </c>
      <c r="AE150">
        <f t="shared" si="44"/>
        <v>44.317521607658279</v>
      </c>
    </row>
    <row r="151" spans="1:31" x14ac:dyDescent="0.35">
      <c r="A151">
        <v>1998</v>
      </c>
      <c r="B151">
        <v>11320.306</v>
      </c>
      <c r="C151">
        <v>14204.212</v>
      </c>
      <c r="D151">
        <v>9345.2469999999994</v>
      </c>
      <c r="E151">
        <v>11317.325999999999</v>
      </c>
      <c r="F151">
        <v>14201.332</v>
      </c>
      <c r="G151">
        <v>9597.0930000000008</v>
      </c>
      <c r="H151">
        <v>11320.306</v>
      </c>
      <c r="I151">
        <v>14204.212</v>
      </c>
      <c r="J151">
        <v>9345.2430000000004</v>
      </c>
      <c r="N151">
        <f>IF(ISBLANK($B151),NA(),IFERROR(SUM($B151:$B$177),NA()))</f>
        <v>292014.41000000003</v>
      </c>
      <c r="O151">
        <f>IF(ISBLANK($C151),NA(),IFERROR(SUM($C151:$C$177),NA()))</f>
        <v>373591.48299999989</v>
      </c>
      <c r="P151">
        <f>IF(ISBLANK($D151),NA(),IFERROR(SUM($D151:$D$177),NA()))</f>
        <v>477743.40600000002</v>
      </c>
      <c r="Q151">
        <f t="shared" si="36"/>
        <v>851334.88899999997</v>
      </c>
      <c r="R151">
        <f t="shared" si="37"/>
        <v>34.300768566293307</v>
      </c>
      <c r="S151">
        <f t="shared" si="38"/>
        <v>43.883022747820206</v>
      </c>
      <c r="T151">
        <f>IF(ISBLANK($E151),NA(),IFERROR(SUM($E151:$E$177),NA()))</f>
        <v>291623.90700000001</v>
      </c>
      <c r="U151">
        <f>IF(ISBLANK($F151),NA(),IFERROR(SUM($F151:$F$177),NA()))</f>
        <v>372886.12699999998</v>
      </c>
      <c r="V151">
        <f>IF(ISBLANK($G151),NA(),IFERROR(SUM($G151:$G$177),NA()))</f>
        <v>488426.98499999999</v>
      </c>
      <c r="W151">
        <f t="shared" si="39"/>
        <v>861313.11199999996</v>
      </c>
      <c r="X151">
        <f t="shared" si="40"/>
        <v>33.858059622805328</v>
      </c>
      <c r="Y151">
        <f t="shared" si="41"/>
        <v>43.292749385196863</v>
      </c>
      <c r="Z151">
        <f>IF(ISBLANK($H151),NA(),IFERROR(SUM($H151:$H$177),NA()))</f>
        <v>292014.41100000002</v>
      </c>
      <c r="AA151">
        <f>IF(ISBLANK($I151),NA(),IFERROR(SUM($I151:$I$177),NA()))</f>
        <v>373591.48399999988</v>
      </c>
      <c r="AB151">
        <f>IF(ISBLANK($J151),NA(),IFERROR(SUM($J151:$J$177),NA()))</f>
        <v>477743.35299999994</v>
      </c>
      <c r="AC151">
        <f t="shared" si="42"/>
        <v>851334.83699999982</v>
      </c>
      <c r="AD151">
        <f t="shared" si="43"/>
        <v>34.300770778865719</v>
      </c>
      <c r="AE151">
        <f t="shared" si="44"/>
        <v>43.883025545681967</v>
      </c>
    </row>
    <row r="152" spans="1:31" x14ac:dyDescent="0.35">
      <c r="A152">
        <v>1999</v>
      </c>
      <c r="B152">
        <v>11430.447</v>
      </c>
      <c r="C152">
        <v>14260.550999999999</v>
      </c>
      <c r="D152">
        <v>9803.7999999999993</v>
      </c>
      <c r="E152">
        <v>11427.69</v>
      </c>
      <c r="F152">
        <v>14257.896000000001</v>
      </c>
      <c r="G152">
        <v>10091.358</v>
      </c>
      <c r="H152">
        <v>11430.447</v>
      </c>
      <c r="I152">
        <v>14260.550999999999</v>
      </c>
      <c r="J152">
        <v>9803.7960000000003</v>
      </c>
      <c r="N152">
        <f>IF(ISBLANK($B152),NA(),IFERROR(SUM($B152:$B$177),NA()))</f>
        <v>280694.10400000005</v>
      </c>
      <c r="O152">
        <f>IF(ISBLANK($C152),NA(),IFERROR(SUM($C152:$C$177),NA()))</f>
        <v>359387.27099999989</v>
      </c>
      <c r="P152">
        <f>IF(ISBLANK($D152),NA(),IFERROR(SUM($D152:$D$177),NA()))</f>
        <v>468398.15899999999</v>
      </c>
      <c r="Q152">
        <f t="shared" si="36"/>
        <v>827785.42999999993</v>
      </c>
      <c r="R152">
        <f t="shared" si="37"/>
        <v>33.909041380445665</v>
      </c>
      <c r="S152">
        <f t="shared" si="38"/>
        <v>43.415510587085343</v>
      </c>
      <c r="T152">
        <f>IF(ISBLANK($E152),NA(),IFERROR(SUM($E152:$E$177),NA()))</f>
        <v>280306.58100000001</v>
      </c>
      <c r="U152">
        <f>IF(ISBLANK($F152),NA(),IFERROR(SUM($F152:$F$177),NA()))</f>
        <v>358684.79499999998</v>
      </c>
      <c r="V152">
        <f>IF(ISBLANK($G152),NA(),IFERROR(SUM($G152:$G$177),NA()))</f>
        <v>478829.89199999999</v>
      </c>
      <c r="W152">
        <f t="shared" si="39"/>
        <v>837514.68699999992</v>
      </c>
      <c r="X152">
        <f t="shared" si="40"/>
        <v>33.468855573633668</v>
      </c>
      <c r="Y152">
        <f t="shared" si="41"/>
        <v>42.827284173943092</v>
      </c>
      <c r="Z152">
        <f>IF(ISBLANK($H152),NA(),IFERROR(SUM($H152:$H$177),NA()))</f>
        <v>280694.10500000004</v>
      </c>
      <c r="AA152">
        <f>IF(ISBLANK($I152),NA(),IFERROR(SUM($I152:$I$177),NA()))</f>
        <v>359387.27199999988</v>
      </c>
      <c r="AB152">
        <f>IF(ISBLANK($J152),NA(),IFERROR(SUM($J152:$J$177),NA()))</f>
        <v>468398.10999999993</v>
      </c>
      <c r="AC152">
        <f t="shared" si="42"/>
        <v>827785.38199999975</v>
      </c>
      <c r="AD152">
        <f t="shared" si="43"/>
        <v>33.909043467501107</v>
      </c>
      <c r="AE152">
        <f t="shared" si="44"/>
        <v>43.415513225383343</v>
      </c>
    </row>
    <row r="153" spans="1:31" x14ac:dyDescent="0.35">
      <c r="A153">
        <v>2000</v>
      </c>
      <c r="B153">
        <v>11728.933000000001</v>
      </c>
      <c r="C153">
        <v>14544.698</v>
      </c>
      <c r="D153">
        <v>10183.264999999999</v>
      </c>
      <c r="E153">
        <v>11726.013000000001</v>
      </c>
      <c r="F153">
        <v>14541.876</v>
      </c>
      <c r="G153">
        <v>10505.543</v>
      </c>
      <c r="H153">
        <v>11728.933000000001</v>
      </c>
      <c r="I153">
        <v>14544.698</v>
      </c>
      <c r="J153">
        <v>10183.262000000001</v>
      </c>
      <c r="N153">
        <f>IF(ISBLANK($B153),NA(),IFERROR(SUM($B153:$B$177),NA()))</f>
        <v>269263.65700000001</v>
      </c>
      <c r="O153">
        <f>IF(ISBLANK($C153),NA(),IFERROR(SUM($C153:$C$177),NA()))</f>
        <v>345126.71999999991</v>
      </c>
      <c r="P153">
        <f>IF(ISBLANK($D153),NA(),IFERROR(SUM($D153:$D$177),NA()))</f>
        <v>458594.359</v>
      </c>
      <c r="Q153">
        <f t="shared" si="36"/>
        <v>803721.07899999991</v>
      </c>
      <c r="R153">
        <f t="shared" si="37"/>
        <v>33.50212704823187</v>
      </c>
      <c r="S153">
        <f t="shared" si="38"/>
        <v>42.941105940559751</v>
      </c>
      <c r="T153">
        <f>IF(ISBLANK($E153),NA(),IFERROR(SUM($E153:$E$177),NA()))</f>
        <v>268878.89099999995</v>
      </c>
      <c r="U153">
        <f>IF(ISBLANK($F153),NA(),IFERROR(SUM($F153:$F$177),NA()))</f>
        <v>344426.89899999998</v>
      </c>
      <c r="V153">
        <f>IF(ISBLANK($G153),NA(),IFERROR(SUM($G153:$G$177),NA()))</f>
        <v>468738.53399999999</v>
      </c>
      <c r="W153">
        <f t="shared" si="39"/>
        <v>813165.43299999996</v>
      </c>
      <c r="X153">
        <f t="shared" si="40"/>
        <v>33.065705954571726</v>
      </c>
      <c r="Y153">
        <f t="shared" si="41"/>
        <v>42.356313367786747</v>
      </c>
      <c r="Z153">
        <f>IF(ISBLANK($H153),NA(),IFERROR(SUM($H153:$H$177),NA()))</f>
        <v>269263.65800000005</v>
      </c>
      <c r="AA153">
        <f>IF(ISBLANK($I153),NA(),IFERROR(SUM($I153:$I$177),NA()))</f>
        <v>345126.7209999999</v>
      </c>
      <c r="AB153">
        <f>IF(ISBLANK($J153),NA(),IFERROR(SUM($J153:$J$177),NA()))</f>
        <v>458594.31399999995</v>
      </c>
      <c r="AC153">
        <f t="shared" si="42"/>
        <v>803721.03499999992</v>
      </c>
      <c r="AD153">
        <f t="shared" si="43"/>
        <v>33.502129006739267</v>
      </c>
      <c r="AE153">
        <f t="shared" si="44"/>
        <v>42.941108415807477</v>
      </c>
    </row>
    <row r="154" spans="1:31" x14ac:dyDescent="0.35">
      <c r="A154">
        <v>2001</v>
      </c>
      <c r="B154">
        <v>11652.799000000001</v>
      </c>
      <c r="C154">
        <v>14520.19</v>
      </c>
      <c r="D154">
        <v>10395.299999999999</v>
      </c>
      <c r="E154">
        <v>11650.412</v>
      </c>
      <c r="F154">
        <v>14517.901</v>
      </c>
      <c r="G154">
        <v>10794.508</v>
      </c>
      <c r="H154">
        <v>11652.799000000001</v>
      </c>
      <c r="I154">
        <v>14520.191000000001</v>
      </c>
      <c r="J154">
        <v>10395.296</v>
      </c>
      <c r="N154">
        <f>IF(ISBLANK($B154),NA(),IFERROR(SUM($B154:$B$177),NA()))</f>
        <v>257534.72400000002</v>
      </c>
      <c r="O154">
        <f>IF(ISBLANK($C154),NA(),IFERROR(SUM($C154:$C$177),NA()))</f>
        <v>330582.02199999994</v>
      </c>
      <c r="P154">
        <f>IF(ISBLANK($D154),NA(),IFERROR(SUM($D154:$D$177),NA()))</f>
        <v>448411.09399999998</v>
      </c>
      <c r="Q154">
        <f t="shared" si="36"/>
        <v>778993.11599999992</v>
      </c>
      <c r="R154">
        <f t="shared" si="37"/>
        <v>33.059948632460063</v>
      </c>
      <c r="S154">
        <f t="shared" si="38"/>
        <v>42.437091575017199</v>
      </c>
      <c r="T154">
        <f>IF(ISBLANK($E154),NA(),IFERROR(SUM($E154:$E$177),NA()))</f>
        <v>257152.87799999997</v>
      </c>
      <c r="U154">
        <f>IF(ISBLANK($F154),NA(),IFERROR(SUM($F154:$F$177),NA()))</f>
        <v>329885.02299999999</v>
      </c>
      <c r="V154">
        <f>IF(ISBLANK($G154),NA(),IFERROR(SUM($G154:$G$177),NA()))</f>
        <v>458232.99099999998</v>
      </c>
      <c r="W154">
        <f t="shared" si="39"/>
        <v>788118.01399999997</v>
      </c>
      <c r="X154">
        <f t="shared" si="40"/>
        <v>32.628727351992744</v>
      </c>
      <c r="Y154">
        <f t="shared" si="41"/>
        <v>41.857312882078091</v>
      </c>
      <c r="Z154">
        <f>IF(ISBLANK($H154),NA(),IFERROR(SUM($H154:$H$177),NA()))</f>
        <v>257534.72500000003</v>
      </c>
      <c r="AA154">
        <f>IF(ISBLANK($I154),NA(),IFERROR(SUM($I154:$I$177),NA()))</f>
        <v>330582.02299999999</v>
      </c>
      <c r="AB154">
        <f>IF(ISBLANK($J154),NA(),IFERROR(SUM($J154:$J$177),NA()))</f>
        <v>448411.05199999991</v>
      </c>
      <c r="AC154">
        <f t="shared" si="42"/>
        <v>778993.07499999995</v>
      </c>
      <c r="AD154">
        <f t="shared" si="43"/>
        <v>33.059950500843676</v>
      </c>
      <c r="AE154">
        <f t="shared" si="44"/>
        <v>42.437093936939043</v>
      </c>
    </row>
    <row r="155" spans="1:31" x14ac:dyDescent="0.35">
      <c r="A155">
        <v>2002</v>
      </c>
      <c r="B155">
        <v>11731.258</v>
      </c>
      <c r="C155">
        <v>14573.849</v>
      </c>
      <c r="D155">
        <v>10894.637000000001</v>
      </c>
      <c r="E155">
        <v>11729.474</v>
      </c>
      <c r="F155">
        <v>14572.163</v>
      </c>
      <c r="G155">
        <v>11381.293</v>
      </c>
      <c r="H155">
        <v>11731.258</v>
      </c>
      <c r="I155">
        <v>14573.849</v>
      </c>
      <c r="J155">
        <v>10894.633</v>
      </c>
      <c r="N155">
        <f>IF(ISBLANK($B155),NA(),IFERROR(SUM($B155:$B$177),NA()))</f>
        <v>245881.92500000002</v>
      </c>
      <c r="O155">
        <f>IF(ISBLANK($C155),NA(),IFERROR(SUM($C155:$C$177),NA()))</f>
        <v>316061.83199999999</v>
      </c>
      <c r="P155">
        <f>IF(ISBLANK($D155),NA(),IFERROR(SUM($D155:$D$177),NA()))</f>
        <v>438015.79399999999</v>
      </c>
      <c r="Q155">
        <f t="shared" si="36"/>
        <v>754077.62599999993</v>
      </c>
      <c r="R155">
        <f t="shared" si="37"/>
        <v>32.606977918742821</v>
      </c>
      <c r="S155">
        <f t="shared" si="38"/>
        <v>41.913699744222356</v>
      </c>
      <c r="T155">
        <f>IF(ISBLANK($E155),NA(),IFERROR(SUM($E155:$E$177),NA()))</f>
        <v>245502.46599999999</v>
      </c>
      <c r="U155">
        <f>IF(ISBLANK($F155),NA(),IFERROR(SUM($F155:$F$177),NA()))</f>
        <v>315367.12199999997</v>
      </c>
      <c r="V155">
        <f>IF(ISBLANK($G155),NA(),IFERROR(SUM($G155:$G$177),NA()))</f>
        <v>447438.48299999995</v>
      </c>
      <c r="W155">
        <f t="shared" si="39"/>
        <v>762805.60499999998</v>
      </c>
      <c r="X155">
        <f t="shared" si="40"/>
        <v>32.184145526827898</v>
      </c>
      <c r="Y155">
        <f t="shared" si="41"/>
        <v>41.343052533023794</v>
      </c>
      <c r="Z155">
        <f>IF(ISBLANK($H155),NA(),IFERROR(SUM($H155:$H$177),NA()))</f>
        <v>245881.92600000004</v>
      </c>
      <c r="AA155">
        <f>IF(ISBLANK($I155),NA(),IFERROR(SUM($I155:$I$177),NA()))</f>
        <v>316061.83199999999</v>
      </c>
      <c r="AB155">
        <f>IF(ISBLANK($J155),NA(),IFERROR(SUM($J155:$J$177),NA()))</f>
        <v>438015.75599999994</v>
      </c>
      <c r="AC155">
        <f t="shared" si="42"/>
        <v>754077.58799999999</v>
      </c>
      <c r="AD155">
        <f t="shared" si="43"/>
        <v>32.606979694508574</v>
      </c>
      <c r="AE155">
        <f t="shared" si="44"/>
        <v>41.913701856366536</v>
      </c>
    </row>
    <row r="156" spans="1:31" x14ac:dyDescent="0.35">
      <c r="A156">
        <v>2003</v>
      </c>
      <c r="B156">
        <v>11885.857</v>
      </c>
      <c r="C156">
        <v>14819.578</v>
      </c>
      <c r="D156">
        <v>12003.852000000001</v>
      </c>
      <c r="E156">
        <v>11883.811</v>
      </c>
      <c r="F156">
        <v>14817.628000000001</v>
      </c>
      <c r="G156">
        <v>12506.084000000001</v>
      </c>
      <c r="H156">
        <v>11885.856</v>
      </c>
      <c r="I156">
        <v>14819.578</v>
      </c>
      <c r="J156">
        <v>12003.849</v>
      </c>
      <c r="N156">
        <f>IF(ISBLANK($B156),NA(),IFERROR(SUM($B156:$B$177),NA()))</f>
        <v>234150.66699999999</v>
      </c>
      <c r="O156">
        <f>IF(ISBLANK($C156),NA(),IFERROR(SUM($C156:$C$177),NA()))</f>
        <v>301487.98300000001</v>
      </c>
      <c r="P156">
        <f>IF(ISBLANK($D156),NA(),IFERROR(SUM($D156:$D$177),NA()))</f>
        <v>427121.15700000001</v>
      </c>
      <c r="Q156">
        <f t="shared" si="36"/>
        <v>728609.14</v>
      </c>
      <c r="R156">
        <f t="shared" si="37"/>
        <v>32.136663424233184</v>
      </c>
      <c r="S156">
        <f t="shared" si="38"/>
        <v>41.378561762209017</v>
      </c>
      <c r="T156">
        <f>IF(ISBLANK($E156),NA(),IFERROR(SUM($E156:$E$177),NA()))</f>
        <v>233772.992</v>
      </c>
      <c r="U156">
        <f>IF(ISBLANK($F156),NA(),IFERROR(SUM($F156:$F$177),NA()))</f>
        <v>300794.95900000003</v>
      </c>
      <c r="V156">
        <f>IF(ISBLANK($G156),NA(),IFERROR(SUM($G156:$G$177),NA()))</f>
        <v>436057.18999999994</v>
      </c>
      <c r="W156">
        <f t="shared" si="39"/>
        <v>736852.14899999998</v>
      </c>
      <c r="X156">
        <f t="shared" si="40"/>
        <v>31.725902179597227</v>
      </c>
      <c r="Y156">
        <f t="shared" si="41"/>
        <v>40.821616576434799</v>
      </c>
      <c r="Z156">
        <f>IF(ISBLANK($H156),NA(),IFERROR(SUM($H156:$H$177),NA()))</f>
        <v>234150.66800000001</v>
      </c>
      <c r="AA156">
        <f>IF(ISBLANK($I156),NA(),IFERROR(SUM($I156:$I$177),NA()))</f>
        <v>301487.98300000001</v>
      </c>
      <c r="AB156">
        <f>IF(ISBLANK($J156),NA(),IFERROR(SUM($J156:$J$177),NA()))</f>
        <v>427121.12299999991</v>
      </c>
      <c r="AC156">
        <f t="shared" si="42"/>
        <v>728609.10599999991</v>
      </c>
      <c r="AD156">
        <f t="shared" si="43"/>
        <v>32.136665061114407</v>
      </c>
      <c r="AE156">
        <f t="shared" si="44"/>
        <v>41.378563693108724</v>
      </c>
    </row>
    <row r="157" spans="1:31" x14ac:dyDescent="0.35">
      <c r="A157">
        <v>2004</v>
      </c>
      <c r="B157">
        <v>11998.119000000001</v>
      </c>
      <c r="C157">
        <v>14956.597</v>
      </c>
      <c r="D157">
        <v>12749.960999999999</v>
      </c>
      <c r="E157">
        <v>11996.934999999999</v>
      </c>
      <c r="F157">
        <v>14955.502</v>
      </c>
      <c r="G157">
        <v>13379.914000000001</v>
      </c>
      <c r="H157">
        <v>11998.119000000001</v>
      </c>
      <c r="I157">
        <v>14956.597</v>
      </c>
      <c r="J157">
        <v>12749.954</v>
      </c>
      <c r="N157">
        <f>IF(ISBLANK($B157),NA(),IFERROR(SUM($B157:$B$177),NA()))</f>
        <v>222264.81000000003</v>
      </c>
      <c r="O157">
        <f>IF(ISBLANK($C157),NA(),IFERROR(SUM($C157:$C$177),NA()))</f>
        <v>286668.40500000003</v>
      </c>
      <c r="P157">
        <f>IF(ISBLANK($D157),NA(),IFERROR(SUM($D157:$D$177),NA()))</f>
        <v>415117.30500000005</v>
      </c>
      <c r="Q157">
        <f t="shared" si="36"/>
        <v>701785.71000000008</v>
      </c>
      <c r="R157">
        <f t="shared" si="37"/>
        <v>31.671321720130209</v>
      </c>
      <c r="S157">
        <f t="shared" si="38"/>
        <v>40.848424371593431</v>
      </c>
      <c r="T157">
        <f>IF(ISBLANK($E157),NA(),IFERROR(SUM($E157:$E$177),NA()))</f>
        <v>221889.18100000001</v>
      </c>
      <c r="U157">
        <f>IF(ISBLANK($F157),NA(),IFERROR(SUM($F157:$F$177),NA()))</f>
        <v>285977.33100000001</v>
      </c>
      <c r="V157">
        <f>IF(ISBLANK($G157),NA(),IFERROR(SUM($G157:$G$177),NA()))</f>
        <v>423551.10600000003</v>
      </c>
      <c r="W157">
        <f t="shared" si="39"/>
        <v>709528.43700000003</v>
      </c>
      <c r="X157">
        <f t="shared" si="40"/>
        <v>31.272767859479039</v>
      </c>
      <c r="Y157">
        <f t="shared" si="41"/>
        <v>40.305267003695867</v>
      </c>
      <c r="Z157">
        <f>IF(ISBLANK($H157),NA(),IFERROR(SUM($H157:$H$177),NA()))</f>
        <v>222264.81200000003</v>
      </c>
      <c r="AA157">
        <f>IF(ISBLANK($I157),NA(),IFERROR(SUM($I157:$I$177),NA()))</f>
        <v>286668.40500000003</v>
      </c>
      <c r="AB157">
        <f>IF(ISBLANK($J157),NA(),IFERROR(SUM($J157:$J$177),NA()))</f>
        <v>415117.27399999998</v>
      </c>
      <c r="AC157">
        <f t="shared" si="42"/>
        <v>701785.679</v>
      </c>
      <c r="AD157">
        <f t="shared" si="43"/>
        <v>31.671323404135755</v>
      </c>
      <c r="AE157">
        <f t="shared" si="44"/>
        <v>40.848426175992117</v>
      </c>
    </row>
    <row r="158" spans="1:31" x14ac:dyDescent="0.35">
      <c r="A158">
        <v>2005</v>
      </c>
      <c r="B158">
        <v>12010.627</v>
      </c>
      <c r="C158">
        <v>15008.285</v>
      </c>
      <c r="D158">
        <v>13651.439</v>
      </c>
      <c r="E158">
        <v>12009.871999999999</v>
      </c>
      <c r="F158">
        <v>15007.617</v>
      </c>
      <c r="G158">
        <v>14405.759</v>
      </c>
      <c r="H158">
        <v>12010.627</v>
      </c>
      <c r="I158">
        <v>15008.284</v>
      </c>
      <c r="J158">
        <v>13651.431</v>
      </c>
      <c r="N158">
        <f>IF(ISBLANK($B158),NA(),IFERROR(SUM($B158:$B$177),NA()))</f>
        <v>210266.69100000002</v>
      </c>
      <c r="O158">
        <f>IF(ISBLANK($C158),NA(),IFERROR(SUM($C158:$C$177),NA()))</f>
        <v>271711.80800000002</v>
      </c>
      <c r="P158">
        <f>IF(ISBLANK($D158),NA(),IFERROR(SUM($D158:$D$177),NA()))</f>
        <v>402367.34400000004</v>
      </c>
      <c r="Q158">
        <f t="shared" si="36"/>
        <v>674079.152</v>
      </c>
      <c r="R158">
        <f t="shared" si="37"/>
        <v>31.193175219280484</v>
      </c>
      <c r="S158">
        <f t="shared" si="38"/>
        <v>40.30859094126086</v>
      </c>
      <c r="T158">
        <f>IF(ISBLANK($E158),NA(),IFERROR(SUM($E158:$E$177),NA()))</f>
        <v>209892.24599999998</v>
      </c>
      <c r="U158">
        <f>IF(ISBLANK($F158),NA(),IFERROR(SUM($F158:$F$177),NA()))</f>
        <v>271021.82900000003</v>
      </c>
      <c r="V158">
        <f>IF(ISBLANK($G158),NA(),IFERROR(SUM($G158:$G$177),NA()))</f>
        <v>410171.19199999998</v>
      </c>
      <c r="W158">
        <f t="shared" si="39"/>
        <v>681193.02099999995</v>
      </c>
      <c r="X158">
        <f t="shared" si="40"/>
        <v>30.812448091713495</v>
      </c>
      <c r="Y158">
        <f t="shared" si="41"/>
        <v>39.786348457025674</v>
      </c>
      <c r="Z158">
        <f>IF(ISBLANK($H158),NA(),IFERROR(SUM($H158:$H$177),NA()))</f>
        <v>210266.69300000003</v>
      </c>
      <c r="AA158">
        <f>IF(ISBLANK($I158),NA(),IFERROR(SUM($I158:$I$177),NA()))</f>
        <v>271711.80800000002</v>
      </c>
      <c r="AB158">
        <f>IF(ISBLANK($J158),NA(),IFERROR(SUM($J158:$J$177),NA()))</f>
        <v>402367.32</v>
      </c>
      <c r="AC158">
        <f t="shared" si="42"/>
        <v>674079.12800000003</v>
      </c>
      <c r="AD158">
        <f t="shared" si="43"/>
        <v>31.193176626587377</v>
      </c>
      <c r="AE158">
        <f t="shared" si="44"/>
        <v>40.308592376413117</v>
      </c>
    </row>
    <row r="159" spans="1:31" x14ac:dyDescent="0.35">
      <c r="A159">
        <v>2006</v>
      </c>
      <c r="B159">
        <v>11904.31</v>
      </c>
      <c r="C159">
        <v>15019.94</v>
      </c>
      <c r="D159">
        <v>14583.616</v>
      </c>
      <c r="E159">
        <v>11902.674000000001</v>
      </c>
      <c r="F159">
        <v>15018.387000000001</v>
      </c>
      <c r="G159">
        <v>15207.983</v>
      </c>
      <c r="H159">
        <v>11904.31</v>
      </c>
      <c r="I159">
        <v>15019.94</v>
      </c>
      <c r="J159">
        <v>14583.609</v>
      </c>
      <c r="N159">
        <f>IF(ISBLANK($B159),NA(),IFERROR(SUM($B159:$B$177),NA()))</f>
        <v>198256.06399999998</v>
      </c>
      <c r="O159">
        <f>IF(ISBLANK($C159),NA(),IFERROR(SUM($C159:$C$177),NA()))</f>
        <v>256703.52299999999</v>
      </c>
      <c r="P159">
        <f>IF(ISBLANK($D159),NA(),IFERROR(SUM($D159:$D$177),NA()))</f>
        <v>388715.90500000003</v>
      </c>
      <c r="Q159">
        <f t="shared" si="36"/>
        <v>645419.42800000007</v>
      </c>
      <c r="R159">
        <f t="shared" si="37"/>
        <v>30.717399476856151</v>
      </c>
      <c r="S159">
        <f t="shared" si="38"/>
        <v>39.773132301806072</v>
      </c>
      <c r="T159">
        <f>IF(ISBLANK($E159),NA(),IFERROR(SUM($E159:$E$177),NA()))</f>
        <v>197882.37400000001</v>
      </c>
      <c r="U159">
        <f>IF(ISBLANK($F159),NA(),IFERROR(SUM($F159:$F$177),NA()))</f>
        <v>256014.21200000003</v>
      </c>
      <c r="V159">
        <f>IF(ISBLANK($G159),NA(),IFERROR(SUM($G159:$G$177),NA()))</f>
        <v>395765.43300000002</v>
      </c>
      <c r="W159">
        <f t="shared" si="39"/>
        <v>651779.64500000002</v>
      </c>
      <c r="X159">
        <f t="shared" si="40"/>
        <v>30.360318171642199</v>
      </c>
      <c r="Y159">
        <f t="shared" si="41"/>
        <v>39.279258559846561</v>
      </c>
      <c r="Z159">
        <f>IF(ISBLANK($H159),NA(),IFERROR(SUM($H159:$H$177),NA()))</f>
        <v>198256.06600000005</v>
      </c>
      <c r="AA159">
        <f>IF(ISBLANK($I159),NA(),IFERROR(SUM($I159:$I$177),NA()))</f>
        <v>256703.52400000003</v>
      </c>
      <c r="AB159">
        <f>IF(ISBLANK($J159),NA(),IFERROR(SUM($J159:$J$177),NA()))</f>
        <v>388715.88899999997</v>
      </c>
      <c r="AC159">
        <f t="shared" si="42"/>
        <v>645419.41299999994</v>
      </c>
      <c r="AD159">
        <f t="shared" si="43"/>
        <v>30.717400500626109</v>
      </c>
      <c r="AE159">
        <f t="shared" si="44"/>
        <v>39.773133381099598</v>
      </c>
    </row>
    <row r="160" spans="1:31" x14ac:dyDescent="0.35">
      <c r="A160">
        <v>2007</v>
      </c>
      <c r="B160">
        <v>11974.504000000001</v>
      </c>
      <c r="C160">
        <v>15137.762000000001</v>
      </c>
      <c r="D160">
        <v>15313.24</v>
      </c>
      <c r="E160">
        <v>11973.079</v>
      </c>
      <c r="F160">
        <v>15136.416999999999</v>
      </c>
      <c r="G160">
        <v>15880.342000000001</v>
      </c>
      <c r="H160">
        <v>11974.504999999999</v>
      </c>
      <c r="I160">
        <v>15137.762000000001</v>
      </c>
      <c r="J160">
        <v>15313.23</v>
      </c>
      <c r="N160">
        <f>IF(ISBLANK($B160),NA(),IFERROR(SUM($B160:$B$177),NA()))</f>
        <v>186351.75399999999</v>
      </c>
      <c r="O160">
        <f>IF(ISBLANK($C160),NA(),IFERROR(SUM($C160:$C$177),NA()))</f>
        <v>241683.58299999998</v>
      </c>
      <c r="P160">
        <f>IF(ISBLANK($D160),NA(),IFERROR(SUM($D160:$D$177),NA()))</f>
        <v>374132.28900000005</v>
      </c>
      <c r="Q160">
        <f t="shared" si="36"/>
        <v>615815.87199999997</v>
      </c>
      <c r="R160">
        <f t="shared" si="37"/>
        <v>30.260953390951244</v>
      </c>
      <c r="S160">
        <f t="shared" si="38"/>
        <v>39.246078899375945</v>
      </c>
      <c r="T160">
        <f>IF(ISBLANK($E160),NA(),IFERROR(SUM($E160:$E$177),NA()))</f>
        <v>185979.7</v>
      </c>
      <c r="U160">
        <f>IF(ISBLANK($F160),NA(),IFERROR(SUM($F160:$F$177),NA()))</f>
        <v>240995.82500000004</v>
      </c>
      <c r="V160">
        <f>IF(ISBLANK($G160),NA(),IFERROR(SUM($G160:$G$177),NA()))</f>
        <v>380557.45</v>
      </c>
      <c r="W160">
        <f t="shared" si="39"/>
        <v>621553.27500000002</v>
      </c>
      <c r="X160">
        <f t="shared" si="40"/>
        <v>29.921763343616846</v>
      </c>
      <c r="Y160">
        <f t="shared" si="41"/>
        <v>38.773156653385833</v>
      </c>
      <c r="Z160">
        <f>IF(ISBLANK($H160),NA(),IFERROR(SUM($H160:$H$177),NA()))</f>
        <v>186351.75600000002</v>
      </c>
      <c r="AA160">
        <f>IF(ISBLANK($I160),NA(),IFERROR(SUM($I160:$I$177),NA()))</f>
        <v>241683.58399999997</v>
      </c>
      <c r="AB160">
        <f>IF(ISBLANK($J160),NA(),IFERROR(SUM($J160:$J$177),NA()))</f>
        <v>374132.27999999997</v>
      </c>
      <c r="AC160">
        <f t="shared" si="42"/>
        <v>615815.86399999994</v>
      </c>
      <c r="AD160">
        <f t="shared" si="43"/>
        <v>30.260954108840565</v>
      </c>
      <c r="AE160">
        <f t="shared" si="44"/>
        <v>39.246079571603893</v>
      </c>
    </row>
    <row r="161" spans="1:31" x14ac:dyDescent="0.35">
      <c r="A161">
        <v>2008</v>
      </c>
      <c r="B161">
        <v>11621.716</v>
      </c>
      <c r="C161">
        <v>14782.343000000001</v>
      </c>
      <c r="D161">
        <v>16209.136</v>
      </c>
      <c r="E161">
        <v>11621.495000000001</v>
      </c>
      <c r="F161">
        <v>14782.203</v>
      </c>
      <c r="G161">
        <v>16627.960999999999</v>
      </c>
      <c r="H161">
        <v>11621.716</v>
      </c>
      <c r="I161">
        <v>14782.343000000001</v>
      </c>
      <c r="J161">
        <v>16209.136</v>
      </c>
      <c r="N161">
        <f>IF(ISBLANK($B161),NA(),IFERROR(SUM($B161:$B$177),NA()))</f>
        <v>174377.25</v>
      </c>
      <c r="O161">
        <f>IF(ISBLANK($C161),NA(),IFERROR(SUM($C161:$C$177),NA()))</f>
        <v>226545.821</v>
      </c>
      <c r="P161">
        <f>IF(ISBLANK($D161),NA(),IFERROR(SUM($D161:$D$177),NA()))</f>
        <v>358819.04900000006</v>
      </c>
      <c r="Q161">
        <f t="shared" si="36"/>
        <v>585364.87000000011</v>
      </c>
      <c r="R161">
        <f t="shared" si="37"/>
        <v>29.789496933767133</v>
      </c>
      <c r="S161">
        <f t="shared" si="38"/>
        <v>38.701642789052229</v>
      </c>
      <c r="T161">
        <f>IF(ISBLANK($E161),NA(),IFERROR(SUM($E161:$E$177),NA()))</f>
        <v>174006.62100000001</v>
      </c>
      <c r="U161">
        <f>IF(ISBLANK($F161),NA(),IFERROR(SUM($F161:$F$177),NA()))</f>
        <v>225859.40800000002</v>
      </c>
      <c r="V161">
        <f>IF(ISBLANK($G161),NA(),IFERROR(SUM($G161:$G$177),NA()))</f>
        <v>364677.10800000007</v>
      </c>
      <c r="W161">
        <f t="shared" si="39"/>
        <v>590536.51600000006</v>
      </c>
      <c r="X161">
        <f t="shared" si="40"/>
        <v>29.465852878774392</v>
      </c>
      <c r="Y161">
        <f t="shared" si="41"/>
        <v>38.246476192506954</v>
      </c>
      <c r="Z161">
        <f>IF(ISBLANK($H161),NA(),IFERROR(SUM($H161:$H$177),NA()))</f>
        <v>174377.25100000002</v>
      </c>
      <c r="AA161">
        <f>IF(ISBLANK($I161),NA(),IFERROR(SUM($I161:$I$177),NA()))</f>
        <v>226545.82199999999</v>
      </c>
      <c r="AB161">
        <f>IF(ISBLANK($J161),NA(),IFERROR(SUM($J161:$J$177),NA()))</f>
        <v>358819.05</v>
      </c>
      <c r="AC161">
        <f t="shared" si="42"/>
        <v>585364.87199999997</v>
      </c>
      <c r="AD161">
        <f t="shared" si="43"/>
        <v>29.789497002819807</v>
      </c>
      <c r="AE161">
        <f t="shared" si="44"/>
        <v>38.701642827655022</v>
      </c>
    </row>
    <row r="162" spans="1:31" x14ac:dyDescent="0.35">
      <c r="A162">
        <v>2009</v>
      </c>
      <c r="B162">
        <v>10806.821</v>
      </c>
      <c r="C162">
        <v>13746.255999999999</v>
      </c>
      <c r="D162">
        <v>16752.707999999999</v>
      </c>
      <c r="E162">
        <v>10807.492</v>
      </c>
      <c r="F162">
        <v>13746.998</v>
      </c>
      <c r="G162">
        <v>17118.637999999999</v>
      </c>
      <c r="H162">
        <v>10806.821</v>
      </c>
      <c r="I162">
        <v>13746.255999999999</v>
      </c>
      <c r="J162">
        <v>16752.707999999999</v>
      </c>
      <c r="N162">
        <f>IF(ISBLANK($B162),NA(),IFERROR(SUM($B162:$B$177),NA()))</f>
        <v>162755.53400000001</v>
      </c>
      <c r="O162">
        <f>IF(ISBLANK($C162),NA(),IFERROR(SUM($C162:$C$177),NA()))</f>
        <v>211763.478</v>
      </c>
      <c r="P162">
        <f>IF(ISBLANK($D162),NA(),IFERROR(SUM($D162:$D$177),NA()))</f>
        <v>342609.91300000006</v>
      </c>
      <c r="Q162">
        <f t="shared" si="36"/>
        <v>554373.39100000006</v>
      </c>
      <c r="R162">
        <f t="shared" si="37"/>
        <v>29.358467892265772</v>
      </c>
      <c r="S162">
        <f t="shared" si="38"/>
        <v>38.198708927571886</v>
      </c>
      <c r="T162">
        <f>IF(ISBLANK($E162),NA(),IFERROR(SUM($E162:$E$177),NA()))</f>
        <v>162385.12599999999</v>
      </c>
      <c r="U162">
        <f>IF(ISBLANK($F162),NA(),IFERROR(SUM($F162:$F$177),NA()))</f>
        <v>211077.20500000005</v>
      </c>
      <c r="V162">
        <f>IF(ISBLANK($G162),NA(),IFERROR(SUM($G162:$G$177),NA()))</f>
        <v>348049.14700000006</v>
      </c>
      <c r="W162">
        <f t="shared" si="39"/>
        <v>559126.35200000007</v>
      </c>
      <c r="X162">
        <f t="shared" si="40"/>
        <v>29.042652956553898</v>
      </c>
      <c r="Y162">
        <f t="shared" si="41"/>
        <v>37.751253226569439</v>
      </c>
      <c r="Z162">
        <f>IF(ISBLANK($H162),NA(),IFERROR(SUM($H162:$H$177),NA()))</f>
        <v>162755.53500000003</v>
      </c>
      <c r="AA162">
        <f>IF(ISBLANK($I162),NA(),IFERROR(SUM($I162:$I$177),NA()))</f>
        <v>211763.47899999999</v>
      </c>
      <c r="AB162">
        <f>IF(ISBLANK($J162),NA(),IFERROR(SUM($J162:$J$177),NA()))</f>
        <v>342609.91399999999</v>
      </c>
      <c r="AC162">
        <f t="shared" si="42"/>
        <v>554373.39299999992</v>
      </c>
      <c r="AD162">
        <f t="shared" si="43"/>
        <v>29.358467966733759</v>
      </c>
      <c r="AE162">
        <f t="shared" si="44"/>
        <v>38.198708970147131</v>
      </c>
    </row>
    <row r="163" spans="1:31" x14ac:dyDescent="0.35">
      <c r="A163">
        <v>2010</v>
      </c>
      <c r="B163">
        <v>11141.303</v>
      </c>
      <c r="C163">
        <v>14213.941000000001</v>
      </c>
      <c r="D163">
        <v>18031.7</v>
      </c>
      <c r="E163">
        <v>11143.599</v>
      </c>
      <c r="F163">
        <v>14216.308000000001</v>
      </c>
      <c r="G163">
        <v>18143.669000000002</v>
      </c>
      <c r="H163">
        <v>11141.303</v>
      </c>
      <c r="I163">
        <v>14213.941000000001</v>
      </c>
      <c r="J163">
        <v>18031.701000000001</v>
      </c>
      <c r="N163">
        <f>IF(ISBLANK($B163),NA(),IFERROR(SUM($B163:$B$177),NA()))</f>
        <v>151948.71300000002</v>
      </c>
      <c r="O163">
        <f>IF(ISBLANK($C163),NA(),IFERROR(SUM($C163:$C$177),NA()))</f>
        <v>198017.22200000001</v>
      </c>
      <c r="P163">
        <f>IF(ISBLANK($D163),NA(),IFERROR(SUM($D163:$D$177),NA()))</f>
        <v>325857.20500000007</v>
      </c>
      <c r="Q163">
        <f t="shared" ref="Q163:Q177" si="45">IFERROR(O163+P163,"")</f>
        <v>523874.42700000008</v>
      </c>
      <c r="R163">
        <f t="shared" ref="R163:R177" si="46">IFERROR(N163/Q163*100,NA())</f>
        <v>29.004796792648175</v>
      </c>
      <c r="S163">
        <f t="shared" ref="S163:S177" si="47">IFERROR(O163/Q163*100,NA())</f>
        <v>37.79860435905568</v>
      </c>
      <c r="T163">
        <f>IF(ISBLANK($E163),NA(),IFERROR(SUM($E163:$E$177),NA()))</f>
        <v>151577.63399999999</v>
      </c>
      <c r="U163">
        <f>IF(ISBLANK($F163),NA(),IFERROR(SUM($F163:$F$177),NA()))</f>
        <v>197330.20700000005</v>
      </c>
      <c r="V163">
        <f>IF(ISBLANK($G163),NA(),IFERROR(SUM($G163:$G$177),NA()))</f>
        <v>330930.50900000008</v>
      </c>
      <c r="W163">
        <f t="shared" ref="W163:W177" si="48">IFERROR(U163+V163,"")</f>
        <v>528260.71600000013</v>
      </c>
      <c r="X163">
        <f t="shared" ref="X163:X177" si="49">IFERROR(T163/W163*100,NA())</f>
        <v>28.693716835078824</v>
      </c>
      <c r="Y163">
        <f t="shared" ref="Y163:Y177" si="50">IFERROR(U163/W163*100,NA())</f>
        <v>37.354700249942489</v>
      </c>
      <c r="Z163">
        <f>IF(ISBLANK($H163),NA(),IFERROR(SUM($H163:$H$177),NA()))</f>
        <v>151948.71400000004</v>
      </c>
      <c r="AA163">
        <f>IF(ISBLANK($I163),NA(),IFERROR(SUM($I163:$I$177),NA()))</f>
        <v>198017.223</v>
      </c>
      <c r="AB163">
        <f>IF(ISBLANK($J163),NA(),IFERROR(SUM($J163:$J$177),NA()))</f>
        <v>325857.20600000001</v>
      </c>
      <c r="AC163">
        <f t="shared" ref="AC163:AC177" si="51">IFERROR(AA163+AB163,"")</f>
        <v>523874.429</v>
      </c>
      <c r="AD163">
        <f t="shared" ref="AD163:AD177" si="52">IFERROR(Z163/AC163*100,NA())</f>
        <v>29.004796872801752</v>
      </c>
      <c r="AE163">
        <f t="shared" ref="AE163:AE177" si="53">IFERROR(AA163/AC163*100,NA())</f>
        <v>37.798604405637057</v>
      </c>
    </row>
    <row r="164" spans="1:31" x14ac:dyDescent="0.35">
      <c r="A164">
        <v>2011</v>
      </c>
      <c r="B164">
        <v>10916.733</v>
      </c>
      <c r="C164">
        <v>14086.236000000001</v>
      </c>
      <c r="D164">
        <v>19287.698</v>
      </c>
      <c r="E164">
        <v>10919.867</v>
      </c>
      <c r="F164">
        <v>14089.395</v>
      </c>
      <c r="G164">
        <v>19459.196</v>
      </c>
      <c r="H164">
        <v>10916.733</v>
      </c>
      <c r="I164">
        <v>14086.236000000001</v>
      </c>
      <c r="J164">
        <v>19287.698</v>
      </c>
      <c r="N164">
        <f>IF(ISBLANK($B164),NA(),IFERROR(SUM($B164:$B$177),NA()))</f>
        <v>140807.41</v>
      </c>
      <c r="O164">
        <f>IF(ISBLANK($C164),NA(),IFERROR(SUM($C164:$C$177),NA()))</f>
        <v>183803.28099999996</v>
      </c>
      <c r="P164">
        <f>IF(ISBLANK($D164),NA(),IFERROR(SUM($D164:$D$177),NA()))</f>
        <v>307825.50500000006</v>
      </c>
      <c r="Q164">
        <f t="shared" si="45"/>
        <v>491628.78600000002</v>
      </c>
      <c r="R164">
        <f t="shared" si="46"/>
        <v>28.641001912365642</v>
      </c>
      <c r="S164">
        <f t="shared" si="47"/>
        <v>37.386598635825194</v>
      </c>
      <c r="T164">
        <f>IF(ISBLANK($E164),NA(),IFERROR(SUM($E164:$E$177),NA()))</f>
        <v>140434.035</v>
      </c>
      <c r="U164">
        <f>IF(ISBLANK($F164),NA(),IFERROR(SUM($F164:$F$177),NA()))</f>
        <v>183113.89900000003</v>
      </c>
      <c r="V164">
        <f>IF(ISBLANK($G164),NA(),IFERROR(SUM($G164:$G$177),NA()))</f>
        <v>312786.84000000003</v>
      </c>
      <c r="W164">
        <f t="shared" si="48"/>
        <v>495900.73900000006</v>
      </c>
      <c r="X164">
        <f t="shared" si="49"/>
        <v>28.318980786999791</v>
      </c>
      <c r="Y164">
        <f t="shared" si="50"/>
        <v>36.925514442518306</v>
      </c>
      <c r="Z164">
        <f>IF(ISBLANK($H164),NA(),IFERROR(SUM($H164:$H$177),NA()))</f>
        <v>140807.41099999999</v>
      </c>
      <c r="AA164">
        <f>IF(ISBLANK($I164),NA(),IFERROR(SUM($I164:$I$177),NA()))</f>
        <v>183803.28200000001</v>
      </c>
      <c r="AB164">
        <f>IF(ISBLANK($J164),NA(),IFERROR(SUM($J164:$J$177),NA()))</f>
        <v>307825.505</v>
      </c>
      <c r="AC164">
        <f t="shared" si="51"/>
        <v>491628.78700000001</v>
      </c>
      <c r="AD164">
        <f t="shared" si="52"/>
        <v>28.64100205751377</v>
      </c>
      <c r="AE164">
        <f t="shared" si="53"/>
        <v>37.386598763184303</v>
      </c>
    </row>
    <row r="165" spans="1:31" x14ac:dyDescent="0.35">
      <c r="A165">
        <v>2012</v>
      </c>
      <c r="B165">
        <v>10730.344999999999</v>
      </c>
      <c r="C165">
        <v>13898.321</v>
      </c>
      <c r="D165">
        <v>19962.321</v>
      </c>
      <c r="E165">
        <v>10733.005999999999</v>
      </c>
      <c r="F165">
        <v>13901.025</v>
      </c>
      <c r="G165">
        <v>20136.111000000001</v>
      </c>
      <c r="H165">
        <v>10730.344999999999</v>
      </c>
      <c r="I165">
        <v>13898.321</v>
      </c>
      <c r="J165">
        <v>19962.321</v>
      </c>
      <c r="N165">
        <f>IF(ISBLANK($B165),NA(),IFERROR(SUM($B165:$B$177),NA()))</f>
        <v>129890.67699999998</v>
      </c>
      <c r="O165">
        <f>IF(ISBLANK($C165),NA(),IFERROR(SUM($C165:$C$177),NA()))</f>
        <v>169717.04499999998</v>
      </c>
      <c r="P165">
        <f>IF(ISBLANK($D165),NA(),IFERROR(SUM($D165:$D$177),NA()))</f>
        <v>288537.80700000003</v>
      </c>
      <c r="Q165">
        <f t="shared" si="45"/>
        <v>458254.85200000001</v>
      </c>
      <c r="R165">
        <f t="shared" si="46"/>
        <v>28.344637581709659</v>
      </c>
      <c r="S165">
        <f t="shared" si="47"/>
        <v>37.035515119870453</v>
      </c>
      <c r="T165">
        <f>IF(ISBLANK($E165),NA(),IFERROR(SUM($E165:$E$177),NA()))</f>
        <v>129514.16799999999</v>
      </c>
      <c r="U165">
        <f>IF(ISBLANK($F165),NA(),IFERROR(SUM($F165:$F$177),NA()))</f>
        <v>169024.50400000002</v>
      </c>
      <c r="V165">
        <f>IF(ISBLANK($G165),NA(),IFERROR(SUM($G165:$G$177),NA()))</f>
        <v>293327.64400000003</v>
      </c>
      <c r="W165">
        <f t="shared" si="48"/>
        <v>462352.14800000004</v>
      </c>
      <c r="X165">
        <f t="shared" si="49"/>
        <v>28.012018233340179</v>
      </c>
      <c r="Y165">
        <f t="shared" si="50"/>
        <v>36.557525412426543</v>
      </c>
      <c r="Z165">
        <f>IF(ISBLANK($H165),NA(),IFERROR(SUM($H165:$H$177),NA()))</f>
        <v>129890.67799999999</v>
      </c>
      <c r="AA165">
        <f>IF(ISBLANK($I165),NA(),IFERROR(SUM($I165:$I$177),NA()))</f>
        <v>169717.04599999997</v>
      </c>
      <c r="AB165">
        <f>IF(ISBLANK($J165),NA(),IFERROR(SUM($J165:$J$177),NA()))</f>
        <v>288537.80700000003</v>
      </c>
      <c r="AC165">
        <f t="shared" si="51"/>
        <v>458254.853</v>
      </c>
      <c r="AD165">
        <f t="shared" si="52"/>
        <v>28.344637738075406</v>
      </c>
      <c r="AE165">
        <f t="shared" si="53"/>
        <v>37.035515257271037</v>
      </c>
    </row>
    <row r="166" spans="1:31" x14ac:dyDescent="0.35">
      <c r="A166">
        <v>2013</v>
      </c>
      <c r="B166">
        <v>10820.671</v>
      </c>
      <c r="C166">
        <v>13882.386</v>
      </c>
      <c r="D166">
        <v>20283.237000000001</v>
      </c>
      <c r="E166">
        <v>10824.115</v>
      </c>
      <c r="F166">
        <v>13885.794</v>
      </c>
      <c r="G166">
        <v>20516.026000000002</v>
      </c>
      <c r="H166">
        <v>10820.671</v>
      </c>
      <c r="I166">
        <v>13882.387000000001</v>
      </c>
      <c r="J166">
        <v>20283.237000000001</v>
      </c>
      <c r="N166">
        <f>IF(ISBLANK($B166),NA(),IFERROR(SUM($B166:$B$177),NA()))</f>
        <v>119160.33199999998</v>
      </c>
      <c r="O166">
        <f>IF(ISBLANK($C166),NA(),IFERROR(SUM($C166:$C$177),NA()))</f>
        <v>155818.72399999999</v>
      </c>
      <c r="P166">
        <f>IF(ISBLANK($D166),NA(),IFERROR(SUM($D166:$D$177),NA()))</f>
        <v>268575.48599999998</v>
      </c>
      <c r="Q166">
        <f t="shared" si="45"/>
        <v>424394.20999999996</v>
      </c>
      <c r="R166">
        <f t="shared" si="46"/>
        <v>28.077746866527704</v>
      </c>
      <c r="S166">
        <f t="shared" si="47"/>
        <v>36.715563108177186</v>
      </c>
      <c r="T166">
        <f>IF(ISBLANK($E166),NA(),IFERROR(SUM($E166:$E$177),NA()))</f>
        <v>118781.16199999998</v>
      </c>
      <c r="U166">
        <f>IF(ISBLANK($F166),NA(),IFERROR(SUM($F166:$F$177),NA()))</f>
        <v>155123.47899999999</v>
      </c>
      <c r="V166">
        <f>IF(ISBLANK($G166),NA(),IFERROR(SUM($G166:$G$177),NA()))</f>
        <v>273191.533</v>
      </c>
      <c r="W166">
        <f t="shared" si="48"/>
        <v>428315.01199999999</v>
      </c>
      <c r="X166">
        <f t="shared" si="49"/>
        <v>27.732196787909917</v>
      </c>
      <c r="Y166">
        <f t="shared" si="50"/>
        <v>36.217147345748415</v>
      </c>
      <c r="Z166">
        <f>IF(ISBLANK($H166),NA(),IFERROR(SUM($H166:$H$177),NA()))</f>
        <v>119160.33299999998</v>
      </c>
      <c r="AA166">
        <f>IF(ISBLANK($I166),NA(),IFERROR(SUM($I166:$I$177),NA()))</f>
        <v>155818.72499999998</v>
      </c>
      <c r="AB166">
        <f>IF(ISBLANK($J166),NA(),IFERROR(SUM($J166:$J$177),NA()))</f>
        <v>268575.48600000003</v>
      </c>
      <c r="AC166">
        <f t="shared" si="51"/>
        <v>424394.21100000001</v>
      </c>
      <c r="AD166">
        <f t="shared" si="52"/>
        <v>28.07774703599809</v>
      </c>
      <c r="AE166">
        <f t="shared" si="53"/>
        <v>36.715563257294278</v>
      </c>
    </row>
    <row r="167" spans="1:31" x14ac:dyDescent="0.35">
      <c r="A167">
        <v>2014</v>
      </c>
      <c r="B167">
        <v>10655.071</v>
      </c>
      <c r="C167">
        <v>13676.084000000001</v>
      </c>
      <c r="D167">
        <v>20673.762999999999</v>
      </c>
      <c r="E167">
        <v>10656.661</v>
      </c>
      <c r="F167">
        <v>13677.503000000001</v>
      </c>
      <c r="G167">
        <v>21072.636999999999</v>
      </c>
      <c r="H167">
        <v>10655.071</v>
      </c>
      <c r="I167">
        <v>13676.084000000001</v>
      </c>
      <c r="J167">
        <v>20673.762999999999</v>
      </c>
      <c r="N167">
        <f>IF(ISBLANK($B167),NA(),IFERROR(SUM($B167:$B$177),NA()))</f>
        <v>108339.66100000001</v>
      </c>
      <c r="O167">
        <f>IF(ISBLANK($C167),NA(),IFERROR(SUM($C167:$C$177),NA()))</f>
        <v>141936.33800000002</v>
      </c>
      <c r="P167">
        <f>IF(ISBLANK($D167),NA(),IFERROR(SUM($D167:$D$177),NA()))</f>
        <v>248292.24900000001</v>
      </c>
      <c r="Q167">
        <f t="shared" si="45"/>
        <v>390228.58700000006</v>
      </c>
      <c r="R167">
        <f t="shared" si="46"/>
        <v>27.76312771775482</v>
      </c>
      <c r="S167">
        <f t="shared" si="47"/>
        <v>36.372614085292525</v>
      </c>
      <c r="T167">
        <f>IF(ISBLANK($E167),NA(),IFERROR(SUM($E167:$E$177),NA()))</f>
        <v>107957.04699999999</v>
      </c>
      <c r="U167">
        <f>IF(ISBLANK($F167),NA(),IFERROR(SUM($F167:$F$177),NA()))</f>
        <v>141237.685</v>
      </c>
      <c r="V167">
        <f>IF(ISBLANK($G167),NA(),IFERROR(SUM($G167:$G$177),NA()))</f>
        <v>252675.50700000001</v>
      </c>
      <c r="W167">
        <f t="shared" si="48"/>
        <v>393913.19200000004</v>
      </c>
      <c r="X167">
        <f t="shared" si="49"/>
        <v>27.406304026497285</v>
      </c>
      <c r="Y167">
        <f t="shared" si="50"/>
        <v>35.855027927066729</v>
      </c>
      <c r="Z167">
        <f>IF(ISBLANK($H167),NA(),IFERROR(SUM($H167:$H$177),NA()))</f>
        <v>108339.662</v>
      </c>
      <c r="AA167">
        <f>IF(ISBLANK($I167),NA(),IFERROR(SUM($I167:$I$177),NA()))</f>
        <v>141936.33800000002</v>
      </c>
      <c r="AB167">
        <f>IF(ISBLANK($J167),NA(),IFERROR(SUM($J167:$J$177),NA()))</f>
        <v>248292.24900000001</v>
      </c>
      <c r="AC167">
        <f t="shared" si="51"/>
        <v>390228.58700000006</v>
      </c>
      <c r="AD167">
        <f t="shared" si="52"/>
        <v>27.763127974014878</v>
      </c>
      <c r="AE167">
        <f t="shared" si="53"/>
        <v>36.372614085292525</v>
      </c>
    </row>
    <row r="168" spans="1:31" x14ac:dyDescent="0.35">
      <c r="A168">
        <v>2015</v>
      </c>
      <c r="B168">
        <v>10492.066999999999</v>
      </c>
      <c r="C168">
        <v>13498.848</v>
      </c>
      <c r="D168">
        <v>20752.060000000001</v>
      </c>
      <c r="E168">
        <v>10491.182000000001</v>
      </c>
      <c r="F168">
        <v>13497.718999999999</v>
      </c>
      <c r="G168">
        <v>21410.749</v>
      </c>
      <c r="H168">
        <v>10492.066999999999</v>
      </c>
      <c r="I168">
        <v>13498.848</v>
      </c>
      <c r="J168">
        <v>20752.061000000002</v>
      </c>
      <c r="N168">
        <f>IF(ISBLANK($B168),NA(),IFERROR(SUM($B168:$B$177),NA()))</f>
        <v>97684.589999999982</v>
      </c>
      <c r="O168">
        <f>IF(ISBLANK($C168),NA(),IFERROR(SUM($C168:$C$177),NA()))</f>
        <v>128260.254</v>
      </c>
      <c r="P168">
        <f>IF(ISBLANK($D168),NA(),IFERROR(SUM($D168:$D$177),NA()))</f>
        <v>227618.48599999998</v>
      </c>
      <c r="Q168">
        <f t="shared" si="45"/>
        <v>355878.74</v>
      </c>
      <c r="R168">
        <f t="shared" si="46"/>
        <v>27.448841141788911</v>
      </c>
      <c r="S168">
        <f t="shared" si="47"/>
        <v>36.040437256802697</v>
      </c>
      <c r="T168">
        <f>IF(ISBLANK($E168),NA(),IFERROR(SUM($E168:$E$177),NA()))</f>
        <v>97300.385999999984</v>
      </c>
      <c r="U168">
        <f>IF(ISBLANK($F168),NA(),IFERROR(SUM($F168:$F$177),NA()))</f>
        <v>127560.18199999999</v>
      </c>
      <c r="V168">
        <f>IF(ISBLANK($G168),NA(),IFERROR(SUM($G168:$G$177),NA()))</f>
        <v>231602.87000000002</v>
      </c>
      <c r="W168">
        <f t="shared" si="48"/>
        <v>359163.05200000003</v>
      </c>
      <c r="X168">
        <f t="shared" si="49"/>
        <v>27.090867353471531</v>
      </c>
      <c r="Y168">
        <f t="shared" si="50"/>
        <v>35.515953350346287</v>
      </c>
      <c r="Z168">
        <f>IF(ISBLANK($H168),NA(),IFERROR(SUM($H168:$H$177),NA()))</f>
        <v>97684.590999999986</v>
      </c>
      <c r="AA168">
        <f>IF(ISBLANK($I168),NA(),IFERROR(SUM($I168:$I$177),NA()))</f>
        <v>128260.254</v>
      </c>
      <c r="AB168">
        <f>IF(ISBLANK($J168),NA(),IFERROR(SUM($J168:$J$177),NA()))</f>
        <v>227618.48599999998</v>
      </c>
      <c r="AC168">
        <f t="shared" si="51"/>
        <v>355878.74</v>
      </c>
      <c r="AD168">
        <f t="shared" si="52"/>
        <v>27.448841422783499</v>
      </c>
      <c r="AE168">
        <f t="shared" si="53"/>
        <v>36.040437256802697</v>
      </c>
    </row>
    <row r="169" spans="1:31" x14ac:dyDescent="0.35">
      <c r="A169">
        <v>2016</v>
      </c>
      <c r="B169">
        <v>10311.272999999999</v>
      </c>
      <c r="C169">
        <v>13351.499</v>
      </c>
      <c r="D169">
        <v>20872.252</v>
      </c>
      <c r="E169">
        <v>10309.593000000001</v>
      </c>
      <c r="F169">
        <v>13349.697</v>
      </c>
      <c r="G169">
        <v>21656.738000000001</v>
      </c>
      <c r="H169">
        <v>10311.272999999999</v>
      </c>
      <c r="I169">
        <v>13351.499</v>
      </c>
      <c r="J169">
        <v>20872.252</v>
      </c>
      <c r="N169">
        <f>IF(ISBLANK($B169),NA(),IFERROR(SUM($B169:$B$177),NA()))</f>
        <v>87192.523000000001</v>
      </c>
      <c r="O169">
        <f>IF(ISBLANK($C169),NA(),IFERROR(SUM($C169:$C$177),NA()))</f>
        <v>114761.406</v>
      </c>
      <c r="P169">
        <f>IF(ISBLANK($D169),NA(),IFERROR(SUM($D169:$D$177),NA()))</f>
        <v>206866.42599999998</v>
      </c>
      <c r="Q169">
        <f t="shared" si="45"/>
        <v>321627.83199999999</v>
      </c>
      <c r="R169">
        <f t="shared" si="46"/>
        <v>27.109756782491385</v>
      </c>
      <c r="S169">
        <f t="shared" si="47"/>
        <v>35.681428838534103</v>
      </c>
      <c r="T169">
        <f>IF(ISBLANK($E169),NA(),IFERROR(SUM($E169:$E$177),NA()))</f>
        <v>86809.203999999998</v>
      </c>
      <c r="U169">
        <f>IF(ISBLANK($F169),NA(),IFERROR(SUM($F169:$F$177),NA()))</f>
        <v>114062.46299999999</v>
      </c>
      <c r="V169">
        <f>IF(ISBLANK($G169),NA(),IFERROR(SUM($G169:$G$177),NA()))</f>
        <v>210192.12100000001</v>
      </c>
      <c r="W169">
        <f t="shared" si="48"/>
        <v>324254.58400000003</v>
      </c>
      <c r="X169">
        <f t="shared" si="49"/>
        <v>26.77192807241855</v>
      </c>
      <c r="Y169">
        <f t="shared" si="50"/>
        <v>35.176823591181666</v>
      </c>
      <c r="Z169">
        <f>IF(ISBLANK($H169),NA(),IFERROR(SUM($H169:$H$177),NA()))</f>
        <v>87192.524000000005</v>
      </c>
      <c r="AA169">
        <f>IF(ISBLANK($I169),NA(),IFERROR(SUM($I169:$I$177),NA()))</f>
        <v>114761.406</v>
      </c>
      <c r="AB169">
        <f>IF(ISBLANK($J169),NA(),IFERROR(SUM($J169:$J$177),NA()))</f>
        <v>206866.42499999999</v>
      </c>
      <c r="AC169">
        <f t="shared" si="51"/>
        <v>321627.83100000001</v>
      </c>
      <c r="AD169">
        <f t="shared" si="52"/>
        <v>27.109757177698967</v>
      </c>
      <c r="AE169">
        <f t="shared" si="53"/>
        <v>35.681428949474217</v>
      </c>
    </row>
    <row r="170" spans="1:31" x14ac:dyDescent="0.35">
      <c r="A170">
        <v>2017</v>
      </c>
      <c r="B170">
        <v>10249.216</v>
      </c>
      <c r="C170">
        <v>13361.929</v>
      </c>
      <c r="D170">
        <v>21411.564999999999</v>
      </c>
      <c r="E170">
        <v>10248.462</v>
      </c>
      <c r="F170">
        <v>13360.857</v>
      </c>
      <c r="G170">
        <v>22369.085999999999</v>
      </c>
      <c r="H170">
        <v>10249.216</v>
      </c>
      <c r="I170">
        <v>13361.929</v>
      </c>
      <c r="J170">
        <v>21411.564999999999</v>
      </c>
      <c r="N170">
        <f>IF(ISBLANK($B170),NA(),IFERROR(SUM($B170:$B$177),NA()))</f>
        <v>76881.25</v>
      </c>
      <c r="O170">
        <f>IF(ISBLANK($C170),NA(),IFERROR(SUM($C170:$C$177),NA()))</f>
        <v>101409.90700000001</v>
      </c>
      <c r="P170">
        <f>IF(ISBLANK($D170),NA(),IFERROR(SUM($D170:$D$177),NA()))</f>
        <v>185994.174</v>
      </c>
      <c r="Q170">
        <f t="shared" si="45"/>
        <v>287404.08100000001</v>
      </c>
      <c r="R170">
        <f t="shared" si="46"/>
        <v>26.750229061639523</v>
      </c>
      <c r="S170">
        <f t="shared" si="47"/>
        <v>35.284783238690338</v>
      </c>
      <c r="T170">
        <f>IF(ISBLANK($E170),NA(),IFERROR(SUM($E170:$E$177),NA()))</f>
        <v>76499.61099999999</v>
      </c>
      <c r="U170">
        <f>IF(ISBLANK($F170),NA(),IFERROR(SUM($F170:$F$177),NA()))</f>
        <v>100712.76599999999</v>
      </c>
      <c r="V170">
        <f>IF(ISBLANK($G170),NA(),IFERROR(SUM($G170:$G$177),NA()))</f>
        <v>188535.383</v>
      </c>
      <c r="W170">
        <f t="shared" si="48"/>
        <v>289248.14899999998</v>
      </c>
      <c r="X170">
        <f t="shared" si="49"/>
        <v>26.447744355314782</v>
      </c>
      <c r="Y170">
        <f t="shared" si="50"/>
        <v>34.818810888916005</v>
      </c>
      <c r="Z170">
        <f>IF(ISBLANK($H170),NA(),IFERROR(SUM($H170:$H$177),NA()))</f>
        <v>76881.251000000004</v>
      </c>
      <c r="AA170">
        <f>IF(ISBLANK($I170),NA(),IFERROR(SUM($I170:$I$177),NA()))</f>
        <v>101409.90700000001</v>
      </c>
      <c r="AB170">
        <f>IF(ISBLANK($J170),NA(),IFERROR(SUM($J170:$J$177),NA()))</f>
        <v>185994.17300000001</v>
      </c>
      <c r="AC170">
        <f t="shared" si="51"/>
        <v>287404.08</v>
      </c>
      <c r="AD170">
        <f t="shared" si="52"/>
        <v>26.750229502657024</v>
      </c>
      <c r="AE170">
        <f t="shared" si="53"/>
        <v>35.284783361460981</v>
      </c>
    </row>
    <row r="171" spans="1:31" x14ac:dyDescent="0.35">
      <c r="A171">
        <v>2018</v>
      </c>
      <c r="B171">
        <v>10308.483</v>
      </c>
      <c r="C171">
        <v>13467.581</v>
      </c>
      <c r="D171">
        <v>22030.045999999998</v>
      </c>
      <c r="E171">
        <v>10308.871999999999</v>
      </c>
      <c r="F171">
        <v>13467.627</v>
      </c>
      <c r="G171">
        <v>22885.663</v>
      </c>
      <c r="H171">
        <v>10308.483</v>
      </c>
      <c r="I171">
        <v>13467.581</v>
      </c>
      <c r="J171">
        <v>22030.045999999998</v>
      </c>
      <c r="N171">
        <f>IF(ISBLANK($B171),NA(),IFERROR(SUM($B171:$B$177),NA()))</f>
        <v>66632.034</v>
      </c>
      <c r="O171">
        <f>IF(ISBLANK($C171),NA(),IFERROR(SUM($C171:$C$177),NA()))</f>
        <v>88047.977999999988</v>
      </c>
      <c r="P171">
        <f>IF(ISBLANK($D171),NA(),IFERROR(SUM($D171:$D$177),NA()))</f>
        <v>164582.609</v>
      </c>
      <c r="Q171">
        <f t="shared" si="45"/>
        <v>252630.587</v>
      </c>
      <c r="R171">
        <f t="shared" si="46"/>
        <v>26.375283686452423</v>
      </c>
      <c r="S171">
        <f t="shared" si="47"/>
        <v>34.852461471737776</v>
      </c>
      <c r="T171">
        <f>IF(ISBLANK($E171),NA(),IFERROR(SUM($E171:$E$177),NA()))</f>
        <v>66251.149000000005</v>
      </c>
      <c r="U171">
        <f>IF(ISBLANK($F171),NA(),IFERROR(SUM($F171:$F$177),NA()))</f>
        <v>87351.908999999985</v>
      </c>
      <c r="V171">
        <f>IF(ISBLANK($G171),NA(),IFERROR(SUM($G171:$G$177),NA()))</f>
        <v>166166.29699999999</v>
      </c>
      <c r="W171">
        <f t="shared" si="48"/>
        <v>253518.20599999998</v>
      </c>
      <c r="X171">
        <f t="shared" si="49"/>
        <v>26.13269873012592</v>
      </c>
      <c r="Y171">
        <f t="shared" si="50"/>
        <v>34.455872175113136</v>
      </c>
      <c r="Z171">
        <f>IF(ISBLANK($H171),NA(),IFERROR(SUM($H171:$H$177),NA()))</f>
        <v>66632.035000000003</v>
      </c>
      <c r="AA171">
        <f>IF(ISBLANK($I171),NA(),IFERROR(SUM($I171:$I$177),NA()))</f>
        <v>88047.977999999988</v>
      </c>
      <c r="AB171">
        <f>IF(ISBLANK($J171),NA(),IFERROR(SUM($J171:$J$177),NA()))</f>
        <v>164582.60800000001</v>
      </c>
      <c r="AC171">
        <f t="shared" si="51"/>
        <v>252630.58600000001</v>
      </c>
      <c r="AD171">
        <f t="shared" si="52"/>
        <v>26.375284186689889</v>
      </c>
      <c r="AE171">
        <f t="shared" si="53"/>
        <v>34.852461609695979</v>
      </c>
    </row>
    <row r="172" spans="1:31" x14ac:dyDescent="0.35">
      <c r="A172">
        <v>2019</v>
      </c>
      <c r="B172">
        <v>10026.807000000001</v>
      </c>
      <c r="C172">
        <v>13117.094999999999</v>
      </c>
      <c r="D172">
        <v>22729.898000000001</v>
      </c>
      <c r="E172">
        <v>10027.263999999999</v>
      </c>
      <c r="F172">
        <v>13116.656999999999</v>
      </c>
      <c r="G172">
        <v>23281.241000000002</v>
      </c>
      <c r="H172">
        <v>10026.807000000001</v>
      </c>
      <c r="I172">
        <v>13117.094999999999</v>
      </c>
      <c r="J172">
        <v>22729.897000000001</v>
      </c>
      <c r="N172">
        <f>IF(ISBLANK($B172),NA(),IFERROR(SUM($B172:$B$177),NA()))</f>
        <v>56323.550999999999</v>
      </c>
      <c r="O172">
        <f>IF(ISBLANK($C172),NA(),IFERROR(SUM($C172:$C$177),NA()))</f>
        <v>74580.396999999997</v>
      </c>
      <c r="P172">
        <f>IF(ISBLANK($D172),NA(),IFERROR(SUM($D172:$D$177),NA()))</f>
        <v>142552.56299999997</v>
      </c>
      <c r="Q172">
        <f t="shared" si="45"/>
        <v>217132.95999999996</v>
      </c>
      <c r="R172">
        <f t="shared" si="46"/>
        <v>25.939659736596422</v>
      </c>
      <c r="S172">
        <f t="shared" si="47"/>
        <v>34.34780099714019</v>
      </c>
      <c r="T172">
        <f>IF(ISBLANK($E172),NA(),IFERROR(SUM($E172:$E$177),NA()))</f>
        <v>55942.277000000002</v>
      </c>
      <c r="U172">
        <f>IF(ISBLANK($F172),NA(),IFERROR(SUM($F172:$F$177),NA()))</f>
        <v>73884.281999999992</v>
      </c>
      <c r="V172">
        <f>IF(ISBLANK($G172),NA(),IFERROR(SUM($G172:$G$177),NA()))</f>
        <v>143280.63399999999</v>
      </c>
      <c r="W172">
        <f t="shared" si="48"/>
        <v>217164.91599999997</v>
      </c>
      <c r="X172">
        <f t="shared" si="49"/>
        <v>25.760273818815193</v>
      </c>
      <c r="Y172">
        <f t="shared" si="50"/>
        <v>34.022199976353455</v>
      </c>
      <c r="Z172">
        <f>IF(ISBLANK($H172),NA(),IFERROR(SUM($H172:$H$177),NA()))</f>
        <v>56323.551999999996</v>
      </c>
      <c r="AA172">
        <f>IF(ISBLANK($I172),NA(),IFERROR(SUM($I172:$I$177),NA()))</f>
        <v>74580.396999999997</v>
      </c>
      <c r="AB172">
        <f>IF(ISBLANK($J172),NA(),IFERROR(SUM($J172:$J$177),NA()))</f>
        <v>142552.56200000001</v>
      </c>
      <c r="AC172">
        <f t="shared" si="51"/>
        <v>217132.959</v>
      </c>
      <c r="AD172">
        <f t="shared" si="52"/>
        <v>25.939660316608126</v>
      </c>
      <c r="AE172">
        <f t="shared" si="53"/>
        <v>34.347801155328057</v>
      </c>
    </row>
    <row r="173" spans="1:31" x14ac:dyDescent="0.35">
      <c r="A173">
        <v>2020</v>
      </c>
      <c r="B173">
        <v>9065.8670000000002</v>
      </c>
      <c r="C173">
        <v>12030.968999999999</v>
      </c>
      <c r="D173">
        <v>22287.710999999999</v>
      </c>
      <c r="E173">
        <v>9068.3250000000007</v>
      </c>
      <c r="F173">
        <v>12033.268</v>
      </c>
      <c r="G173">
        <v>22809.496999999999</v>
      </c>
      <c r="H173">
        <v>9065.8670000000002</v>
      </c>
      <c r="I173">
        <v>12030.968999999999</v>
      </c>
      <c r="J173">
        <v>22287.710999999999</v>
      </c>
      <c r="N173">
        <f>IF(ISBLANK($B173),NA(),IFERROR(SUM($B173:$B$177),NA()))</f>
        <v>46296.743999999999</v>
      </c>
      <c r="O173">
        <f>IF(ISBLANK($C173),NA(),IFERROR(SUM($C173:$C$177),NA()))</f>
        <v>61463.301999999996</v>
      </c>
      <c r="P173">
        <f>IF(ISBLANK($D173),NA(),IFERROR(SUM($D173:$D$177),NA()))</f>
        <v>119822.66499999999</v>
      </c>
      <c r="Q173">
        <f t="shared" si="45"/>
        <v>181285.967</v>
      </c>
      <c r="R173">
        <f t="shared" si="46"/>
        <v>25.537963454170725</v>
      </c>
      <c r="S173">
        <f t="shared" si="47"/>
        <v>33.90405943555465</v>
      </c>
      <c r="T173">
        <f>IF(ISBLANK($E173),NA(),IFERROR(SUM($E173:$E$177),NA()))</f>
        <v>45915.013000000006</v>
      </c>
      <c r="U173">
        <f>IF(ISBLANK($F173),NA(),IFERROR(SUM($F173:$F$177),NA()))</f>
        <v>60767.625</v>
      </c>
      <c r="V173">
        <f>IF(ISBLANK($G173),NA(),IFERROR(SUM($G173:$G$177),NA()))</f>
        <v>119999.39300000001</v>
      </c>
      <c r="W173">
        <f t="shared" si="48"/>
        <v>180767.01800000001</v>
      </c>
      <c r="X173">
        <f t="shared" si="49"/>
        <v>25.400105344438444</v>
      </c>
      <c r="Y173">
        <f t="shared" si="50"/>
        <v>33.616544473837592</v>
      </c>
      <c r="Z173">
        <f>IF(ISBLANK($H173),NA(),IFERROR(SUM($H173:$H$177),NA()))</f>
        <v>46296.745000000003</v>
      </c>
      <c r="AA173">
        <f>IF(ISBLANK($I173),NA(),IFERROR(SUM($I173:$I$177),NA()))</f>
        <v>61463.301999999996</v>
      </c>
      <c r="AB173">
        <f>IF(ISBLANK($J173),NA(),IFERROR(SUM($J173:$J$177),NA()))</f>
        <v>119822.66500000001</v>
      </c>
      <c r="AC173">
        <f t="shared" si="51"/>
        <v>181285.967</v>
      </c>
      <c r="AD173">
        <f t="shared" si="52"/>
        <v>25.537964005785401</v>
      </c>
      <c r="AE173">
        <f t="shared" si="53"/>
        <v>33.90405943555465</v>
      </c>
    </row>
    <row r="174" spans="1:31" x14ac:dyDescent="0.35">
      <c r="A174">
        <v>2021</v>
      </c>
      <c r="B174">
        <v>9562.25</v>
      </c>
      <c r="C174">
        <v>12666.99</v>
      </c>
      <c r="D174">
        <v>23320.791000000001</v>
      </c>
      <c r="E174">
        <v>9565.3970000000008</v>
      </c>
      <c r="F174">
        <v>12669.912</v>
      </c>
      <c r="G174">
        <v>23818.333999999999</v>
      </c>
      <c r="H174">
        <v>9562.25</v>
      </c>
      <c r="I174">
        <v>12666.99</v>
      </c>
      <c r="J174">
        <v>23320.79</v>
      </c>
      <c r="N174">
        <f>IF(ISBLANK($B174),NA(),IFERROR(SUM($B174:$B$177),NA()))</f>
        <v>37230.877</v>
      </c>
      <c r="O174">
        <f>IF(ISBLANK($C174),NA(),IFERROR(SUM($C174:$C$177),NA()))</f>
        <v>49432.332999999999</v>
      </c>
      <c r="P174">
        <f>IF(ISBLANK($D174),NA(),IFERROR(SUM($D174:$D$177),NA()))</f>
        <v>97534.954000000012</v>
      </c>
      <c r="Q174">
        <f t="shared" si="45"/>
        <v>146967.28700000001</v>
      </c>
      <c r="R174">
        <f t="shared" si="46"/>
        <v>25.332764698854376</v>
      </c>
      <c r="S174">
        <f t="shared" si="47"/>
        <v>33.634922443659178</v>
      </c>
      <c r="T174">
        <f>IF(ISBLANK($E174),NA(),IFERROR(SUM($E174:$E$177),NA()))</f>
        <v>36846.688000000002</v>
      </c>
      <c r="U174">
        <f>IF(ISBLANK($F174),NA(),IFERROR(SUM($F174:$F$177),NA()))</f>
        <v>48734.356999999989</v>
      </c>
      <c r="V174">
        <f>IF(ISBLANK($G174),NA(),IFERROR(SUM($G174:$G$177),NA()))</f>
        <v>97189.896000000008</v>
      </c>
      <c r="W174">
        <f t="shared" si="48"/>
        <v>145924.253</v>
      </c>
      <c r="X174">
        <f t="shared" si="49"/>
        <v>25.250557904175118</v>
      </c>
      <c r="Y174">
        <f t="shared" si="50"/>
        <v>33.397023454353395</v>
      </c>
      <c r="Z174">
        <f>IF(ISBLANK($H174),NA(),IFERROR(SUM($H174:$H$177),NA()))</f>
        <v>37230.878000000004</v>
      </c>
      <c r="AA174">
        <f>IF(ISBLANK($I174),NA(),IFERROR(SUM($I174:$I$177),NA()))</f>
        <v>49432.332999999999</v>
      </c>
      <c r="AB174">
        <f>IF(ISBLANK($J174),NA(),IFERROR(SUM($J174:$J$177),NA()))</f>
        <v>97534.953999999998</v>
      </c>
      <c r="AC174">
        <f t="shared" si="51"/>
        <v>146967.28700000001</v>
      </c>
      <c r="AD174">
        <f t="shared" si="52"/>
        <v>25.332765379277909</v>
      </c>
      <c r="AE174">
        <f t="shared" si="53"/>
        <v>33.634922443659178</v>
      </c>
    </row>
    <row r="175" spans="1:31" x14ac:dyDescent="0.35">
      <c r="A175">
        <v>2022</v>
      </c>
      <c r="B175">
        <v>9496.6610000000001</v>
      </c>
      <c r="C175">
        <v>12493.547</v>
      </c>
      <c r="D175">
        <v>24068.555</v>
      </c>
      <c r="E175">
        <v>9514.3870000000006</v>
      </c>
      <c r="F175">
        <v>12511.111999999999</v>
      </c>
      <c r="G175">
        <v>24235.097000000002</v>
      </c>
      <c r="H175">
        <v>9496.6620000000003</v>
      </c>
      <c r="I175">
        <v>12493.547</v>
      </c>
      <c r="J175">
        <v>24068.555</v>
      </c>
      <c r="N175">
        <f>IF(ISBLANK($B175),NA(),IFERROR(SUM($B175:$B$177),NA()))</f>
        <v>27668.627</v>
      </c>
      <c r="O175">
        <f>IF(ISBLANK($C175),NA(),IFERROR(SUM($C175:$C$177),NA()))</f>
        <v>36765.342999999993</v>
      </c>
      <c r="P175">
        <f>IF(ISBLANK($D175),NA(),IFERROR(SUM($D175:$D$177),NA()))</f>
        <v>74214.163</v>
      </c>
      <c r="Q175">
        <f t="shared" si="45"/>
        <v>110979.50599999999</v>
      </c>
      <c r="R175">
        <f t="shared" si="46"/>
        <v>24.931294071537856</v>
      </c>
      <c r="S175">
        <f t="shared" si="47"/>
        <v>33.128047082855097</v>
      </c>
      <c r="T175">
        <f>IF(ISBLANK($E175),NA(),IFERROR(SUM($E175:$E$177),NA()))</f>
        <v>27281.290999999997</v>
      </c>
      <c r="U175">
        <f>IF(ISBLANK($F175),NA(),IFERROR(SUM($F175:$F$177),NA()))</f>
        <v>36064.444999999992</v>
      </c>
      <c r="V175">
        <f>IF(ISBLANK($G175),NA(),IFERROR(SUM($G175:$G$177),NA()))</f>
        <v>73371.562000000005</v>
      </c>
      <c r="W175">
        <f t="shared" si="48"/>
        <v>109436.007</v>
      </c>
      <c r="X175">
        <f t="shared" si="49"/>
        <v>24.928989779387692</v>
      </c>
      <c r="Y175">
        <f t="shared" si="50"/>
        <v>32.954825371141325</v>
      </c>
      <c r="Z175">
        <f>IF(ISBLANK($H175),NA(),IFERROR(SUM($H175:$H$177),NA()))</f>
        <v>27668.628000000004</v>
      </c>
      <c r="AA175">
        <f>IF(ISBLANK($I175),NA(),IFERROR(SUM($I175:$I$177),NA()))</f>
        <v>36765.342999999993</v>
      </c>
      <c r="AB175">
        <f>IF(ISBLANK($J175),NA(),IFERROR(SUM($J175:$J$177),NA()))</f>
        <v>74214.16399999999</v>
      </c>
      <c r="AC175">
        <f t="shared" si="51"/>
        <v>110979.50699999998</v>
      </c>
      <c r="AD175">
        <f t="shared" si="52"/>
        <v>24.931294747957395</v>
      </c>
      <c r="AE175">
        <f t="shared" si="53"/>
        <v>33.128046784349117</v>
      </c>
    </row>
    <row r="176" spans="1:31" x14ac:dyDescent="0.35">
      <c r="A176">
        <v>2023</v>
      </c>
      <c r="B176">
        <v>9126.6190000000006</v>
      </c>
      <c r="C176">
        <v>12149.120999999999</v>
      </c>
      <c r="D176">
        <v>24862.169000000002</v>
      </c>
      <c r="E176">
        <v>9125.7530000000006</v>
      </c>
      <c r="F176">
        <v>12104.227999999999</v>
      </c>
      <c r="G176">
        <v>25061.780999999999</v>
      </c>
      <c r="H176">
        <v>9126.6190000000006</v>
      </c>
      <c r="I176">
        <v>12149.120999999999</v>
      </c>
      <c r="J176">
        <v>24862.17</v>
      </c>
      <c r="N176">
        <f>IF(ISBLANK($B176),NA(),IFERROR(SUM($B176:$B$177),NA()))</f>
        <v>18171.966</v>
      </c>
      <c r="O176">
        <f>IF(ISBLANK($C176),NA(),IFERROR(SUM($C176:$C$177),NA()))</f>
        <v>24271.795999999998</v>
      </c>
      <c r="P176">
        <f>IF(ISBLANK($D176),NA(),IFERROR(SUM($D176:$D$177),NA()))</f>
        <v>50145.608</v>
      </c>
      <c r="Q176">
        <f t="shared" si="45"/>
        <v>74417.403999999995</v>
      </c>
      <c r="R176">
        <f t="shared" si="46"/>
        <v>24.418973282110194</v>
      </c>
      <c r="S176">
        <f t="shared" si="47"/>
        <v>32.61575208939027</v>
      </c>
      <c r="T176">
        <f>IF(ISBLANK($E176),NA(),IFERROR(SUM($E176:$E$177),NA()))</f>
        <v>17766.904000000002</v>
      </c>
      <c r="U176">
        <f>IF(ISBLANK($F176),NA(),IFERROR(SUM($F176:$F$177),NA()))</f>
        <v>23553.332999999999</v>
      </c>
      <c r="V176">
        <f>IF(ISBLANK($G176),NA(),IFERROR(SUM($G176:$G$177),NA()))</f>
        <v>49136.464999999997</v>
      </c>
      <c r="W176">
        <f t="shared" si="48"/>
        <v>72689.797999999995</v>
      </c>
      <c r="X176">
        <f t="shared" si="49"/>
        <v>24.44208745772</v>
      </c>
      <c r="Y176">
        <f t="shared" si="50"/>
        <v>32.402529169223996</v>
      </c>
      <c r="Z176">
        <f>IF(ISBLANK($H176),NA(),IFERROR(SUM($H176:$H$177),NA()))</f>
        <v>18171.966</v>
      </c>
      <c r="AA176">
        <f>IF(ISBLANK($I176),NA(),IFERROR(SUM($I176:$I$177),NA()))</f>
        <v>24271.795999999998</v>
      </c>
      <c r="AB176">
        <f>IF(ISBLANK($J176),NA(),IFERROR(SUM($J176:$J$177),NA()))</f>
        <v>50145.608999999997</v>
      </c>
      <c r="AC176">
        <f t="shared" si="51"/>
        <v>74417.404999999999</v>
      </c>
      <c r="AD176">
        <f t="shared" si="52"/>
        <v>24.418972953974951</v>
      </c>
      <c r="AE176">
        <f t="shared" si="53"/>
        <v>32.615751651109036</v>
      </c>
    </row>
    <row r="177" spans="1:31" x14ac:dyDescent="0.35">
      <c r="A177">
        <v>2024</v>
      </c>
      <c r="B177">
        <v>9045.3469999999998</v>
      </c>
      <c r="C177">
        <v>12122.674999999999</v>
      </c>
      <c r="D177">
        <v>25283.438999999998</v>
      </c>
      <c r="E177">
        <v>8641.1509999999998</v>
      </c>
      <c r="F177">
        <v>11449.105</v>
      </c>
      <c r="G177">
        <v>24074.684000000001</v>
      </c>
      <c r="H177">
        <v>9045.3469999999998</v>
      </c>
      <c r="I177">
        <v>12122.674999999999</v>
      </c>
      <c r="J177">
        <v>25283.438999999998</v>
      </c>
      <c r="N177">
        <f>IF(ISBLANK($B177),NA(),IFERROR(SUM($B177:$B$177),NA()))</f>
        <v>9045.3469999999998</v>
      </c>
      <c r="O177">
        <f>IF(ISBLANK($C177),NA(),IFERROR(SUM($C177:$C$177),NA()))</f>
        <v>12122.674999999999</v>
      </c>
      <c r="P177">
        <f>IF(ISBLANK($D177),NA(),IFERROR(SUM($D177:$D$177),NA()))</f>
        <v>25283.438999999998</v>
      </c>
      <c r="Q177">
        <f t="shared" si="45"/>
        <v>37406.114000000001</v>
      </c>
      <c r="R177">
        <f t="shared" si="46"/>
        <v>24.181466698198054</v>
      </c>
      <c r="S177">
        <f t="shared" si="47"/>
        <v>32.408271546196964</v>
      </c>
      <c r="T177">
        <f>IF(ISBLANK($E177),NA(),IFERROR(SUM($E177:$E$177),NA()))</f>
        <v>8641.1509999999998</v>
      </c>
      <c r="U177">
        <f>IF(ISBLANK($F177),NA(),IFERROR(SUM($F177:$F$177),NA()))</f>
        <v>11449.105</v>
      </c>
      <c r="V177">
        <f>IF(ISBLANK($G177),NA(),IFERROR(SUM($G177:$G$177),NA()))</f>
        <v>24074.684000000001</v>
      </c>
      <c r="W177">
        <f t="shared" si="48"/>
        <v>35523.789000000004</v>
      </c>
      <c r="X177">
        <f t="shared" si="49"/>
        <v>24.3249699518258</v>
      </c>
      <c r="Y177">
        <f t="shared" si="50"/>
        <v>32.229402668729954</v>
      </c>
      <c r="Z177">
        <f>IF(ISBLANK($H177),NA(),IFERROR(SUM($H177:$H$177),NA()))</f>
        <v>9045.3469999999998</v>
      </c>
      <c r="AA177">
        <f>IF(ISBLANK($I177),NA(),IFERROR(SUM($I177:$I$177),NA()))</f>
        <v>12122.674999999999</v>
      </c>
      <c r="AB177">
        <f>IF(ISBLANK($J177),NA(),IFERROR(SUM($J177:$J$177),NA()))</f>
        <v>25283.438999999998</v>
      </c>
      <c r="AC177">
        <f t="shared" si="51"/>
        <v>37406.114000000001</v>
      </c>
      <c r="AD177">
        <f t="shared" si="52"/>
        <v>24.181466698198054</v>
      </c>
      <c r="AE177">
        <f t="shared" si="53"/>
        <v>32.408271546196964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7C86-DD92-44C9-B1DB-7FE26E098E3A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7D86-1209-4F24-9B25-21682EF3CA24}">
  <dimension ref="A1"/>
  <sheetViews>
    <sheetView tabSelected="1" topLeftCell="A12" zoomScale="25" zoomScaleNormal="25" workbookViewId="0">
      <selection activeCell="AX35" sqref="AX35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Props1.xml><?xml version="1.0" encoding="utf-8"?>
<ds:datastoreItem xmlns:ds="http://schemas.openxmlformats.org/officeDocument/2006/customXml" ds:itemID="{FA26DB68-C49F-455A-A2E9-A2EEABE23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8B0C78-F4E0-452C-994B-6EFB9B6DEC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D4D599-5260-4F19-A5BC-3259EEBEDDC6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vals_ghg_incLUC</vt:lpstr>
      <vt:lpstr>GHG incl LULUCF</vt:lpstr>
      <vt:lpstr>data_ghg_incLUC</vt:lpstr>
      <vt:lpstr>vals_ghg_excLUC</vt:lpstr>
      <vt:lpstr>GHG excl LULUCF</vt:lpstr>
      <vt:lpstr>data_ghg_excLUC</vt:lpstr>
      <vt:lpstr>vals_co2_incLUC</vt:lpstr>
      <vt:lpstr>CO2 incl LULUCF</vt:lpstr>
      <vt:lpstr>data_co2_incLUC</vt:lpstr>
      <vt:lpstr>data_co2_excLUC</vt:lpstr>
      <vt:lpstr>vals_co2_excLUC</vt:lpstr>
      <vt:lpstr>CO2 excl LULUCF</vt:lpstr>
      <vt:lpstr>All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2026-04-30T13:56:21Z</dcterms:created>
  <dcterms:modified xsi:type="dcterms:W3CDTF">2026-07-27T10:21:30Z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