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0" documentId="8_{E137365F-696A-45F6-A74F-BC3E0684E702}" xr6:coauthVersionLast="47" xr6:coauthVersionMax="47" xr10:uidLastSave="{00000000-0000-0000-0000-000000000000}"/>
  <bookViews>
    <workbookView xWindow="2280" yWindow="2280" windowWidth="14400" windowHeight="7270" activeTab="1" xr2:uid="{C441C3D3-680E-4A69-9E63-7F025E3E0370}"/>
  </bookViews>
  <sheets>
    <sheet name="data_ghg_incLUC" sheetId="1" r:id="rId1"/>
    <sheet name="GHG incl LU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</calcChain>
</file>

<file path=xl/sharedStrings.xml><?xml version="1.0" encoding="utf-8"?>
<sst xmlns="http://schemas.openxmlformats.org/spreadsheetml/2006/main" count="14" uniqueCount="14">
  <si>
    <t>Year</t>
  </si>
  <si>
    <t>AII_Min</t>
  </si>
  <si>
    <t>AII_Max</t>
  </si>
  <si>
    <t>AI_Min</t>
  </si>
  <si>
    <t>AI_Max</t>
  </si>
  <si>
    <t>Pure_AII</t>
  </si>
  <si>
    <t>Overlap</t>
  </si>
  <si>
    <t>AI_Gap</t>
  </si>
  <si>
    <t>Pure_AI</t>
  </si>
  <si>
    <t>pct_annex2_OWID</t>
  </si>
  <si>
    <t>pct_annex1_OWID</t>
  </si>
  <si>
    <t>pct_annex2_PRIMAP</t>
  </si>
  <si>
    <t>pct_annex1_PRIMAP</t>
  </si>
  <si>
    <t>Annual share of all GHG emissions including LULUCF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</si>
</sst>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i/>
      <sz val="11"/>
      <color theme="1"/>
      <name val="Aptos Narrow"/>
      <family val="2"/>
      <scheme val="minor"/>
    </font>
    <font>
      <sz val="9"/>
      <color rgb="FF333333"/>
      <name val="Sofia Pro"/>
      <family val="3"/>
    </font>
    <font>
      <i/>
      <sz val="9"/>
      <color rgb="FF333333"/>
      <name val="Sofia Pro"/>
      <family val="3"/>
    </font>
    <font>
      <i/>
      <sz val="8"/>
      <color rgb="FF0B4C5B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3" fillId="0" borderId="0" xfId="0" applyNumberFormat="1" applyFont="1"/>
    <xf numFmtId="1" fontId="4" fillId="0" borderId="0" xfId="0" applyNumberFormat="1" applyFont="1"/>
    <xf numFmtId="164" fontId="5" fillId="0" borderId="0" xfId="0" applyNumberFormat="1" applyFont="1"/>
    <xf numFmtId="164" fontId="4" fillId="0" borderId="0" xfId="0" applyNumberFormat="1" applyFont="1"/>
    <xf numFmtId="1" fontId="4" fillId="4" borderId="0" xfId="0" applyNumberFormat="1" applyFont="1" applyFill="1"/>
    <xf numFmtId="164" fontId="5" fillId="4" borderId="0" xfId="0" applyNumberFormat="1" applyFont="1" applyFill="1"/>
    <xf numFmtId="164" fontId="4" fillId="4" borderId="0" xfId="0" applyNumberFormat="1" applyFont="1" applyFill="1"/>
    <xf numFmtId="0" fontId="6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54022988505747"/>
          <c:y val="0.16153846153846155"/>
          <c:w val="0.64367816091954022"/>
          <c:h val="0.73076923076923073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0.0</c:formatCode>
                <c:ptCount val="175"/>
                <c:pt idx="0">
                  <c:v>36.118000000000002</c:v>
                </c:pt>
                <c:pt idx="1">
                  <c:v>36.279000000000003</c:v>
                </c:pt>
                <c:pt idx="2">
                  <c:v>36.048000000000002</c:v>
                </c:pt>
                <c:pt idx="3">
                  <c:v>36.9</c:v>
                </c:pt>
                <c:pt idx="4">
                  <c:v>37.71</c:v>
                </c:pt>
                <c:pt idx="5">
                  <c:v>37.610999999999997</c:v>
                </c:pt>
                <c:pt idx="6">
                  <c:v>37.923000000000002</c:v>
                </c:pt>
                <c:pt idx="7">
                  <c:v>37.997</c:v>
                </c:pt>
                <c:pt idx="8">
                  <c:v>38.378</c:v>
                </c:pt>
                <c:pt idx="9">
                  <c:v>38.863</c:v>
                </c:pt>
                <c:pt idx="10">
                  <c:v>40.182000000000002</c:v>
                </c:pt>
                <c:pt idx="11">
                  <c:v>40.095999999999997</c:v>
                </c:pt>
                <c:pt idx="12">
                  <c:v>40.817</c:v>
                </c:pt>
                <c:pt idx="13">
                  <c:v>41.436999999999998</c:v>
                </c:pt>
                <c:pt idx="14">
                  <c:v>41.207000000000001</c:v>
                </c:pt>
                <c:pt idx="15">
                  <c:v>41.728000000000002</c:v>
                </c:pt>
                <c:pt idx="16">
                  <c:v>41.533000000000001</c:v>
                </c:pt>
                <c:pt idx="17">
                  <c:v>42.655000000000001</c:v>
                </c:pt>
                <c:pt idx="18">
                  <c:v>42.658000000000001</c:v>
                </c:pt>
                <c:pt idx="19">
                  <c:v>42.682000000000002</c:v>
                </c:pt>
                <c:pt idx="20">
                  <c:v>44.509</c:v>
                </c:pt>
                <c:pt idx="21">
                  <c:v>46.197000000000003</c:v>
                </c:pt>
                <c:pt idx="22">
                  <c:v>46.567</c:v>
                </c:pt>
                <c:pt idx="23">
                  <c:v>47.795000000000002</c:v>
                </c:pt>
                <c:pt idx="24">
                  <c:v>47.395000000000003</c:v>
                </c:pt>
                <c:pt idx="25">
                  <c:v>48.390999999999998</c:v>
                </c:pt>
                <c:pt idx="26">
                  <c:v>48.505000000000003</c:v>
                </c:pt>
                <c:pt idx="27">
                  <c:v>48.710999999999999</c:v>
                </c:pt>
                <c:pt idx="28">
                  <c:v>48.902999999999999</c:v>
                </c:pt>
                <c:pt idx="29">
                  <c:v>49.575000000000003</c:v>
                </c:pt>
                <c:pt idx="30">
                  <c:v>48.662999999999997</c:v>
                </c:pt>
                <c:pt idx="31">
                  <c:v>47.771999999999998</c:v>
                </c:pt>
                <c:pt idx="32">
                  <c:v>47.790999999999997</c:v>
                </c:pt>
                <c:pt idx="33">
                  <c:v>48.112000000000002</c:v>
                </c:pt>
                <c:pt idx="34">
                  <c:v>47.811999999999998</c:v>
                </c:pt>
                <c:pt idx="35">
                  <c:v>47.405000000000001</c:v>
                </c:pt>
                <c:pt idx="36">
                  <c:v>47.484999999999999</c:v>
                </c:pt>
                <c:pt idx="37">
                  <c:v>47.896000000000001</c:v>
                </c:pt>
                <c:pt idx="38">
                  <c:v>48.561999999999998</c:v>
                </c:pt>
                <c:pt idx="39">
                  <c:v>47.829000000000001</c:v>
                </c:pt>
                <c:pt idx="40">
                  <c:v>47.841000000000001</c:v>
                </c:pt>
                <c:pt idx="41">
                  <c:v>47.988</c:v>
                </c:pt>
                <c:pt idx="42">
                  <c:v>48.06</c:v>
                </c:pt>
                <c:pt idx="43">
                  <c:v>47.948999999999998</c:v>
                </c:pt>
                <c:pt idx="44">
                  <c:v>47.82</c:v>
                </c:pt>
                <c:pt idx="45">
                  <c:v>48.287999999999997</c:v>
                </c:pt>
                <c:pt idx="46">
                  <c:v>48.576999999999998</c:v>
                </c:pt>
                <c:pt idx="47">
                  <c:v>48.651000000000003</c:v>
                </c:pt>
                <c:pt idx="48">
                  <c:v>49.101999999999997</c:v>
                </c:pt>
                <c:pt idx="49">
                  <c:v>49.951000000000001</c:v>
                </c:pt>
                <c:pt idx="50">
                  <c:v>50.081000000000003</c:v>
                </c:pt>
                <c:pt idx="51">
                  <c:v>49.209000000000003</c:v>
                </c:pt>
                <c:pt idx="52">
                  <c:v>49.347999999999999</c:v>
                </c:pt>
                <c:pt idx="53">
                  <c:v>50.02</c:v>
                </c:pt>
                <c:pt idx="54">
                  <c:v>49.723999999999997</c:v>
                </c:pt>
                <c:pt idx="55">
                  <c:v>50.338999999999999</c:v>
                </c:pt>
                <c:pt idx="56">
                  <c:v>50.206000000000003</c:v>
                </c:pt>
                <c:pt idx="57">
                  <c:v>51.616</c:v>
                </c:pt>
                <c:pt idx="58">
                  <c:v>50.625999999999998</c:v>
                </c:pt>
                <c:pt idx="59">
                  <c:v>50.826999999999998</c:v>
                </c:pt>
                <c:pt idx="60">
                  <c:v>52.042000000000002</c:v>
                </c:pt>
                <c:pt idx="61">
                  <c:v>52.093000000000004</c:v>
                </c:pt>
                <c:pt idx="62">
                  <c:v>52.44</c:v>
                </c:pt>
                <c:pt idx="63">
                  <c:v>53.482999999999997</c:v>
                </c:pt>
                <c:pt idx="64">
                  <c:v>52.304000000000002</c:v>
                </c:pt>
                <c:pt idx="65">
                  <c:v>52.112000000000002</c:v>
                </c:pt>
                <c:pt idx="66">
                  <c:v>52.826999999999998</c:v>
                </c:pt>
                <c:pt idx="67">
                  <c:v>53.6</c:v>
                </c:pt>
                <c:pt idx="68">
                  <c:v>54.533999999999999</c:v>
                </c:pt>
                <c:pt idx="69">
                  <c:v>52.987000000000002</c:v>
                </c:pt>
                <c:pt idx="70">
                  <c:v>52.469000000000001</c:v>
                </c:pt>
                <c:pt idx="71">
                  <c:v>49.36</c:v>
                </c:pt>
                <c:pt idx="72">
                  <c:v>49.838999999999999</c:v>
                </c:pt>
                <c:pt idx="73">
                  <c:v>51.070999999999998</c:v>
                </c:pt>
                <c:pt idx="74">
                  <c:v>50.889000000000003</c:v>
                </c:pt>
                <c:pt idx="75">
                  <c:v>50.518999999999998</c:v>
                </c:pt>
                <c:pt idx="76">
                  <c:v>49.613999999999997</c:v>
                </c:pt>
                <c:pt idx="77">
                  <c:v>50.412999999999997</c:v>
                </c:pt>
                <c:pt idx="78">
                  <c:v>49.725999999999999</c:v>
                </c:pt>
                <c:pt idx="79">
                  <c:v>50.213000000000001</c:v>
                </c:pt>
                <c:pt idx="80">
                  <c:v>47.533999999999999</c:v>
                </c:pt>
                <c:pt idx="81">
                  <c:v>44.808</c:v>
                </c:pt>
                <c:pt idx="82">
                  <c:v>42.244</c:v>
                </c:pt>
                <c:pt idx="83">
                  <c:v>42.600999999999999</c:v>
                </c:pt>
                <c:pt idx="84">
                  <c:v>42.953000000000003</c:v>
                </c:pt>
                <c:pt idx="85">
                  <c:v>42.994</c:v>
                </c:pt>
                <c:pt idx="86">
                  <c:v>43.555999999999997</c:v>
                </c:pt>
                <c:pt idx="87">
                  <c:v>44.121000000000002</c:v>
                </c:pt>
                <c:pt idx="88">
                  <c:v>42.302</c:v>
                </c:pt>
                <c:pt idx="89">
                  <c:v>42.994999999999997</c:v>
                </c:pt>
                <c:pt idx="90">
                  <c:v>42.725000000000001</c:v>
                </c:pt>
                <c:pt idx="91">
                  <c:v>43.180999999999997</c:v>
                </c:pt>
                <c:pt idx="92">
                  <c:v>44.390999999999998</c:v>
                </c:pt>
                <c:pt idx="93">
                  <c:v>44.42</c:v>
                </c:pt>
                <c:pt idx="94">
                  <c:v>44.174999999999997</c:v>
                </c:pt>
                <c:pt idx="95">
                  <c:v>41.780999999999999</c:v>
                </c:pt>
                <c:pt idx="96">
                  <c:v>42.106999999999999</c:v>
                </c:pt>
                <c:pt idx="97">
                  <c:v>43.610999999999997</c:v>
                </c:pt>
                <c:pt idx="98">
                  <c:v>44.533999999999999</c:v>
                </c:pt>
                <c:pt idx="99">
                  <c:v>42.831000000000003</c:v>
                </c:pt>
                <c:pt idx="100">
                  <c:v>41.698</c:v>
                </c:pt>
                <c:pt idx="101">
                  <c:v>40.817</c:v>
                </c:pt>
                <c:pt idx="102">
                  <c:v>40.243000000000002</c:v>
                </c:pt>
                <c:pt idx="103">
                  <c:v>39.942</c:v>
                </c:pt>
                <c:pt idx="104">
                  <c:v>38.511000000000003</c:v>
                </c:pt>
                <c:pt idx="105">
                  <c:v>38.793999999999997</c:v>
                </c:pt>
                <c:pt idx="106">
                  <c:v>39.021999999999998</c:v>
                </c:pt>
                <c:pt idx="107">
                  <c:v>38.200000000000003</c:v>
                </c:pt>
                <c:pt idx="108">
                  <c:v>36.973999999999997</c:v>
                </c:pt>
                <c:pt idx="109">
                  <c:v>35.530999999999999</c:v>
                </c:pt>
                <c:pt idx="110">
                  <c:v>37.359000000000002</c:v>
                </c:pt>
                <c:pt idx="111">
                  <c:v>37.460999999999999</c:v>
                </c:pt>
                <c:pt idx="112">
                  <c:v>39.093000000000004</c:v>
                </c:pt>
                <c:pt idx="113">
                  <c:v>39.46</c:v>
                </c:pt>
                <c:pt idx="114">
                  <c:v>40.237000000000002</c:v>
                </c:pt>
                <c:pt idx="115">
                  <c:v>40.747999999999998</c:v>
                </c:pt>
                <c:pt idx="116">
                  <c:v>41.213000000000001</c:v>
                </c:pt>
                <c:pt idx="117">
                  <c:v>41.959000000000003</c:v>
                </c:pt>
                <c:pt idx="118">
                  <c:v>42.811</c:v>
                </c:pt>
                <c:pt idx="119">
                  <c:v>41.905999999999999</c:v>
                </c:pt>
                <c:pt idx="120">
                  <c:v>41.680999999999997</c:v>
                </c:pt>
                <c:pt idx="121">
                  <c:v>42.124000000000002</c:v>
                </c:pt>
                <c:pt idx="122">
                  <c:v>41.482999999999997</c:v>
                </c:pt>
                <c:pt idx="123">
                  <c:v>41.731999999999999</c:v>
                </c:pt>
                <c:pt idx="124">
                  <c:v>40.896999999999998</c:v>
                </c:pt>
                <c:pt idx="125">
                  <c:v>39.804000000000002</c:v>
                </c:pt>
                <c:pt idx="126">
                  <c:v>40.201000000000001</c:v>
                </c:pt>
                <c:pt idx="127">
                  <c:v>39.491</c:v>
                </c:pt>
                <c:pt idx="128">
                  <c:v>38.915999999999997</c:v>
                </c:pt>
                <c:pt idx="129">
                  <c:v>39.758000000000003</c:v>
                </c:pt>
                <c:pt idx="130">
                  <c:v>38.950000000000003</c:v>
                </c:pt>
                <c:pt idx="131">
                  <c:v>38.573</c:v>
                </c:pt>
                <c:pt idx="132">
                  <c:v>37.384999999999998</c:v>
                </c:pt>
                <c:pt idx="133">
                  <c:v>36.686999999999998</c:v>
                </c:pt>
                <c:pt idx="134">
                  <c:v>36.085999999999999</c:v>
                </c:pt>
                <c:pt idx="135">
                  <c:v>35.069000000000003</c:v>
                </c:pt>
                <c:pt idx="136">
                  <c:v>34.219000000000001</c:v>
                </c:pt>
                <c:pt idx="137">
                  <c:v>34.563000000000002</c:v>
                </c:pt>
                <c:pt idx="138">
                  <c:v>34.880000000000003</c:v>
                </c:pt>
                <c:pt idx="139">
                  <c:v>35.207999999999998</c:v>
                </c:pt>
                <c:pt idx="140">
                  <c:v>36.118000000000002</c:v>
                </c:pt>
                <c:pt idx="141">
                  <c:v>35.615000000000002</c:v>
                </c:pt>
                <c:pt idx="142">
                  <c:v>36.11</c:v>
                </c:pt>
                <c:pt idx="143">
                  <c:v>36.137999999999998</c:v>
                </c:pt>
                <c:pt idx="144">
                  <c:v>35.374000000000002</c:v>
                </c:pt>
                <c:pt idx="145">
                  <c:v>35.555999999999997</c:v>
                </c:pt>
                <c:pt idx="146">
                  <c:v>35.357999999999997</c:v>
                </c:pt>
                <c:pt idx="147">
                  <c:v>33.869</c:v>
                </c:pt>
                <c:pt idx="148">
                  <c:v>35.252000000000002</c:v>
                </c:pt>
                <c:pt idx="149">
                  <c:v>35.228000000000002</c:v>
                </c:pt>
                <c:pt idx="150">
                  <c:v>35.779000000000003</c:v>
                </c:pt>
                <c:pt idx="151">
                  <c:v>35.612000000000002</c:v>
                </c:pt>
                <c:pt idx="152">
                  <c:v>34.692</c:v>
                </c:pt>
                <c:pt idx="153">
                  <c:v>33.192</c:v>
                </c:pt>
                <c:pt idx="154">
                  <c:v>33.200000000000003</c:v>
                </c:pt>
                <c:pt idx="155">
                  <c:v>32.71</c:v>
                </c:pt>
                <c:pt idx="156">
                  <c:v>30.936</c:v>
                </c:pt>
                <c:pt idx="157">
                  <c:v>30.901</c:v>
                </c:pt>
                <c:pt idx="158">
                  <c:v>29.853000000000002</c:v>
                </c:pt>
                <c:pt idx="159">
                  <c:v>27.632999999999999</c:v>
                </c:pt>
                <c:pt idx="160">
                  <c:v>27.724</c:v>
                </c:pt>
                <c:pt idx="161">
                  <c:v>26.271999999999998</c:v>
                </c:pt>
                <c:pt idx="162">
                  <c:v>25.449000000000002</c:v>
                </c:pt>
                <c:pt idx="163">
                  <c:v>25.402999999999999</c:v>
                </c:pt>
                <c:pt idx="164">
                  <c:v>25.004000000000001</c:v>
                </c:pt>
                <c:pt idx="165">
                  <c:v>24.536999999999999</c:v>
                </c:pt>
                <c:pt idx="166">
                  <c:v>24.785</c:v>
                </c:pt>
                <c:pt idx="167">
                  <c:v>24.58</c:v>
                </c:pt>
                <c:pt idx="168">
                  <c:v>24.401</c:v>
                </c:pt>
                <c:pt idx="169">
                  <c:v>23.571000000000002</c:v>
                </c:pt>
                <c:pt idx="170">
                  <c:v>22.427</c:v>
                </c:pt>
                <c:pt idx="171">
                  <c:v>22.664000000000001</c:v>
                </c:pt>
                <c:pt idx="172">
                  <c:v>22.128</c:v>
                </c:pt>
                <c:pt idx="173">
                  <c:v>21.236999999999998</c:v>
                </c:pt>
                <c:pt idx="174">
                  <c:v>20.895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0-4014-A4AD-5DEE22E8B1E4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data_ghg_incLUC!$F$3:$F$177</c:f>
              <c:numCache>
                <c:formatCode>0.0</c:formatCode>
                <c:ptCount val="175"/>
                <c:pt idx="0">
                  <c:v>5.3879999999999981</c:v>
                </c:pt>
                <c:pt idx="1">
                  <c:v>5.7299999999999969</c:v>
                </c:pt>
                <c:pt idx="2">
                  <c:v>9.9720000000000013</c:v>
                </c:pt>
                <c:pt idx="3">
                  <c:v>10.087000000000003</c:v>
                </c:pt>
                <c:pt idx="4">
                  <c:v>10.664000000000001</c:v>
                </c:pt>
                <c:pt idx="5">
                  <c:v>11.613</c:v>
                </c:pt>
                <c:pt idx="6">
                  <c:v>11.927</c:v>
                </c:pt>
                <c:pt idx="7">
                  <c:v>12.228000000000002</c:v>
                </c:pt>
                <c:pt idx="8">
                  <c:v>12.186</c:v>
                </c:pt>
                <c:pt idx="9">
                  <c:v>12.243000000000002</c:v>
                </c:pt>
                <c:pt idx="10">
                  <c:v>11.597000000000001</c:v>
                </c:pt>
                <c:pt idx="11">
                  <c:v>11.836000000000006</c:v>
                </c:pt>
                <c:pt idx="12">
                  <c:v>9.2689999999999984</c:v>
                </c:pt>
                <c:pt idx="13">
                  <c:v>8.8730000000000047</c:v>
                </c:pt>
                <c:pt idx="14">
                  <c:v>9.4149999999999991</c:v>
                </c:pt>
                <c:pt idx="15">
                  <c:v>9.1359999999999957</c:v>
                </c:pt>
                <c:pt idx="16">
                  <c:v>9.4679999999999964</c:v>
                </c:pt>
                <c:pt idx="17">
                  <c:v>8.6199999999999974</c:v>
                </c:pt>
                <c:pt idx="18">
                  <c:v>8.6760000000000019</c:v>
                </c:pt>
                <c:pt idx="19">
                  <c:v>8.9369999999999976</c:v>
                </c:pt>
                <c:pt idx="20">
                  <c:v>7.1159999999999997</c:v>
                </c:pt>
                <c:pt idx="21">
                  <c:v>4.9109999999999943</c:v>
                </c:pt>
                <c:pt idx="22">
                  <c:v>7.9840000000000018</c:v>
                </c:pt>
                <c:pt idx="23">
                  <c:v>7.1529999999999987</c:v>
                </c:pt>
                <c:pt idx="24">
                  <c:v>7.1199999999999974</c:v>
                </c:pt>
                <c:pt idx="25">
                  <c:v>6.7180000000000035</c:v>
                </c:pt>
                <c:pt idx="26">
                  <c:v>6.5459999999999994</c:v>
                </c:pt>
                <c:pt idx="27">
                  <c:v>6.5680000000000049</c:v>
                </c:pt>
                <c:pt idx="28">
                  <c:v>6.3719999999999999</c:v>
                </c:pt>
                <c:pt idx="29">
                  <c:v>6.1849999999999952</c:v>
                </c:pt>
                <c:pt idx="30">
                  <c:v>8.0300000000000011</c:v>
                </c:pt>
                <c:pt idx="31">
                  <c:v>7.9890000000000043</c:v>
                </c:pt>
                <c:pt idx="32">
                  <c:v>6.3740000000000023</c:v>
                </c:pt>
                <c:pt idx="33">
                  <c:v>6.0970000000000013</c:v>
                </c:pt>
                <c:pt idx="34">
                  <c:v>6.0990000000000038</c:v>
                </c:pt>
                <c:pt idx="35">
                  <c:v>6.1989999999999981</c:v>
                </c:pt>
                <c:pt idx="36">
                  <c:v>5.980000000000004</c:v>
                </c:pt>
                <c:pt idx="37">
                  <c:v>5.6999999999999957</c:v>
                </c:pt>
                <c:pt idx="38">
                  <c:v>5.7000000000000028</c:v>
                </c:pt>
                <c:pt idx="39">
                  <c:v>6.0720000000000027</c:v>
                </c:pt>
                <c:pt idx="40">
                  <c:v>6.6109999999999971</c:v>
                </c:pt>
                <c:pt idx="41">
                  <c:v>6.6779999999999973</c:v>
                </c:pt>
                <c:pt idx="42">
                  <c:v>6.9179999999999993</c:v>
                </c:pt>
                <c:pt idx="43">
                  <c:v>6.6240000000000023</c:v>
                </c:pt>
                <c:pt idx="44">
                  <c:v>6.6109999999999971</c:v>
                </c:pt>
                <c:pt idx="45">
                  <c:v>6.4790000000000063</c:v>
                </c:pt>
                <c:pt idx="46">
                  <c:v>6.3170000000000002</c:v>
                </c:pt>
                <c:pt idx="47">
                  <c:v>6.4799999999999969</c:v>
                </c:pt>
                <c:pt idx="48">
                  <c:v>6.2550000000000026</c:v>
                </c:pt>
                <c:pt idx="49">
                  <c:v>6.2040000000000006</c:v>
                </c:pt>
                <c:pt idx="50">
                  <c:v>6.4969999999999999</c:v>
                </c:pt>
                <c:pt idx="51">
                  <c:v>5.6479999999999961</c:v>
                </c:pt>
                <c:pt idx="52">
                  <c:v>4.1400000000000006</c:v>
                </c:pt>
                <c:pt idx="53">
                  <c:v>3.5739999999999981</c:v>
                </c:pt>
                <c:pt idx="54">
                  <c:v>2.7870000000000061</c:v>
                </c:pt>
                <c:pt idx="55">
                  <c:v>2.1709999999999994</c:v>
                </c:pt>
                <c:pt idx="56">
                  <c:v>1.5869999999999962</c:v>
                </c:pt>
                <c:pt idx="57">
                  <c:v>1.4260000000000019</c:v>
                </c:pt>
                <c:pt idx="58">
                  <c:v>1.1460000000000008</c:v>
                </c:pt>
                <c:pt idx="59">
                  <c:v>1.1720000000000041</c:v>
                </c:pt>
                <c:pt idx="60">
                  <c:v>0.50300000000000011</c:v>
                </c:pt>
                <c:pt idx="61">
                  <c:v>1.502999999999993</c:v>
                </c:pt>
                <c:pt idx="62">
                  <c:v>1.6240000000000023</c:v>
                </c:pt>
                <c:pt idx="63">
                  <c:v>2.0830000000000055</c:v>
                </c:pt>
                <c:pt idx="64">
                  <c:v>1.9899999999999949</c:v>
                </c:pt>
                <c:pt idx="65">
                  <c:v>2.107999999999997</c:v>
                </c:pt>
                <c:pt idx="66">
                  <c:v>2.1559999999999988</c:v>
                </c:pt>
                <c:pt idx="67">
                  <c:v>1.7569999999999979</c:v>
                </c:pt>
                <c:pt idx="68">
                  <c:v>1.2910000000000039</c:v>
                </c:pt>
                <c:pt idx="69">
                  <c:v>1.088000000000001</c:v>
                </c:pt>
                <c:pt idx="70">
                  <c:v>2.8350000000000009</c:v>
                </c:pt>
                <c:pt idx="71">
                  <c:v>1.9160000000000039</c:v>
                </c:pt>
                <c:pt idx="72">
                  <c:v>1.4370000000000047</c:v>
                </c:pt>
                <c:pt idx="73">
                  <c:v>2.1129999999999995</c:v>
                </c:pt>
                <c:pt idx="74">
                  <c:v>1.5689999999999955</c:v>
                </c:pt>
                <c:pt idx="75">
                  <c:v>1.7480000000000047</c:v>
                </c:pt>
                <c:pt idx="76">
                  <c:v>1.5519999999999996</c:v>
                </c:pt>
                <c:pt idx="77">
                  <c:v>2.5160000000000053</c:v>
                </c:pt>
                <c:pt idx="78">
                  <c:v>2.5200000000000031</c:v>
                </c:pt>
                <c:pt idx="79">
                  <c:v>3.2190000000000012</c:v>
                </c:pt>
                <c:pt idx="80">
                  <c:v>5.0150000000000006</c:v>
                </c:pt>
                <c:pt idx="81">
                  <c:v>5.0309999999999988</c:v>
                </c:pt>
                <c:pt idx="82">
                  <c:v>3.4279999999999973</c:v>
                </c:pt>
                <c:pt idx="83">
                  <c:v>3.2910000000000039</c:v>
                </c:pt>
                <c:pt idx="84">
                  <c:v>3.4229999999999947</c:v>
                </c:pt>
                <c:pt idx="85">
                  <c:v>3.3969999999999985</c:v>
                </c:pt>
                <c:pt idx="86">
                  <c:v>3.5130000000000052</c:v>
                </c:pt>
                <c:pt idx="87">
                  <c:v>3.2879999999999967</c:v>
                </c:pt>
                <c:pt idx="88">
                  <c:v>3.088000000000001</c:v>
                </c:pt>
                <c:pt idx="89">
                  <c:v>3.1709999999999994</c:v>
                </c:pt>
                <c:pt idx="90">
                  <c:v>2.8859999999999957</c:v>
                </c:pt>
                <c:pt idx="91">
                  <c:v>3.4980000000000047</c:v>
                </c:pt>
                <c:pt idx="92">
                  <c:v>3.6880000000000024</c:v>
                </c:pt>
                <c:pt idx="93">
                  <c:v>2.9480000000000004</c:v>
                </c:pt>
                <c:pt idx="94">
                  <c:v>2.730000000000004</c:v>
                </c:pt>
                <c:pt idx="95">
                  <c:v>2.1540000000000035</c:v>
                </c:pt>
                <c:pt idx="96">
                  <c:v>0.90800000000000125</c:v>
                </c:pt>
                <c:pt idx="97">
                  <c:v>1.1750000000000043</c:v>
                </c:pt>
                <c:pt idx="98">
                  <c:v>0.86899999999999977</c:v>
                </c:pt>
                <c:pt idx="99">
                  <c:v>0.35899999999999466</c:v>
                </c:pt>
                <c:pt idx="100">
                  <c:v>3.3599999999999994</c:v>
                </c:pt>
                <c:pt idx="101">
                  <c:v>3.5489999999999995</c:v>
                </c:pt>
                <c:pt idx="102">
                  <c:v>2.3810000000000002</c:v>
                </c:pt>
                <c:pt idx="103">
                  <c:v>2.3419999999999987</c:v>
                </c:pt>
                <c:pt idx="104">
                  <c:v>2.7149999999999963</c:v>
                </c:pt>
                <c:pt idx="105">
                  <c:v>2.5770000000000053</c:v>
                </c:pt>
                <c:pt idx="106">
                  <c:v>2.4819999999999993</c:v>
                </c:pt>
                <c:pt idx="107">
                  <c:v>2.4609999999999985</c:v>
                </c:pt>
                <c:pt idx="108">
                  <c:v>2.5560000000000045</c:v>
                </c:pt>
                <c:pt idx="109">
                  <c:v>3.642000000000003</c:v>
                </c:pt>
                <c:pt idx="110">
                  <c:v>2.2469999999999999</c:v>
                </c:pt>
                <c:pt idx="111">
                  <c:v>2.0020000000000024</c:v>
                </c:pt>
                <c:pt idx="112">
                  <c:v>1.2249999999999943</c:v>
                </c:pt>
                <c:pt idx="113">
                  <c:v>1.2789999999999964</c:v>
                </c:pt>
                <c:pt idx="114">
                  <c:v>0.80499999999999972</c:v>
                </c:pt>
                <c:pt idx="115">
                  <c:v>0.29400000000000404</c:v>
                </c:pt>
                <c:pt idx="116">
                  <c:v>0.10099999999999909</c:v>
                </c:pt>
                <c:pt idx="117">
                  <c:v>1.0849999999999937</c:v>
                </c:pt>
                <c:pt idx="118">
                  <c:v>0.92399999999999949</c:v>
                </c:pt>
                <c:pt idx="119">
                  <c:v>1.4209999999999994</c:v>
                </c:pt>
                <c:pt idx="120">
                  <c:v>1.8000000000000043</c:v>
                </c:pt>
                <c:pt idx="121">
                  <c:v>0.98699999999999477</c:v>
                </c:pt>
                <c:pt idx="122">
                  <c:v>2.0010000000000048</c:v>
                </c:pt>
                <c:pt idx="123">
                  <c:v>1.7620000000000005</c:v>
                </c:pt>
                <c:pt idx="124">
                  <c:v>1.7079999999999984</c:v>
                </c:pt>
                <c:pt idx="125">
                  <c:v>1.3249999999999957</c:v>
                </c:pt>
                <c:pt idx="126">
                  <c:v>1.1869999999999976</c:v>
                </c:pt>
                <c:pt idx="127">
                  <c:v>1.3870000000000005</c:v>
                </c:pt>
                <c:pt idx="128">
                  <c:v>1.7850000000000037</c:v>
                </c:pt>
                <c:pt idx="129">
                  <c:v>1.1019999999999968</c:v>
                </c:pt>
                <c:pt idx="130">
                  <c:v>1.1489999999999938</c:v>
                </c:pt>
                <c:pt idx="131">
                  <c:v>0.94299999999999784</c:v>
                </c:pt>
                <c:pt idx="132">
                  <c:v>0.10099999999999909</c:v>
                </c:pt>
                <c:pt idx="133">
                  <c:v>0.10699999999999932</c:v>
                </c:pt>
                <c:pt idx="134">
                  <c:v>0.38600000000000279</c:v>
                </c:pt>
                <c:pt idx="135">
                  <c:v>0.71999999999999886</c:v>
                </c:pt>
                <c:pt idx="136">
                  <c:v>1.0159999999999982</c:v>
                </c:pt>
                <c:pt idx="137">
                  <c:v>0.61599999999999966</c:v>
                </c:pt>
                <c:pt idx="138">
                  <c:v>0.37399999999999523</c:v>
                </c:pt>
                <c:pt idx="139">
                  <c:v>0.13400000000000034</c:v>
                </c:pt>
                <c:pt idx="140">
                  <c:v>1.7049999999999983</c:v>
                </c:pt>
                <c:pt idx="141">
                  <c:v>1.7119999999999962</c:v>
                </c:pt>
                <c:pt idx="142">
                  <c:v>1.9029999999999987</c:v>
                </c:pt>
                <c:pt idx="143">
                  <c:v>1.9220000000000041</c:v>
                </c:pt>
                <c:pt idx="144">
                  <c:v>6.2999999999999972</c:v>
                </c:pt>
                <c:pt idx="145">
                  <c:v>4.963000000000001</c:v>
                </c:pt>
                <c:pt idx="146">
                  <c:v>5.5930000000000035</c:v>
                </c:pt>
                <c:pt idx="147">
                  <c:v>7.8019999999999996</c:v>
                </c:pt>
                <c:pt idx="148">
                  <c:v>5.7079999999999984</c:v>
                </c:pt>
                <c:pt idx="149">
                  <c:v>5.9639999999999986</c:v>
                </c:pt>
                <c:pt idx="150">
                  <c:v>6.1069999999999993</c:v>
                </c:pt>
                <c:pt idx="151">
                  <c:v>5.4919999999999973</c:v>
                </c:pt>
                <c:pt idx="152">
                  <c:v>5.3350000000000009</c:v>
                </c:pt>
                <c:pt idx="153">
                  <c:v>4.1060000000000016</c:v>
                </c:pt>
                <c:pt idx="154">
                  <c:v>2.9259999999999948</c:v>
                </c:pt>
                <c:pt idx="155">
                  <c:v>3.1120000000000019</c:v>
                </c:pt>
                <c:pt idx="156">
                  <c:v>4.0150000000000006</c:v>
                </c:pt>
                <c:pt idx="157">
                  <c:v>4.16</c:v>
                </c:pt>
                <c:pt idx="158">
                  <c:v>3.6670000000000016</c:v>
                </c:pt>
                <c:pt idx="159">
                  <c:v>4.6699999999999982</c:v>
                </c:pt>
                <c:pt idx="160">
                  <c:v>4.34</c:v>
                </c:pt>
                <c:pt idx="161">
                  <c:v>3.1800000000000033</c:v>
                </c:pt>
                <c:pt idx="162">
                  <c:v>2.7479999999999976</c:v>
                </c:pt>
                <c:pt idx="163">
                  <c:v>3.2890000000000015</c:v>
                </c:pt>
                <c:pt idx="164">
                  <c:v>2.8379999999999974</c:v>
                </c:pt>
                <c:pt idx="165">
                  <c:v>2.3490000000000002</c:v>
                </c:pt>
                <c:pt idx="166">
                  <c:v>1.6039999999999992</c:v>
                </c:pt>
                <c:pt idx="167">
                  <c:v>1.5520000000000032</c:v>
                </c:pt>
                <c:pt idx="168">
                  <c:v>1.6939999999999991</c:v>
                </c:pt>
                <c:pt idx="169">
                  <c:v>1.4579999999999984</c:v>
                </c:pt>
                <c:pt idx="170">
                  <c:v>1.4870000000000019</c:v>
                </c:pt>
                <c:pt idx="171">
                  <c:v>0.69299999999999784</c:v>
                </c:pt>
                <c:pt idx="172">
                  <c:v>0.64499999999999957</c:v>
                </c:pt>
                <c:pt idx="173">
                  <c:v>0.45500000000000185</c:v>
                </c:pt>
                <c:pt idx="174">
                  <c:v>3.4299999999999997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0-4014-A4AD-5DEE22E8B1E4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90-4014-A4AD-5DEE22E8B1E4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data_ghg_incLUC!$H$3:$H$177</c:f>
              <c:numCache>
                <c:formatCode>0.0</c:formatCode>
                <c:ptCount val="175"/>
                <c:pt idx="0">
                  <c:v>12.667999999999999</c:v>
                </c:pt>
                <c:pt idx="1">
                  <c:v>11.887</c:v>
                </c:pt>
                <c:pt idx="2">
                  <c:v>8.0759999999999934</c:v>
                </c:pt>
                <c:pt idx="3">
                  <c:v>7.2819999999999965</c:v>
                </c:pt>
                <c:pt idx="4">
                  <c:v>6.9499999999999957</c:v>
                </c:pt>
                <c:pt idx="5">
                  <c:v>5.8900000000000006</c:v>
                </c:pt>
                <c:pt idx="6">
                  <c:v>5.5779999999999959</c:v>
                </c:pt>
                <c:pt idx="7">
                  <c:v>5.3329999999999984</c:v>
                </c:pt>
                <c:pt idx="8">
                  <c:v>5.3419999999999987</c:v>
                </c:pt>
                <c:pt idx="9">
                  <c:v>5.1989999999999981</c:v>
                </c:pt>
                <c:pt idx="10">
                  <c:v>6.0079999999999956</c:v>
                </c:pt>
                <c:pt idx="11">
                  <c:v>6.2590000000000003</c:v>
                </c:pt>
                <c:pt idx="12">
                  <c:v>8.9420000000000002</c:v>
                </c:pt>
                <c:pt idx="13">
                  <c:v>9.0889999999999986</c:v>
                </c:pt>
                <c:pt idx="14">
                  <c:v>9.1890000000000001</c:v>
                </c:pt>
                <c:pt idx="15">
                  <c:v>9.2950000000000017</c:v>
                </c:pt>
                <c:pt idx="16">
                  <c:v>9.6970000000000027</c:v>
                </c:pt>
                <c:pt idx="17">
                  <c:v>9.5990000000000038</c:v>
                </c:pt>
                <c:pt idx="18">
                  <c:v>9.9229999999999947</c:v>
                </c:pt>
                <c:pt idx="19">
                  <c:v>9.7409999999999997</c:v>
                </c:pt>
                <c:pt idx="20">
                  <c:v>11.576000000000001</c:v>
                </c:pt>
                <c:pt idx="21">
                  <c:v>12.973000000000006</c:v>
                </c:pt>
                <c:pt idx="22">
                  <c:v>10.022999999999996</c:v>
                </c:pt>
                <c:pt idx="23">
                  <c:v>10.318999999999996</c:v>
                </c:pt>
                <c:pt idx="24">
                  <c:v>10.908000000000001</c:v>
                </c:pt>
                <c:pt idx="25">
                  <c:v>10.853000000000002</c:v>
                </c:pt>
                <c:pt idx="26">
                  <c:v>11.218999999999994</c:v>
                </c:pt>
                <c:pt idx="27">
                  <c:v>11.079000000000001</c:v>
                </c:pt>
                <c:pt idx="28">
                  <c:v>11.445</c:v>
                </c:pt>
                <c:pt idx="29">
                  <c:v>11.555</c:v>
                </c:pt>
                <c:pt idx="30">
                  <c:v>9.7160000000000082</c:v>
                </c:pt>
                <c:pt idx="31">
                  <c:v>9.8019999999999996</c:v>
                </c:pt>
                <c:pt idx="32">
                  <c:v>11.329000000000001</c:v>
                </c:pt>
                <c:pt idx="33">
                  <c:v>11.530000000000001</c:v>
                </c:pt>
                <c:pt idx="34">
                  <c:v>11.864000000000004</c:v>
                </c:pt>
                <c:pt idx="35">
                  <c:v>12.007000000000005</c:v>
                </c:pt>
                <c:pt idx="36">
                  <c:v>11.989999999999995</c:v>
                </c:pt>
                <c:pt idx="37">
                  <c:v>11.815000000000005</c:v>
                </c:pt>
                <c:pt idx="38">
                  <c:v>11.798000000000002</c:v>
                </c:pt>
                <c:pt idx="39">
                  <c:v>11.630999999999993</c:v>
                </c:pt>
                <c:pt idx="40">
                  <c:v>11.683000000000007</c:v>
                </c:pt>
                <c:pt idx="41">
                  <c:v>11.602000000000004</c:v>
                </c:pt>
                <c:pt idx="42">
                  <c:v>11.583000000000006</c:v>
                </c:pt>
                <c:pt idx="43">
                  <c:v>11.913999999999994</c:v>
                </c:pt>
                <c:pt idx="44">
                  <c:v>12.268000000000001</c:v>
                </c:pt>
                <c:pt idx="45">
                  <c:v>12.086999999999996</c:v>
                </c:pt>
                <c:pt idx="46">
                  <c:v>12.172999999999995</c:v>
                </c:pt>
                <c:pt idx="47">
                  <c:v>12.064999999999998</c:v>
                </c:pt>
                <c:pt idx="48">
                  <c:v>12.424000000000007</c:v>
                </c:pt>
                <c:pt idx="49">
                  <c:v>12.147000000000006</c:v>
                </c:pt>
                <c:pt idx="50">
                  <c:v>12.105999999999995</c:v>
                </c:pt>
                <c:pt idx="51">
                  <c:v>12.224000000000004</c:v>
                </c:pt>
                <c:pt idx="52">
                  <c:v>12.117999999999995</c:v>
                </c:pt>
                <c:pt idx="53">
                  <c:v>11.731000000000002</c:v>
                </c:pt>
                <c:pt idx="54">
                  <c:v>11.764000000000003</c:v>
                </c:pt>
                <c:pt idx="55">
                  <c:v>11.429000000000002</c:v>
                </c:pt>
                <c:pt idx="56">
                  <c:v>11.390999999999998</c:v>
                </c:pt>
                <c:pt idx="57">
                  <c:v>11.198999999999998</c:v>
                </c:pt>
                <c:pt idx="58">
                  <c:v>11.459000000000003</c:v>
                </c:pt>
                <c:pt idx="59">
                  <c:v>11.436999999999998</c:v>
                </c:pt>
                <c:pt idx="60">
                  <c:v>11.216000000000001</c:v>
                </c:pt>
                <c:pt idx="61">
                  <c:v>11.512999999999998</c:v>
                </c:pt>
                <c:pt idx="62">
                  <c:v>11.791000000000004</c:v>
                </c:pt>
                <c:pt idx="63">
                  <c:v>11.948999999999998</c:v>
                </c:pt>
                <c:pt idx="64">
                  <c:v>12.061999999999998</c:v>
                </c:pt>
                <c:pt idx="65">
                  <c:v>11.674000000000007</c:v>
                </c:pt>
                <c:pt idx="66">
                  <c:v>11.538000000000004</c:v>
                </c:pt>
                <c:pt idx="67">
                  <c:v>10.992999999999995</c:v>
                </c:pt>
                <c:pt idx="68">
                  <c:v>9.9560000000000031</c:v>
                </c:pt>
                <c:pt idx="69">
                  <c:v>9.3419999999999987</c:v>
                </c:pt>
                <c:pt idx="70">
                  <c:v>8.6580000000000013</c:v>
                </c:pt>
                <c:pt idx="71">
                  <c:v>10.396999999999998</c:v>
                </c:pt>
                <c:pt idx="72">
                  <c:v>10.661999999999999</c:v>
                </c:pt>
                <c:pt idx="73">
                  <c:v>9.8160000000000025</c:v>
                </c:pt>
                <c:pt idx="74">
                  <c:v>9.9669999999999987</c:v>
                </c:pt>
                <c:pt idx="75">
                  <c:v>10.232999999999997</c:v>
                </c:pt>
                <c:pt idx="76">
                  <c:v>10.883000000000003</c:v>
                </c:pt>
                <c:pt idx="77">
                  <c:v>10.045999999999999</c:v>
                </c:pt>
                <c:pt idx="78">
                  <c:v>10.213000000000001</c:v>
                </c:pt>
                <c:pt idx="79">
                  <c:v>9.902000000000001</c:v>
                </c:pt>
                <c:pt idx="80">
                  <c:v>9.8909999999999982</c:v>
                </c:pt>
                <c:pt idx="81">
                  <c:v>11.164000000000001</c:v>
                </c:pt>
                <c:pt idx="82">
                  <c:v>13.039000000000001</c:v>
                </c:pt>
                <c:pt idx="83">
                  <c:v>13.04</c:v>
                </c:pt>
                <c:pt idx="84">
                  <c:v>13.21</c:v>
                </c:pt>
                <c:pt idx="85">
                  <c:v>13.280999999999999</c:v>
                </c:pt>
                <c:pt idx="86">
                  <c:v>13.198</c:v>
                </c:pt>
                <c:pt idx="87">
                  <c:v>12.997</c:v>
                </c:pt>
                <c:pt idx="88">
                  <c:v>13.548999999999999</c:v>
                </c:pt>
                <c:pt idx="89">
                  <c:v>13.134</c:v>
                </c:pt>
                <c:pt idx="90">
                  <c:v>13.687000000000005</c:v>
                </c:pt>
                <c:pt idx="91">
                  <c:v>11.405999999999999</c:v>
                </c:pt>
                <c:pt idx="92">
                  <c:v>9.2029999999999959</c:v>
                </c:pt>
                <c:pt idx="93">
                  <c:v>9.4939999999999998</c:v>
                </c:pt>
                <c:pt idx="94">
                  <c:v>9.3780000000000001</c:v>
                </c:pt>
                <c:pt idx="95">
                  <c:v>9.1269999999999953</c:v>
                </c:pt>
                <c:pt idx="96">
                  <c:v>10.295000000000002</c:v>
                </c:pt>
                <c:pt idx="97">
                  <c:v>9.6049999999999969</c:v>
                </c:pt>
                <c:pt idx="98">
                  <c:v>9.5600000000000023</c:v>
                </c:pt>
                <c:pt idx="99">
                  <c:v>10.380000000000003</c:v>
                </c:pt>
                <c:pt idx="100">
                  <c:v>8.0649999999999977</c:v>
                </c:pt>
                <c:pt idx="101">
                  <c:v>8.3659999999999997</c:v>
                </c:pt>
                <c:pt idx="102">
                  <c:v>10.157999999999994</c:v>
                </c:pt>
                <c:pt idx="103">
                  <c:v>10.673000000000002</c:v>
                </c:pt>
                <c:pt idx="104">
                  <c:v>10.783999999999999</c:v>
                </c:pt>
                <c:pt idx="105">
                  <c:v>11.266999999999996</c:v>
                </c:pt>
                <c:pt idx="106">
                  <c:v>11.731000000000002</c:v>
                </c:pt>
                <c:pt idx="107">
                  <c:v>12.195999999999998</c:v>
                </c:pt>
                <c:pt idx="108">
                  <c:v>12.521000000000001</c:v>
                </c:pt>
                <c:pt idx="109">
                  <c:v>12.458999999999996</c:v>
                </c:pt>
                <c:pt idx="110">
                  <c:v>13.442</c:v>
                </c:pt>
                <c:pt idx="111">
                  <c:v>13.967999999999996</c:v>
                </c:pt>
                <c:pt idx="112">
                  <c:v>14.064</c:v>
                </c:pt>
                <c:pt idx="113">
                  <c:v>14.303000000000004</c:v>
                </c:pt>
                <c:pt idx="114">
                  <c:v>14.818999999999996</c:v>
                </c:pt>
                <c:pt idx="115">
                  <c:v>15.388999999999996</c:v>
                </c:pt>
                <c:pt idx="116">
                  <c:v>15.633000000000003</c:v>
                </c:pt>
                <c:pt idx="117">
                  <c:v>15.780000000000001</c:v>
                </c:pt>
                <c:pt idx="118">
                  <c:v>15.929000000000002</c:v>
                </c:pt>
                <c:pt idx="119">
                  <c:v>13.835999999999999</c:v>
                </c:pt>
                <c:pt idx="120">
                  <c:v>13.798999999999999</c:v>
                </c:pt>
                <c:pt idx="121">
                  <c:v>14.649000000000001</c:v>
                </c:pt>
                <c:pt idx="122">
                  <c:v>13.507999999999996</c:v>
                </c:pt>
                <c:pt idx="123">
                  <c:v>13.951000000000001</c:v>
                </c:pt>
                <c:pt idx="124">
                  <c:v>14.432000000000002</c:v>
                </c:pt>
                <c:pt idx="125">
                  <c:v>15.363</c:v>
                </c:pt>
                <c:pt idx="126">
                  <c:v>15.666000000000004</c:v>
                </c:pt>
                <c:pt idx="127">
                  <c:v>15.267000000000003</c:v>
                </c:pt>
                <c:pt idx="128">
                  <c:v>15.052999999999997</c:v>
                </c:pt>
                <c:pt idx="129">
                  <c:v>15.700000000000003</c:v>
                </c:pt>
                <c:pt idx="130">
                  <c:v>16.416000000000004</c:v>
                </c:pt>
                <c:pt idx="131">
                  <c:v>16.295999999999999</c:v>
                </c:pt>
                <c:pt idx="132">
                  <c:v>17.463000000000001</c:v>
                </c:pt>
                <c:pt idx="133">
                  <c:v>17.405000000000001</c:v>
                </c:pt>
                <c:pt idx="134">
                  <c:v>16.86</c:v>
                </c:pt>
                <c:pt idx="135">
                  <c:v>16.806999999999995</c:v>
                </c:pt>
                <c:pt idx="136">
                  <c:v>16.332000000000001</c:v>
                </c:pt>
                <c:pt idx="137">
                  <c:v>16.625</c:v>
                </c:pt>
                <c:pt idx="138">
                  <c:v>16.664000000000001</c:v>
                </c:pt>
                <c:pt idx="139">
                  <c:v>16.326000000000001</c:v>
                </c:pt>
                <c:pt idx="140">
                  <c:v>14.652000000000001</c:v>
                </c:pt>
                <c:pt idx="141">
                  <c:v>13.160000000000004</c:v>
                </c:pt>
                <c:pt idx="142">
                  <c:v>11.285000000000004</c:v>
                </c:pt>
                <c:pt idx="143">
                  <c:v>9.9949999999999974</c:v>
                </c:pt>
                <c:pt idx="144">
                  <c:v>4.7999999999999972</c:v>
                </c:pt>
                <c:pt idx="145">
                  <c:v>5.6660000000000039</c:v>
                </c:pt>
                <c:pt idx="146">
                  <c:v>5.5570000000000022</c:v>
                </c:pt>
                <c:pt idx="147">
                  <c:v>1.6219999999999999</c:v>
                </c:pt>
                <c:pt idx="148">
                  <c:v>3.8489999999999966</c:v>
                </c:pt>
                <c:pt idx="149">
                  <c:v>3.4200000000000017</c:v>
                </c:pt>
                <c:pt idx="150">
                  <c:v>2.9019999999999939</c:v>
                </c:pt>
                <c:pt idx="151">
                  <c:v>3.7199999999999989</c:v>
                </c:pt>
                <c:pt idx="152">
                  <c:v>3.4350000000000023</c:v>
                </c:pt>
                <c:pt idx="153">
                  <c:v>4.5079999999999956</c:v>
                </c:pt>
                <c:pt idx="154">
                  <c:v>4.9320000000000022</c:v>
                </c:pt>
                <c:pt idx="155">
                  <c:v>5.154999999999994</c:v>
                </c:pt>
                <c:pt idx="156">
                  <c:v>4.6210000000000022</c:v>
                </c:pt>
                <c:pt idx="157">
                  <c:v>4.6890000000000001</c:v>
                </c:pt>
                <c:pt idx="158">
                  <c:v>4.8829999999999956</c:v>
                </c:pt>
                <c:pt idx="159">
                  <c:v>3.828000000000003</c:v>
                </c:pt>
                <c:pt idx="160">
                  <c:v>4.3710000000000022</c:v>
                </c:pt>
                <c:pt idx="161">
                  <c:v>5.0479999999999983</c:v>
                </c:pt>
                <c:pt idx="162">
                  <c:v>5.8660000000000032</c:v>
                </c:pt>
                <c:pt idx="163">
                  <c:v>4.9540000000000006</c:v>
                </c:pt>
                <c:pt idx="164">
                  <c:v>5.0489999999999995</c:v>
                </c:pt>
                <c:pt idx="165">
                  <c:v>5.3979999999999997</c:v>
                </c:pt>
                <c:pt idx="166">
                  <c:v>5.8640000000000008</c:v>
                </c:pt>
                <c:pt idx="167">
                  <c:v>5.6849999999999987</c:v>
                </c:pt>
                <c:pt idx="168">
                  <c:v>6.0850000000000009</c:v>
                </c:pt>
                <c:pt idx="169">
                  <c:v>6.1529999999999987</c:v>
                </c:pt>
                <c:pt idx="170">
                  <c:v>5.7409999999999997</c:v>
                </c:pt>
                <c:pt idx="171">
                  <c:v>6.5030000000000001</c:v>
                </c:pt>
                <c:pt idx="172">
                  <c:v>5.0399999999999991</c:v>
                </c:pt>
                <c:pt idx="173">
                  <c:v>4.9609999999999985</c:v>
                </c:pt>
                <c:pt idx="174">
                  <c:v>4.7319999999999993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90-4014-A4AD-5DEE22E8B1E4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2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data_ghg_incLUC!$Q$3:$Q$177</c:f>
              <c:numCache>
                <c:formatCode>0.0</c:formatCode>
                <c:ptCount val="175"/>
              </c:numCache>
            </c:numRef>
          </c:val>
          <c:extLst>
            <c:ext xmlns:c16="http://schemas.microsoft.com/office/drawing/2014/chart" uri="{C3380CC4-5D6E-409C-BE32-E72D297353CC}">
              <c16:uniqueId val="{00000004-CF90-4014-A4AD-5DEE22E8B1E4}"/>
            </c:ext>
          </c:extLst>
        </c:ser>
        <c:ser>
          <c:idx val="13"/>
          <c:order val="13"/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data_ghg_incLUC!$S$3:$S$177</c:f>
              <c:numCache>
                <c:formatCode>General</c:formatCode>
                <c:ptCount val="175"/>
                <c:pt idx="0">
                  <c:v>1.6009999999999991</c:v>
                </c:pt>
                <c:pt idx="1">
                  <c:v>2.5289999999999964</c:v>
                </c:pt>
                <c:pt idx="2">
                  <c:v>5.6300000000000026</c:v>
                </c:pt>
                <c:pt idx="3">
                  <c:v>6.4699999999999989</c:v>
                </c:pt>
                <c:pt idx="4">
                  <c:v>6.7450000000000045</c:v>
                </c:pt>
                <c:pt idx="5">
                  <c:v>7.9050000000000011</c:v>
                </c:pt>
                <c:pt idx="6">
                  <c:v>8.1540000000000035</c:v>
                </c:pt>
                <c:pt idx="7">
                  <c:v>8.392000000000003</c:v>
                </c:pt>
                <c:pt idx="8">
                  <c:v>8.3879999999999981</c:v>
                </c:pt>
                <c:pt idx="9">
                  <c:v>8.4490000000000052</c:v>
                </c:pt>
                <c:pt idx="10">
                  <c:v>7.5459999999999994</c:v>
                </c:pt>
                <c:pt idx="11">
                  <c:v>7.4849999999999994</c:v>
                </c:pt>
                <c:pt idx="12">
                  <c:v>4.9269999999999996</c:v>
                </c:pt>
                <c:pt idx="13">
                  <c:v>4.8160000000000025</c:v>
                </c:pt>
                <c:pt idx="14">
                  <c:v>4.6999999999999957</c:v>
                </c:pt>
                <c:pt idx="15">
                  <c:v>4.5929999999999964</c:v>
                </c:pt>
                <c:pt idx="16">
                  <c:v>4.2310000000000016</c:v>
                </c:pt>
                <c:pt idx="17">
                  <c:v>4.330999999999996</c:v>
                </c:pt>
                <c:pt idx="18">
                  <c:v>4.0640000000000001</c:v>
                </c:pt>
                <c:pt idx="19">
                  <c:v>4.2439999999999998</c:v>
                </c:pt>
                <c:pt idx="20">
                  <c:v>2.4660000000000011</c:v>
                </c:pt>
                <c:pt idx="21">
                  <c:v>0.64999999999999147</c:v>
                </c:pt>
                <c:pt idx="22">
                  <c:v>2.5960000000000036</c:v>
                </c:pt>
                <c:pt idx="23">
                  <c:v>2.1610000000000014</c:v>
                </c:pt>
                <c:pt idx="24">
                  <c:v>1.7450000000000045</c:v>
                </c:pt>
                <c:pt idx="25">
                  <c:v>1.6389999999999958</c:v>
                </c:pt>
                <c:pt idx="26">
                  <c:v>1.4579999999999984</c:v>
                </c:pt>
                <c:pt idx="27">
                  <c:v>1.5219999999999914</c:v>
                </c:pt>
                <c:pt idx="28">
                  <c:v>1.2090000000000032</c:v>
                </c:pt>
                <c:pt idx="29">
                  <c:v>1</c:v>
                </c:pt>
                <c:pt idx="30">
                  <c:v>2.6099999999999994</c:v>
                </c:pt>
                <c:pt idx="31">
                  <c:v>2.2319999999999993</c:v>
                </c:pt>
                <c:pt idx="32">
                  <c:v>1.0160000000000053</c:v>
                </c:pt>
                <c:pt idx="33">
                  <c:v>0.78000000000000114</c:v>
                </c:pt>
                <c:pt idx="34">
                  <c:v>0.46299999999999386</c:v>
                </c:pt>
                <c:pt idx="35">
                  <c:v>0.37999999999999545</c:v>
                </c:pt>
                <c:pt idx="36">
                  <c:v>0.42499999999999716</c:v>
                </c:pt>
                <c:pt idx="37">
                  <c:v>0.57999999999999829</c:v>
                </c:pt>
                <c:pt idx="38">
                  <c:v>0.50399999999999068</c:v>
                </c:pt>
                <c:pt idx="39">
                  <c:v>0.84199999999999875</c:v>
                </c:pt>
                <c:pt idx="40">
                  <c:v>0.72599999999999909</c:v>
                </c:pt>
                <c:pt idx="41">
                  <c:v>0.88700000000000045</c:v>
                </c:pt>
                <c:pt idx="42">
                  <c:v>0.82099999999999795</c:v>
                </c:pt>
                <c:pt idx="43">
                  <c:v>0.7190000000000083</c:v>
                </c:pt>
                <c:pt idx="44">
                  <c:v>0.19599999999999795</c:v>
                </c:pt>
                <c:pt idx="45">
                  <c:v>0.38700000000000045</c:v>
                </c:pt>
                <c:pt idx="46">
                  <c:v>0.31300000000000239</c:v>
                </c:pt>
                <c:pt idx="47">
                  <c:v>0.46800000000000352</c:v>
                </c:pt>
                <c:pt idx="48">
                  <c:v>0.16999999999998749</c:v>
                </c:pt>
                <c:pt idx="49">
                  <c:v>0.33299999999999841</c:v>
                </c:pt>
                <c:pt idx="50">
                  <c:v>0.37000000000000455</c:v>
                </c:pt>
                <c:pt idx="51">
                  <c:v>1.1559999999999917</c:v>
                </c:pt>
                <c:pt idx="52">
                  <c:v>2.6950000000000074</c:v>
                </c:pt>
                <c:pt idx="53">
                  <c:v>3.6039999999999992</c:v>
                </c:pt>
                <c:pt idx="54">
                  <c:v>4.5049999999999955</c:v>
                </c:pt>
                <c:pt idx="55">
                  <c:v>5.5380000000000038</c:v>
                </c:pt>
                <c:pt idx="56">
                  <c:v>6.1880000000000024</c:v>
                </c:pt>
                <c:pt idx="57">
                  <c:v>6.3670000000000044</c:v>
                </c:pt>
                <c:pt idx="58">
                  <c:v>6.8969999999999985</c:v>
                </c:pt>
                <c:pt idx="59">
                  <c:v>6.9359999999999999</c:v>
                </c:pt>
                <c:pt idx="60">
                  <c:v>4.9990000000000023</c:v>
                </c:pt>
                <c:pt idx="61">
                  <c:v>2.8940000000000055</c:v>
                </c:pt>
                <c:pt idx="62">
                  <c:v>2.3089999999999975</c:v>
                </c:pt>
                <c:pt idx="63">
                  <c:v>0.71399999999999864</c:v>
                </c:pt>
                <c:pt idx="64">
                  <c:v>0.23700000000000898</c:v>
                </c:pt>
                <c:pt idx="65">
                  <c:v>0.39199999999999591</c:v>
                </c:pt>
                <c:pt idx="66">
                  <c:v>0.43200000000000216</c:v>
                </c:pt>
                <c:pt idx="67">
                  <c:v>0.76400000000001</c:v>
                </c:pt>
                <c:pt idx="68">
                  <c:v>0.82099999999999795</c:v>
                </c:pt>
                <c:pt idx="69">
                  <c:v>0.71699999999999875</c:v>
                </c:pt>
                <c:pt idx="70">
                  <c:v>1.6469999999999914</c:v>
                </c:pt>
                <c:pt idx="71">
                  <c:v>0.36299999999999955</c:v>
                </c:pt>
                <c:pt idx="72">
                  <c:v>8.2000000000000739E-2</c:v>
                </c:pt>
                <c:pt idx="73">
                  <c:v>0.23899999999999721</c:v>
                </c:pt>
                <c:pt idx="74">
                  <c:v>0.28800000000000381</c:v>
                </c:pt>
                <c:pt idx="75">
                  <c:v>6.7000000000000171E-2</c:v>
                </c:pt>
                <c:pt idx="76">
                  <c:v>9.9000000000003752E-2</c:v>
                </c:pt>
                <c:pt idx="77">
                  <c:v>0.7879999999999967</c:v>
                </c:pt>
                <c:pt idx="78">
                  <c:v>0.85699999999999932</c:v>
                </c:pt>
                <c:pt idx="79">
                  <c:v>1.0459999999999923</c:v>
                </c:pt>
                <c:pt idx="80">
                  <c:v>1.3990000000000009</c:v>
                </c:pt>
                <c:pt idx="81">
                  <c:v>0.92499999999999716</c:v>
                </c:pt>
                <c:pt idx="82">
                  <c:v>0.60200000000000387</c:v>
                </c:pt>
                <c:pt idx="83">
                  <c:v>0.66199999999999903</c:v>
                </c:pt>
                <c:pt idx="84">
                  <c:v>0.45000000000000284</c:v>
                </c:pt>
                <c:pt idx="85">
                  <c:v>0.87300000000000466</c:v>
                </c:pt>
                <c:pt idx="86">
                  <c:v>1.0359999999999943</c:v>
                </c:pt>
                <c:pt idx="87">
                  <c:v>1.2390000000000043</c:v>
                </c:pt>
                <c:pt idx="88">
                  <c:v>1.6689999999999969</c:v>
                </c:pt>
                <c:pt idx="89">
                  <c:v>1.6670000000000016</c:v>
                </c:pt>
                <c:pt idx="90">
                  <c:v>0.77199999999999847</c:v>
                </c:pt>
                <c:pt idx="91">
                  <c:v>1.902000000000001</c:v>
                </c:pt>
                <c:pt idx="92">
                  <c:v>2.8480000000000061</c:v>
                </c:pt>
                <c:pt idx="93">
                  <c:v>2.9959999999999951</c:v>
                </c:pt>
                <c:pt idx="94">
                  <c:v>2.5640000000000001</c:v>
                </c:pt>
                <c:pt idx="95">
                  <c:v>1.911999999999999</c:v>
                </c:pt>
                <c:pt idx="96">
                  <c:v>0.80399999999999494</c:v>
                </c:pt>
                <c:pt idx="97">
                  <c:v>1.4299999999999997</c:v>
                </c:pt>
                <c:pt idx="98">
                  <c:v>1.4669999999999987</c:v>
                </c:pt>
                <c:pt idx="99">
                  <c:v>1.4579999999999984</c:v>
                </c:pt>
                <c:pt idx="100">
                  <c:v>3.8590000000000018</c:v>
                </c:pt>
                <c:pt idx="101">
                  <c:v>5.3810000000000002</c:v>
                </c:pt>
                <c:pt idx="102">
                  <c:v>4.3710000000000022</c:v>
                </c:pt>
                <c:pt idx="103">
                  <c:v>4.57</c:v>
                </c:pt>
                <c:pt idx="104">
                  <c:v>5.1240000000000023</c:v>
                </c:pt>
                <c:pt idx="105">
                  <c:v>5.0240000000000009</c:v>
                </c:pt>
                <c:pt idx="106">
                  <c:v>4.9969999999999999</c:v>
                </c:pt>
                <c:pt idx="107">
                  <c:v>5.3089999999999975</c:v>
                </c:pt>
                <c:pt idx="108">
                  <c:v>5.4450000000000003</c:v>
                </c:pt>
                <c:pt idx="109">
                  <c:v>4.6480000000000032</c:v>
                </c:pt>
                <c:pt idx="110">
                  <c:v>3.671999999999997</c:v>
                </c:pt>
                <c:pt idx="111">
                  <c:v>3.1380000000000052</c:v>
                </c:pt>
                <c:pt idx="112">
                  <c:v>3.2469999999999999</c:v>
                </c:pt>
                <c:pt idx="113">
                  <c:v>3.1129999999999995</c:v>
                </c:pt>
                <c:pt idx="114">
                  <c:v>2.6900000000000048</c:v>
                </c:pt>
                <c:pt idx="115">
                  <c:v>2.0770000000000053</c:v>
                </c:pt>
                <c:pt idx="116">
                  <c:v>1.6489999999999938</c:v>
                </c:pt>
                <c:pt idx="117">
                  <c:v>0.46000000000000085</c:v>
                </c:pt>
                <c:pt idx="118">
                  <c:v>0.32699999999999818</c:v>
                </c:pt>
                <c:pt idx="119">
                  <c:v>3.0360000000000014</c:v>
                </c:pt>
                <c:pt idx="120">
                  <c:v>2.6169999999999973</c:v>
                </c:pt>
                <c:pt idx="121">
                  <c:v>2.0990000000000038</c:v>
                </c:pt>
                <c:pt idx="122">
                  <c:v>3.3019999999999996</c:v>
                </c:pt>
                <c:pt idx="123">
                  <c:v>2.7169999999999987</c:v>
                </c:pt>
                <c:pt idx="124">
                  <c:v>2.5579999999999998</c:v>
                </c:pt>
                <c:pt idx="125">
                  <c:v>2.1610000000000014</c:v>
                </c:pt>
                <c:pt idx="126">
                  <c:v>1.713000000000001</c:v>
                </c:pt>
                <c:pt idx="127">
                  <c:v>2.1739999999999995</c:v>
                </c:pt>
                <c:pt idx="128">
                  <c:v>2.4179999999999993</c:v>
                </c:pt>
                <c:pt idx="129">
                  <c:v>1.5309999999999988</c:v>
                </c:pt>
                <c:pt idx="130">
                  <c:v>1.3519999999999968</c:v>
                </c:pt>
                <c:pt idx="131">
                  <c:v>1.3260000000000005</c:v>
                </c:pt>
                <c:pt idx="132">
                  <c:v>0.29800000000000182</c:v>
                </c:pt>
                <c:pt idx="133">
                  <c:v>0.25600000000000023</c:v>
                </c:pt>
                <c:pt idx="134">
                  <c:v>0.39300000000000068</c:v>
                </c:pt>
                <c:pt idx="135">
                  <c:v>0.76500000000000057</c:v>
                </c:pt>
                <c:pt idx="136">
                  <c:v>1.2269999999999968</c:v>
                </c:pt>
                <c:pt idx="137">
                  <c:v>0.68699999999999761</c:v>
                </c:pt>
                <c:pt idx="138">
                  <c:v>0.22100000000000364</c:v>
                </c:pt>
                <c:pt idx="139">
                  <c:v>2.4999999999998579E-2</c:v>
                </c:pt>
                <c:pt idx="140">
                  <c:v>0.27499999999999858</c:v>
                </c:pt>
                <c:pt idx="141">
                  <c:v>0.40399999999999636</c:v>
                </c:pt>
                <c:pt idx="142">
                  <c:v>0.34299999999999642</c:v>
                </c:pt>
                <c:pt idx="143">
                  <c:v>0.79599999999999937</c:v>
                </c:pt>
                <c:pt idx="144">
                  <c:v>3.9140000000000015</c:v>
                </c:pt>
                <c:pt idx="145">
                  <c:v>2.107999999999997</c:v>
                </c:pt>
                <c:pt idx="146">
                  <c:v>2.7680000000000007</c:v>
                </c:pt>
                <c:pt idx="147">
                  <c:v>5.5159999999999982</c:v>
                </c:pt>
                <c:pt idx="148">
                  <c:v>3.7250000000000014</c:v>
                </c:pt>
                <c:pt idx="149">
                  <c:v>2.7659999999999982</c:v>
                </c:pt>
                <c:pt idx="150">
                  <c:v>3.5280000000000058</c:v>
                </c:pt>
                <c:pt idx="151">
                  <c:v>2.5160000000000053</c:v>
                </c:pt>
                <c:pt idx="152">
                  <c:v>2.6149999999999949</c:v>
                </c:pt>
                <c:pt idx="153">
                  <c:v>1.6859999999999999</c:v>
                </c:pt>
                <c:pt idx="154">
                  <c:v>0.67999999999999972</c:v>
                </c:pt>
                <c:pt idx="155">
                  <c:v>0.33200000000000074</c:v>
                </c:pt>
                <c:pt idx="156">
                  <c:v>0.69399999999999551</c:v>
                </c:pt>
                <c:pt idx="157">
                  <c:v>0.57500000000000284</c:v>
                </c:pt>
                <c:pt idx="158">
                  <c:v>0.5590000000000046</c:v>
                </c:pt>
                <c:pt idx="159">
                  <c:v>0.88400000000000034</c:v>
                </c:pt>
                <c:pt idx="160">
                  <c:v>0.54199999999999449</c:v>
                </c:pt>
                <c:pt idx="161">
                  <c:v>0.75500000000000256</c:v>
                </c:pt>
                <c:pt idx="162">
                  <c:v>0.76999999999999602</c:v>
                </c:pt>
                <c:pt idx="163">
                  <c:v>0.30799999999999983</c:v>
                </c:pt>
                <c:pt idx="164">
                  <c:v>0.4620000000000033</c:v>
                </c:pt>
                <c:pt idx="165">
                  <c:v>0.64699999999999847</c:v>
                </c:pt>
                <c:pt idx="166">
                  <c:v>1.1890000000000001</c:v>
                </c:pt>
                <c:pt idx="167">
                  <c:v>1.4039999999999964</c:v>
                </c:pt>
                <c:pt idx="168">
                  <c:v>0.73100000000000165</c:v>
                </c:pt>
                <c:pt idx="169">
                  <c:v>0.67600000000000193</c:v>
                </c:pt>
                <c:pt idx="170">
                  <c:v>1.0209999999999972</c:v>
                </c:pt>
                <c:pt idx="171">
                  <c:v>1.1370000000000005</c:v>
                </c:pt>
                <c:pt idx="172">
                  <c:v>2.4570000000000007</c:v>
                </c:pt>
                <c:pt idx="173">
                  <c:v>2.7060000000000031</c:v>
                </c:pt>
                <c:pt idx="174">
                  <c:v>3.1720000000000006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6-4DAC-B153-D86E4115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data_ghg_incLUC!$I$3:$I$177</c:f>
              <c:numCache>
                <c:formatCode>0.0</c:formatCode>
                <c:ptCount val="175"/>
                <c:pt idx="0">
                  <c:v>36.118000000000002</c:v>
                </c:pt>
                <c:pt idx="1">
                  <c:v>36.279000000000003</c:v>
                </c:pt>
                <c:pt idx="2">
                  <c:v>36.048000000000002</c:v>
                </c:pt>
                <c:pt idx="3">
                  <c:v>36.9</c:v>
                </c:pt>
                <c:pt idx="4">
                  <c:v>37.71</c:v>
                </c:pt>
                <c:pt idx="5">
                  <c:v>37.610999999999997</c:v>
                </c:pt>
                <c:pt idx="6">
                  <c:v>37.923000000000002</c:v>
                </c:pt>
                <c:pt idx="7">
                  <c:v>37.997</c:v>
                </c:pt>
                <c:pt idx="8">
                  <c:v>38.378</c:v>
                </c:pt>
                <c:pt idx="9">
                  <c:v>38.863</c:v>
                </c:pt>
                <c:pt idx="10">
                  <c:v>40.182000000000002</c:v>
                </c:pt>
                <c:pt idx="11">
                  <c:v>40.095999999999997</c:v>
                </c:pt>
                <c:pt idx="12">
                  <c:v>40.817</c:v>
                </c:pt>
                <c:pt idx="13">
                  <c:v>41.436999999999998</c:v>
                </c:pt>
                <c:pt idx="14">
                  <c:v>41.207000000000001</c:v>
                </c:pt>
                <c:pt idx="15">
                  <c:v>41.728000000000002</c:v>
                </c:pt>
                <c:pt idx="16">
                  <c:v>41.533000000000001</c:v>
                </c:pt>
                <c:pt idx="17">
                  <c:v>42.655000000000001</c:v>
                </c:pt>
                <c:pt idx="18">
                  <c:v>42.658000000000001</c:v>
                </c:pt>
                <c:pt idx="19">
                  <c:v>42.682000000000002</c:v>
                </c:pt>
                <c:pt idx="20">
                  <c:v>44.509</c:v>
                </c:pt>
                <c:pt idx="21">
                  <c:v>46.197000000000003</c:v>
                </c:pt>
                <c:pt idx="22">
                  <c:v>46.567</c:v>
                </c:pt>
                <c:pt idx="23">
                  <c:v>47.795000000000002</c:v>
                </c:pt>
                <c:pt idx="24">
                  <c:v>47.395000000000003</c:v>
                </c:pt>
                <c:pt idx="25">
                  <c:v>48.390999999999998</c:v>
                </c:pt>
                <c:pt idx="26">
                  <c:v>48.505000000000003</c:v>
                </c:pt>
                <c:pt idx="27">
                  <c:v>48.710999999999999</c:v>
                </c:pt>
                <c:pt idx="28">
                  <c:v>48.902999999999999</c:v>
                </c:pt>
                <c:pt idx="29">
                  <c:v>49.575000000000003</c:v>
                </c:pt>
                <c:pt idx="30">
                  <c:v>48.662999999999997</c:v>
                </c:pt>
                <c:pt idx="31">
                  <c:v>47.771999999999998</c:v>
                </c:pt>
                <c:pt idx="32">
                  <c:v>47.790999999999997</c:v>
                </c:pt>
                <c:pt idx="33">
                  <c:v>48.112000000000002</c:v>
                </c:pt>
                <c:pt idx="34">
                  <c:v>47.811999999999998</c:v>
                </c:pt>
                <c:pt idx="35">
                  <c:v>47.405000000000001</c:v>
                </c:pt>
                <c:pt idx="36">
                  <c:v>47.484999999999999</c:v>
                </c:pt>
                <c:pt idx="37">
                  <c:v>47.896000000000001</c:v>
                </c:pt>
                <c:pt idx="38">
                  <c:v>48.561999999999998</c:v>
                </c:pt>
                <c:pt idx="39">
                  <c:v>47.829000000000001</c:v>
                </c:pt>
                <c:pt idx="40">
                  <c:v>47.841000000000001</c:v>
                </c:pt>
                <c:pt idx="41">
                  <c:v>47.988</c:v>
                </c:pt>
                <c:pt idx="42">
                  <c:v>48.06</c:v>
                </c:pt>
                <c:pt idx="43">
                  <c:v>47.948999999999998</c:v>
                </c:pt>
                <c:pt idx="44">
                  <c:v>47.82</c:v>
                </c:pt>
                <c:pt idx="45">
                  <c:v>48.287999999999997</c:v>
                </c:pt>
                <c:pt idx="46">
                  <c:v>48.576999999999998</c:v>
                </c:pt>
                <c:pt idx="47">
                  <c:v>48.651000000000003</c:v>
                </c:pt>
                <c:pt idx="48">
                  <c:v>49.101999999999997</c:v>
                </c:pt>
                <c:pt idx="49">
                  <c:v>49.951000000000001</c:v>
                </c:pt>
                <c:pt idx="50">
                  <c:v>50.081000000000003</c:v>
                </c:pt>
                <c:pt idx="51">
                  <c:v>49.209000000000003</c:v>
                </c:pt>
                <c:pt idx="52">
                  <c:v>49.347999999999999</c:v>
                </c:pt>
                <c:pt idx="53">
                  <c:v>50.02</c:v>
                </c:pt>
                <c:pt idx="54">
                  <c:v>49.723999999999997</c:v>
                </c:pt>
                <c:pt idx="55">
                  <c:v>50.338999999999999</c:v>
                </c:pt>
                <c:pt idx="56">
                  <c:v>50.206000000000003</c:v>
                </c:pt>
                <c:pt idx="57">
                  <c:v>51.616</c:v>
                </c:pt>
                <c:pt idx="58">
                  <c:v>50.625999999999998</c:v>
                </c:pt>
                <c:pt idx="59">
                  <c:v>50.826999999999998</c:v>
                </c:pt>
                <c:pt idx="60">
                  <c:v>52.042000000000002</c:v>
                </c:pt>
                <c:pt idx="61">
                  <c:v>52.093000000000004</c:v>
                </c:pt>
                <c:pt idx="62">
                  <c:v>52.44</c:v>
                </c:pt>
                <c:pt idx="63">
                  <c:v>53.482999999999997</c:v>
                </c:pt>
                <c:pt idx="64">
                  <c:v>52.304000000000002</c:v>
                </c:pt>
                <c:pt idx="65">
                  <c:v>52.112000000000002</c:v>
                </c:pt>
                <c:pt idx="66">
                  <c:v>52.826999999999998</c:v>
                </c:pt>
                <c:pt idx="67">
                  <c:v>53.6</c:v>
                </c:pt>
                <c:pt idx="68">
                  <c:v>54.533999999999999</c:v>
                </c:pt>
                <c:pt idx="69">
                  <c:v>52.987000000000002</c:v>
                </c:pt>
                <c:pt idx="70">
                  <c:v>52.469000000000001</c:v>
                </c:pt>
                <c:pt idx="71">
                  <c:v>49.36</c:v>
                </c:pt>
                <c:pt idx="72">
                  <c:v>49.838999999999999</c:v>
                </c:pt>
                <c:pt idx="73">
                  <c:v>51.070999999999998</c:v>
                </c:pt>
                <c:pt idx="74">
                  <c:v>50.889000000000003</c:v>
                </c:pt>
                <c:pt idx="75">
                  <c:v>50.518999999999998</c:v>
                </c:pt>
                <c:pt idx="76">
                  <c:v>49.613999999999997</c:v>
                </c:pt>
                <c:pt idx="77">
                  <c:v>50.412999999999997</c:v>
                </c:pt>
                <c:pt idx="78">
                  <c:v>49.725999999999999</c:v>
                </c:pt>
                <c:pt idx="79">
                  <c:v>50.213000000000001</c:v>
                </c:pt>
                <c:pt idx="80">
                  <c:v>47.533999999999999</c:v>
                </c:pt>
                <c:pt idx="81">
                  <c:v>44.808</c:v>
                </c:pt>
                <c:pt idx="82">
                  <c:v>42.244</c:v>
                </c:pt>
                <c:pt idx="83">
                  <c:v>42.600999999999999</c:v>
                </c:pt>
                <c:pt idx="84">
                  <c:v>42.953000000000003</c:v>
                </c:pt>
                <c:pt idx="85">
                  <c:v>42.994</c:v>
                </c:pt>
                <c:pt idx="86">
                  <c:v>43.555999999999997</c:v>
                </c:pt>
                <c:pt idx="87">
                  <c:v>44.121000000000002</c:v>
                </c:pt>
                <c:pt idx="88">
                  <c:v>42.302</c:v>
                </c:pt>
                <c:pt idx="89">
                  <c:v>42.994999999999997</c:v>
                </c:pt>
                <c:pt idx="90">
                  <c:v>42.725000000000001</c:v>
                </c:pt>
                <c:pt idx="91">
                  <c:v>43.180999999999997</c:v>
                </c:pt>
                <c:pt idx="92">
                  <c:v>44.390999999999998</c:v>
                </c:pt>
                <c:pt idx="93">
                  <c:v>44.42</c:v>
                </c:pt>
                <c:pt idx="94">
                  <c:v>44.174999999999997</c:v>
                </c:pt>
                <c:pt idx="95">
                  <c:v>41.780999999999999</c:v>
                </c:pt>
                <c:pt idx="96">
                  <c:v>42.106999999999999</c:v>
                </c:pt>
                <c:pt idx="97">
                  <c:v>43.610999999999997</c:v>
                </c:pt>
                <c:pt idx="98">
                  <c:v>44.533999999999999</c:v>
                </c:pt>
                <c:pt idx="99">
                  <c:v>42.831000000000003</c:v>
                </c:pt>
                <c:pt idx="100">
                  <c:v>41.698</c:v>
                </c:pt>
                <c:pt idx="101">
                  <c:v>40.817</c:v>
                </c:pt>
                <c:pt idx="102">
                  <c:v>40.243000000000002</c:v>
                </c:pt>
                <c:pt idx="103">
                  <c:v>39.942</c:v>
                </c:pt>
                <c:pt idx="104">
                  <c:v>38.511000000000003</c:v>
                </c:pt>
                <c:pt idx="105">
                  <c:v>38.793999999999997</c:v>
                </c:pt>
                <c:pt idx="106">
                  <c:v>39.021999999999998</c:v>
                </c:pt>
                <c:pt idx="107">
                  <c:v>38.200000000000003</c:v>
                </c:pt>
                <c:pt idx="108">
                  <c:v>36.973999999999997</c:v>
                </c:pt>
                <c:pt idx="109">
                  <c:v>35.530999999999999</c:v>
                </c:pt>
                <c:pt idx="110">
                  <c:v>37.359000000000002</c:v>
                </c:pt>
                <c:pt idx="111">
                  <c:v>37.460999999999999</c:v>
                </c:pt>
                <c:pt idx="112">
                  <c:v>39.093000000000004</c:v>
                </c:pt>
                <c:pt idx="113">
                  <c:v>39.46</c:v>
                </c:pt>
                <c:pt idx="114">
                  <c:v>40.237000000000002</c:v>
                </c:pt>
                <c:pt idx="115">
                  <c:v>40.747999999999998</c:v>
                </c:pt>
                <c:pt idx="116">
                  <c:v>41.213000000000001</c:v>
                </c:pt>
                <c:pt idx="117">
                  <c:v>43.043999999999997</c:v>
                </c:pt>
                <c:pt idx="118">
                  <c:v>43.734999999999999</c:v>
                </c:pt>
                <c:pt idx="119">
                  <c:v>41.905999999999999</c:v>
                </c:pt>
                <c:pt idx="120">
                  <c:v>41.680999999999997</c:v>
                </c:pt>
                <c:pt idx="121">
                  <c:v>42.124000000000002</c:v>
                </c:pt>
                <c:pt idx="122">
                  <c:v>41.482999999999997</c:v>
                </c:pt>
                <c:pt idx="123">
                  <c:v>41.731999999999999</c:v>
                </c:pt>
                <c:pt idx="124">
                  <c:v>40.896999999999998</c:v>
                </c:pt>
                <c:pt idx="125">
                  <c:v>39.804000000000002</c:v>
                </c:pt>
                <c:pt idx="126">
                  <c:v>40.201000000000001</c:v>
                </c:pt>
                <c:pt idx="127">
                  <c:v>39.491</c:v>
                </c:pt>
                <c:pt idx="128">
                  <c:v>38.915999999999997</c:v>
                </c:pt>
                <c:pt idx="129">
                  <c:v>39.758000000000003</c:v>
                </c:pt>
                <c:pt idx="130">
                  <c:v>38.950000000000003</c:v>
                </c:pt>
                <c:pt idx="131">
                  <c:v>38.573</c:v>
                </c:pt>
                <c:pt idx="132">
                  <c:v>37.485999999999997</c:v>
                </c:pt>
                <c:pt idx="133">
                  <c:v>36.793999999999997</c:v>
                </c:pt>
                <c:pt idx="134">
                  <c:v>36.085999999999999</c:v>
                </c:pt>
                <c:pt idx="135">
                  <c:v>35.069000000000003</c:v>
                </c:pt>
                <c:pt idx="136">
                  <c:v>34.219000000000001</c:v>
                </c:pt>
                <c:pt idx="137">
                  <c:v>34.563000000000002</c:v>
                </c:pt>
                <c:pt idx="138">
                  <c:v>34.880000000000003</c:v>
                </c:pt>
                <c:pt idx="139">
                  <c:v>35.207999999999998</c:v>
                </c:pt>
                <c:pt idx="140">
                  <c:v>36.118000000000002</c:v>
                </c:pt>
                <c:pt idx="141">
                  <c:v>35.615000000000002</c:v>
                </c:pt>
                <c:pt idx="142">
                  <c:v>36.11</c:v>
                </c:pt>
                <c:pt idx="143">
                  <c:v>36.137999999999998</c:v>
                </c:pt>
                <c:pt idx="144">
                  <c:v>35.374000000000002</c:v>
                </c:pt>
                <c:pt idx="145">
                  <c:v>35.555999999999997</c:v>
                </c:pt>
                <c:pt idx="146">
                  <c:v>35.357999999999997</c:v>
                </c:pt>
                <c:pt idx="147">
                  <c:v>33.869</c:v>
                </c:pt>
                <c:pt idx="148">
                  <c:v>35.252000000000002</c:v>
                </c:pt>
                <c:pt idx="149">
                  <c:v>35.228000000000002</c:v>
                </c:pt>
                <c:pt idx="150">
                  <c:v>35.779000000000003</c:v>
                </c:pt>
                <c:pt idx="151">
                  <c:v>35.612000000000002</c:v>
                </c:pt>
                <c:pt idx="152">
                  <c:v>34.692</c:v>
                </c:pt>
                <c:pt idx="153">
                  <c:v>33.192</c:v>
                </c:pt>
                <c:pt idx="154">
                  <c:v>33.200000000000003</c:v>
                </c:pt>
                <c:pt idx="155">
                  <c:v>32.71</c:v>
                </c:pt>
                <c:pt idx="156">
                  <c:v>30.936</c:v>
                </c:pt>
                <c:pt idx="157">
                  <c:v>30.901</c:v>
                </c:pt>
                <c:pt idx="158">
                  <c:v>29.853000000000002</c:v>
                </c:pt>
                <c:pt idx="159">
                  <c:v>27.632999999999999</c:v>
                </c:pt>
                <c:pt idx="160">
                  <c:v>27.724</c:v>
                </c:pt>
                <c:pt idx="161">
                  <c:v>26.271999999999998</c:v>
                </c:pt>
                <c:pt idx="162">
                  <c:v>25.449000000000002</c:v>
                </c:pt>
                <c:pt idx="163">
                  <c:v>25.402999999999999</c:v>
                </c:pt>
                <c:pt idx="164">
                  <c:v>25.004000000000001</c:v>
                </c:pt>
                <c:pt idx="165">
                  <c:v>24.536999999999999</c:v>
                </c:pt>
                <c:pt idx="166">
                  <c:v>24.785</c:v>
                </c:pt>
                <c:pt idx="167">
                  <c:v>24.58</c:v>
                </c:pt>
                <c:pt idx="168">
                  <c:v>24.401</c:v>
                </c:pt>
                <c:pt idx="169">
                  <c:v>23.571000000000002</c:v>
                </c:pt>
                <c:pt idx="170">
                  <c:v>22.427</c:v>
                </c:pt>
                <c:pt idx="171">
                  <c:v>22.664000000000001</c:v>
                </c:pt>
                <c:pt idx="172">
                  <c:v>22.128</c:v>
                </c:pt>
                <c:pt idx="173">
                  <c:v>21.236999999999998</c:v>
                </c:pt>
                <c:pt idx="174">
                  <c:v>20.895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90-4014-A4AD-5DEE22E8B1E4}"/>
            </c:ext>
          </c:extLst>
        </c:ser>
        <c:ser>
          <c:idx val="6"/>
          <c:order val="6"/>
          <c:tx>
            <c:strRef>
              <c:f>data_ghg_incLUC!$J$2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data_ghg_incLUC!$J$3:$J$177</c:f>
              <c:numCache>
                <c:formatCode>0.0</c:formatCode>
                <c:ptCount val="175"/>
                <c:pt idx="0">
                  <c:v>41.506</c:v>
                </c:pt>
                <c:pt idx="1">
                  <c:v>42.009</c:v>
                </c:pt>
                <c:pt idx="2">
                  <c:v>46.02</c:v>
                </c:pt>
                <c:pt idx="3">
                  <c:v>46.987000000000002</c:v>
                </c:pt>
                <c:pt idx="4">
                  <c:v>48.374000000000002</c:v>
                </c:pt>
                <c:pt idx="5">
                  <c:v>49.223999999999997</c:v>
                </c:pt>
                <c:pt idx="6">
                  <c:v>49.85</c:v>
                </c:pt>
                <c:pt idx="7">
                  <c:v>50.225000000000001</c:v>
                </c:pt>
                <c:pt idx="8">
                  <c:v>50.564</c:v>
                </c:pt>
                <c:pt idx="9">
                  <c:v>51.106000000000002</c:v>
                </c:pt>
                <c:pt idx="10">
                  <c:v>51.779000000000003</c:v>
                </c:pt>
                <c:pt idx="11">
                  <c:v>51.932000000000002</c:v>
                </c:pt>
                <c:pt idx="12">
                  <c:v>50.085999999999999</c:v>
                </c:pt>
                <c:pt idx="13">
                  <c:v>50.31</c:v>
                </c:pt>
                <c:pt idx="14">
                  <c:v>50.622</c:v>
                </c:pt>
                <c:pt idx="15">
                  <c:v>50.863999999999997</c:v>
                </c:pt>
                <c:pt idx="16">
                  <c:v>51.000999999999998</c:v>
                </c:pt>
                <c:pt idx="17">
                  <c:v>51.274999999999999</c:v>
                </c:pt>
                <c:pt idx="18">
                  <c:v>51.334000000000003</c:v>
                </c:pt>
                <c:pt idx="19">
                  <c:v>51.619</c:v>
                </c:pt>
                <c:pt idx="20">
                  <c:v>51.625</c:v>
                </c:pt>
                <c:pt idx="21">
                  <c:v>51.107999999999997</c:v>
                </c:pt>
                <c:pt idx="22">
                  <c:v>54.551000000000002</c:v>
                </c:pt>
                <c:pt idx="23">
                  <c:v>54.948</c:v>
                </c:pt>
                <c:pt idx="24">
                  <c:v>54.515000000000001</c:v>
                </c:pt>
                <c:pt idx="25">
                  <c:v>55.109000000000002</c:v>
                </c:pt>
                <c:pt idx="26">
                  <c:v>55.051000000000002</c:v>
                </c:pt>
                <c:pt idx="27">
                  <c:v>55.279000000000003</c:v>
                </c:pt>
                <c:pt idx="28">
                  <c:v>55.274999999999999</c:v>
                </c:pt>
                <c:pt idx="29">
                  <c:v>55.76</c:v>
                </c:pt>
                <c:pt idx="30">
                  <c:v>56.692999999999998</c:v>
                </c:pt>
                <c:pt idx="31">
                  <c:v>55.761000000000003</c:v>
                </c:pt>
                <c:pt idx="32">
                  <c:v>54.164999999999999</c:v>
                </c:pt>
                <c:pt idx="33">
                  <c:v>54.209000000000003</c:v>
                </c:pt>
                <c:pt idx="34">
                  <c:v>53.911000000000001</c:v>
                </c:pt>
                <c:pt idx="35">
                  <c:v>53.603999999999999</c:v>
                </c:pt>
                <c:pt idx="36">
                  <c:v>53.465000000000003</c:v>
                </c:pt>
                <c:pt idx="37">
                  <c:v>53.595999999999997</c:v>
                </c:pt>
                <c:pt idx="38">
                  <c:v>54.262</c:v>
                </c:pt>
                <c:pt idx="39">
                  <c:v>53.901000000000003</c:v>
                </c:pt>
                <c:pt idx="40">
                  <c:v>54.451999999999998</c:v>
                </c:pt>
                <c:pt idx="41">
                  <c:v>54.665999999999997</c:v>
                </c:pt>
                <c:pt idx="42">
                  <c:v>54.978000000000002</c:v>
                </c:pt>
                <c:pt idx="43">
                  <c:v>54.573</c:v>
                </c:pt>
                <c:pt idx="44">
                  <c:v>54.430999999999997</c:v>
                </c:pt>
                <c:pt idx="45">
                  <c:v>54.767000000000003</c:v>
                </c:pt>
                <c:pt idx="46">
                  <c:v>54.893999999999998</c:v>
                </c:pt>
                <c:pt idx="47">
                  <c:v>55.131</c:v>
                </c:pt>
                <c:pt idx="48">
                  <c:v>55.356999999999999</c:v>
                </c:pt>
                <c:pt idx="49">
                  <c:v>56.155000000000001</c:v>
                </c:pt>
                <c:pt idx="50">
                  <c:v>56.578000000000003</c:v>
                </c:pt>
                <c:pt idx="51">
                  <c:v>54.856999999999999</c:v>
                </c:pt>
                <c:pt idx="52">
                  <c:v>53.488</c:v>
                </c:pt>
                <c:pt idx="53">
                  <c:v>53.594000000000001</c:v>
                </c:pt>
                <c:pt idx="54">
                  <c:v>52.511000000000003</c:v>
                </c:pt>
                <c:pt idx="55">
                  <c:v>52.51</c:v>
                </c:pt>
                <c:pt idx="56">
                  <c:v>51.792999999999999</c:v>
                </c:pt>
                <c:pt idx="57">
                  <c:v>53.042000000000002</c:v>
                </c:pt>
                <c:pt idx="58">
                  <c:v>51.771999999999998</c:v>
                </c:pt>
                <c:pt idx="59">
                  <c:v>51.999000000000002</c:v>
                </c:pt>
                <c:pt idx="60">
                  <c:v>52.545000000000002</c:v>
                </c:pt>
                <c:pt idx="61">
                  <c:v>53.595999999999997</c:v>
                </c:pt>
                <c:pt idx="62">
                  <c:v>54.064</c:v>
                </c:pt>
                <c:pt idx="63">
                  <c:v>55.566000000000003</c:v>
                </c:pt>
                <c:pt idx="64">
                  <c:v>54.293999999999997</c:v>
                </c:pt>
                <c:pt idx="65">
                  <c:v>54.22</c:v>
                </c:pt>
                <c:pt idx="66">
                  <c:v>54.982999999999997</c:v>
                </c:pt>
                <c:pt idx="67">
                  <c:v>55.356999999999999</c:v>
                </c:pt>
                <c:pt idx="68">
                  <c:v>55.825000000000003</c:v>
                </c:pt>
                <c:pt idx="69">
                  <c:v>54.075000000000003</c:v>
                </c:pt>
                <c:pt idx="70">
                  <c:v>55.304000000000002</c:v>
                </c:pt>
                <c:pt idx="71">
                  <c:v>51.276000000000003</c:v>
                </c:pt>
                <c:pt idx="72">
                  <c:v>51.276000000000003</c:v>
                </c:pt>
                <c:pt idx="73">
                  <c:v>53.183999999999997</c:v>
                </c:pt>
                <c:pt idx="74">
                  <c:v>52.457999999999998</c:v>
                </c:pt>
                <c:pt idx="75">
                  <c:v>52.267000000000003</c:v>
                </c:pt>
                <c:pt idx="76">
                  <c:v>51.165999999999997</c:v>
                </c:pt>
                <c:pt idx="77">
                  <c:v>52.929000000000002</c:v>
                </c:pt>
                <c:pt idx="78">
                  <c:v>52.246000000000002</c:v>
                </c:pt>
                <c:pt idx="79">
                  <c:v>53.432000000000002</c:v>
                </c:pt>
                <c:pt idx="80">
                  <c:v>52.548999999999999</c:v>
                </c:pt>
                <c:pt idx="81">
                  <c:v>49.838999999999999</c:v>
                </c:pt>
                <c:pt idx="82">
                  <c:v>45.671999999999997</c:v>
                </c:pt>
                <c:pt idx="83">
                  <c:v>45.892000000000003</c:v>
                </c:pt>
                <c:pt idx="84">
                  <c:v>46.375999999999998</c:v>
                </c:pt>
                <c:pt idx="85">
                  <c:v>46.390999999999998</c:v>
                </c:pt>
                <c:pt idx="86">
                  <c:v>47.069000000000003</c:v>
                </c:pt>
                <c:pt idx="87">
                  <c:v>47.408999999999999</c:v>
                </c:pt>
                <c:pt idx="88">
                  <c:v>45.39</c:v>
                </c:pt>
                <c:pt idx="89">
                  <c:v>46.165999999999997</c:v>
                </c:pt>
                <c:pt idx="90">
                  <c:v>45.610999999999997</c:v>
                </c:pt>
                <c:pt idx="91">
                  <c:v>46.679000000000002</c:v>
                </c:pt>
                <c:pt idx="92">
                  <c:v>48.079000000000001</c:v>
                </c:pt>
                <c:pt idx="93">
                  <c:v>47.368000000000002</c:v>
                </c:pt>
                <c:pt idx="94">
                  <c:v>46.905000000000001</c:v>
                </c:pt>
                <c:pt idx="95">
                  <c:v>43.935000000000002</c:v>
                </c:pt>
                <c:pt idx="96">
                  <c:v>43.015000000000001</c:v>
                </c:pt>
                <c:pt idx="97">
                  <c:v>44.786000000000001</c:v>
                </c:pt>
                <c:pt idx="98">
                  <c:v>45.402999999999999</c:v>
                </c:pt>
                <c:pt idx="99">
                  <c:v>43.19</c:v>
                </c:pt>
                <c:pt idx="100">
                  <c:v>45.058</c:v>
                </c:pt>
                <c:pt idx="101">
                  <c:v>44.366</c:v>
                </c:pt>
                <c:pt idx="102">
                  <c:v>42.624000000000002</c:v>
                </c:pt>
                <c:pt idx="103">
                  <c:v>42.283999999999999</c:v>
                </c:pt>
                <c:pt idx="104">
                  <c:v>41.225999999999999</c:v>
                </c:pt>
                <c:pt idx="105">
                  <c:v>41.371000000000002</c:v>
                </c:pt>
                <c:pt idx="106">
                  <c:v>41.503999999999998</c:v>
                </c:pt>
                <c:pt idx="107">
                  <c:v>40.661000000000001</c:v>
                </c:pt>
                <c:pt idx="108">
                  <c:v>39.53</c:v>
                </c:pt>
                <c:pt idx="109">
                  <c:v>39.173000000000002</c:v>
                </c:pt>
                <c:pt idx="110">
                  <c:v>39.606000000000002</c:v>
                </c:pt>
                <c:pt idx="111">
                  <c:v>39.463000000000001</c:v>
                </c:pt>
                <c:pt idx="112">
                  <c:v>40.317999999999998</c:v>
                </c:pt>
                <c:pt idx="113">
                  <c:v>40.738999999999997</c:v>
                </c:pt>
                <c:pt idx="114">
                  <c:v>41.042000000000002</c:v>
                </c:pt>
                <c:pt idx="115">
                  <c:v>41.042000000000002</c:v>
                </c:pt>
                <c:pt idx="116">
                  <c:v>41.314</c:v>
                </c:pt>
                <c:pt idx="117">
                  <c:v>41.959000000000003</c:v>
                </c:pt>
                <c:pt idx="118">
                  <c:v>42.811</c:v>
                </c:pt>
                <c:pt idx="119">
                  <c:v>43.326999999999998</c:v>
                </c:pt>
                <c:pt idx="120">
                  <c:v>43.481000000000002</c:v>
                </c:pt>
                <c:pt idx="121">
                  <c:v>43.110999999999997</c:v>
                </c:pt>
                <c:pt idx="122">
                  <c:v>43.484000000000002</c:v>
                </c:pt>
                <c:pt idx="123">
                  <c:v>43.494</c:v>
                </c:pt>
                <c:pt idx="124">
                  <c:v>42.604999999999997</c:v>
                </c:pt>
                <c:pt idx="125">
                  <c:v>41.128999999999998</c:v>
                </c:pt>
                <c:pt idx="126">
                  <c:v>41.387999999999998</c:v>
                </c:pt>
                <c:pt idx="127">
                  <c:v>40.878</c:v>
                </c:pt>
                <c:pt idx="128">
                  <c:v>40.701000000000001</c:v>
                </c:pt>
                <c:pt idx="129">
                  <c:v>40.86</c:v>
                </c:pt>
                <c:pt idx="130">
                  <c:v>40.098999999999997</c:v>
                </c:pt>
                <c:pt idx="131">
                  <c:v>39.515999999999998</c:v>
                </c:pt>
                <c:pt idx="132">
                  <c:v>37.384999999999998</c:v>
                </c:pt>
                <c:pt idx="133">
                  <c:v>36.686999999999998</c:v>
                </c:pt>
                <c:pt idx="134">
                  <c:v>36.472000000000001</c:v>
                </c:pt>
                <c:pt idx="135">
                  <c:v>35.789000000000001</c:v>
                </c:pt>
                <c:pt idx="136">
                  <c:v>35.234999999999999</c:v>
                </c:pt>
                <c:pt idx="137">
                  <c:v>35.179000000000002</c:v>
                </c:pt>
                <c:pt idx="138">
                  <c:v>35.253999999999998</c:v>
                </c:pt>
                <c:pt idx="139">
                  <c:v>35.341999999999999</c:v>
                </c:pt>
                <c:pt idx="140">
                  <c:v>37.823</c:v>
                </c:pt>
                <c:pt idx="141">
                  <c:v>37.326999999999998</c:v>
                </c:pt>
                <c:pt idx="142">
                  <c:v>38.012999999999998</c:v>
                </c:pt>
                <c:pt idx="143">
                  <c:v>38.06</c:v>
                </c:pt>
                <c:pt idx="144">
                  <c:v>41.673999999999999</c:v>
                </c:pt>
                <c:pt idx="145">
                  <c:v>40.518999999999998</c:v>
                </c:pt>
                <c:pt idx="146">
                  <c:v>40.951000000000001</c:v>
                </c:pt>
                <c:pt idx="147">
                  <c:v>41.670999999999999</c:v>
                </c:pt>
                <c:pt idx="148">
                  <c:v>40.96</c:v>
                </c:pt>
                <c:pt idx="149">
                  <c:v>41.192</c:v>
                </c:pt>
                <c:pt idx="150">
                  <c:v>41.886000000000003</c:v>
                </c:pt>
                <c:pt idx="151">
                  <c:v>41.103999999999999</c:v>
                </c:pt>
                <c:pt idx="152">
                  <c:v>40.027000000000001</c:v>
                </c:pt>
                <c:pt idx="153">
                  <c:v>37.298000000000002</c:v>
                </c:pt>
                <c:pt idx="154">
                  <c:v>36.125999999999998</c:v>
                </c:pt>
                <c:pt idx="155">
                  <c:v>35.822000000000003</c:v>
                </c:pt>
                <c:pt idx="156">
                  <c:v>34.951000000000001</c:v>
                </c:pt>
                <c:pt idx="157">
                  <c:v>35.061</c:v>
                </c:pt>
                <c:pt idx="158">
                  <c:v>33.520000000000003</c:v>
                </c:pt>
                <c:pt idx="159">
                  <c:v>32.302999999999997</c:v>
                </c:pt>
                <c:pt idx="160">
                  <c:v>32.064</c:v>
                </c:pt>
                <c:pt idx="161">
                  <c:v>29.452000000000002</c:v>
                </c:pt>
                <c:pt idx="162">
                  <c:v>28.196999999999999</c:v>
                </c:pt>
                <c:pt idx="163">
                  <c:v>28.692</c:v>
                </c:pt>
                <c:pt idx="164">
                  <c:v>27.841999999999999</c:v>
                </c:pt>
                <c:pt idx="165">
                  <c:v>26.885999999999999</c:v>
                </c:pt>
                <c:pt idx="166">
                  <c:v>26.388999999999999</c:v>
                </c:pt>
                <c:pt idx="167">
                  <c:v>26.132000000000001</c:v>
                </c:pt>
                <c:pt idx="168">
                  <c:v>26.094999999999999</c:v>
                </c:pt>
                <c:pt idx="169">
                  <c:v>25.029</c:v>
                </c:pt>
                <c:pt idx="170">
                  <c:v>23.914000000000001</c:v>
                </c:pt>
                <c:pt idx="171">
                  <c:v>23.356999999999999</c:v>
                </c:pt>
                <c:pt idx="172">
                  <c:v>22.773</c:v>
                </c:pt>
                <c:pt idx="173">
                  <c:v>21.692</c:v>
                </c:pt>
                <c:pt idx="174">
                  <c:v>24.324999999999999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90-4014-A4AD-5DEE22E8B1E4}"/>
            </c:ext>
          </c:extLst>
        </c:ser>
        <c:ser>
          <c:idx val="7"/>
          <c:order val="7"/>
          <c:tx>
            <c:strRef>
              <c:f>data_ghg_incLUC!$K$2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data_ghg_incLUC!$K$3:$K$177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90-4014-A4AD-5DEE22E8B1E4}"/>
            </c:ext>
          </c:extLst>
        </c:ser>
        <c:ser>
          <c:idx val="8"/>
          <c:order val="8"/>
          <c:tx>
            <c:strRef>
              <c:f>data_ghg_incLUC!$L$2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90-4014-A4AD-5DEE22E8B1E4}"/>
            </c:ext>
          </c:extLst>
        </c:ser>
        <c:ser>
          <c:idx val="9"/>
          <c:order val="9"/>
          <c:tx>
            <c:strRef>
              <c:f>data_ghg_incLUC!$M$2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data_ghg_incLUC!$M$3:$M$177</c:f>
              <c:numCache>
                <c:formatCode>0.0</c:formatCode>
                <c:ptCount val="175"/>
                <c:pt idx="0">
                  <c:v>54.173999999999999</c:v>
                </c:pt>
                <c:pt idx="1">
                  <c:v>53.896000000000001</c:v>
                </c:pt>
                <c:pt idx="2">
                  <c:v>54.095999999999997</c:v>
                </c:pt>
                <c:pt idx="3">
                  <c:v>54.268999999999998</c:v>
                </c:pt>
                <c:pt idx="4">
                  <c:v>55.323999999999998</c:v>
                </c:pt>
                <c:pt idx="5">
                  <c:v>55.113999999999997</c:v>
                </c:pt>
                <c:pt idx="6">
                  <c:v>55.427999999999997</c:v>
                </c:pt>
                <c:pt idx="7">
                  <c:v>55.558</c:v>
                </c:pt>
                <c:pt idx="8">
                  <c:v>55.905999999999999</c:v>
                </c:pt>
                <c:pt idx="9">
                  <c:v>56.305</c:v>
                </c:pt>
                <c:pt idx="10">
                  <c:v>57.786999999999999</c:v>
                </c:pt>
                <c:pt idx="11">
                  <c:v>58.191000000000003</c:v>
                </c:pt>
                <c:pt idx="12">
                  <c:v>59.027999999999999</c:v>
                </c:pt>
                <c:pt idx="13">
                  <c:v>59.399000000000001</c:v>
                </c:pt>
                <c:pt idx="14">
                  <c:v>59.811</c:v>
                </c:pt>
                <c:pt idx="15">
                  <c:v>60.158999999999999</c:v>
                </c:pt>
                <c:pt idx="16">
                  <c:v>60.698</c:v>
                </c:pt>
                <c:pt idx="17">
                  <c:v>60.874000000000002</c:v>
                </c:pt>
                <c:pt idx="18">
                  <c:v>61.256999999999998</c:v>
                </c:pt>
                <c:pt idx="19">
                  <c:v>61.36</c:v>
                </c:pt>
                <c:pt idx="20">
                  <c:v>63.201000000000001</c:v>
                </c:pt>
                <c:pt idx="21">
                  <c:v>64.081000000000003</c:v>
                </c:pt>
                <c:pt idx="22">
                  <c:v>64.573999999999998</c:v>
                </c:pt>
                <c:pt idx="23">
                  <c:v>65.266999999999996</c:v>
                </c:pt>
                <c:pt idx="24">
                  <c:v>65.423000000000002</c:v>
                </c:pt>
                <c:pt idx="25">
                  <c:v>65.962000000000003</c:v>
                </c:pt>
                <c:pt idx="26">
                  <c:v>66.27</c:v>
                </c:pt>
                <c:pt idx="27">
                  <c:v>66.358000000000004</c:v>
                </c:pt>
                <c:pt idx="28">
                  <c:v>66.72</c:v>
                </c:pt>
                <c:pt idx="29">
                  <c:v>67.314999999999998</c:v>
                </c:pt>
                <c:pt idx="30">
                  <c:v>66.409000000000006</c:v>
                </c:pt>
                <c:pt idx="31">
                  <c:v>65.563000000000002</c:v>
                </c:pt>
                <c:pt idx="32">
                  <c:v>65.494</c:v>
                </c:pt>
                <c:pt idx="33">
                  <c:v>65.739000000000004</c:v>
                </c:pt>
                <c:pt idx="34">
                  <c:v>65.775000000000006</c:v>
                </c:pt>
                <c:pt idx="35">
                  <c:v>65.611000000000004</c:v>
                </c:pt>
                <c:pt idx="36">
                  <c:v>65.454999999999998</c:v>
                </c:pt>
                <c:pt idx="37">
                  <c:v>65.411000000000001</c:v>
                </c:pt>
                <c:pt idx="38">
                  <c:v>66.06</c:v>
                </c:pt>
                <c:pt idx="39">
                  <c:v>65.531999999999996</c:v>
                </c:pt>
                <c:pt idx="40">
                  <c:v>66.135000000000005</c:v>
                </c:pt>
                <c:pt idx="41">
                  <c:v>66.268000000000001</c:v>
                </c:pt>
                <c:pt idx="42">
                  <c:v>66.561000000000007</c:v>
                </c:pt>
                <c:pt idx="43">
                  <c:v>66.486999999999995</c:v>
                </c:pt>
                <c:pt idx="44">
                  <c:v>66.698999999999998</c:v>
                </c:pt>
                <c:pt idx="45">
                  <c:v>66.853999999999999</c:v>
                </c:pt>
                <c:pt idx="46">
                  <c:v>67.066999999999993</c:v>
                </c:pt>
                <c:pt idx="47">
                  <c:v>67.195999999999998</c:v>
                </c:pt>
                <c:pt idx="48">
                  <c:v>67.781000000000006</c:v>
                </c:pt>
                <c:pt idx="49">
                  <c:v>68.302000000000007</c:v>
                </c:pt>
                <c:pt idx="50">
                  <c:v>68.683999999999997</c:v>
                </c:pt>
                <c:pt idx="51">
                  <c:v>68.236999999999995</c:v>
                </c:pt>
                <c:pt idx="52">
                  <c:v>68.301000000000002</c:v>
                </c:pt>
                <c:pt idx="53">
                  <c:v>68.929000000000002</c:v>
                </c:pt>
                <c:pt idx="54">
                  <c:v>68.78</c:v>
                </c:pt>
                <c:pt idx="55">
                  <c:v>69.477000000000004</c:v>
                </c:pt>
                <c:pt idx="56">
                  <c:v>69.372</c:v>
                </c:pt>
                <c:pt idx="57">
                  <c:v>70.608000000000004</c:v>
                </c:pt>
                <c:pt idx="58">
                  <c:v>70.128</c:v>
                </c:pt>
                <c:pt idx="59">
                  <c:v>70.372</c:v>
                </c:pt>
                <c:pt idx="60">
                  <c:v>68.760000000000005</c:v>
                </c:pt>
                <c:pt idx="61">
                  <c:v>68.003</c:v>
                </c:pt>
                <c:pt idx="62">
                  <c:v>68.164000000000001</c:v>
                </c:pt>
                <c:pt idx="63">
                  <c:v>68.228999999999999</c:v>
                </c:pt>
                <c:pt idx="64">
                  <c:v>66.593000000000004</c:v>
                </c:pt>
                <c:pt idx="65">
                  <c:v>65.894000000000005</c:v>
                </c:pt>
                <c:pt idx="66">
                  <c:v>66.521000000000001</c:v>
                </c:pt>
                <c:pt idx="67">
                  <c:v>66.349999999999994</c:v>
                </c:pt>
                <c:pt idx="68">
                  <c:v>65.781000000000006</c:v>
                </c:pt>
                <c:pt idx="69">
                  <c:v>63.417000000000002</c:v>
                </c:pt>
                <c:pt idx="70">
                  <c:v>63.962000000000003</c:v>
                </c:pt>
                <c:pt idx="71">
                  <c:v>61.673000000000002</c:v>
                </c:pt>
                <c:pt idx="72">
                  <c:v>62.02</c:v>
                </c:pt>
                <c:pt idx="73">
                  <c:v>63</c:v>
                </c:pt>
                <c:pt idx="74">
                  <c:v>62.424999999999997</c:v>
                </c:pt>
                <c:pt idx="75">
                  <c:v>62.567</c:v>
                </c:pt>
                <c:pt idx="76">
                  <c:v>62.148000000000003</c:v>
                </c:pt>
                <c:pt idx="77">
                  <c:v>62.975000000000001</c:v>
                </c:pt>
                <c:pt idx="78">
                  <c:v>62.459000000000003</c:v>
                </c:pt>
                <c:pt idx="79">
                  <c:v>63.334000000000003</c:v>
                </c:pt>
                <c:pt idx="80">
                  <c:v>62.44</c:v>
                </c:pt>
                <c:pt idx="81">
                  <c:v>61.003</c:v>
                </c:pt>
                <c:pt idx="82">
                  <c:v>59.313000000000002</c:v>
                </c:pt>
                <c:pt idx="83">
                  <c:v>59.594000000000001</c:v>
                </c:pt>
                <c:pt idx="84">
                  <c:v>60.036000000000001</c:v>
                </c:pt>
                <c:pt idx="85">
                  <c:v>60.545000000000002</c:v>
                </c:pt>
                <c:pt idx="86">
                  <c:v>61.302999999999997</c:v>
                </c:pt>
                <c:pt idx="87">
                  <c:v>61.645000000000003</c:v>
                </c:pt>
                <c:pt idx="88">
                  <c:v>60.607999999999997</c:v>
                </c:pt>
                <c:pt idx="89">
                  <c:v>60.966999999999999</c:v>
                </c:pt>
                <c:pt idx="90">
                  <c:v>59.298000000000002</c:v>
                </c:pt>
                <c:pt idx="91">
                  <c:v>58.085000000000001</c:v>
                </c:pt>
                <c:pt idx="92">
                  <c:v>57.281999999999996</c:v>
                </c:pt>
                <c:pt idx="93">
                  <c:v>56.862000000000002</c:v>
                </c:pt>
                <c:pt idx="94">
                  <c:v>56.283000000000001</c:v>
                </c:pt>
                <c:pt idx="95">
                  <c:v>53.061999999999998</c:v>
                </c:pt>
                <c:pt idx="96">
                  <c:v>53.31</c:v>
                </c:pt>
                <c:pt idx="97">
                  <c:v>54.390999999999998</c:v>
                </c:pt>
                <c:pt idx="98">
                  <c:v>54.963000000000001</c:v>
                </c:pt>
                <c:pt idx="99">
                  <c:v>53.57</c:v>
                </c:pt>
                <c:pt idx="100">
                  <c:v>53.122999999999998</c:v>
                </c:pt>
                <c:pt idx="101">
                  <c:v>52.731999999999999</c:v>
                </c:pt>
                <c:pt idx="102">
                  <c:v>52.781999999999996</c:v>
                </c:pt>
                <c:pt idx="103">
                  <c:v>52.957000000000001</c:v>
                </c:pt>
                <c:pt idx="104">
                  <c:v>52.01</c:v>
                </c:pt>
                <c:pt idx="105">
                  <c:v>52.637999999999998</c:v>
                </c:pt>
                <c:pt idx="106">
                  <c:v>53.234999999999999</c:v>
                </c:pt>
                <c:pt idx="107">
                  <c:v>52.856999999999999</c:v>
                </c:pt>
                <c:pt idx="108">
                  <c:v>52.051000000000002</c:v>
                </c:pt>
                <c:pt idx="109">
                  <c:v>51.631999999999998</c:v>
                </c:pt>
                <c:pt idx="110">
                  <c:v>53.048000000000002</c:v>
                </c:pt>
                <c:pt idx="111">
                  <c:v>53.430999999999997</c:v>
                </c:pt>
                <c:pt idx="112">
                  <c:v>54.381999999999998</c:v>
                </c:pt>
                <c:pt idx="113">
                  <c:v>55.042000000000002</c:v>
                </c:pt>
                <c:pt idx="114">
                  <c:v>55.860999999999997</c:v>
                </c:pt>
                <c:pt idx="115">
                  <c:v>56.430999999999997</c:v>
                </c:pt>
                <c:pt idx="116">
                  <c:v>56.947000000000003</c:v>
                </c:pt>
                <c:pt idx="117">
                  <c:v>58.823999999999998</c:v>
                </c:pt>
                <c:pt idx="118">
                  <c:v>59.664000000000001</c:v>
                </c:pt>
                <c:pt idx="119">
                  <c:v>57.162999999999997</c:v>
                </c:pt>
                <c:pt idx="120">
                  <c:v>57.28</c:v>
                </c:pt>
                <c:pt idx="121">
                  <c:v>57.76</c:v>
                </c:pt>
                <c:pt idx="122">
                  <c:v>56.991999999999997</c:v>
                </c:pt>
                <c:pt idx="123">
                  <c:v>57.445</c:v>
                </c:pt>
                <c:pt idx="124">
                  <c:v>57.036999999999999</c:v>
                </c:pt>
                <c:pt idx="125">
                  <c:v>56.491999999999997</c:v>
                </c:pt>
                <c:pt idx="126">
                  <c:v>57.054000000000002</c:v>
                </c:pt>
                <c:pt idx="127">
                  <c:v>56.145000000000003</c:v>
                </c:pt>
                <c:pt idx="128">
                  <c:v>55.753999999999998</c:v>
                </c:pt>
                <c:pt idx="129">
                  <c:v>56.56</c:v>
                </c:pt>
                <c:pt idx="130">
                  <c:v>56.515000000000001</c:v>
                </c:pt>
                <c:pt idx="131">
                  <c:v>55.811999999999998</c:v>
                </c:pt>
                <c:pt idx="132">
                  <c:v>55.247</c:v>
                </c:pt>
                <c:pt idx="133">
                  <c:v>54.454999999999998</c:v>
                </c:pt>
                <c:pt idx="134">
                  <c:v>53.332000000000001</c:v>
                </c:pt>
                <c:pt idx="135">
                  <c:v>52.595999999999997</c:v>
                </c:pt>
                <c:pt idx="136">
                  <c:v>51.567</c:v>
                </c:pt>
                <c:pt idx="137">
                  <c:v>51.804000000000002</c:v>
                </c:pt>
                <c:pt idx="138">
                  <c:v>51.917999999999999</c:v>
                </c:pt>
                <c:pt idx="139">
                  <c:v>51.692999999999998</c:v>
                </c:pt>
                <c:pt idx="140">
                  <c:v>52.475000000000001</c:v>
                </c:pt>
                <c:pt idx="141">
                  <c:v>50.890999999999998</c:v>
                </c:pt>
                <c:pt idx="142">
                  <c:v>49.640999999999998</c:v>
                </c:pt>
                <c:pt idx="143">
                  <c:v>48.850999999999999</c:v>
                </c:pt>
                <c:pt idx="144">
                  <c:v>46.473999999999997</c:v>
                </c:pt>
                <c:pt idx="145">
                  <c:v>46.185000000000002</c:v>
                </c:pt>
                <c:pt idx="146">
                  <c:v>46.508000000000003</c:v>
                </c:pt>
                <c:pt idx="147">
                  <c:v>43.292999999999999</c:v>
                </c:pt>
                <c:pt idx="148">
                  <c:v>44.808999999999997</c:v>
                </c:pt>
                <c:pt idx="149">
                  <c:v>44.612000000000002</c:v>
                </c:pt>
                <c:pt idx="150">
                  <c:v>44.787999999999997</c:v>
                </c:pt>
                <c:pt idx="151">
                  <c:v>44.823999999999998</c:v>
                </c:pt>
                <c:pt idx="152">
                  <c:v>43.462000000000003</c:v>
                </c:pt>
                <c:pt idx="153">
                  <c:v>41.805999999999997</c:v>
                </c:pt>
                <c:pt idx="154">
                  <c:v>41.738</c:v>
                </c:pt>
                <c:pt idx="155">
                  <c:v>41.308999999999997</c:v>
                </c:pt>
                <c:pt idx="156">
                  <c:v>39.572000000000003</c:v>
                </c:pt>
                <c:pt idx="157">
                  <c:v>39.75</c:v>
                </c:pt>
                <c:pt idx="158">
                  <c:v>38.402999999999999</c:v>
                </c:pt>
                <c:pt idx="159">
                  <c:v>36.131</c:v>
                </c:pt>
                <c:pt idx="160">
                  <c:v>36.435000000000002</c:v>
                </c:pt>
                <c:pt idx="161">
                  <c:v>34.5</c:v>
                </c:pt>
                <c:pt idx="162">
                  <c:v>34.063000000000002</c:v>
                </c:pt>
                <c:pt idx="163">
                  <c:v>33.646000000000001</c:v>
                </c:pt>
                <c:pt idx="164">
                  <c:v>32.890999999999998</c:v>
                </c:pt>
                <c:pt idx="165">
                  <c:v>32.930999999999997</c:v>
                </c:pt>
                <c:pt idx="166">
                  <c:v>33.442</c:v>
                </c:pt>
                <c:pt idx="167">
                  <c:v>33.220999999999997</c:v>
                </c:pt>
                <c:pt idx="168">
                  <c:v>32.911000000000001</c:v>
                </c:pt>
                <c:pt idx="169">
                  <c:v>31.858000000000001</c:v>
                </c:pt>
                <c:pt idx="170">
                  <c:v>30.675999999999998</c:v>
                </c:pt>
                <c:pt idx="171">
                  <c:v>30.997</c:v>
                </c:pt>
                <c:pt idx="172">
                  <c:v>30.27</c:v>
                </c:pt>
                <c:pt idx="173">
                  <c:v>29.359000000000002</c:v>
                </c:pt>
                <c:pt idx="174">
                  <c:v>29.056999999999999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90-4014-A4AD-5DEE22E8B1E4}"/>
            </c:ext>
          </c:extLst>
        </c:ser>
        <c:ser>
          <c:idx val="10"/>
          <c:order val="10"/>
          <c:tx>
            <c:strRef>
              <c:f>data_ghg_incLUC!$N$2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data_ghg_incLUC!$N$3:$N$177</c:f>
              <c:numCache>
                <c:formatCode>0.0</c:formatCode>
                <c:ptCount val="175"/>
                <c:pt idx="0">
                  <c:v>55.774999999999999</c:v>
                </c:pt>
                <c:pt idx="1">
                  <c:v>56.424999999999997</c:v>
                </c:pt>
                <c:pt idx="2">
                  <c:v>59.725999999999999</c:v>
                </c:pt>
                <c:pt idx="3">
                  <c:v>60.738999999999997</c:v>
                </c:pt>
                <c:pt idx="4">
                  <c:v>62.069000000000003</c:v>
                </c:pt>
                <c:pt idx="5">
                  <c:v>63.018999999999998</c:v>
                </c:pt>
                <c:pt idx="6">
                  <c:v>63.582000000000001</c:v>
                </c:pt>
                <c:pt idx="7">
                  <c:v>63.95</c:v>
                </c:pt>
                <c:pt idx="8">
                  <c:v>64.293999999999997</c:v>
                </c:pt>
                <c:pt idx="9">
                  <c:v>64.754000000000005</c:v>
                </c:pt>
                <c:pt idx="10">
                  <c:v>65.332999999999998</c:v>
                </c:pt>
                <c:pt idx="11">
                  <c:v>65.676000000000002</c:v>
                </c:pt>
                <c:pt idx="12">
                  <c:v>63.954999999999998</c:v>
                </c:pt>
                <c:pt idx="13">
                  <c:v>64.215000000000003</c:v>
                </c:pt>
                <c:pt idx="14">
                  <c:v>64.510999999999996</c:v>
                </c:pt>
                <c:pt idx="15">
                  <c:v>64.751999999999995</c:v>
                </c:pt>
                <c:pt idx="16">
                  <c:v>64.929000000000002</c:v>
                </c:pt>
                <c:pt idx="17">
                  <c:v>65.204999999999998</c:v>
                </c:pt>
                <c:pt idx="18">
                  <c:v>65.320999999999998</c:v>
                </c:pt>
                <c:pt idx="19">
                  <c:v>65.603999999999999</c:v>
                </c:pt>
                <c:pt idx="20">
                  <c:v>65.667000000000002</c:v>
                </c:pt>
                <c:pt idx="21">
                  <c:v>64.730999999999995</c:v>
                </c:pt>
                <c:pt idx="22">
                  <c:v>67.17</c:v>
                </c:pt>
                <c:pt idx="23">
                  <c:v>67.427999999999997</c:v>
                </c:pt>
                <c:pt idx="24">
                  <c:v>67.168000000000006</c:v>
                </c:pt>
                <c:pt idx="25">
                  <c:v>67.600999999999999</c:v>
                </c:pt>
                <c:pt idx="26">
                  <c:v>67.727999999999994</c:v>
                </c:pt>
                <c:pt idx="27">
                  <c:v>67.88</c:v>
                </c:pt>
                <c:pt idx="28">
                  <c:v>67.929000000000002</c:v>
                </c:pt>
                <c:pt idx="29">
                  <c:v>68.314999999999998</c:v>
                </c:pt>
                <c:pt idx="30">
                  <c:v>69.019000000000005</c:v>
                </c:pt>
                <c:pt idx="31">
                  <c:v>67.795000000000002</c:v>
                </c:pt>
                <c:pt idx="32">
                  <c:v>66.510000000000005</c:v>
                </c:pt>
                <c:pt idx="33">
                  <c:v>66.519000000000005</c:v>
                </c:pt>
                <c:pt idx="34">
                  <c:v>66.238</c:v>
                </c:pt>
                <c:pt idx="35">
                  <c:v>65.991</c:v>
                </c:pt>
                <c:pt idx="36">
                  <c:v>65.88</c:v>
                </c:pt>
                <c:pt idx="37">
                  <c:v>65.991</c:v>
                </c:pt>
                <c:pt idx="38">
                  <c:v>66.563999999999993</c:v>
                </c:pt>
                <c:pt idx="39">
                  <c:v>66.373999999999995</c:v>
                </c:pt>
                <c:pt idx="40">
                  <c:v>66.861000000000004</c:v>
                </c:pt>
                <c:pt idx="41">
                  <c:v>67.155000000000001</c:v>
                </c:pt>
                <c:pt idx="42">
                  <c:v>67.382000000000005</c:v>
                </c:pt>
                <c:pt idx="43">
                  <c:v>67.206000000000003</c:v>
                </c:pt>
                <c:pt idx="44">
                  <c:v>66.894999999999996</c:v>
                </c:pt>
                <c:pt idx="45">
                  <c:v>67.241</c:v>
                </c:pt>
                <c:pt idx="46">
                  <c:v>67.38</c:v>
                </c:pt>
                <c:pt idx="47">
                  <c:v>67.664000000000001</c:v>
                </c:pt>
                <c:pt idx="48">
                  <c:v>67.950999999999993</c:v>
                </c:pt>
                <c:pt idx="49">
                  <c:v>68.635000000000005</c:v>
                </c:pt>
                <c:pt idx="50">
                  <c:v>69.054000000000002</c:v>
                </c:pt>
                <c:pt idx="51">
                  <c:v>67.081000000000003</c:v>
                </c:pt>
                <c:pt idx="52">
                  <c:v>65.605999999999995</c:v>
                </c:pt>
                <c:pt idx="53">
                  <c:v>65.325000000000003</c:v>
                </c:pt>
                <c:pt idx="54">
                  <c:v>64.275000000000006</c:v>
                </c:pt>
                <c:pt idx="55">
                  <c:v>63.939</c:v>
                </c:pt>
                <c:pt idx="56">
                  <c:v>63.183999999999997</c:v>
                </c:pt>
                <c:pt idx="57">
                  <c:v>64.241</c:v>
                </c:pt>
                <c:pt idx="58">
                  <c:v>63.231000000000002</c:v>
                </c:pt>
                <c:pt idx="59">
                  <c:v>63.436</c:v>
                </c:pt>
                <c:pt idx="60">
                  <c:v>63.761000000000003</c:v>
                </c:pt>
                <c:pt idx="61">
                  <c:v>65.108999999999995</c:v>
                </c:pt>
                <c:pt idx="62">
                  <c:v>65.855000000000004</c:v>
                </c:pt>
                <c:pt idx="63">
                  <c:v>67.515000000000001</c:v>
                </c:pt>
                <c:pt idx="64">
                  <c:v>66.355999999999995</c:v>
                </c:pt>
                <c:pt idx="65">
                  <c:v>66.286000000000001</c:v>
                </c:pt>
                <c:pt idx="66">
                  <c:v>66.953000000000003</c:v>
                </c:pt>
                <c:pt idx="67">
                  <c:v>67.114000000000004</c:v>
                </c:pt>
                <c:pt idx="68">
                  <c:v>66.602000000000004</c:v>
                </c:pt>
                <c:pt idx="69">
                  <c:v>64.134</c:v>
                </c:pt>
                <c:pt idx="70">
                  <c:v>65.608999999999995</c:v>
                </c:pt>
                <c:pt idx="71">
                  <c:v>62.036000000000001</c:v>
                </c:pt>
                <c:pt idx="72">
                  <c:v>61.938000000000002</c:v>
                </c:pt>
                <c:pt idx="73">
                  <c:v>63.238999999999997</c:v>
                </c:pt>
                <c:pt idx="74">
                  <c:v>62.713000000000001</c:v>
                </c:pt>
                <c:pt idx="75">
                  <c:v>62.5</c:v>
                </c:pt>
                <c:pt idx="76">
                  <c:v>62.048999999999999</c:v>
                </c:pt>
                <c:pt idx="77">
                  <c:v>63.762999999999998</c:v>
                </c:pt>
                <c:pt idx="78">
                  <c:v>63.316000000000003</c:v>
                </c:pt>
                <c:pt idx="79">
                  <c:v>64.38</c:v>
                </c:pt>
                <c:pt idx="80">
                  <c:v>63.838999999999999</c:v>
                </c:pt>
                <c:pt idx="81">
                  <c:v>61.927999999999997</c:v>
                </c:pt>
                <c:pt idx="82">
                  <c:v>58.710999999999999</c:v>
                </c:pt>
                <c:pt idx="83">
                  <c:v>58.932000000000002</c:v>
                </c:pt>
                <c:pt idx="84">
                  <c:v>59.585999999999999</c:v>
                </c:pt>
                <c:pt idx="85">
                  <c:v>59.671999999999997</c:v>
                </c:pt>
                <c:pt idx="86">
                  <c:v>60.267000000000003</c:v>
                </c:pt>
                <c:pt idx="87">
                  <c:v>60.405999999999999</c:v>
                </c:pt>
                <c:pt idx="88">
                  <c:v>58.939</c:v>
                </c:pt>
                <c:pt idx="89">
                  <c:v>59.3</c:v>
                </c:pt>
                <c:pt idx="90">
                  <c:v>60.07</c:v>
                </c:pt>
                <c:pt idx="91">
                  <c:v>59.987000000000002</c:v>
                </c:pt>
                <c:pt idx="92">
                  <c:v>60.13</c:v>
                </c:pt>
                <c:pt idx="93">
                  <c:v>59.857999999999997</c:v>
                </c:pt>
                <c:pt idx="94">
                  <c:v>58.847000000000001</c:v>
                </c:pt>
                <c:pt idx="95">
                  <c:v>54.973999999999997</c:v>
                </c:pt>
                <c:pt idx="96">
                  <c:v>54.113999999999997</c:v>
                </c:pt>
                <c:pt idx="97">
                  <c:v>55.820999999999998</c:v>
                </c:pt>
                <c:pt idx="98">
                  <c:v>56.43</c:v>
                </c:pt>
                <c:pt idx="99">
                  <c:v>55.027999999999999</c:v>
                </c:pt>
                <c:pt idx="100">
                  <c:v>56.981999999999999</c:v>
                </c:pt>
                <c:pt idx="101">
                  <c:v>58.113</c:v>
                </c:pt>
                <c:pt idx="102">
                  <c:v>57.152999999999999</c:v>
                </c:pt>
                <c:pt idx="103">
                  <c:v>57.527000000000001</c:v>
                </c:pt>
                <c:pt idx="104">
                  <c:v>57.134</c:v>
                </c:pt>
                <c:pt idx="105">
                  <c:v>57.661999999999999</c:v>
                </c:pt>
                <c:pt idx="106">
                  <c:v>58.231999999999999</c:v>
                </c:pt>
                <c:pt idx="107">
                  <c:v>58.165999999999997</c:v>
                </c:pt>
                <c:pt idx="108">
                  <c:v>57.496000000000002</c:v>
                </c:pt>
                <c:pt idx="109">
                  <c:v>56.28</c:v>
                </c:pt>
                <c:pt idx="110">
                  <c:v>56.72</c:v>
                </c:pt>
                <c:pt idx="111">
                  <c:v>56.569000000000003</c:v>
                </c:pt>
                <c:pt idx="112">
                  <c:v>57.628999999999998</c:v>
                </c:pt>
                <c:pt idx="113">
                  <c:v>58.155000000000001</c:v>
                </c:pt>
                <c:pt idx="114">
                  <c:v>58.551000000000002</c:v>
                </c:pt>
                <c:pt idx="115">
                  <c:v>58.508000000000003</c:v>
                </c:pt>
                <c:pt idx="116">
                  <c:v>58.595999999999997</c:v>
                </c:pt>
                <c:pt idx="117">
                  <c:v>59.283999999999999</c:v>
                </c:pt>
                <c:pt idx="118">
                  <c:v>59.991</c:v>
                </c:pt>
                <c:pt idx="119">
                  <c:v>60.198999999999998</c:v>
                </c:pt>
                <c:pt idx="120">
                  <c:v>59.896999999999998</c:v>
                </c:pt>
                <c:pt idx="121">
                  <c:v>59.859000000000002</c:v>
                </c:pt>
                <c:pt idx="122">
                  <c:v>60.293999999999997</c:v>
                </c:pt>
                <c:pt idx="123">
                  <c:v>60.161999999999999</c:v>
                </c:pt>
                <c:pt idx="124">
                  <c:v>59.594999999999999</c:v>
                </c:pt>
                <c:pt idx="125">
                  <c:v>58.652999999999999</c:v>
                </c:pt>
                <c:pt idx="126">
                  <c:v>58.767000000000003</c:v>
                </c:pt>
                <c:pt idx="127">
                  <c:v>58.319000000000003</c:v>
                </c:pt>
                <c:pt idx="128">
                  <c:v>58.171999999999997</c:v>
                </c:pt>
                <c:pt idx="129">
                  <c:v>58.091000000000001</c:v>
                </c:pt>
                <c:pt idx="130">
                  <c:v>57.866999999999997</c:v>
                </c:pt>
                <c:pt idx="131">
                  <c:v>57.137999999999998</c:v>
                </c:pt>
                <c:pt idx="132">
                  <c:v>54.948999999999998</c:v>
                </c:pt>
                <c:pt idx="133">
                  <c:v>54.198999999999998</c:v>
                </c:pt>
                <c:pt idx="134">
                  <c:v>53.725000000000001</c:v>
                </c:pt>
                <c:pt idx="135">
                  <c:v>53.360999999999997</c:v>
                </c:pt>
                <c:pt idx="136">
                  <c:v>52.793999999999997</c:v>
                </c:pt>
                <c:pt idx="137">
                  <c:v>52.491</c:v>
                </c:pt>
                <c:pt idx="138">
                  <c:v>52.139000000000003</c:v>
                </c:pt>
                <c:pt idx="139">
                  <c:v>51.667999999999999</c:v>
                </c:pt>
                <c:pt idx="140">
                  <c:v>52.75</c:v>
                </c:pt>
                <c:pt idx="141">
                  <c:v>50.487000000000002</c:v>
                </c:pt>
                <c:pt idx="142">
                  <c:v>49.298000000000002</c:v>
                </c:pt>
                <c:pt idx="143">
                  <c:v>48.055</c:v>
                </c:pt>
                <c:pt idx="144">
                  <c:v>50.387999999999998</c:v>
                </c:pt>
                <c:pt idx="145">
                  <c:v>48.292999999999999</c:v>
                </c:pt>
                <c:pt idx="146">
                  <c:v>49.276000000000003</c:v>
                </c:pt>
                <c:pt idx="147">
                  <c:v>48.808999999999997</c:v>
                </c:pt>
                <c:pt idx="148">
                  <c:v>48.533999999999999</c:v>
                </c:pt>
                <c:pt idx="149">
                  <c:v>47.378</c:v>
                </c:pt>
                <c:pt idx="150">
                  <c:v>48.316000000000003</c:v>
                </c:pt>
                <c:pt idx="151">
                  <c:v>47.34</c:v>
                </c:pt>
                <c:pt idx="152">
                  <c:v>46.076999999999998</c:v>
                </c:pt>
                <c:pt idx="153">
                  <c:v>43.491999999999997</c:v>
                </c:pt>
                <c:pt idx="154">
                  <c:v>41.058</c:v>
                </c:pt>
                <c:pt idx="155">
                  <c:v>40.976999999999997</c:v>
                </c:pt>
                <c:pt idx="156">
                  <c:v>40.265999999999998</c:v>
                </c:pt>
                <c:pt idx="157">
                  <c:v>40.325000000000003</c:v>
                </c:pt>
                <c:pt idx="158">
                  <c:v>38.962000000000003</c:v>
                </c:pt>
                <c:pt idx="159">
                  <c:v>37.015000000000001</c:v>
                </c:pt>
                <c:pt idx="160">
                  <c:v>36.976999999999997</c:v>
                </c:pt>
                <c:pt idx="161">
                  <c:v>35.255000000000003</c:v>
                </c:pt>
                <c:pt idx="162">
                  <c:v>34.832999999999998</c:v>
                </c:pt>
                <c:pt idx="163">
                  <c:v>33.954000000000001</c:v>
                </c:pt>
                <c:pt idx="164">
                  <c:v>33.353000000000002</c:v>
                </c:pt>
                <c:pt idx="165">
                  <c:v>32.283999999999999</c:v>
                </c:pt>
                <c:pt idx="166">
                  <c:v>32.253</c:v>
                </c:pt>
                <c:pt idx="167">
                  <c:v>31.817</c:v>
                </c:pt>
                <c:pt idx="168">
                  <c:v>32.18</c:v>
                </c:pt>
                <c:pt idx="169">
                  <c:v>31.181999999999999</c:v>
                </c:pt>
                <c:pt idx="170">
                  <c:v>29.655000000000001</c:v>
                </c:pt>
                <c:pt idx="171">
                  <c:v>29.86</c:v>
                </c:pt>
                <c:pt idx="172">
                  <c:v>27.812999999999999</c:v>
                </c:pt>
                <c:pt idx="173">
                  <c:v>26.652999999999999</c:v>
                </c:pt>
                <c:pt idx="174">
                  <c:v>32.228999999999999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90-4014-A4AD-5DEE22E8B1E4}"/>
            </c:ext>
          </c:extLst>
        </c:ser>
        <c:ser>
          <c:idx val="11"/>
          <c:order val="11"/>
          <c:tx>
            <c:strRef>
              <c:f>data_ghg_incLUC!$O$2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data_ghg_incLUC!$O$3:$O$177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90-4014-A4AD-5DEE22E8B1E4}"/>
            </c:ext>
          </c:extLst>
        </c:ser>
        <c:ser>
          <c:idx val="12"/>
          <c:order val="12"/>
          <c:tx>
            <c:v>Annex I</c:v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90-4014-A4AD-5DEE22E8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Annual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40777-1CE6-8BED-B5A7-C90BCC70C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CA58-BD07-4FB2-B3AF-83AF85AB1728}">
  <sheetPr>
    <tabColor rgb="FF0B4C5B"/>
  </sheetPr>
  <dimension ref="A1:S179"/>
  <sheetViews>
    <sheetView workbookViewId="0"/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9" ht="30" customHeight="1" x14ac:dyDescent="0.35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9" x14ac:dyDescent="0.3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3" t="s">
        <v>9</v>
      </c>
      <c r="J2" s="3" t="s">
        <v>11</v>
      </c>
      <c r="K2" s="3"/>
      <c r="L2" s="3"/>
      <c r="M2" s="3" t="s">
        <v>10</v>
      </c>
      <c r="N2" s="3" t="s">
        <v>12</v>
      </c>
      <c r="O2" s="3"/>
      <c r="P2" s="3"/>
      <c r="Q2" s="4"/>
      <c r="S2" t="s">
        <v>8</v>
      </c>
    </row>
    <row r="3" spans="1:19" x14ac:dyDescent="0.35">
      <c r="A3" s="9">
        <v>1850</v>
      </c>
      <c r="B3" s="10">
        <f t="shared" ref="B3:B34" si="0">IFERROR(MIN(I3:L3),"")</f>
        <v>36.118000000000002</v>
      </c>
      <c r="C3" s="10">
        <f t="shared" ref="C3:C34" si="1">IFERROR(MAX(I3:L3),"")</f>
        <v>41.506</v>
      </c>
      <c r="D3" s="10">
        <f t="shared" ref="D3:D34" si="2">IFERROR(MIN(M3:P3),"")</f>
        <v>54.173999999999999</v>
      </c>
      <c r="E3" s="10">
        <f t="shared" ref="E3:E34" si="3">IFERROR(MAX(M3:P3),"")</f>
        <v>55.774999999999999</v>
      </c>
      <c r="F3" s="10">
        <f t="shared" ref="F3:F34" si="4">IFERROR(MIN(C3,D3)-B3,"")</f>
        <v>5.3879999999999981</v>
      </c>
      <c r="G3" s="10">
        <f t="shared" ref="G3:G34" si="5">IFERROR(MAX(0,C3-D3),"")</f>
        <v>0</v>
      </c>
      <c r="H3" s="10">
        <f t="shared" ref="H3:H34" si="6">IFERROR(MAX(0,D3-C3),"")</f>
        <v>12.667999999999999</v>
      </c>
      <c r="I3" s="11">
        <v>36.118000000000002</v>
      </c>
      <c r="J3" s="11">
        <v>41.506</v>
      </c>
      <c r="K3" s="11"/>
      <c r="L3" s="11"/>
      <c r="M3" s="11">
        <v>54.173999999999999</v>
      </c>
      <c r="N3" s="11">
        <v>55.774999999999999</v>
      </c>
      <c r="O3" s="11"/>
      <c r="P3" s="11"/>
      <c r="Q3" s="5"/>
      <c r="S3">
        <f t="shared" ref="S3:S34" si="7">IFERROR(MAX(0,$E3-MAX($C3,$D3)),"")</f>
        <v>1.6009999999999991</v>
      </c>
    </row>
    <row r="4" spans="1:19" x14ac:dyDescent="0.35">
      <c r="A4" s="6">
        <v>1851</v>
      </c>
      <c r="B4" s="7">
        <f t="shared" si="0"/>
        <v>36.279000000000003</v>
      </c>
      <c r="C4" s="7">
        <f t="shared" si="1"/>
        <v>42.009</v>
      </c>
      <c r="D4" s="7">
        <f t="shared" si="2"/>
        <v>53.896000000000001</v>
      </c>
      <c r="E4" s="7">
        <f t="shared" si="3"/>
        <v>56.424999999999997</v>
      </c>
      <c r="F4" s="7">
        <f t="shared" si="4"/>
        <v>5.7299999999999969</v>
      </c>
      <c r="G4" s="7">
        <f t="shared" si="5"/>
        <v>0</v>
      </c>
      <c r="H4" s="7">
        <f t="shared" si="6"/>
        <v>11.887</v>
      </c>
      <c r="I4" s="8">
        <v>36.279000000000003</v>
      </c>
      <c r="J4" s="8">
        <v>42.009</v>
      </c>
      <c r="K4" s="8"/>
      <c r="L4" s="8"/>
      <c r="M4" s="8">
        <v>53.896000000000001</v>
      </c>
      <c r="N4" s="8">
        <v>56.424999999999997</v>
      </c>
      <c r="O4" s="8"/>
      <c r="P4" s="8"/>
      <c r="Q4" s="5"/>
      <c r="S4">
        <f t="shared" si="7"/>
        <v>2.5289999999999964</v>
      </c>
    </row>
    <row r="5" spans="1:19" x14ac:dyDescent="0.35">
      <c r="A5" s="9">
        <v>1852</v>
      </c>
      <c r="B5" s="10">
        <f t="shared" si="0"/>
        <v>36.048000000000002</v>
      </c>
      <c r="C5" s="10">
        <f t="shared" si="1"/>
        <v>46.02</v>
      </c>
      <c r="D5" s="10">
        <f t="shared" si="2"/>
        <v>54.095999999999997</v>
      </c>
      <c r="E5" s="10">
        <f t="shared" si="3"/>
        <v>59.725999999999999</v>
      </c>
      <c r="F5" s="10">
        <f t="shared" si="4"/>
        <v>9.9720000000000013</v>
      </c>
      <c r="G5" s="10">
        <f t="shared" si="5"/>
        <v>0</v>
      </c>
      <c r="H5" s="10">
        <f t="shared" si="6"/>
        <v>8.0759999999999934</v>
      </c>
      <c r="I5" s="11">
        <v>36.048000000000002</v>
      </c>
      <c r="J5" s="11">
        <v>46.02</v>
      </c>
      <c r="K5" s="11"/>
      <c r="L5" s="11"/>
      <c r="M5" s="11">
        <v>54.095999999999997</v>
      </c>
      <c r="N5" s="11">
        <v>59.725999999999999</v>
      </c>
      <c r="O5" s="11"/>
      <c r="P5" s="11"/>
      <c r="Q5" s="5"/>
      <c r="S5">
        <f t="shared" si="7"/>
        <v>5.6300000000000026</v>
      </c>
    </row>
    <row r="6" spans="1:19" x14ac:dyDescent="0.35">
      <c r="A6" s="6">
        <v>1853</v>
      </c>
      <c r="B6" s="7">
        <f t="shared" si="0"/>
        <v>36.9</v>
      </c>
      <c r="C6" s="7">
        <f t="shared" si="1"/>
        <v>46.987000000000002</v>
      </c>
      <c r="D6" s="7">
        <f t="shared" si="2"/>
        <v>54.268999999999998</v>
      </c>
      <c r="E6" s="7">
        <f t="shared" si="3"/>
        <v>60.738999999999997</v>
      </c>
      <c r="F6" s="7">
        <f t="shared" si="4"/>
        <v>10.087000000000003</v>
      </c>
      <c r="G6" s="7">
        <f t="shared" si="5"/>
        <v>0</v>
      </c>
      <c r="H6" s="7">
        <f t="shared" si="6"/>
        <v>7.2819999999999965</v>
      </c>
      <c r="I6" s="8">
        <v>36.9</v>
      </c>
      <c r="J6" s="8">
        <v>46.987000000000002</v>
      </c>
      <c r="K6" s="8"/>
      <c r="L6" s="8"/>
      <c r="M6" s="8">
        <v>54.268999999999998</v>
      </c>
      <c r="N6" s="8">
        <v>60.738999999999997</v>
      </c>
      <c r="O6" s="8"/>
      <c r="P6" s="8"/>
      <c r="Q6" s="5"/>
      <c r="S6">
        <f t="shared" si="7"/>
        <v>6.4699999999999989</v>
      </c>
    </row>
    <row r="7" spans="1:19" x14ac:dyDescent="0.35">
      <c r="A7" s="9">
        <v>1854</v>
      </c>
      <c r="B7" s="10">
        <f t="shared" si="0"/>
        <v>37.71</v>
      </c>
      <c r="C7" s="10">
        <f t="shared" si="1"/>
        <v>48.374000000000002</v>
      </c>
      <c r="D7" s="10">
        <f t="shared" si="2"/>
        <v>55.323999999999998</v>
      </c>
      <c r="E7" s="10">
        <f t="shared" si="3"/>
        <v>62.069000000000003</v>
      </c>
      <c r="F7" s="10">
        <f t="shared" si="4"/>
        <v>10.664000000000001</v>
      </c>
      <c r="G7" s="10">
        <f t="shared" si="5"/>
        <v>0</v>
      </c>
      <c r="H7" s="10">
        <f t="shared" si="6"/>
        <v>6.9499999999999957</v>
      </c>
      <c r="I7" s="11">
        <v>37.71</v>
      </c>
      <c r="J7" s="11">
        <v>48.374000000000002</v>
      </c>
      <c r="K7" s="11"/>
      <c r="L7" s="11"/>
      <c r="M7" s="11">
        <v>55.323999999999998</v>
      </c>
      <c r="N7" s="11">
        <v>62.069000000000003</v>
      </c>
      <c r="O7" s="11"/>
      <c r="P7" s="11"/>
      <c r="Q7" s="5"/>
      <c r="S7">
        <f t="shared" si="7"/>
        <v>6.7450000000000045</v>
      </c>
    </row>
    <row r="8" spans="1:19" x14ac:dyDescent="0.35">
      <c r="A8" s="6">
        <v>1855</v>
      </c>
      <c r="B8" s="7">
        <f t="shared" si="0"/>
        <v>37.610999999999997</v>
      </c>
      <c r="C8" s="7">
        <f t="shared" si="1"/>
        <v>49.223999999999997</v>
      </c>
      <c r="D8" s="7">
        <f t="shared" si="2"/>
        <v>55.113999999999997</v>
      </c>
      <c r="E8" s="7">
        <f t="shared" si="3"/>
        <v>63.018999999999998</v>
      </c>
      <c r="F8" s="7">
        <f t="shared" si="4"/>
        <v>11.613</v>
      </c>
      <c r="G8" s="7">
        <f t="shared" si="5"/>
        <v>0</v>
      </c>
      <c r="H8" s="7">
        <f t="shared" si="6"/>
        <v>5.8900000000000006</v>
      </c>
      <c r="I8" s="8">
        <v>37.610999999999997</v>
      </c>
      <c r="J8" s="8">
        <v>49.223999999999997</v>
      </c>
      <c r="K8" s="8"/>
      <c r="L8" s="8"/>
      <c r="M8" s="8">
        <v>55.113999999999997</v>
      </c>
      <c r="N8" s="8">
        <v>63.018999999999998</v>
      </c>
      <c r="O8" s="8"/>
      <c r="P8" s="8"/>
      <c r="Q8" s="5"/>
      <c r="S8">
        <f t="shared" si="7"/>
        <v>7.9050000000000011</v>
      </c>
    </row>
    <row r="9" spans="1:19" x14ac:dyDescent="0.35">
      <c r="A9" s="9">
        <v>1856</v>
      </c>
      <c r="B9" s="10">
        <f t="shared" si="0"/>
        <v>37.923000000000002</v>
      </c>
      <c r="C9" s="10">
        <f t="shared" si="1"/>
        <v>49.85</v>
      </c>
      <c r="D9" s="10">
        <f t="shared" si="2"/>
        <v>55.427999999999997</v>
      </c>
      <c r="E9" s="10">
        <f t="shared" si="3"/>
        <v>63.582000000000001</v>
      </c>
      <c r="F9" s="10">
        <f t="shared" si="4"/>
        <v>11.927</v>
      </c>
      <c r="G9" s="10">
        <f t="shared" si="5"/>
        <v>0</v>
      </c>
      <c r="H9" s="10">
        <f t="shared" si="6"/>
        <v>5.5779999999999959</v>
      </c>
      <c r="I9" s="11">
        <v>37.923000000000002</v>
      </c>
      <c r="J9" s="11">
        <v>49.85</v>
      </c>
      <c r="K9" s="11"/>
      <c r="L9" s="11"/>
      <c r="M9" s="11">
        <v>55.427999999999997</v>
      </c>
      <c r="N9" s="11">
        <v>63.582000000000001</v>
      </c>
      <c r="O9" s="11"/>
      <c r="P9" s="11"/>
      <c r="Q9" s="5"/>
      <c r="S9">
        <f t="shared" si="7"/>
        <v>8.1540000000000035</v>
      </c>
    </row>
    <row r="10" spans="1:19" x14ac:dyDescent="0.35">
      <c r="A10" s="6">
        <v>1857</v>
      </c>
      <c r="B10" s="7">
        <f t="shared" si="0"/>
        <v>37.997</v>
      </c>
      <c r="C10" s="7">
        <f t="shared" si="1"/>
        <v>50.225000000000001</v>
      </c>
      <c r="D10" s="7">
        <f t="shared" si="2"/>
        <v>55.558</v>
      </c>
      <c r="E10" s="7">
        <f t="shared" si="3"/>
        <v>63.95</v>
      </c>
      <c r="F10" s="7">
        <f t="shared" si="4"/>
        <v>12.228000000000002</v>
      </c>
      <c r="G10" s="7">
        <f t="shared" si="5"/>
        <v>0</v>
      </c>
      <c r="H10" s="7">
        <f t="shared" si="6"/>
        <v>5.3329999999999984</v>
      </c>
      <c r="I10" s="8">
        <v>37.997</v>
      </c>
      <c r="J10" s="8">
        <v>50.225000000000001</v>
      </c>
      <c r="K10" s="8"/>
      <c r="L10" s="8"/>
      <c r="M10" s="8">
        <v>55.558</v>
      </c>
      <c r="N10" s="8">
        <v>63.95</v>
      </c>
      <c r="O10" s="8"/>
      <c r="P10" s="8"/>
      <c r="Q10" s="5"/>
      <c r="S10">
        <f t="shared" si="7"/>
        <v>8.392000000000003</v>
      </c>
    </row>
    <row r="11" spans="1:19" x14ac:dyDescent="0.35">
      <c r="A11" s="9">
        <v>1858</v>
      </c>
      <c r="B11" s="10">
        <f t="shared" si="0"/>
        <v>38.378</v>
      </c>
      <c r="C11" s="10">
        <f t="shared" si="1"/>
        <v>50.564</v>
      </c>
      <c r="D11" s="10">
        <f t="shared" si="2"/>
        <v>55.905999999999999</v>
      </c>
      <c r="E11" s="10">
        <f t="shared" si="3"/>
        <v>64.293999999999997</v>
      </c>
      <c r="F11" s="10">
        <f t="shared" si="4"/>
        <v>12.186</v>
      </c>
      <c r="G11" s="10">
        <f t="shared" si="5"/>
        <v>0</v>
      </c>
      <c r="H11" s="10">
        <f t="shared" si="6"/>
        <v>5.3419999999999987</v>
      </c>
      <c r="I11" s="11">
        <v>38.378</v>
      </c>
      <c r="J11" s="11">
        <v>50.564</v>
      </c>
      <c r="K11" s="11"/>
      <c r="L11" s="11"/>
      <c r="M11" s="11">
        <v>55.905999999999999</v>
      </c>
      <c r="N11" s="11">
        <v>64.293999999999997</v>
      </c>
      <c r="O11" s="11"/>
      <c r="P11" s="11"/>
      <c r="Q11" s="5"/>
      <c r="S11">
        <f t="shared" si="7"/>
        <v>8.3879999999999981</v>
      </c>
    </row>
    <row r="12" spans="1:19" x14ac:dyDescent="0.35">
      <c r="A12" s="6">
        <v>1859</v>
      </c>
      <c r="B12" s="7">
        <f t="shared" si="0"/>
        <v>38.863</v>
      </c>
      <c r="C12" s="7">
        <f t="shared" si="1"/>
        <v>51.106000000000002</v>
      </c>
      <c r="D12" s="7">
        <f t="shared" si="2"/>
        <v>56.305</v>
      </c>
      <c r="E12" s="7">
        <f t="shared" si="3"/>
        <v>64.754000000000005</v>
      </c>
      <c r="F12" s="7">
        <f t="shared" si="4"/>
        <v>12.243000000000002</v>
      </c>
      <c r="G12" s="7">
        <f t="shared" si="5"/>
        <v>0</v>
      </c>
      <c r="H12" s="7">
        <f t="shared" si="6"/>
        <v>5.1989999999999981</v>
      </c>
      <c r="I12" s="8">
        <v>38.863</v>
      </c>
      <c r="J12" s="8">
        <v>51.106000000000002</v>
      </c>
      <c r="K12" s="8"/>
      <c r="L12" s="8"/>
      <c r="M12" s="8">
        <v>56.305</v>
      </c>
      <c r="N12" s="8">
        <v>64.754000000000005</v>
      </c>
      <c r="O12" s="8"/>
      <c r="P12" s="8"/>
      <c r="Q12" s="5"/>
      <c r="S12">
        <f t="shared" si="7"/>
        <v>8.4490000000000052</v>
      </c>
    </row>
    <row r="13" spans="1:19" x14ac:dyDescent="0.35">
      <c r="A13" s="9">
        <v>1860</v>
      </c>
      <c r="B13" s="10">
        <f t="shared" si="0"/>
        <v>40.182000000000002</v>
      </c>
      <c r="C13" s="10">
        <f t="shared" si="1"/>
        <v>51.779000000000003</v>
      </c>
      <c r="D13" s="10">
        <f t="shared" si="2"/>
        <v>57.786999999999999</v>
      </c>
      <c r="E13" s="10">
        <f t="shared" si="3"/>
        <v>65.332999999999998</v>
      </c>
      <c r="F13" s="10">
        <f t="shared" si="4"/>
        <v>11.597000000000001</v>
      </c>
      <c r="G13" s="10">
        <f t="shared" si="5"/>
        <v>0</v>
      </c>
      <c r="H13" s="10">
        <f t="shared" si="6"/>
        <v>6.0079999999999956</v>
      </c>
      <c r="I13" s="11">
        <v>40.182000000000002</v>
      </c>
      <c r="J13" s="11">
        <v>51.779000000000003</v>
      </c>
      <c r="K13" s="11"/>
      <c r="L13" s="11"/>
      <c r="M13" s="11">
        <v>57.786999999999999</v>
      </c>
      <c r="N13" s="11">
        <v>65.332999999999998</v>
      </c>
      <c r="O13" s="11"/>
      <c r="P13" s="11"/>
      <c r="Q13" s="5"/>
      <c r="S13">
        <f t="shared" si="7"/>
        <v>7.5459999999999994</v>
      </c>
    </row>
    <row r="14" spans="1:19" x14ac:dyDescent="0.35">
      <c r="A14" s="6">
        <v>1861</v>
      </c>
      <c r="B14" s="7">
        <f t="shared" si="0"/>
        <v>40.095999999999997</v>
      </c>
      <c r="C14" s="7">
        <f t="shared" si="1"/>
        <v>51.932000000000002</v>
      </c>
      <c r="D14" s="7">
        <f t="shared" si="2"/>
        <v>58.191000000000003</v>
      </c>
      <c r="E14" s="7">
        <f t="shared" si="3"/>
        <v>65.676000000000002</v>
      </c>
      <c r="F14" s="7">
        <f t="shared" si="4"/>
        <v>11.836000000000006</v>
      </c>
      <c r="G14" s="7">
        <f t="shared" si="5"/>
        <v>0</v>
      </c>
      <c r="H14" s="7">
        <f t="shared" si="6"/>
        <v>6.2590000000000003</v>
      </c>
      <c r="I14" s="8">
        <v>40.095999999999997</v>
      </c>
      <c r="J14" s="8">
        <v>51.932000000000002</v>
      </c>
      <c r="K14" s="8"/>
      <c r="L14" s="8"/>
      <c r="M14" s="8">
        <v>58.191000000000003</v>
      </c>
      <c r="N14" s="8">
        <v>65.676000000000002</v>
      </c>
      <c r="O14" s="8"/>
      <c r="P14" s="8"/>
      <c r="Q14" s="5"/>
      <c r="S14">
        <f t="shared" si="7"/>
        <v>7.4849999999999994</v>
      </c>
    </row>
    <row r="15" spans="1:19" x14ac:dyDescent="0.35">
      <c r="A15" s="9">
        <v>1862</v>
      </c>
      <c r="B15" s="10">
        <f t="shared" si="0"/>
        <v>40.817</v>
      </c>
      <c r="C15" s="10">
        <f t="shared" si="1"/>
        <v>50.085999999999999</v>
      </c>
      <c r="D15" s="10">
        <f t="shared" si="2"/>
        <v>59.027999999999999</v>
      </c>
      <c r="E15" s="10">
        <f t="shared" si="3"/>
        <v>63.954999999999998</v>
      </c>
      <c r="F15" s="10">
        <f t="shared" si="4"/>
        <v>9.2689999999999984</v>
      </c>
      <c r="G15" s="10">
        <f t="shared" si="5"/>
        <v>0</v>
      </c>
      <c r="H15" s="10">
        <f t="shared" si="6"/>
        <v>8.9420000000000002</v>
      </c>
      <c r="I15" s="11">
        <v>40.817</v>
      </c>
      <c r="J15" s="11">
        <v>50.085999999999999</v>
      </c>
      <c r="K15" s="11"/>
      <c r="L15" s="11"/>
      <c r="M15" s="11">
        <v>59.027999999999999</v>
      </c>
      <c r="N15" s="11">
        <v>63.954999999999998</v>
      </c>
      <c r="O15" s="11"/>
      <c r="P15" s="11"/>
      <c r="Q15" s="5"/>
      <c r="S15">
        <f t="shared" si="7"/>
        <v>4.9269999999999996</v>
      </c>
    </row>
    <row r="16" spans="1:19" x14ac:dyDescent="0.35">
      <c r="A16" s="6">
        <v>1863</v>
      </c>
      <c r="B16" s="7">
        <f t="shared" si="0"/>
        <v>41.436999999999998</v>
      </c>
      <c r="C16" s="7">
        <f t="shared" si="1"/>
        <v>50.31</v>
      </c>
      <c r="D16" s="7">
        <f t="shared" si="2"/>
        <v>59.399000000000001</v>
      </c>
      <c r="E16" s="7">
        <f t="shared" si="3"/>
        <v>64.215000000000003</v>
      </c>
      <c r="F16" s="7">
        <f t="shared" si="4"/>
        <v>8.8730000000000047</v>
      </c>
      <c r="G16" s="7">
        <f t="shared" si="5"/>
        <v>0</v>
      </c>
      <c r="H16" s="7">
        <f t="shared" si="6"/>
        <v>9.0889999999999986</v>
      </c>
      <c r="I16" s="8">
        <v>41.436999999999998</v>
      </c>
      <c r="J16" s="8">
        <v>50.31</v>
      </c>
      <c r="K16" s="8"/>
      <c r="L16" s="8"/>
      <c r="M16" s="8">
        <v>59.399000000000001</v>
      </c>
      <c r="N16" s="8">
        <v>64.215000000000003</v>
      </c>
      <c r="O16" s="8"/>
      <c r="P16" s="8"/>
      <c r="Q16" s="5"/>
      <c r="S16">
        <f t="shared" si="7"/>
        <v>4.8160000000000025</v>
      </c>
    </row>
    <row r="17" spans="1:19" x14ac:dyDescent="0.35">
      <c r="A17" s="9">
        <v>1864</v>
      </c>
      <c r="B17" s="10">
        <f t="shared" si="0"/>
        <v>41.207000000000001</v>
      </c>
      <c r="C17" s="10">
        <f t="shared" si="1"/>
        <v>50.622</v>
      </c>
      <c r="D17" s="10">
        <f t="shared" si="2"/>
        <v>59.811</v>
      </c>
      <c r="E17" s="10">
        <f t="shared" si="3"/>
        <v>64.510999999999996</v>
      </c>
      <c r="F17" s="10">
        <f t="shared" si="4"/>
        <v>9.4149999999999991</v>
      </c>
      <c r="G17" s="10">
        <f t="shared" si="5"/>
        <v>0</v>
      </c>
      <c r="H17" s="10">
        <f t="shared" si="6"/>
        <v>9.1890000000000001</v>
      </c>
      <c r="I17" s="11">
        <v>41.207000000000001</v>
      </c>
      <c r="J17" s="11">
        <v>50.622</v>
      </c>
      <c r="K17" s="11"/>
      <c r="L17" s="11"/>
      <c r="M17" s="11">
        <v>59.811</v>
      </c>
      <c r="N17" s="11">
        <v>64.510999999999996</v>
      </c>
      <c r="O17" s="11"/>
      <c r="P17" s="11"/>
      <c r="Q17" s="5"/>
      <c r="S17">
        <f t="shared" si="7"/>
        <v>4.6999999999999957</v>
      </c>
    </row>
    <row r="18" spans="1:19" x14ac:dyDescent="0.35">
      <c r="A18" s="6">
        <v>1865</v>
      </c>
      <c r="B18" s="7">
        <f t="shared" si="0"/>
        <v>41.728000000000002</v>
      </c>
      <c r="C18" s="7">
        <f t="shared" si="1"/>
        <v>50.863999999999997</v>
      </c>
      <c r="D18" s="7">
        <f t="shared" si="2"/>
        <v>60.158999999999999</v>
      </c>
      <c r="E18" s="7">
        <f t="shared" si="3"/>
        <v>64.751999999999995</v>
      </c>
      <c r="F18" s="7">
        <f t="shared" si="4"/>
        <v>9.1359999999999957</v>
      </c>
      <c r="G18" s="7">
        <f t="shared" si="5"/>
        <v>0</v>
      </c>
      <c r="H18" s="7">
        <f t="shared" si="6"/>
        <v>9.2950000000000017</v>
      </c>
      <c r="I18" s="8">
        <v>41.728000000000002</v>
      </c>
      <c r="J18" s="8">
        <v>50.863999999999997</v>
      </c>
      <c r="K18" s="8"/>
      <c r="L18" s="8"/>
      <c r="M18" s="8">
        <v>60.158999999999999</v>
      </c>
      <c r="N18" s="8">
        <v>64.751999999999995</v>
      </c>
      <c r="O18" s="8"/>
      <c r="P18" s="8"/>
      <c r="Q18" s="5"/>
      <c r="S18">
        <f t="shared" si="7"/>
        <v>4.5929999999999964</v>
      </c>
    </row>
    <row r="19" spans="1:19" x14ac:dyDescent="0.35">
      <c r="A19" s="9">
        <v>1866</v>
      </c>
      <c r="B19" s="10">
        <f t="shared" si="0"/>
        <v>41.533000000000001</v>
      </c>
      <c r="C19" s="10">
        <f t="shared" si="1"/>
        <v>51.000999999999998</v>
      </c>
      <c r="D19" s="10">
        <f t="shared" si="2"/>
        <v>60.698</v>
      </c>
      <c r="E19" s="10">
        <f t="shared" si="3"/>
        <v>64.929000000000002</v>
      </c>
      <c r="F19" s="10">
        <f t="shared" si="4"/>
        <v>9.4679999999999964</v>
      </c>
      <c r="G19" s="10">
        <f t="shared" si="5"/>
        <v>0</v>
      </c>
      <c r="H19" s="10">
        <f t="shared" si="6"/>
        <v>9.6970000000000027</v>
      </c>
      <c r="I19" s="11">
        <v>41.533000000000001</v>
      </c>
      <c r="J19" s="11">
        <v>51.000999999999998</v>
      </c>
      <c r="K19" s="11"/>
      <c r="L19" s="11"/>
      <c r="M19" s="11">
        <v>60.698</v>
      </c>
      <c r="N19" s="11">
        <v>64.929000000000002</v>
      </c>
      <c r="O19" s="11"/>
      <c r="P19" s="11"/>
      <c r="Q19" s="5"/>
      <c r="S19">
        <f t="shared" si="7"/>
        <v>4.2310000000000016</v>
      </c>
    </row>
    <row r="20" spans="1:19" x14ac:dyDescent="0.35">
      <c r="A20" s="6">
        <v>1867</v>
      </c>
      <c r="B20" s="7">
        <f t="shared" si="0"/>
        <v>42.655000000000001</v>
      </c>
      <c r="C20" s="7">
        <f t="shared" si="1"/>
        <v>51.274999999999999</v>
      </c>
      <c r="D20" s="7">
        <f t="shared" si="2"/>
        <v>60.874000000000002</v>
      </c>
      <c r="E20" s="7">
        <f t="shared" si="3"/>
        <v>65.204999999999998</v>
      </c>
      <c r="F20" s="7">
        <f t="shared" si="4"/>
        <v>8.6199999999999974</v>
      </c>
      <c r="G20" s="7">
        <f t="shared" si="5"/>
        <v>0</v>
      </c>
      <c r="H20" s="7">
        <f t="shared" si="6"/>
        <v>9.5990000000000038</v>
      </c>
      <c r="I20" s="8">
        <v>42.655000000000001</v>
      </c>
      <c r="J20" s="8">
        <v>51.274999999999999</v>
      </c>
      <c r="K20" s="8"/>
      <c r="L20" s="8"/>
      <c r="M20" s="8">
        <v>60.874000000000002</v>
      </c>
      <c r="N20" s="8">
        <v>65.204999999999998</v>
      </c>
      <c r="O20" s="8"/>
      <c r="P20" s="8"/>
      <c r="Q20" s="5"/>
      <c r="S20">
        <f t="shared" si="7"/>
        <v>4.330999999999996</v>
      </c>
    </row>
    <row r="21" spans="1:19" x14ac:dyDescent="0.35">
      <c r="A21" s="9">
        <v>1868</v>
      </c>
      <c r="B21" s="10">
        <f t="shared" si="0"/>
        <v>42.658000000000001</v>
      </c>
      <c r="C21" s="10">
        <f t="shared" si="1"/>
        <v>51.334000000000003</v>
      </c>
      <c r="D21" s="10">
        <f t="shared" si="2"/>
        <v>61.256999999999998</v>
      </c>
      <c r="E21" s="10">
        <f t="shared" si="3"/>
        <v>65.320999999999998</v>
      </c>
      <c r="F21" s="10">
        <f t="shared" si="4"/>
        <v>8.6760000000000019</v>
      </c>
      <c r="G21" s="10">
        <f t="shared" si="5"/>
        <v>0</v>
      </c>
      <c r="H21" s="10">
        <f t="shared" si="6"/>
        <v>9.9229999999999947</v>
      </c>
      <c r="I21" s="11">
        <v>42.658000000000001</v>
      </c>
      <c r="J21" s="11">
        <v>51.334000000000003</v>
      </c>
      <c r="K21" s="11"/>
      <c r="L21" s="11"/>
      <c r="M21" s="11">
        <v>61.256999999999998</v>
      </c>
      <c r="N21" s="11">
        <v>65.320999999999998</v>
      </c>
      <c r="O21" s="11"/>
      <c r="P21" s="11"/>
      <c r="Q21" s="5"/>
      <c r="S21">
        <f t="shared" si="7"/>
        <v>4.0640000000000001</v>
      </c>
    </row>
    <row r="22" spans="1:19" x14ac:dyDescent="0.35">
      <c r="A22" s="6">
        <v>1869</v>
      </c>
      <c r="B22" s="7">
        <f t="shared" si="0"/>
        <v>42.682000000000002</v>
      </c>
      <c r="C22" s="7">
        <f t="shared" si="1"/>
        <v>51.619</v>
      </c>
      <c r="D22" s="7">
        <f t="shared" si="2"/>
        <v>61.36</v>
      </c>
      <c r="E22" s="7">
        <f t="shared" si="3"/>
        <v>65.603999999999999</v>
      </c>
      <c r="F22" s="7">
        <f t="shared" si="4"/>
        <v>8.9369999999999976</v>
      </c>
      <c r="G22" s="7">
        <f t="shared" si="5"/>
        <v>0</v>
      </c>
      <c r="H22" s="7">
        <f t="shared" si="6"/>
        <v>9.7409999999999997</v>
      </c>
      <c r="I22" s="8">
        <v>42.682000000000002</v>
      </c>
      <c r="J22" s="8">
        <v>51.619</v>
      </c>
      <c r="K22" s="8"/>
      <c r="L22" s="8"/>
      <c r="M22" s="8">
        <v>61.36</v>
      </c>
      <c r="N22" s="8">
        <v>65.603999999999999</v>
      </c>
      <c r="O22" s="8"/>
      <c r="P22" s="8"/>
      <c r="Q22" s="5"/>
      <c r="S22">
        <f t="shared" si="7"/>
        <v>4.2439999999999998</v>
      </c>
    </row>
    <row r="23" spans="1:19" x14ac:dyDescent="0.35">
      <c r="A23" s="9">
        <v>1870</v>
      </c>
      <c r="B23" s="10">
        <f t="shared" si="0"/>
        <v>44.509</v>
      </c>
      <c r="C23" s="10">
        <f t="shared" si="1"/>
        <v>51.625</v>
      </c>
      <c r="D23" s="10">
        <f t="shared" si="2"/>
        <v>63.201000000000001</v>
      </c>
      <c r="E23" s="10">
        <f t="shared" si="3"/>
        <v>65.667000000000002</v>
      </c>
      <c r="F23" s="10">
        <f t="shared" si="4"/>
        <v>7.1159999999999997</v>
      </c>
      <c r="G23" s="10">
        <f t="shared" si="5"/>
        <v>0</v>
      </c>
      <c r="H23" s="10">
        <f t="shared" si="6"/>
        <v>11.576000000000001</v>
      </c>
      <c r="I23" s="11">
        <v>44.509</v>
      </c>
      <c r="J23" s="11">
        <v>51.625</v>
      </c>
      <c r="K23" s="11"/>
      <c r="L23" s="11"/>
      <c r="M23" s="11">
        <v>63.201000000000001</v>
      </c>
      <c r="N23" s="11">
        <v>65.667000000000002</v>
      </c>
      <c r="O23" s="11"/>
      <c r="P23" s="11"/>
      <c r="Q23" s="5"/>
      <c r="S23">
        <f t="shared" si="7"/>
        <v>2.4660000000000011</v>
      </c>
    </row>
    <row r="24" spans="1:19" x14ac:dyDescent="0.35">
      <c r="A24" s="6">
        <v>1871</v>
      </c>
      <c r="B24" s="7">
        <f t="shared" si="0"/>
        <v>46.197000000000003</v>
      </c>
      <c r="C24" s="7">
        <f t="shared" si="1"/>
        <v>51.107999999999997</v>
      </c>
      <c r="D24" s="7">
        <f t="shared" si="2"/>
        <v>64.081000000000003</v>
      </c>
      <c r="E24" s="7">
        <f t="shared" si="3"/>
        <v>64.730999999999995</v>
      </c>
      <c r="F24" s="7">
        <f t="shared" si="4"/>
        <v>4.9109999999999943</v>
      </c>
      <c r="G24" s="7">
        <f t="shared" si="5"/>
        <v>0</v>
      </c>
      <c r="H24" s="7">
        <f t="shared" si="6"/>
        <v>12.973000000000006</v>
      </c>
      <c r="I24" s="8">
        <v>46.197000000000003</v>
      </c>
      <c r="J24" s="8">
        <v>51.107999999999997</v>
      </c>
      <c r="K24" s="8"/>
      <c r="L24" s="8"/>
      <c r="M24" s="8">
        <v>64.081000000000003</v>
      </c>
      <c r="N24" s="8">
        <v>64.730999999999995</v>
      </c>
      <c r="O24" s="8"/>
      <c r="P24" s="8"/>
      <c r="Q24" s="5"/>
      <c r="S24">
        <f t="shared" si="7"/>
        <v>0.64999999999999147</v>
      </c>
    </row>
    <row r="25" spans="1:19" x14ac:dyDescent="0.35">
      <c r="A25" s="9">
        <v>1872</v>
      </c>
      <c r="B25" s="10">
        <f t="shared" si="0"/>
        <v>46.567</v>
      </c>
      <c r="C25" s="10">
        <f t="shared" si="1"/>
        <v>54.551000000000002</v>
      </c>
      <c r="D25" s="10">
        <f t="shared" si="2"/>
        <v>64.573999999999998</v>
      </c>
      <c r="E25" s="10">
        <f t="shared" si="3"/>
        <v>67.17</v>
      </c>
      <c r="F25" s="10">
        <f t="shared" si="4"/>
        <v>7.9840000000000018</v>
      </c>
      <c r="G25" s="10">
        <f t="shared" si="5"/>
        <v>0</v>
      </c>
      <c r="H25" s="10">
        <f t="shared" si="6"/>
        <v>10.022999999999996</v>
      </c>
      <c r="I25" s="11">
        <v>46.567</v>
      </c>
      <c r="J25" s="11">
        <v>54.551000000000002</v>
      </c>
      <c r="K25" s="11"/>
      <c r="L25" s="11"/>
      <c r="M25" s="11">
        <v>64.573999999999998</v>
      </c>
      <c r="N25" s="11">
        <v>67.17</v>
      </c>
      <c r="O25" s="11"/>
      <c r="P25" s="11"/>
      <c r="Q25" s="5"/>
      <c r="S25">
        <f t="shared" si="7"/>
        <v>2.5960000000000036</v>
      </c>
    </row>
    <row r="26" spans="1:19" x14ac:dyDescent="0.35">
      <c r="A26" s="6">
        <v>1873</v>
      </c>
      <c r="B26" s="7">
        <f t="shared" si="0"/>
        <v>47.795000000000002</v>
      </c>
      <c r="C26" s="7">
        <f t="shared" si="1"/>
        <v>54.948</v>
      </c>
      <c r="D26" s="7">
        <f t="shared" si="2"/>
        <v>65.266999999999996</v>
      </c>
      <c r="E26" s="7">
        <f t="shared" si="3"/>
        <v>67.427999999999997</v>
      </c>
      <c r="F26" s="7">
        <f t="shared" si="4"/>
        <v>7.1529999999999987</v>
      </c>
      <c r="G26" s="7">
        <f t="shared" si="5"/>
        <v>0</v>
      </c>
      <c r="H26" s="7">
        <f t="shared" si="6"/>
        <v>10.318999999999996</v>
      </c>
      <c r="I26" s="8">
        <v>47.795000000000002</v>
      </c>
      <c r="J26" s="8">
        <v>54.948</v>
      </c>
      <c r="K26" s="8"/>
      <c r="L26" s="8"/>
      <c r="M26" s="8">
        <v>65.266999999999996</v>
      </c>
      <c r="N26" s="8">
        <v>67.427999999999997</v>
      </c>
      <c r="O26" s="8"/>
      <c r="P26" s="8"/>
      <c r="Q26" s="5"/>
      <c r="S26">
        <f t="shared" si="7"/>
        <v>2.1610000000000014</v>
      </c>
    </row>
    <row r="27" spans="1:19" x14ac:dyDescent="0.35">
      <c r="A27" s="9">
        <v>1874</v>
      </c>
      <c r="B27" s="10">
        <f t="shared" si="0"/>
        <v>47.395000000000003</v>
      </c>
      <c r="C27" s="10">
        <f t="shared" si="1"/>
        <v>54.515000000000001</v>
      </c>
      <c r="D27" s="10">
        <f t="shared" si="2"/>
        <v>65.423000000000002</v>
      </c>
      <c r="E27" s="10">
        <f t="shared" si="3"/>
        <v>67.168000000000006</v>
      </c>
      <c r="F27" s="10">
        <f t="shared" si="4"/>
        <v>7.1199999999999974</v>
      </c>
      <c r="G27" s="10">
        <f t="shared" si="5"/>
        <v>0</v>
      </c>
      <c r="H27" s="10">
        <f t="shared" si="6"/>
        <v>10.908000000000001</v>
      </c>
      <c r="I27" s="11">
        <v>47.395000000000003</v>
      </c>
      <c r="J27" s="11">
        <v>54.515000000000001</v>
      </c>
      <c r="K27" s="11"/>
      <c r="L27" s="11"/>
      <c r="M27" s="11">
        <v>65.423000000000002</v>
      </c>
      <c r="N27" s="11">
        <v>67.168000000000006</v>
      </c>
      <c r="O27" s="11"/>
      <c r="P27" s="11"/>
      <c r="Q27" s="5"/>
      <c r="S27">
        <f t="shared" si="7"/>
        <v>1.7450000000000045</v>
      </c>
    </row>
    <row r="28" spans="1:19" x14ac:dyDescent="0.35">
      <c r="A28" s="6">
        <v>1875</v>
      </c>
      <c r="B28" s="7">
        <f t="shared" si="0"/>
        <v>48.390999999999998</v>
      </c>
      <c r="C28" s="7">
        <f t="shared" si="1"/>
        <v>55.109000000000002</v>
      </c>
      <c r="D28" s="7">
        <f t="shared" si="2"/>
        <v>65.962000000000003</v>
      </c>
      <c r="E28" s="7">
        <f t="shared" si="3"/>
        <v>67.600999999999999</v>
      </c>
      <c r="F28" s="7">
        <f t="shared" si="4"/>
        <v>6.7180000000000035</v>
      </c>
      <c r="G28" s="7">
        <f t="shared" si="5"/>
        <v>0</v>
      </c>
      <c r="H28" s="7">
        <f t="shared" si="6"/>
        <v>10.853000000000002</v>
      </c>
      <c r="I28" s="8">
        <v>48.390999999999998</v>
      </c>
      <c r="J28" s="8">
        <v>55.109000000000002</v>
      </c>
      <c r="K28" s="8"/>
      <c r="L28" s="8"/>
      <c r="M28" s="8">
        <v>65.962000000000003</v>
      </c>
      <c r="N28" s="8">
        <v>67.600999999999999</v>
      </c>
      <c r="O28" s="8"/>
      <c r="P28" s="8"/>
      <c r="Q28" s="5"/>
      <c r="S28">
        <f t="shared" si="7"/>
        <v>1.6389999999999958</v>
      </c>
    </row>
    <row r="29" spans="1:19" x14ac:dyDescent="0.35">
      <c r="A29" s="9">
        <v>1876</v>
      </c>
      <c r="B29" s="10">
        <f t="shared" si="0"/>
        <v>48.505000000000003</v>
      </c>
      <c r="C29" s="10">
        <f t="shared" si="1"/>
        <v>55.051000000000002</v>
      </c>
      <c r="D29" s="10">
        <f t="shared" si="2"/>
        <v>66.27</v>
      </c>
      <c r="E29" s="10">
        <f t="shared" si="3"/>
        <v>67.727999999999994</v>
      </c>
      <c r="F29" s="10">
        <f t="shared" si="4"/>
        <v>6.5459999999999994</v>
      </c>
      <c r="G29" s="10">
        <f t="shared" si="5"/>
        <v>0</v>
      </c>
      <c r="H29" s="10">
        <f t="shared" si="6"/>
        <v>11.218999999999994</v>
      </c>
      <c r="I29" s="11">
        <v>48.505000000000003</v>
      </c>
      <c r="J29" s="11">
        <v>55.051000000000002</v>
      </c>
      <c r="K29" s="11"/>
      <c r="L29" s="11"/>
      <c r="M29" s="11">
        <v>66.27</v>
      </c>
      <c r="N29" s="11">
        <v>67.727999999999994</v>
      </c>
      <c r="O29" s="11"/>
      <c r="P29" s="11"/>
      <c r="Q29" s="5"/>
      <c r="S29">
        <f t="shared" si="7"/>
        <v>1.4579999999999984</v>
      </c>
    </row>
    <row r="30" spans="1:19" x14ac:dyDescent="0.35">
      <c r="A30" s="6">
        <v>1877</v>
      </c>
      <c r="B30" s="7">
        <f t="shared" si="0"/>
        <v>48.710999999999999</v>
      </c>
      <c r="C30" s="7">
        <f t="shared" si="1"/>
        <v>55.279000000000003</v>
      </c>
      <c r="D30" s="7">
        <f t="shared" si="2"/>
        <v>66.358000000000004</v>
      </c>
      <c r="E30" s="7">
        <f t="shared" si="3"/>
        <v>67.88</v>
      </c>
      <c r="F30" s="7">
        <f t="shared" si="4"/>
        <v>6.5680000000000049</v>
      </c>
      <c r="G30" s="7">
        <f t="shared" si="5"/>
        <v>0</v>
      </c>
      <c r="H30" s="7">
        <f t="shared" si="6"/>
        <v>11.079000000000001</v>
      </c>
      <c r="I30" s="8">
        <v>48.710999999999999</v>
      </c>
      <c r="J30" s="8">
        <v>55.279000000000003</v>
      </c>
      <c r="K30" s="8"/>
      <c r="L30" s="8"/>
      <c r="M30" s="8">
        <v>66.358000000000004</v>
      </c>
      <c r="N30" s="8">
        <v>67.88</v>
      </c>
      <c r="O30" s="8"/>
      <c r="P30" s="8"/>
      <c r="Q30" s="5"/>
      <c r="S30">
        <f t="shared" si="7"/>
        <v>1.5219999999999914</v>
      </c>
    </row>
    <row r="31" spans="1:19" x14ac:dyDescent="0.35">
      <c r="A31" s="9">
        <v>1878</v>
      </c>
      <c r="B31" s="10">
        <f t="shared" si="0"/>
        <v>48.902999999999999</v>
      </c>
      <c r="C31" s="10">
        <f t="shared" si="1"/>
        <v>55.274999999999999</v>
      </c>
      <c r="D31" s="10">
        <f t="shared" si="2"/>
        <v>66.72</v>
      </c>
      <c r="E31" s="10">
        <f t="shared" si="3"/>
        <v>67.929000000000002</v>
      </c>
      <c r="F31" s="10">
        <f t="shared" si="4"/>
        <v>6.3719999999999999</v>
      </c>
      <c r="G31" s="10">
        <f t="shared" si="5"/>
        <v>0</v>
      </c>
      <c r="H31" s="10">
        <f t="shared" si="6"/>
        <v>11.445</v>
      </c>
      <c r="I31" s="11">
        <v>48.902999999999999</v>
      </c>
      <c r="J31" s="11">
        <v>55.274999999999999</v>
      </c>
      <c r="K31" s="11"/>
      <c r="L31" s="11"/>
      <c r="M31" s="11">
        <v>66.72</v>
      </c>
      <c r="N31" s="11">
        <v>67.929000000000002</v>
      </c>
      <c r="O31" s="11"/>
      <c r="P31" s="11"/>
      <c r="Q31" s="5"/>
      <c r="S31">
        <f t="shared" si="7"/>
        <v>1.2090000000000032</v>
      </c>
    </row>
    <row r="32" spans="1:19" x14ac:dyDescent="0.35">
      <c r="A32" s="6">
        <v>1879</v>
      </c>
      <c r="B32" s="7">
        <f t="shared" si="0"/>
        <v>49.575000000000003</v>
      </c>
      <c r="C32" s="7">
        <f t="shared" si="1"/>
        <v>55.76</v>
      </c>
      <c r="D32" s="7">
        <f t="shared" si="2"/>
        <v>67.314999999999998</v>
      </c>
      <c r="E32" s="7">
        <f t="shared" si="3"/>
        <v>68.314999999999998</v>
      </c>
      <c r="F32" s="7">
        <f t="shared" si="4"/>
        <v>6.1849999999999952</v>
      </c>
      <c r="G32" s="7">
        <f t="shared" si="5"/>
        <v>0</v>
      </c>
      <c r="H32" s="7">
        <f t="shared" si="6"/>
        <v>11.555</v>
      </c>
      <c r="I32" s="8">
        <v>49.575000000000003</v>
      </c>
      <c r="J32" s="8">
        <v>55.76</v>
      </c>
      <c r="K32" s="8"/>
      <c r="L32" s="8"/>
      <c r="M32" s="8">
        <v>67.314999999999998</v>
      </c>
      <c r="N32" s="8">
        <v>68.314999999999998</v>
      </c>
      <c r="O32" s="8"/>
      <c r="P32" s="8"/>
      <c r="Q32" s="5"/>
      <c r="S32">
        <f t="shared" si="7"/>
        <v>1</v>
      </c>
    </row>
    <row r="33" spans="1:19" x14ac:dyDescent="0.35">
      <c r="A33" s="9">
        <v>1880</v>
      </c>
      <c r="B33" s="10">
        <f t="shared" si="0"/>
        <v>48.662999999999997</v>
      </c>
      <c r="C33" s="10">
        <f t="shared" si="1"/>
        <v>56.692999999999998</v>
      </c>
      <c r="D33" s="10">
        <f t="shared" si="2"/>
        <v>66.409000000000006</v>
      </c>
      <c r="E33" s="10">
        <f t="shared" si="3"/>
        <v>69.019000000000005</v>
      </c>
      <c r="F33" s="10">
        <f t="shared" si="4"/>
        <v>8.0300000000000011</v>
      </c>
      <c r="G33" s="10">
        <f t="shared" si="5"/>
        <v>0</v>
      </c>
      <c r="H33" s="10">
        <f t="shared" si="6"/>
        <v>9.7160000000000082</v>
      </c>
      <c r="I33" s="11">
        <v>48.662999999999997</v>
      </c>
      <c r="J33" s="11">
        <v>56.692999999999998</v>
      </c>
      <c r="K33" s="11"/>
      <c r="L33" s="11"/>
      <c r="M33" s="11">
        <v>66.409000000000006</v>
      </c>
      <c r="N33" s="11">
        <v>69.019000000000005</v>
      </c>
      <c r="O33" s="11"/>
      <c r="P33" s="11"/>
      <c r="Q33" s="5"/>
      <c r="S33">
        <f t="shared" si="7"/>
        <v>2.6099999999999994</v>
      </c>
    </row>
    <row r="34" spans="1:19" x14ac:dyDescent="0.35">
      <c r="A34" s="6">
        <v>1881</v>
      </c>
      <c r="B34" s="7">
        <f t="shared" si="0"/>
        <v>47.771999999999998</v>
      </c>
      <c r="C34" s="7">
        <f t="shared" si="1"/>
        <v>55.761000000000003</v>
      </c>
      <c r="D34" s="7">
        <f t="shared" si="2"/>
        <v>65.563000000000002</v>
      </c>
      <c r="E34" s="7">
        <f t="shared" si="3"/>
        <v>67.795000000000002</v>
      </c>
      <c r="F34" s="7">
        <f t="shared" si="4"/>
        <v>7.9890000000000043</v>
      </c>
      <c r="G34" s="7">
        <f t="shared" si="5"/>
        <v>0</v>
      </c>
      <c r="H34" s="7">
        <f t="shared" si="6"/>
        <v>9.8019999999999996</v>
      </c>
      <c r="I34" s="8">
        <v>47.771999999999998</v>
      </c>
      <c r="J34" s="8">
        <v>55.761000000000003</v>
      </c>
      <c r="K34" s="8"/>
      <c r="L34" s="8"/>
      <c r="M34" s="8">
        <v>65.563000000000002</v>
      </c>
      <c r="N34" s="8">
        <v>67.795000000000002</v>
      </c>
      <c r="O34" s="8"/>
      <c r="P34" s="8"/>
      <c r="Q34" s="5"/>
      <c r="S34">
        <f t="shared" si="7"/>
        <v>2.2319999999999993</v>
      </c>
    </row>
    <row r="35" spans="1:19" x14ac:dyDescent="0.35">
      <c r="A35" s="9">
        <v>1882</v>
      </c>
      <c r="B35" s="10">
        <f t="shared" ref="B35:B66" si="8">IFERROR(MIN(I35:L35),"")</f>
        <v>47.790999999999997</v>
      </c>
      <c r="C35" s="10">
        <f t="shared" ref="C35:C66" si="9">IFERROR(MAX(I35:L35),"")</f>
        <v>54.164999999999999</v>
      </c>
      <c r="D35" s="10">
        <f t="shared" ref="D35:D66" si="10">IFERROR(MIN(M35:P35),"")</f>
        <v>65.494</v>
      </c>
      <c r="E35" s="10">
        <f t="shared" ref="E35:E66" si="11">IFERROR(MAX(M35:P35),"")</f>
        <v>66.510000000000005</v>
      </c>
      <c r="F35" s="10">
        <f t="shared" ref="F35:F66" si="12">IFERROR(MIN(C35,D35)-B35,"")</f>
        <v>6.3740000000000023</v>
      </c>
      <c r="G35" s="10">
        <f t="shared" ref="G35:G66" si="13">IFERROR(MAX(0,C35-D35),"")</f>
        <v>0</v>
      </c>
      <c r="H35" s="10">
        <f t="shared" ref="H35:H66" si="14">IFERROR(MAX(0,D35-C35),"")</f>
        <v>11.329000000000001</v>
      </c>
      <c r="I35" s="11">
        <v>47.790999999999997</v>
      </c>
      <c r="J35" s="11">
        <v>54.164999999999999</v>
      </c>
      <c r="K35" s="11"/>
      <c r="L35" s="11"/>
      <c r="M35" s="11">
        <v>65.494</v>
      </c>
      <c r="N35" s="11">
        <v>66.510000000000005</v>
      </c>
      <c r="O35" s="11"/>
      <c r="P35" s="11"/>
      <c r="Q35" s="5"/>
      <c r="S35">
        <f t="shared" ref="S35:S66" si="15">IFERROR(MAX(0,$E35-MAX($C35,$D35)),"")</f>
        <v>1.0160000000000053</v>
      </c>
    </row>
    <row r="36" spans="1:19" x14ac:dyDescent="0.35">
      <c r="A36" s="6">
        <v>1883</v>
      </c>
      <c r="B36" s="7">
        <f t="shared" si="8"/>
        <v>48.112000000000002</v>
      </c>
      <c r="C36" s="7">
        <f t="shared" si="9"/>
        <v>54.209000000000003</v>
      </c>
      <c r="D36" s="7">
        <f t="shared" si="10"/>
        <v>65.739000000000004</v>
      </c>
      <c r="E36" s="7">
        <f t="shared" si="11"/>
        <v>66.519000000000005</v>
      </c>
      <c r="F36" s="7">
        <f t="shared" si="12"/>
        <v>6.0970000000000013</v>
      </c>
      <c r="G36" s="7">
        <f t="shared" si="13"/>
        <v>0</v>
      </c>
      <c r="H36" s="7">
        <f t="shared" si="14"/>
        <v>11.530000000000001</v>
      </c>
      <c r="I36" s="8">
        <v>48.112000000000002</v>
      </c>
      <c r="J36" s="8">
        <v>54.209000000000003</v>
      </c>
      <c r="K36" s="8"/>
      <c r="L36" s="8"/>
      <c r="M36" s="8">
        <v>65.739000000000004</v>
      </c>
      <c r="N36" s="8">
        <v>66.519000000000005</v>
      </c>
      <c r="O36" s="8"/>
      <c r="P36" s="8"/>
      <c r="Q36" s="5"/>
      <c r="S36">
        <f t="shared" si="15"/>
        <v>0.78000000000000114</v>
      </c>
    </row>
    <row r="37" spans="1:19" x14ac:dyDescent="0.35">
      <c r="A37" s="9">
        <v>1884</v>
      </c>
      <c r="B37" s="10">
        <f t="shared" si="8"/>
        <v>47.811999999999998</v>
      </c>
      <c r="C37" s="10">
        <f t="shared" si="9"/>
        <v>53.911000000000001</v>
      </c>
      <c r="D37" s="10">
        <f t="shared" si="10"/>
        <v>65.775000000000006</v>
      </c>
      <c r="E37" s="10">
        <f t="shared" si="11"/>
        <v>66.238</v>
      </c>
      <c r="F37" s="10">
        <f t="shared" si="12"/>
        <v>6.0990000000000038</v>
      </c>
      <c r="G37" s="10">
        <f t="shared" si="13"/>
        <v>0</v>
      </c>
      <c r="H37" s="10">
        <f t="shared" si="14"/>
        <v>11.864000000000004</v>
      </c>
      <c r="I37" s="11">
        <v>47.811999999999998</v>
      </c>
      <c r="J37" s="11">
        <v>53.911000000000001</v>
      </c>
      <c r="K37" s="11"/>
      <c r="L37" s="11"/>
      <c r="M37" s="11">
        <v>65.775000000000006</v>
      </c>
      <c r="N37" s="11">
        <v>66.238</v>
      </c>
      <c r="O37" s="11"/>
      <c r="P37" s="11"/>
      <c r="Q37" s="5"/>
      <c r="S37">
        <f t="shared" si="15"/>
        <v>0.46299999999999386</v>
      </c>
    </row>
    <row r="38" spans="1:19" x14ac:dyDescent="0.35">
      <c r="A38" s="6">
        <v>1885</v>
      </c>
      <c r="B38" s="7">
        <f t="shared" si="8"/>
        <v>47.405000000000001</v>
      </c>
      <c r="C38" s="7">
        <f t="shared" si="9"/>
        <v>53.603999999999999</v>
      </c>
      <c r="D38" s="7">
        <f t="shared" si="10"/>
        <v>65.611000000000004</v>
      </c>
      <c r="E38" s="7">
        <f t="shared" si="11"/>
        <v>65.991</v>
      </c>
      <c r="F38" s="7">
        <f t="shared" si="12"/>
        <v>6.1989999999999981</v>
      </c>
      <c r="G38" s="7">
        <f t="shared" si="13"/>
        <v>0</v>
      </c>
      <c r="H38" s="7">
        <f t="shared" si="14"/>
        <v>12.007000000000005</v>
      </c>
      <c r="I38" s="8">
        <v>47.405000000000001</v>
      </c>
      <c r="J38" s="8">
        <v>53.603999999999999</v>
      </c>
      <c r="K38" s="8"/>
      <c r="L38" s="8"/>
      <c r="M38" s="8">
        <v>65.611000000000004</v>
      </c>
      <c r="N38" s="8">
        <v>65.991</v>
      </c>
      <c r="O38" s="8"/>
      <c r="P38" s="8"/>
      <c r="Q38" s="5"/>
      <c r="S38">
        <f t="shared" si="15"/>
        <v>0.37999999999999545</v>
      </c>
    </row>
    <row r="39" spans="1:19" x14ac:dyDescent="0.35">
      <c r="A39" s="9">
        <v>1886</v>
      </c>
      <c r="B39" s="10">
        <f t="shared" si="8"/>
        <v>47.484999999999999</v>
      </c>
      <c r="C39" s="10">
        <f t="shared" si="9"/>
        <v>53.465000000000003</v>
      </c>
      <c r="D39" s="10">
        <f t="shared" si="10"/>
        <v>65.454999999999998</v>
      </c>
      <c r="E39" s="10">
        <f t="shared" si="11"/>
        <v>65.88</v>
      </c>
      <c r="F39" s="10">
        <f t="shared" si="12"/>
        <v>5.980000000000004</v>
      </c>
      <c r="G39" s="10">
        <f t="shared" si="13"/>
        <v>0</v>
      </c>
      <c r="H39" s="10">
        <f t="shared" si="14"/>
        <v>11.989999999999995</v>
      </c>
      <c r="I39" s="11">
        <v>47.484999999999999</v>
      </c>
      <c r="J39" s="11">
        <v>53.465000000000003</v>
      </c>
      <c r="K39" s="11"/>
      <c r="L39" s="11"/>
      <c r="M39" s="11">
        <v>65.454999999999998</v>
      </c>
      <c r="N39" s="11">
        <v>65.88</v>
      </c>
      <c r="O39" s="11"/>
      <c r="P39" s="11"/>
      <c r="Q39" s="5"/>
      <c r="S39">
        <f t="shared" si="15"/>
        <v>0.42499999999999716</v>
      </c>
    </row>
    <row r="40" spans="1:19" x14ac:dyDescent="0.35">
      <c r="A40" s="6">
        <v>1887</v>
      </c>
      <c r="B40" s="7">
        <f t="shared" si="8"/>
        <v>47.896000000000001</v>
      </c>
      <c r="C40" s="7">
        <f t="shared" si="9"/>
        <v>53.595999999999997</v>
      </c>
      <c r="D40" s="7">
        <f t="shared" si="10"/>
        <v>65.411000000000001</v>
      </c>
      <c r="E40" s="7">
        <f t="shared" si="11"/>
        <v>65.991</v>
      </c>
      <c r="F40" s="7">
        <f t="shared" si="12"/>
        <v>5.6999999999999957</v>
      </c>
      <c r="G40" s="7">
        <f t="shared" si="13"/>
        <v>0</v>
      </c>
      <c r="H40" s="7">
        <f t="shared" si="14"/>
        <v>11.815000000000005</v>
      </c>
      <c r="I40" s="8">
        <v>47.896000000000001</v>
      </c>
      <c r="J40" s="8">
        <v>53.595999999999997</v>
      </c>
      <c r="K40" s="8"/>
      <c r="L40" s="8"/>
      <c r="M40" s="8">
        <v>65.411000000000001</v>
      </c>
      <c r="N40" s="8">
        <v>65.991</v>
      </c>
      <c r="O40" s="8"/>
      <c r="P40" s="8"/>
      <c r="Q40" s="5"/>
      <c r="S40">
        <f t="shared" si="15"/>
        <v>0.57999999999999829</v>
      </c>
    </row>
    <row r="41" spans="1:19" x14ac:dyDescent="0.35">
      <c r="A41" s="9">
        <v>1888</v>
      </c>
      <c r="B41" s="10">
        <f t="shared" si="8"/>
        <v>48.561999999999998</v>
      </c>
      <c r="C41" s="10">
        <f t="shared" si="9"/>
        <v>54.262</v>
      </c>
      <c r="D41" s="10">
        <f t="shared" si="10"/>
        <v>66.06</v>
      </c>
      <c r="E41" s="10">
        <f t="shared" si="11"/>
        <v>66.563999999999993</v>
      </c>
      <c r="F41" s="10">
        <f t="shared" si="12"/>
        <v>5.7000000000000028</v>
      </c>
      <c r="G41" s="10">
        <f t="shared" si="13"/>
        <v>0</v>
      </c>
      <c r="H41" s="10">
        <f t="shared" si="14"/>
        <v>11.798000000000002</v>
      </c>
      <c r="I41" s="11">
        <v>48.561999999999998</v>
      </c>
      <c r="J41" s="11">
        <v>54.262</v>
      </c>
      <c r="K41" s="11"/>
      <c r="L41" s="11"/>
      <c r="M41" s="11">
        <v>66.06</v>
      </c>
      <c r="N41" s="11">
        <v>66.563999999999993</v>
      </c>
      <c r="O41" s="11"/>
      <c r="P41" s="11"/>
      <c r="Q41" s="5"/>
      <c r="S41">
        <f t="shared" si="15"/>
        <v>0.50399999999999068</v>
      </c>
    </row>
    <row r="42" spans="1:19" x14ac:dyDescent="0.35">
      <c r="A42" s="6">
        <v>1889</v>
      </c>
      <c r="B42" s="7">
        <f t="shared" si="8"/>
        <v>47.829000000000001</v>
      </c>
      <c r="C42" s="7">
        <f t="shared" si="9"/>
        <v>53.901000000000003</v>
      </c>
      <c r="D42" s="7">
        <f t="shared" si="10"/>
        <v>65.531999999999996</v>
      </c>
      <c r="E42" s="7">
        <f t="shared" si="11"/>
        <v>66.373999999999995</v>
      </c>
      <c r="F42" s="7">
        <f t="shared" si="12"/>
        <v>6.0720000000000027</v>
      </c>
      <c r="G42" s="7">
        <f t="shared" si="13"/>
        <v>0</v>
      </c>
      <c r="H42" s="7">
        <f t="shared" si="14"/>
        <v>11.630999999999993</v>
      </c>
      <c r="I42" s="8">
        <v>47.829000000000001</v>
      </c>
      <c r="J42" s="8">
        <v>53.901000000000003</v>
      </c>
      <c r="K42" s="8"/>
      <c r="L42" s="8"/>
      <c r="M42" s="8">
        <v>65.531999999999996</v>
      </c>
      <c r="N42" s="8">
        <v>66.373999999999995</v>
      </c>
      <c r="O42" s="8"/>
      <c r="P42" s="8"/>
      <c r="Q42" s="5"/>
      <c r="S42">
        <f t="shared" si="15"/>
        <v>0.84199999999999875</v>
      </c>
    </row>
    <row r="43" spans="1:19" x14ac:dyDescent="0.35">
      <c r="A43" s="9">
        <v>1890</v>
      </c>
      <c r="B43" s="10">
        <f t="shared" si="8"/>
        <v>47.841000000000001</v>
      </c>
      <c r="C43" s="10">
        <f t="shared" si="9"/>
        <v>54.451999999999998</v>
      </c>
      <c r="D43" s="10">
        <f t="shared" si="10"/>
        <v>66.135000000000005</v>
      </c>
      <c r="E43" s="10">
        <f t="shared" si="11"/>
        <v>66.861000000000004</v>
      </c>
      <c r="F43" s="10">
        <f t="shared" si="12"/>
        <v>6.6109999999999971</v>
      </c>
      <c r="G43" s="10">
        <f t="shared" si="13"/>
        <v>0</v>
      </c>
      <c r="H43" s="10">
        <f t="shared" si="14"/>
        <v>11.683000000000007</v>
      </c>
      <c r="I43" s="11">
        <v>47.841000000000001</v>
      </c>
      <c r="J43" s="11">
        <v>54.451999999999998</v>
      </c>
      <c r="K43" s="11"/>
      <c r="L43" s="11"/>
      <c r="M43" s="11">
        <v>66.135000000000005</v>
      </c>
      <c r="N43" s="11">
        <v>66.861000000000004</v>
      </c>
      <c r="O43" s="11"/>
      <c r="P43" s="11"/>
      <c r="Q43" s="5"/>
      <c r="S43">
        <f t="shared" si="15"/>
        <v>0.72599999999999909</v>
      </c>
    </row>
    <row r="44" spans="1:19" x14ac:dyDescent="0.35">
      <c r="A44" s="6">
        <v>1891</v>
      </c>
      <c r="B44" s="7">
        <f t="shared" si="8"/>
        <v>47.988</v>
      </c>
      <c r="C44" s="7">
        <f t="shared" si="9"/>
        <v>54.665999999999997</v>
      </c>
      <c r="D44" s="7">
        <f t="shared" si="10"/>
        <v>66.268000000000001</v>
      </c>
      <c r="E44" s="7">
        <f t="shared" si="11"/>
        <v>67.155000000000001</v>
      </c>
      <c r="F44" s="7">
        <f t="shared" si="12"/>
        <v>6.6779999999999973</v>
      </c>
      <c r="G44" s="7">
        <f t="shared" si="13"/>
        <v>0</v>
      </c>
      <c r="H44" s="7">
        <f t="shared" si="14"/>
        <v>11.602000000000004</v>
      </c>
      <c r="I44" s="8">
        <v>47.988</v>
      </c>
      <c r="J44" s="8">
        <v>54.665999999999997</v>
      </c>
      <c r="K44" s="8"/>
      <c r="L44" s="8"/>
      <c r="M44" s="8">
        <v>66.268000000000001</v>
      </c>
      <c r="N44" s="8">
        <v>67.155000000000001</v>
      </c>
      <c r="O44" s="8"/>
      <c r="P44" s="8"/>
      <c r="Q44" s="5"/>
      <c r="S44">
        <f t="shared" si="15"/>
        <v>0.88700000000000045</v>
      </c>
    </row>
    <row r="45" spans="1:19" x14ac:dyDescent="0.35">
      <c r="A45" s="9">
        <v>1892</v>
      </c>
      <c r="B45" s="10">
        <f t="shared" si="8"/>
        <v>48.06</v>
      </c>
      <c r="C45" s="10">
        <f t="shared" si="9"/>
        <v>54.978000000000002</v>
      </c>
      <c r="D45" s="10">
        <f t="shared" si="10"/>
        <v>66.561000000000007</v>
      </c>
      <c r="E45" s="10">
        <f t="shared" si="11"/>
        <v>67.382000000000005</v>
      </c>
      <c r="F45" s="10">
        <f t="shared" si="12"/>
        <v>6.9179999999999993</v>
      </c>
      <c r="G45" s="10">
        <f t="shared" si="13"/>
        <v>0</v>
      </c>
      <c r="H45" s="10">
        <f t="shared" si="14"/>
        <v>11.583000000000006</v>
      </c>
      <c r="I45" s="11">
        <v>48.06</v>
      </c>
      <c r="J45" s="11">
        <v>54.978000000000002</v>
      </c>
      <c r="K45" s="11"/>
      <c r="L45" s="11"/>
      <c r="M45" s="11">
        <v>66.561000000000007</v>
      </c>
      <c r="N45" s="11">
        <v>67.382000000000005</v>
      </c>
      <c r="O45" s="11"/>
      <c r="P45" s="11"/>
      <c r="Q45" s="5"/>
      <c r="S45">
        <f t="shared" si="15"/>
        <v>0.82099999999999795</v>
      </c>
    </row>
    <row r="46" spans="1:19" x14ac:dyDescent="0.35">
      <c r="A46" s="6">
        <v>1893</v>
      </c>
      <c r="B46" s="7">
        <f t="shared" si="8"/>
        <v>47.948999999999998</v>
      </c>
      <c r="C46" s="7">
        <f t="shared" si="9"/>
        <v>54.573</v>
      </c>
      <c r="D46" s="7">
        <f t="shared" si="10"/>
        <v>66.486999999999995</v>
      </c>
      <c r="E46" s="7">
        <f t="shared" si="11"/>
        <v>67.206000000000003</v>
      </c>
      <c r="F46" s="7">
        <f t="shared" si="12"/>
        <v>6.6240000000000023</v>
      </c>
      <c r="G46" s="7">
        <f t="shared" si="13"/>
        <v>0</v>
      </c>
      <c r="H46" s="7">
        <f t="shared" si="14"/>
        <v>11.913999999999994</v>
      </c>
      <c r="I46" s="8">
        <v>47.948999999999998</v>
      </c>
      <c r="J46" s="8">
        <v>54.573</v>
      </c>
      <c r="K46" s="8"/>
      <c r="L46" s="8"/>
      <c r="M46" s="8">
        <v>66.486999999999995</v>
      </c>
      <c r="N46" s="8">
        <v>67.206000000000003</v>
      </c>
      <c r="O46" s="8"/>
      <c r="P46" s="8"/>
      <c r="Q46" s="5"/>
      <c r="S46">
        <f t="shared" si="15"/>
        <v>0.7190000000000083</v>
      </c>
    </row>
    <row r="47" spans="1:19" x14ac:dyDescent="0.35">
      <c r="A47" s="9">
        <v>1894</v>
      </c>
      <c r="B47" s="10">
        <f t="shared" si="8"/>
        <v>47.82</v>
      </c>
      <c r="C47" s="10">
        <f t="shared" si="9"/>
        <v>54.430999999999997</v>
      </c>
      <c r="D47" s="10">
        <f t="shared" si="10"/>
        <v>66.698999999999998</v>
      </c>
      <c r="E47" s="10">
        <f t="shared" si="11"/>
        <v>66.894999999999996</v>
      </c>
      <c r="F47" s="10">
        <f t="shared" si="12"/>
        <v>6.6109999999999971</v>
      </c>
      <c r="G47" s="10">
        <f t="shared" si="13"/>
        <v>0</v>
      </c>
      <c r="H47" s="10">
        <f t="shared" si="14"/>
        <v>12.268000000000001</v>
      </c>
      <c r="I47" s="11">
        <v>47.82</v>
      </c>
      <c r="J47" s="11">
        <v>54.430999999999997</v>
      </c>
      <c r="K47" s="11"/>
      <c r="L47" s="11"/>
      <c r="M47" s="11">
        <v>66.698999999999998</v>
      </c>
      <c r="N47" s="11">
        <v>66.894999999999996</v>
      </c>
      <c r="O47" s="11"/>
      <c r="P47" s="11"/>
      <c r="Q47" s="5"/>
      <c r="S47">
        <f t="shared" si="15"/>
        <v>0.19599999999999795</v>
      </c>
    </row>
    <row r="48" spans="1:19" x14ac:dyDescent="0.35">
      <c r="A48" s="6">
        <v>1895</v>
      </c>
      <c r="B48" s="7">
        <f t="shared" si="8"/>
        <v>48.287999999999997</v>
      </c>
      <c r="C48" s="7">
        <f t="shared" si="9"/>
        <v>54.767000000000003</v>
      </c>
      <c r="D48" s="7">
        <f t="shared" si="10"/>
        <v>66.853999999999999</v>
      </c>
      <c r="E48" s="7">
        <f t="shared" si="11"/>
        <v>67.241</v>
      </c>
      <c r="F48" s="7">
        <f t="shared" si="12"/>
        <v>6.4790000000000063</v>
      </c>
      <c r="G48" s="7">
        <f t="shared" si="13"/>
        <v>0</v>
      </c>
      <c r="H48" s="7">
        <f t="shared" si="14"/>
        <v>12.086999999999996</v>
      </c>
      <c r="I48" s="8">
        <v>48.287999999999997</v>
      </c>
      <c r="J48" s="8">
        <v>54.767000000000003</v>
      </c>
      <c r="K48" s="8"/>
      <c r="L48" s="8"/>
      <c r="M48" s="8">
        <v>66.853999999999999</v>
      </c>
      <c r="N48" s="8">
        <v>67.241</v>
      </c>
      <c r="O48" s="8"/>
      <c r="P48" s="8"/>
      <c r="Q48" s="5"/>
      <c r="S48">
        <f t="shared" si="15"/>
        <v>0.38700000000000045</v>
      </c>
    </row>
    <row r="49" spans="1:19" x14ac:dyDescent="0.35">
      <c r="A49" s="9">
        <v>1896</v>
      </c>
      <c r="B49" s="10">
        <f t="shared" si="8"/>
        <v>48.576999999999998</v>
      </c>
      <c r="C49" s="10">
        <f t="shared" si="9"/>
        <v>54.893999999999998</v>
      </c>
      <c r="D49" s="10">
        <f t="shared" si="10"/>
        <v>67.066999999999993</v>
      </c>
      <c r="E49" s="10">
        <f t="shared" si="11"/>
        <v>67.38</v>
      </c>
      <c r="F49" s="10">
        <f t="shared" si="12"/>
        <v>6.3170000000000002</v>
      </c>
      <c r="G49" s="10">
        <f t="shared" si="13"/>
        <v>0</v>
      </c>
      <c r="H49" s="10">
        <f t="shared" si="14"/>
        <v>12.172999999999995</v>
      </c>
      <c r="I49" s="11">
        <v>48.576999999999998</v>
      </c>
      <c r="J49" s="11">
        <v>54.893999999999998</v>
      </c>
      <c r="K49" s="11"/>
      <c r="L49" s="11"/>
      <c r="M49" s="11">
        <v>67.066999999999993</v>
      </c>
      <c r="N49" s="11">
        <v>67.38</v>
      </c>
      <c r="O49" s="11"/>
      <c r="P49" s="11"/>
      <c r="Q49" s="5"/>
      <c r="S49">
        <f t="shared" si="15"/>
        <v>0.31300000000000239</v>
      </c>
    </row>
    <row r="50" spans="1:19" x14ac:dyDescent="0.35">
      <c r="A50" s="6">
        <v>1897</v>
      </c>
      <c r="B50" s="7">
        <f t="shared" si="8"/>
        <v>48.651000000000003</v>
      </c>
      <c r="C50" s="7">
        <f t="shared" si="9"/>
        <v>55.131</v>
      </c>
      <c r="D50" s="7">
        <f t="shared" si="10"/>
        <v>67.195999999999998</v>
      </c>
      <c r="E50" s="7">
        <f t="shared" si="11"/>
        <v>67.664000000000001</v>
      </c>
      <c r="F50" s="7">
        <f t="shared" si="12"/>
        <v>6.4799999999999969</v>
      </c>
      <c r="G50" s="7">
        <f t="shared" si="13"/>
        <v>0</v>
      </c>
      <c r="H50" s="7">
        <f t="shared" si="14"/>
        <v>12.064999999999998</v>
      </c>
      <c r="I50" s="8">
        <v>48.651000000000003</v>
      </c>
      <c r="J50" s="8">
        <v>55.131</v>
      </c>
      <c r="K50" s="8"/>
      <c r="L50" s="8"/>
      <c r="M50" s="8">
        <v>67.195999999999998</v>
      </c>
      <c r="N50" s="8">
        <v>67.664000000000001</v>
      </c>
      <c r="O50" s="8"/>
      <c r="P50" s="8"/>
      <c r="Q50" s="5"/>
      <c r="S50">
        <f t="shared" si="15"/>
        <v>0.46800000000000352</v>
      </c>
    </row>
    <row r="51" spans="1:19" x14ac:dyDescent="0.35">
      <c r="A51" s="9">
        <v>1898</v>
      </c>
      <c r="B51" s="10">
        <f t="shared" si="8"/>
        <v>49.101999999999997</v>
      </c>
      <c r="C51" s="10">
        <f t="shared" si="9"/>
        <v>55.356999999999999</v>
      </c>
      <c r="D51" s="10">
        <f t="shared" si="10"/>
        <v>67.781000000000006</v>
      </c>
      <c r="E51" s="10">
        <f t="shared" si="11"/>
        <v>67.950999999999993</v>
      </c>
      <c r="F51" s="10">
        <f t="shared" si="12"/>
        <v>6.2550000000000026</v>
      </c>
      <c r="G51" s="10">
        <f t="shared" si="13"/>
        <v>0</v>
      </c>
      <c r="H51" s="10">
        <f t="shared" si="14"/>
        <v>12.424000000000007</v>
      </c>
      <c r="I51" s="11">
        <v>49.101999999999997</v>
      </c>
      <c r="J51" s="11">
        <v>55.356999999999999</v>
      </c>
      <c r="K51" s="11"/>
      <c r="L51" s="11"/>
      <c r="M51" s="11">
        <v>67.781000000000006</v>
      </c>
      <c r="N51" s="11">
        <v>67.950999999999993</v>
      </c>
      <c r="O51" s="11"/>
      <c r="P51" s="11"/>
      <c r="Q51" s="5"/>
      <c r="S51">
        <f t="shared" si="15"/>
        <v>0.16999999999998749</v>
      </c>
    </row>
    <row r="52" spans="1:19" x14ac:dyDescent="0.35">
      <c r="A52" s="6">
        <v>1899</v>
      </c>
      <c r="B52" s="7">
        <f t="shared" si="8"/>
        <v>49.951000000000001</v>
      </c>
      <c r="C52" s="7">
        <f t="shared" si="9"/>
        <v>56.155000000000001</v>
      </c>
      <c r="D52" s="7">
        <f t="shared" si="10"/>
        <v>68.302000000000007</v>
      </c>
      <c r="E52" s="7">
        <f t="shared" si="11"/>
        <v>68.635000000000005</v>
      </c>
      <c r="F52" s="7">
        <f t="shared" si="12"/>
        <v>6.2040000000000006</v>
      </c>
      <c r="G52" s="7">
        <f t="shared" si="13"/>
        <v>0</v>
      </c>
      <c r="H52" s="7">
        <f t="shared" si="14"/>
        <v>12.147000000000006</v>
      </c>
      <c r="I52" s="8">
        <v>49.951000000000001</v>
      </c>
      <c r="J52" s="8">
        <v>56.155000000000001</v>
      </c>
      <c r="K52" s="8"/>
      <c r="L52" s="8"/>
      <c r="M52" s="8">
        <v>68.302000000000007</v>
      </c>
      <c r="N52" s="8">
        <v>68.635000000000005</v>
      </c>
      <c r="O52" s="8"/>
      <c r="P52" s="8"/>
      <c r="Q52" s="5"/>
      <c r="S52">
        <f t="shared" si="15"/>
        <v>0.33299999999999841</v>
      </c>
    </row>
    <row r="53" spans="1:19" x14ac:dyDescent="0.35">
      <c r="A53" s="9">
        <v>1900</v>
      </c>
      <c r="B53" s="10">
        <f t="shared" si="8"/>
        <v>50.081000000000003</v>
      </c>
      <c r="C53" s="10">
        <f t="shared" si="9"/>
        <v>56.578000000000003</v>
      </c>
      <c r="D53" s="10">
        <f t="shared" si="10"/>
        <v>68.683999999999997</v>
      </c>
      <c r="E53" s="10">
        <f t="shared" si="11"/>
        <v>69.054000000000002</v>
      </c>
      <c r="F53" s="10">
        <f t="shared" si="12"/>
        <v>6.4969999999999999</v>
      </c>
      <c r="G53" s="10">
        <f t="shared" si="13"/>
        <v>0</v>
      </c>
      <c r="H53" s="10">
        <f t="shared" si="14"/>
        <v>12.105999999999995</v>
      </c>
      <c r="I53" s="11">
        <v>50.081000000000003</v>
      </c>
      <c r="J53" s="11">
        <v>56.578000000000003</v>
      </c>
      <c r="K53" s="11"/>
      <c r="L53" s="11"/>
      <c r="M53" s="11">
        <v>68.683999999999997</v>
      </c>
      <c r="N53" s="11">
        <v>69.054000000000002</v>
      </c>
      <c r="O53" s="11"/>
      <c r="P53" s="11"/>
      <c r="Q53" s="5"/>
      <c r="S53">
        <f t="shared" si="15"/>
        <v>0.37000000000000455</v>
      </c>
    </row>
    <row r="54" spans="1:19" x14ac:dyDescent="0.35">
      <c r="A54" s="6">
        <v>1901</v>
      </c>
      <c r="B54" s="7">
        <f t="shared" si="8"/>
        <v>49.209000000000003</v>
      </c>
      <c r="C54" s="7">
        <f t="shared" si="9"/>
        <v>54.856999999999999</v>
      </c>
      <c r="D54" s="7">
        <f t="shared" si="10"/>
        <v>67.081000000000003</v>
      </c>
      <c r="E54" s="7">
        <f t="shared" si="11"/>
        <v>68.236999999999995</v>
      </c>
      <c r="F54" s="7">
        <f t="shared" si="12"/>
        <v>5.6479999999999961</v>
      </c>
      <c r="G54" s="7">
        <f t="shared" si="13"/>
        <v>0</v>
      </c>
      <c r="H54" s="7">
        <f t="shared" si="14"/>
        <v>12.224000000000004</v>
      </c>
      <c r="I54" s="8">
        <v>49.209000000000003</v>
      </c>
      <c r="J54" s="8">
        <v>54.856999999999999</v>
      </c>
      <c r="K54" s="8"/>
      <c r="L54" s="8"/>
      <c r="M54" s="8">
        <v>68.236999999999995</v>
      </c>
      <c r="N54" s="8">
        <v>67.081000000000003</v>
      </c>
      <c r="O54" s="8"/>
      <c r="P54" s="8"/>
      <c r="Q54" s="5"/>
      <c r="S54">
        <f t="shared" si="15"/>
        <v>1.1559999999999917</v>
      </c>
    </row>
    <row r="55" spans="1:19" x14ac:dyDescent="0.35">
      <c r="A55" s="9">
        <v>1902</v>
      </c>
      <c r="B55" s="10">
        <f t="shared" si="8"/>
        <v>49.347999999999999</v>
      </c>
      <c r="C55" s="10">
        <f t="shared" si="9"/>
        <v>53.488</v>
      </c>
      <c r="D55" s="10">
        <f t="shared" si="10"/>
        <v>65.605999999999995</v>
      </c>
      <c r="E55" s="10">
        <f t="shared" si="11"/>
        <v>68.301000000000002</v>
      </c>
      <c r="F55" s="10">
        <f t="shared" si="12"/>
        <v>4.1400000000000006</v>
      </c>
      <c r="G55" s="10">
        <f t="shared" si="13"/>
        <v>0</v>
      </c>
      <c r="H55" s="10">
        <f t="shared" si="14"/>
        <v>12.117999999999995</v>
      </c>
      <c r="I55" s="11">
        <v>49.347999999999999</v>
      </c>
      <c r="J55" s="11">
        <v>53.488</v>
      </c>
      <c r="K55" s="11"/>
      <c r="L55" s="11"/>
      <c r="M55" s="11">
        <v>68.301000000000002</v>
      </c>
      <c r="N55" s="11">
        <v>65.605999999999995</v>
      </c>
      <c r="O55" s="11"/>
      <c r="P55" s="11"/>
      <c r="Q55" s="5"/>
      <c r="S55">
        <f t="shared" si="15"/>
        <v>2.6950000000000074</v>
      </c>
    </row>
    <row r="56" spans="1:19" x14ac:dyDescent="0.35">
      <c r="A56" s="6">
        <v>1903</v>
      </c>
      <c r="B56" s="7">
        <f t="shared" si="8"/>
        <v>50.02</v>
      </c>
      <c r="C56" s="7">
        <f t="shared" si="9"/>
        <v>53.594000000000001</v>
      </c>
      <c r="D56" s="7">
        <f t="shared" si="10"/>
        <v>65.325000000000003</v>
      </c>
      <c r="E56" s="7">
        <f t="shared" si="11"/>
        <v>68.929000000000002</v>
      </c>
      <c r="F56" s="7">
        <f t="shared" si="12"/>
        <v>3.5739999999999981</v>
      </c>
      <c r="G56" s="7">
        <f t="shared" si="13"/>
        <v>0</v>
      </c>
      <c r="H56" s="7">
        <f t="shared" si="14"/>
        <v>11.731000000000002</v>
      </c>
      <c r="I56" s="8">
        <v>50.02</v>
      </c>
      <c r="J56" s="8">
        <v>53.594000000000001</v>
      </c>
      <c r="K56" s="8"/>
      <c r="L56" s="8"/>
      <c r="M56" s="8">
        <v>68.929000000000002</v>
      </c>
      <c r="N56" s="8">
        <v>65.325000000000003</v>
      </c>
      <c r="O56" s="8"/>
      <c r="P56" s="8"/>
      <c r="Q56" s="5"/>
      <c r="S56">
        <f t="shared" si="15"/>
        <v>3.6039999999999992</v>
      </c>
    </row>
    <row r="57" spans="1:19" x14ac:dyDescent="0.35">
      <c r="A57" s="9">
        <v>1904</v>
      </c>
      <c r="B57" s="10">
        <f t="shared" si="8"/>
        <v>49.723999999999997</v>
      </c>
      <c r="C57" s="10">
        <f t="shared" si="9"/>
        <v>52.511000000000003</v>
      </c>
      <c r="D57" s="10">
        <f t="shared" si="10"/>
        <v>64.275000000000006</v>
      </c>
      <c r="E57" s="10">
        <f t="shared" si="11"/>
        <v>68.78</v>
      </c>
      <c r="F57" s="10">
        <f t="shared" si="12"/>
        <v>2.7870000000000061</v>
      </c>
      <c r="G57" s="10">
        <f t="shared" si="13"/>
        <v>0</v>
      </c>
      <c r="H57" s="10">
        <f t="shared" si="14"/>
        <v>11.764000000000003</v>
      </c>
      <c r="I57" s="11">
        <v>49.723999999999997</v>
      </c>
      <c r="J57" s="11">
        <v>52.511000000000003</v>
      </c>
      <c r="K57" s="11"/>
      <c r="L57" s="11"/>
      <c r="M57" s="11">
        <v>68.78</v>
      </c>
      <c r="N57" s="11">
        <v>64.275000000000006</v>
      </c>
      <c r="O57" s="11"/>
      <c r="P57" s="11"/>
      <c r="Q57" s="5"/>
      <c r="S57">
        <f t="shared" si="15"/>
        <v>4.5049999999999955</v>
      </c>
    </row>
    <row r="58" spans="1:19" x14ac:dyDescent="0.35">
      <c r="A58" s="6">
        <v>1905</v>
      </c>
      <c r="B58" s="7">
        <f t="shared" si="8"/>
        <v>50.338999999999999</v>
      </c>
      <c r="C58" s="7">
        <f t="shared" si="9"/>
        <v>52.51</v>
      </c>
      <c r="D58" s="7">
        <f t="shared" si="10"/>
        <v>63.939</v>
      </c>
      <c r="E58" s="7">
        <f t="shared" si="11"/>
        <v>69.477000000000004</v>
      </c>
      <c r="F58" s="7">
        <f t="shared" si="12"/>
        <v>2.1709999999999994</v>
      </c>
      <c r="G58" s="7">
        <f t="shared" si="13"/>
        <v>0</v>
      </c>
      <c r="H58" s="7">
        <f t="shared" si="14"/>
        <v>11.429000000000002</v>
      </c>
      <c r="I58" s="8">
        <v>50.338999999999999</v>
      </c>
      <c r="J58" s="8">
        <v>52.51</v>
      </c>
      <c r="K58" s="8"/>
      <c r="L58" s="8"/>
      <c r="M58" s="8">
        <v>69.477000000000004</v>
      </c>
      <c r="N58" s="8">
        <v>63.939</v>
      </c>
      <c r="O58" s="8"/>
      <c r="P58" s="8"/>
      <c r="Q58" s="5"/>
      <c r="S58">
        <f t="shared" si="15"/>
        <v>5.5380000000000038</v>
      </c>
    </row>
    <row r="59" spans="1:19" x14ac:dyDescent="0.35">
      <c r="A59" s="9">
        <v>1906</v>
      </c>
      <c r="B59" s="10">
        <f t="shared" si="8"/>
        <v>50.206000000000003</v>
      </c>
      <c r="C59" s="10">
        <f t="shared" si="9"/>
        <v>51.792999999999999</v>
      </c>
      <c r="D59" s="10">
        <f t="shared" si="10"/>
        <v>63.183999999999997</v>
      </c>
      <c r="E59" s="10">
        <f t="shared" si="11"/>
        <v>69.372</v>
      </c>
      <c r="F59" s="10">
        <f t="shared" si="12"/>
        <v>1.5869999999999962</v>
      </c>
      <c r="G59" s="10">
        <f t="shared" si="13"/>
        <v>0</v>
      </c>
      <c r="H59" s="10">
        <f t="shared" si="14"/>
        <v>11.390999999999998</v>
      </c>
      <c r="I59" s="11">
        <v>50.206000000000003</v>
      </c>
      <c r="J59" s="11">
        <v>51.792999999999999</v>
      </c>
      <c r="K59" s="11"/>
      <c r="L59" s="11"/>
      <c r="M59" s="11">
        <v>69.372</v>
      </c>
      <c r="N59" s="11">
        <v>63.183999999999997</v>
      </c>
      <c r="O59" s="11"/>
      <c r="P59" s="11"/>
      <c r="Q59" s="5"/>
      <c r="S59">
        <f t="shared" si="15"/>
        <v>6.1880000000000024</v>
      </c>
    </row>
    <row r="60" spans="1:19" x14ac:dyDescent="0.35">
      <c r="A60" s="6">
        <v>1907</v>
      </c>
      <c r="B60" s="7">
        <f t="shared" si="8"/>
        <v>51.616</v>
      </c>
      <c r="C60" s="7">
        <f t="shared" si="9"/>
        <v>53.042000000000002</v>
      </c>
      <c r="D60" s="7">
        <f t="shared" si="10"/>
        <v>64.241</v>
      </c>
      <c r="E60" s="7">
        <f t="shared" si="11"/>
        <v>70.608000000000004</v>
      </c>
      <c r="F60" s="7">
        <f t="shared" si="12"/>
        <v>1.4260000000000019</v>
      </c>
      <c r="G60" s="7">
        <f t="shared" si="13"/>
        <v>0</v>
      </c>
      <c r="H60" s="7">
        <f t="shared" si="14"/>
        <v>11.198999999999998</v>
      </c>
      <c r="I60" s="8">
        <v>51.616</v>
      </c>
      <c r="J60" s="8">
        <v>53.042000000000002</v>
      </c>
      <c r="K60" s="8"/>
      <c r="L60" s="8"/>
      <c r="M60" s="8">
        <v>70.608000000000004</v>
      </c>
      <c r="N60" s="8">
        <v>64.241</v>
      </c>
      <c r="O60" s="8"/>
      <c r="P60" s="8"/>
      <c r="Q60" s="5"/>
      <c r="S60">
        <f t="shared" si="15"/>
        <v>6.3670000000000044</v>
      </c>
    </row>
    <row r="61" spans="1:19" x14ac:dyDescent="0.35">
      <c r="A61" s="9">
        <v>1908</v>
      </c>
      <c r="B61" s="10">
        <f t="shared" si="8"/>
        <v>50.625999999999998</v>
      </c>
      <c r="C61" s="10">
        <f t="shared" si="9"/>
        <v>51.771999999999998</v>
      </c>
      <c r="D61" s="10">
        <f t="shared" si="10"/>
        <v>63.231000000000002</v>
      </c>
      <c r="E61" s="10">
        <f t="shared" si="11"/>
        <v>70.128</v>
      </c>
      <c r="F61" s="10">
        <f t="shared" si="12"/>
        <v>1.1460000000000008</v>
      </c>
      <c r="G61" s="10">
        <f t="shared" si="13"/>
        <v>0</v>
      </c>
      <c r="H61" s="10">
        <f t="shared" si="14"/>
        <v>11.459000000000003</v>
      </c>
      <c r="I61" s="11">
        <v>50.625999999999998</v>
      </c>
      <c r="J61" s="11">
        <v>51.771999999999998</v>
      </c>
      <c r="K61" s="11"/>
      <c r="L61" s="11"/>
      <c r="M61" s="11">
        <v>70.128</v>
      </c>
      <c r="N61" s="11">
        <v>63.231000000000002</v>
      </c>
      <c r="O61" s="11"/>
      <c r="P61" s="11"/>
      <c r="Q61" s="5"/>
      <c r="S61">
        <f t="shared" si="15"/>
        <v>6.8969999999999985</v>
      </c>
    </row>
    <row r="62" spans="1:19" x14ac:dyDescent="0.35">
      <c r="A62" s="6">
        <v>1909</v>
      </c>
      <c r="B62" s="7">
        <f t="shared" si="8"/>
        <v>50.826999999999998</v>
      </c>
      <c r="C62" s="7">
        <f t="shared" si="9"/>
        <v>51.999000000000002</v>
      </c>
      <c r="D62" s="7">
        <f t="shared" si="10"/>
        <v>63.436</v>
      </c>
      <c r="E62" s="7">
        <f t="shared" si="11"/>
        <v>70.372</v>
      </c>
      <c r="F62" s="7">
        <f t="shared" si="12"/>
        <v>1.1720000000000041</v>
      </c>
      <c r="G62" s="7">
        <f t="shared" si="13"/>
        <v>0</v>
      </c>
      <c r="H62" s="7">
        <f t="shared" si="14"/>
        <v>11.436999999999998</v>
      </c>
      <c r="I62" s="8">
        <v>50.826999999999998</v>
      </c>
      <c r="J62" s="8">
        <v>51.999000000000002</v>
      </c>
      <c r="K62" s="8"/>
      <c r="L62" s="8"/>
      <c r="M62" s="8">
        <v>70.372</v>
      </c>
      <c r="N62" s="8">
        <v>63.436</v>
      </c>
      <c r="O62" s="8"/>
      <c r="P62" s="8"/>
      <c r="Q62" s="5"/>
      <c r="S62">
        <f t="shared" si="15"/>
        <v>6.9359999999999999</v>
      </c>
    </row>
    <row r="63" spans="1:19" x14ac:dyDescent="0.35">
      <c r="A63" s="9">
        <v>1910</v>
      </c>
      <c r="B63" s="10">
        <f t="shared" si="8"/>
        <v>52.042000000000002</v>
      </c>
      <c r="C63" s="10">
        <f t="shared" si="9"/>
        <v>52.545000000000002</v>
      </c>
      <c r="D63" s="10">
        <f t="shared" si="10"/>
        <v>63.761000000000003</v>
      </c>
      <c r="E63" s="10">
        <f t="shared" si="11"/>
        <v>68.760000000000005</v>
      </c>
      <c r="F63" s="10">
        <f t="shared" si="12"/>
        <v>0.50300000000000011</v>
      </c>
      <c r="G63" s="10">
        <f t="shared" si="13"/>
        <v>0</v>
      </c>
      <c r="H63" s="10">
        <f t="shared" si="14"/>
        <v>11.216000000000001</v>
      </c>
      <c r="I63" s="11">
        <v>52.042000000000002</v>
      </c>
      <c r="J63" s="11">
        <v>52.545000000000002</v>
      </c>
      <c r="K63" s="11"/>
      <c r="L63" s="11"/>
      <c r="M63" s="11">
        <v>68.760000000000005</v>
      </c>
      <c r="N63" s="11">
        <v>63.761000000000003</v>
      </c>
      <c r="O63" s="11"/>
      <c r="P63" s="11"/>
      <c r="Q63" s="5"/>
      <c r="S63">
        <f t="shared" si="15"/>
        <v>4.9990000000000023</v>
      </c>
    </row>
    <row r="64" spans="1:19" x14ac:dyDescent="0.35">
      <c r="A64" s="6">
        <v>1911</v>
      </c>
      <c r="B64" s="7">
        <f t="shared" si="8"/>
        <v>52.093000000000004</v>
      </c>
      <c r="C64" s="7">
        <f t="shared" si="9"/>
        <v>53.595999999999997</v>
      </c>
      <c r="D64" s="7">
        <f t="shared" si="10"/>
        <v>65.108999999999995</v>
      </c>
      <c r="E64" s="7">
        <f t="shared" si="11"/>
        <v>68.003</v>
      </c>
      <c r="F64" s="7">
        <f t="shared" si="12"/>
        <v>1.502999999999993</v>
      </c>
      <c r="G64" s="7">
        <f t="shared" si="13"/>
        <v>0</v>
      </c>
      <c r="H64" s="7">
        <f t="shared" si="14"/>
        <v>11.512999999999998</v>
      </c>
      <c r="I64" s="8">
        <v>52.093000000000004</v>
      </c>
      <c r="J64" s="8">
        <v>53.595999999999997</v>
      </c>
      <c r="K64" s="8"/>
      <c r="L64" s="8"/>
      <c r="M64" s="8">
        <v>68.003</v>
      </c>
      <c r="N64" s="8">
        <v>65.108999999999995</v>
      </c>
      <c r="O64" s="8"/>
      <c r="P64" s="8"/>
      <c r="Q64" s="5"/>
      <c r="S64">
        <f t="shared" si="15"/>
        <v>2.8940000000000055</v>
      </c>
    </row>
    <row r="65" spans="1:19" x14ac:dyDescent="0.35">
      <c r="A65" s="9">
        <v>1912</v>
      </c>
      <c r="B65" s="10">
        <f t="shared" si="8"/>
        <v>52.44</v>
      </c>
      <c r="C65" s="10">
        <f t="shared" si="9"/>
        <v>54.064</v>
      </c>
      <c r="D65" s="10">
        <f t="shared" si="10"/>
        <v>65.855000000000004</v>
      </c>
      <c r="E65" s="10">
        <f t="shared" si="11"/>
        <v>68.164000000000001</v>
      </c>
      <c r="F65" s="10">
        <f t="shared" si="12"/>
        <v>1.6240000000000023</v>
      </c>
      <c r="G65" s="10">
        <f t="shared" si="13"/>
        <v>0</v>
      </c>
      <c r="H65" s="10">
        <f t="shared" si="14"/>
        <v>11.791000000000004</v>
      </c>
      <c r="I65" s="11">
        <v>52.44</v>
      </c>
      <c r="J65" s="11">
        <v>54.064</v>
      </c>
      <c r="K65" s="11"/>
      <c r="L65" s="11"/>
      <c r="M65" s="11">
        <v>68.164000000000001</v>
      </c>
      <c r="N65" s="11">
        <v>65.855000000000004</v>
      </c>
      <c r="O65" s="11"/>
      <c r="P65" s="11"/>
      <c r="Q65" s="5"/>
      <c r="S65">
        <f t="shared" si="15"/>
        <v>2.3089999999999975</v>
      </c>
    </row>
    <row r="66" spans="1:19" x14ac:dyDescent="0.35">
      <c r="A66" s="6">
        <v>1913</v>
      </c>
      <c r="B66" s="7">
        <f t="shared" si="8"/>
        <v>53.482999999999997</v>
      </c>
      <c r="C66" s="7">
        <f t="shared" si="9"/>
        <v>55.566000000000003</v>
      </c>
      <c r="D66" s="7">
        <f t="shared" si="10"/>
        <v>67.515000000000001</v>
      </c>
      <c r="E66" s="7">
        <f t="shared" si="11"/>
        <v>68.228999999999999</v>
      </c>
      <c r="F66" s="7">
        <f t="shared" si="12"/>
        <v>2.0830000000000055</v>
      </c>
      <c r="G66" s="7">
        <f t="shared" si="13"/>
        <v>0</v>
      </c>
      <c r="H66" s="7">
        <f t="shared" si="14"/>
        <v>11.948999999999998</v>
      </c>
      <c r="I66" s="8">
        <v>53.482999999999997</v>
      </c>
      <c r="J66" s="8">
        <v>55.566000000000003</v>
      </c>
      <c r="K66" s="8"/>
      <c r="L66" s="8"/>
      <c r="M66" s="8">
        <v>68.228999999999999</v>
      </c>
      <c r="N66" s="8">
        <v>67.515000000000001</v>
      </c>
      <c r="O66" s="8"/>
      <c r="P66" s="8"/>
      <c r="Q66" s="5"/>
      <c r="S66">
        <f t="shared" si="15"/>
        <v>0.71399999999999864</v>
      </c>
    </row>
    <row r="67" spans="1:19" x14ac:dyDescent="0.35">
      <c r="A67" s="9">
        <v>1914</v>
      </c>
      <c r="B67" s="10">
        <f t="shared" ref="B67:B98" si="16">IFERROR(MIN(I67:L67),"")</f>
        <v>52.304000000000002</v>
      </c>
      <c r="C67" s="10">
        <f t="shared" ref="C67:C98" si="17">IFERROR(MAX(I67:L67),"")</f>
        <v>54.293999999999997</v>
      </c>
      <c r="D67" s="10">
        <f t="shared" ref="D67:D98" si="18">IFERROR(MIN(M67:P67),"")</f>
        <v>66.355999999999995</v>
      </c>
      <c r="E67" s="10">
        <f t="shared" ref="E67:E98" si="19">IFERROR(MAX(M67:P67),"")</f>
        <v>66.593000000000004</v>
      </c>
      <c r="F67" s="10">
        <f t="shared" ref="F67:F98" si="20">IFERROR(MIN(C67,D67)-B67,"")</f>
        <v>1.9899999999999949</v>
      </c>
      <c r="G67" s="10">
        <f t="shared" ref="G67:G98" si="21">IFERROR(MAX(0,C67-D67),"")</f>
        <v>0</v>
      </c>
      <c r="H67" s="10">
        <f t="shared" ref="H67:H98" si="22">IFERROR(MAX(0,D67-C67),"")</f>
        <v>12.061999999999998</v>
      </c>
      <c r="I67" s="11">
        <v>52.304000000000002</v>
      </c>
      <c r="J67" s="11">
        <v>54.293999999999997</v>
      </c>
      <c r="K67" s="11"/>
      <c r="L67" s="11"/>
      <c r="M67" s="11">
        <v>66.593000000000004</v>
      </c>
      <c r="N67" s="11">
        <v>66.355999999999995</v>
      </c>
      <c r="O67" s="11"/>
      <c r="P67" s="11"/>
      <c r="Q67" s="5"/>
      <c r="S67">
        <f t="shared" ref="S67:S98" si="23">IFERROR(MAX(0,$E67-MAX($C67,$D67)),"")</f>
        <v>0.23700000000000898</v>
      </c>
    </row>
    <row r="68" spans="1:19" x14ac:dyDescent="0.35">
      <c r="A68" s="6">
        <v>1915</v>
      </c>
      <c r="B68" s="7">
        <f t="shared" si="16"/>
        <v>52.112000000000002</v>
      </c>
      <c r="C68" s="7">
        <f t="shared" si="17"/>
        <v>54.22</v>
      </c>
      <c r="D68" s="7">
        <f t="shared" si="18"/>
        <v>65.894000000000005</v>
      </c>
      <c r="E68" s="7">
        <f t="shared" si="19"/>
        <v>66.286000000000001</v>
      </c>
      <c r="F68" s="7">
        <f t="shared" si="20"/>
        <v>2.107999999999997</v>
      </c>
      <c r="G68" s="7">
        <f t="shared" si="21"/>
        <v>0</v>
      </c>
      <c r="H68" s="7">
        <f t="shared" si="22"/>
        <v>11.674000000000007</v>
      </c>
      <c r="I68" s="8">
        <v>52.112000000000002</v>
      </c>
      <c r="J68" s="8">
        <v>54.22</v>
      </c>
      <c r="K68" s="8"/>
      <c r="L68" s="8"/>
      <c r="M68" s="8">
        <v>65.894000000000005</v>
      </c>
      <c r="N68" s="8">
        <v>66.286000000000001</v>
      </c>
      <c r="O68" s="8"/>
      <c r="P68" s="8"/>
      <c r="Q68" s="5"/>
      <c r="S68">
        <f t="shared" si="23"/>
        <v>0.39199999999999591</v>
      </c>
    </row>
    <row r="69" spans="1:19" x14ac:dyDescent="0.35">
      <c r="A69" s="9">
        <v>1916</v>
      </c>
      <c r="B69" s="10">
        <f t="shared" si="16"/>
        <v>52.826999999999998</v>
      </c>
      <c r="C69" s="10">
        <f t="shared" si="17"/>
        <v>54.982999999999997</v>
      </c>
      <c r="D69" s="10">
        <f t="shared" si="18"/>
        <v>66.521000000000001</v>
      </c>
      <c r="E69" s="10">
        <f t="shared" si="19"/>
        <v>66.953000000000003</v>
      </c>
      <c r="F69" s="10">
        <f t="shared" si="20"/>
        <v>2.1559999999999988</v>
      </c>
      <c r="G69" s="10">
        <f t="shared" si="21"/>
        <v>0</v>
      </c>
      <c r="H69" s="10">
        <f t="shared" si="22"/>
        <v>11.538000000000004</v>
      </c>
      <c r="I69" s="11">
        <v>52.826999999999998</v>
      </c>
      <c r="J69" s="11">
        <v>54.982999999999997</v>
      </c>
      <c r="K69" s="11"/>
      <c r="L69" s="11"/>
      <c r="M69" s="11">
        <v>66.521000000000001</v>
      </c>
      <c r="N69" s="11">
        <v>66.953000000000003</v>
      </c>
      <c r="O69" s="11"/>
      <c r="P69" s="11"/>
      <c r="Q69" s="5"/>
      <c r="S69">
        <f t="shared" si="23"/>
        <v>0.43200000000000216</v>
      </c>
    </row>
    <row r="70" spans="1:19" x14ac:dyDescent="0.35">
      <c r="A70" s="6">
        <v>1917</v>
      </c>
      <c r="B70" s="7">
        <f t="shared" si="16"/>
        <v>53.6</v>
      </c>
      <c r="C70" s="7">
        <f t="shared" si="17"/>
        <v>55.356999999999999</v>
      </c>
      <c r="D70" s="7">
        <f t="shared" si="18"/>
        <v>66.349999999999994</v>
      </c>
      <c r="E70" s="7">
        <f t="shared" si="19"/>
        <v>67.114000000000004</v>
      </c>
      <c r="F70" s="7">
        <f t="shared" si="20"/>
        <v>1.7569999999999979</v>
      </c>
      <c r="G70" s="7">
        <f t="shared" si="21"/>
        <v>0</v>
      </c>
      <c r="H70" s="7">
        <f t="shared" si="22"/>
        <v>10.992999999999995</v>
      </c>
      <c r="I70" s="8">
        <v>53.6</v>
      </c>
      <c r="J70" s="8">
        <v>55.356999999999999</v>
      </c>
      <c r="K70" s="8"/>
      <c r="L70" s="8"/>
      <c r="M70" s="8">
        <v>66.349999999999994</v>
      </c>
      <c r="N70" s="8">
        <v>67.114000000000004</v>
      </c>
      <c r="O70" s="8"/>
      <c r="P70" s="8"/>
      <c r="Q70" s="5"/>
      <c r="S70">
        <f t="shared" si="23"/>
        <v>0.76400000000001</v>
      </c>
    </row>
    <row r="71" spans="1:19" x14ac:dyDescent="0.35">
      <c r="A71" s="9">
        <v>1918</v>
      </c>
      <c r="B71" s="10">
        <f t="shared" si="16"/>
        <v>54.533999999999999</v>
      </c>
      <c r="C71" s="10">
        <f t="shared" si="17"/>
        <v>55.825000000000003</v>
      </c>
      <c r="D71" s="10">
        <f t="shared" si="18"/>
        <v>65.781000000000006</v>
      </c>
      <c r="E71" s="10">
        <f t="shared" si="19"/>
        <v>66.602000000000004</v>
      </c>
      <c r="F71" s="10">
        <f t="shared" si="20"/>
        <v>1.2910000000000039</v>
      </c>
      <c r="G71" s="10">
        <f t="shared" si="21"/>
        <v>0</v>
      </c>
      <c r="H71" s="10">
        <f t="shared" si="22"/>
        <v>9.9560000000000031</v>
      </c>
      <c r="I71" s="11">
        <v>54.533999999999999</v>
      </c>
      <c r="J71" s="11">
        <v>55.825000000000003</v>
      </c>
      <c r="K71" s="11"/>
      <c r="L71" s="11"/>
      <c r="M71" s="11">
        <v>65.781000000000006</v>
      </c>
      <c r="N71" s="11">
        <v>66.602000000000004</v>
      </c>
      <c r="O71" s="11"/>
      <c r="P71" s="11"/>
      <c r="Q71" s="5"/>
      <c r="S71">
        <f t="shared" si="23"/>
        <v>0.82099999999999795</v>
      </c>
    </row>
    <row r="72" spans="1:19" x14ac:dyDescent="0.35">
      <c r="A72" s="6">
        <v>1919</v>
      </c>
      <c r="B72" s="7">
        <f t="shared" si="16"/>
        <v>52.987000000000002</v>
      </c>
      <c r="C72" s="7">
        <f t="shared" si="17"/>
        <v>54.075000000000003</v>
      </c>
      <c r="D72" s="7">
        <f t="shared" si="18"/>
        <v>63.417000000000002</v>
      </c>
      <c r="E72" s="7">
        <f t="shared" si="19"/>
        <v>64.134</v>
      </c>
      <c r="F72" s="7">
        <f t="shared" si="20"/>
        <v>1.088000000000001</v>
      </c>
      <c r="G72" s="7">
        <f t="shared" si="21"/>
        <v>0</v>
      </c>
      <c r="H72" s="7">
        <f t="shared" si="22"/>
        <v>9.3419999999999987</v>
      </c>
      <c r="I72" s="8">
        <v>52.987000000000002</v>
      </c>
      <c r="J72" s="8">
        <v>54.075000000000003</v>
      </c>
      <c r="K72" s="8"/>
      <c r="L72" s="8"/>
      <c r="M72" s="8">
        <v>63.417000000000002</v>
      </c>
      <c r="N72" s="8">
        <v>64.134</v>
      </c>
      <c r="O72" s="8"/>
      <c r="P72" s="8"/>
      <c r="Q72" s="5"/>
      <c r="S72">
        <f t="shared" si="23"/>
        <v>0.71699999999999875</v>
      </c>
    </row>
    <row r="73" spans="1:19" x14ac:dyDescent="0.35">
      <c r="A73" s="9">
        <v>1920</v>
      </c>
      <c r="B73" s="10">
        <f t="shared" si="16"/>
        <v>52.469000000000001</v>
      </c>
      <c r="C73" s="10">
        <f t="shared" si="17"/>
        <v>55.304000000000002</v>
      </c>
      <c r="D73" s="10">
        <f t="shared" si="18"/>
        <v>63.962000000000003</v>
      </c>
      <c r="E73" s="10">
        <f t="shared" si="19"/>
        <v>65.608999999999995</v>
      </c>
      <c r="F73" s="10">
        <f t="shared" si="20"/>
        <v>2.8350000000000009</v>
      </c>
      <c r="G73" s="10">
        <f t="shared" si="21"/>
        <v>0</v>
      </c>
      <c r="H73" s="10">
        <f t="shared" si="22"/>
        <v>8.6580000000000013</v>
      </c>
      <c r="I73" s="11">
        <v>52.469000000000001</v>
      </c>
      <c r="J73" s="11">
        <v>55.304000000000002</v>
      </c>
      <c r="K73" s="11"/>
      <c r="L73" s="11"/>
      <c r="M73" s="11">
        <v>63.962000000000003</v>
      </c>
      <c r="N73" s="11">
        <v>65.608999999999995</v>
      </c>
      <c r="O73" s="11"/>
      <c r="P73" s="11"/>
      <c r="Q73" s="5"/>
      <c r="S73">
        <f t="shared" si="23"/>
        <v>1.6469999999999914</v>
      </c>
    </row>
    <row r="74" spans="1:19" x14ac:dyDescent="0.35">
      <c r="A74" s="6">
        <v>1921</v>
      </c>
      <c r="B74" s="7">
        <f t="shared" si="16"/>
        <v>49.36</v>
      </c>
      <c r="C74" s="7">
        <f t="shared" si="17"/>
        <v>51.276000000000003</v>
      </c>
      <c r="D74" s="7">
        <f t="shared" si="18"/>
        <v>61.673000000000002</v>
      </c>
      <c r="E74" s="7">
        <f t="shared" si="19"/>
        <v>62.036000000000001</v>
      </c>
      <c r="F74" s="7">
        <f t="shared" si="20"/>
        <v>1.9160000000000039</v>
      </c>
      <c r="G74" s="7">
        <f t="shared" si="21"/>
        <v>0</v>
      </c>
      <c r="H74" s="7">
        <f t="shared" si="22"/>
        <v>10.396999999999998</v>
      </c>
      <c r="I74" s="8">
        <v>49.36</v>
      </c>
      <c r="J74" s="8">
        <v>51.276000000000003</v>
      </c>
      <c r="K74" s="8"/>
      <c r="L74" s="8"/>
      <c r="M74" s="8">
        <v>61.673000000000002</v>
      </c>
      <c r="N74" s="8">
        <v>62.036000000000001</v>
      </c>
      <c r="O74" s="8"/>
      <c r="P74" s="8"/>
      <c r="Q74" s="5"/>
      <c r="S74">
        <f t="shared" si="23"/>
        <v>0.36299999999999955</v>
      </c>
    </row>
    <row r="75" spans="1:19" x14ac:dyDescent="0.35">
      <c r="A75" s="9">
        <v>1922</v>
      </c>
      <c r="B75" s="10">
        <f t="shared" si="16"/>
        <v>49.838999999999999</v>
      </c>
      <c r="C75" s="10">
        <f t="shared" si="17"/>
        <v>51.276000000000003</v>
      </c>
      <c r="D75" s="10">
        <f t="shared" si="18"/>
        <v>61.938000000000002</v>
      </c>
      <c r="E75" s="10">
        <f t="shared" si="19"/>
        <v>62.02</v>
      </c>
      <c r="F75" s="10">
        <f t="shared" si="20"/>
        <v>1.4370000000000047</v>
      </c>
      <c r="G75" s="10">
        <f t="shared" si="21"/>
        <v>0</v>
      </c>
      <c r="H75" s="10">
        <f t="shared" si="22"/>
        <v>10.661999999999999</v>
      </c>
      <c r="I75" s="11">
        <v>49.838999999999999</v>
      </c>
      <c r="J75" s="11">
        <v>51.276000000000003</v>
      </c>
      <c r="K75" s="11"/>
      <c r="L75" s="11"/>
      <c r="M75" s="11">
        <v>62.02</v>
      </c>
      <c r="N75" s="11">
        <v>61.938000000000002</v>
      </c>
      <c r="O75" s="11"/>
      <c r="P75" s="11"/>
      <c r="Q75" s="5"/>
      <c r="S75">
        <f t="shared" si="23"/>
        <v>8.2000000000000739E-2</v>
      </c>
    </row>
    <row r="76" spans="1:19" x14ac:dyDescent="0.35">
      <c r="A76" s="6">
        <v>1923</v>
      </c>
      <c r="B76" s="7">
        <f t="shared" si="16"/>
        <v>51.070999999999998</v>
      </c>
      <c r="C76" s="7">
        <f t="shared" si="17"/>
        <v>53.183999999999997</v>
      </c>
      <c r="D76" s="7">
        <f t="shared" si="18"/>
        <v>63</v>
      </c>
      <c r="E76" s="7">
        <f t="shared" si="19"/>
        <v>63.238999999999997</v>
      </c>
      <c r="F76" s="7">
        <f t="shared" si="20"/>
        <v>2.1129999999999995</v>
      </c>
      <c r="G76" s="7">
        <f t="shared" si="21"/>
        <v>0</v>
      </c>
      <c r="H76" s="7">
        <f t="shared" si="22"/>
        <v>9.8160000000000025</v>
      </c>
      <c r="I76" s="8">
        <v>51.070999999999998</v>
      </c>
      <c r="J76" s="8">
        <v>53.183999999999997</v>
      </c>
      <c r="K76" s="8"/>
      <c r="L76" s="8"/>
      <c r="M76" s="8">
        <v>63</v>
      </c>
      <c r="N76" s="8">
        <v>63.238999999999997</v>
      </c>
      <c r="O76" s="8"/>
      <c r="P76" s="8"/>
      <c r="Q76" s="5"/>
      <c r="S76">
        <f t="shared" si="23"/>
        <v>0.23899999999999721</v>
      </c>
    </row>
    <row r="77" spans="1:19" x14ac:dyDescent="0.35">
      <c r="A77" s="9">
        <v>1924</v>
      </c>
      <c r="B77" s="10">
        <f t="shared" si="16"/>
        <v>50.889000000000003</v>
      </c>
      <c r="C77" s="10">
        <f t="shared" si="17"/>
        <v>52.457999999999998</v>
      </c>
      <c r="D77" s="10">
        <f t="shared" si="18"/>
        <v>62.424999999999997</v>
      </c>
      <c r="E77" s="10">
        <f t="shared" si="19"/>
        <v>62.713000000000001</v>
      </c>
      <c r="F77" s="10">
        <f t="shared" si="20"/>
        <v>1.5689999999999955</v>
      </c>
      <c r="G77" s="10">
        <f t="shared" si="21"/>
        <v>0</v>
      </c>
      <c r="H77" s="10">
        <f t="shared" si="22"/>
        <v>9.9669999999999987</v>
      </c>
      <c r="I77" s="11">
        <v>50.889000000000003</v>
      </c>
      <c r="J77" s="11">
        <v>52.457999999999998</v>
      </c>
      <c r="K77" s="11"/>
      <c r="L77" s="11"/>
      <c r="M77" s="11">
        <v>62.424999999999997</v>
      </c>
      <c r="N77" s="11">
        <v>62.713000000000001</v>
      </c>
      <c r="O77" s="11"/>
      <c r="P77" s="11"/>
      <c r="Q77" s="5"/>
      <c r="S77">
        <f t="shared" si="23"/>
        <v>0.28800000000000381</v>
      </c>
    </row>
    <row r="78" spans="1:19" x14ac:dyDescent="0.35">
      <c r="A78" s="6">
        <v>1925</v>
      </c>
      <c r="B78" s="7">
        <f t="shared" si="16"/>
        <v>50.518999999999998</v>
      </c>
      <c r="C78" s="7">
        <f t="shared" si="17"/>
        <v>52.267000000000003</v>
      </c>
      <c r="D78" s="7">
        <f t="shared" si="18"/>
        <v>62.5</v>
      </c>
      <c r="E78" s="7">
        <f t="shared" si="19"/>
        <v>62.567</v>
      </c>
      <c r="F78" s="7">
        <f t="shared" si="20"/>
        <v>1.7480000000000047</v>
      </c>
      <c r="G78" s="7">
        <f t="shared" si="21"/>
        <v>0</v>
      </c>
      <c r="H78" s="7">
        <f t="shared" si="22"/>
        <v>10.232999999999997</v>
      </c>
      <c r="I78" s="8">
        <v>50.518999999999998</v>
      </c>
      <c r="J78" s="8">
        <v>52.267000000000003</v>
      </c>
      <c r="K78" s="8"/>
      <c r="L78" s="8"/>
      <c r="M78" s="8">
        <v>62.567</v>
      </c>
      <c r="N78" s="8">
        <v>62.5</v>
      </c>
      <c r="O78" s="8"/>
      <c r="P78" s="8"/>
      <c r="Q78" s="5"/>
      <c r="S78">
        <f t="shared" si="23"/>
        <v>6.7000000000000171E-2</v>
      </c>
    </row>
    <row r="79" spans="1:19" x14ac:dyDescent="0.35">
      <c r="A79" s="9">
        <v>1926</v>
      </c>
      <c r="B79" s="10">
        <f t="shared" si="16"/>
        <v>49.613999999999997</v>
      </c>
      <c r="C79" s="10">
        <f t="shared" si="17"/>
        <v>51.165999999999997</v>
      </c>
      <c r="D79" s="10">
        <f t="shared" si="18"/>
        <v>62.048999999999999</v>
      </c>
      <c r="E79" s="10">
        <f t="shared" si="19"/>
        <v>62.148000000000003</v>
      </c>
      <c r="F79" s="10">
        <f t="shared" si="20"/>
        <v>1.5519999999999996</v>
      </c>
      <c r="G79" s="10">
        <f t="shared" si="21"/>
        <v>0</v>
      </c>
      <c r="H79" s="10">
        <f t="shared" si="22"/>
        <v>10.883000000000003</v>
      </c>
      <c r="I79" s="11">
        <v>49.613999999999997</v>
      </c>
      <c r="J79" s="11">
        <v>51.165999999999997</v>
      </c>
      <c r="K79" s="11"/>
      <c r="L79" s="11"/>
      <c r="M79" s="11">
        <v>62.148000000000003</v>
      </c>
      <c r="N79" s="11">
        <v>62.048999999999999</v>
      </c>
      <c r="O79" s="11"/>
      <c r="P79" s="11"/>
      <c r="Q79" s="5"/>
      <c r="S79">
        <f t="shared" si="23"/>
        <v>9.9000000000003752E-2</v>
      </c>
    </row>
    <row r="80" spans="1:19" x14ac:dyDescent="0.35">
      <c r="A80" s="6">
        <v>1927</v>
      </c>
      <c r="B80" s="7">
        <f t="shared" si="16"/>
        <v>50.412999999999997</v>
      </c>
      <c r="C80" s="7">
        <f t="shared" si="17"/>
        <v>52.929000000000002</v>
      </c>
      <c r="D80" s="7">
        <f t="shared" si="18"/>
        <v>62.975000000000001</v>
      </c>
      <c r="E80" s="7">
        <f t="shared" si="19"/>
        <v>63.762999999999998</v>
      </c>
      <c r="F80" s="7">
        <f t="shared" si="20"/>
        <v>2.5160000000000053</v>
      </c>
      <c r="G80" s="7">
        <f t="shared" si="21"/>
        <v>0</v>
      </c>
      <c r="H80" s="7">
        <f t="shared" si="22"/>
        <v>10.045999999999999</v>
      </c>
      <c r="I80" s="8">
        <v>50.412999999999997</v>
      </c>
      <c r="J80" s="8">
        <v>52.929000000000002</v>
      </c>
      <c r="K80" s="8"/>
      <c r="L80" s="8"/>
      <c r="M80" s="8">
        <v>62.975000000000001</v>
      </c>
      <c r="N80" s="8">
        <v>63.762999999999998</v>
      </c>
      <c r="O80" s="8"/>
      <c r="P80" s="8"/>
      <c r="Q80" s="5"/>
      <c r="S80">
        <f t="shared" si="23"/>
        <v>0.7879999999999967</v>
      </c>
    </row>
    <row r="81" spans="1:19" x14ac:dyDescent="0.35">
      <c r="A81" s="9">
        <v>1928</v>
      </c>
      <c r="B81" s="10">
        <f t="shared" si="16"/>
        <v>49.725999999999999</v>
      </c>
      <c r="C81" s="10">
        <f t="shared" si="17"/>
        <v>52.246000000000002</v>
      </c>
      <c r="D81" s="10">
        <f t="shared" si="18"/>
        <v>62.459000000000003</v>
      </c>
      <c r="E81" s="10">
        <f t="shared" si="19"/>
        <v>63.316000000000003</v>
      </c>
      <c r="F81" s="10">
        <f t="shared" si="20"/>
        <v>2.5200000000000031</v>
      </c>
      <c r="G81" s="10">
        <f t="shared" si="21"/>
        <v>0</v>
      </c>
      <c r="H81" s="10">
        <f t="shared" si="22"/>
        <v>10.213000000000001</v>
      </c>
      <c r="I81" s="11">
        <v>49.725999999999999</v>
      </c>
      <c r="J81" s="11">
        <v>52.246000000000002</v>
      </c>
      <c r="K81" s="11"/>
      <c r="L81" s="11"/>
      <c r="M81" s="11">
        <v>62.459000000000003</v>
      </c>
      <c r="N81" s="11">
        <v>63.316000000000003</v>
      </c>
      <c r="O81" s="11"/>
      <c r="P81" s="11"/>
      <c r="Q81" s="5"/>
      <c r="S81">
        <f t="shared" si="23"/>
        <v>0.85699999999999932</v>
      </c>
    </row>
    <row r="82" spans="1:19" x14ac:dyDescent="0.35">
      <c r="A82" s="6">
        <v>1929</v>
      </c>
      <c r="B82" s="7">
        <f t="shared" si="16"/>
        <v>50.213000000000001</v>
      </c>
      <c r="C82" s="7">
        <f t="shared" si="17"/>
        <v>53.432000000000002</v>
      </c>
      <c r="D82" s="7">
        <f t="shared" si="18"/>
        <v>63.334000000000003</v>
      </c>
      <c r="E82" s="7">
        <f t="shared" si="19"/>
        <v>64.38</v>
      </c>
      <c r="F82" s="7">
        <f t="shared" si="20"/>
        <v>3.2190000000000012</v>
      </c>
      <c r="G82" s="7">
        <f t="shared" si="21"/>
        <v>0</v>
      </c>
      <c r="H82" s="7">
        <f t="shared" si="22"/>
        <v>9.902000000000001</v>
      </c>
      <c r="I82" s="8">
        <v>50.213000000000001</v>
      </c>
      <c r="J82" s="8">
        <v>53.432000000000002</v>
      </c>
      <c r="K82" s="8"/>
      <c r="L82" s="8"/>
      <c r="M82" s="8">
        <v>63.334000000000003</v>
      </c>
      <c r="N82" s="8">
        <v>64.38</v>
      </c>
      <c r="O82" s="8"/>
      <c r="P82" s="8"/>
      <c r="Q82" s="5"/>
      <c r="S82">
        <f t="shared" si="23"/>
        <v>1.0459999999999923</v>
      </c>
    </row>
    <row r="83" spans="1:19" x14ac:dyDescent="0.35">
      <c r="A83" s="9">
        <v>1930</v>
      </c>
      <c r="B83" s="10">
        <f t="shared" si="16"/>
        <v>47.533999999999999</v>
      </c>
      <c r="C83" s="10">
        <f t="shared" si="17"/>
        <v>52.548999999999999</v>
      </c>
      <c r="D83" s="10">
        <f t="shared" si="18"/>
        <v>62.44</v>
      </c>
      <c r="E83" s="10">
        <f t="shared" si="19"/>
        <v>63.838999999999999</v>
      </c>
      <c r="F83" s="10">
        <f t="shared" si="20"/>
        <v>5.0150000000000006</v>
      </c>
      <c r="G83" s="10">
        <f t="shared" si="21"/>
        <v>0</v>
      </c>
      <c r="H83" s="10">
        <f t="shared" si="22"/>
        <v>9.8909999999999982</v>
      </c>
      <c r="I83" s="11">
        <v>47.533999999999999</v>
      </c>
      <c r="J83" s="11">
        <v>52.548999999999999</v>
      </c>
      <c r="K83" s="11"/>
      <c r="L83" s="11"/>
      <c r="M83" s="11">
        <v>62.44</v>
      </c>
      <c r="N83" s="11">
        <v>63.838999999999999</v>
      </c>
      <c r="O83" s="11"/>
      <c r="P83" s="11"/>
      <c r="Q83" s="5"/>
      <c r="S83">
        <f t="shared" si="23"/>
        <v>1.3990000000000009</v>
      </c>
    </row>
    <row r="84" spans="1:19" x14ac:dyDescent="0.35">
      <c r="A84" s="6">
        <v>1931</v>
      </c>
      <c r="B84" s="7">
        <f t="shared" si="16"/>
        <v>44.808</v>
      </c>
      <c r="C84" s="7">
        <f t="shared" si="17"/>
        <v>49.838999999999999</v>
      </c>
      <c r="D84" s="7">
        <f t="shared" si="18"/>
        <v>61.003</v>
      </c>
      <c r="E84" s="7">
        <f t="shared" si="19"/>
        <v>61.927999999999997</v>
      </c>
      <c r="F84" s="7">
        <f t="shared" si="20"/>
        <v>5.0309999999999988</v>
      </c>
      <c r="G84" s="7">
        <f t="shared" si="21"/>
        <v>0</v>
      </c>
      <c r="H84" s="7">
        <f t="shared" si="22"/>
        <v>11.164000000000001</v>
      </c>
      <c r="I84" s="8">
        <v>44.808</v>
      </c>
      <c r="J84" s="8">
        <v>49.838999999999999</v>
      </c>
      <c r="K84" s="8"/>
      <c r="L84" s="8"/>
      <c r="M84" s="8">
        <v>61.003</v>
      </c>
      <c r="N84" s="8">
        <v>61.927999999999997</v>
      </c>
      <c r="O84" s="8"/>
      <c r="P84" s="8"/>
      <c r="Q84" s="5"/>
      <c r="S84">
        <f t="shared" si="23"/>
        <v>0.92499999999999716</v>
      </c>
    </row>
    <row r="85" spans="1:19" x14ac:dyDescent="0.35">
      <c r="A85" s="9">
        <v>1932</v>
      </c>
      <c r="B85" s="10">
        <f t="shared" si="16"/>
        <v>42.244</v>
      </c>
      <c r="C85" s="10">
        <f t="shared" si="17"/>
        <v>45.671999999999997</v>
      </c>
      <c r="D85" s="10">
        <f t="shared" si="18"/>
        <v>58.710999999999999</v>
      </c>
      <c r="E85" s="10">
        <f t="shared" si="19"/>
        <v>59.313000000000002</v>
      </c>
      <c r="F85" s="10">
        <f t="shared" si="20"/>
        <v>3.4279999999999973</v>
      </c>
      <c r="G85" s="10">
        <f t="shared" si="21"/>
        <v>0</v>
      </c>
      <c r="H85" s="10">
        <f t="shared" si="22"/>
        <v>13.039000000000001</v>
      </c>
      <c r="I85" s="11">
        <v>42.244</v>
      </c>
      <c r="J85" s="11">
        <v>45.671999999999997</v>
      </c>
      <c r="K85" s="11"/>
      <c r="L85" s="11"/>
      <c r="M85" s="11">
        <v>59.313000000000002</v>
      </c>
      <c r="N85" s="11">
        <v>58.710999999999999</v>
      </c>
      <c r="O85" s="11"/>
      <c r="P85" s="11"/>
      <c r="Q85" s="5"/>
      <c r="S85">
        <f t="shared" si="23"/>
        <v>0.60200000000000387</v>
      </c>
    </row>
    <row r="86" spans="1:19" x14ac:dyDescent="0.35">
      <c r="A86" s="6">
        <v>1933</v>
      </c>
      <c r="B86" s="7">
        <f t="shared" si="16"/>
        <v>42.600999999999999</v>
      </c>
      <c r="C86" s="7">
        <f t="shared" si="17"/>
        <v>45.892000000000003</v>
      </c>
      <c r="D86" s="7">
        <f t="shared" si="18"/>
        <v>58.932000000000002</v>
      </c>
      <c r="E86" s="7">
        <f t="shared" si="19"/>
        <v>59.594000000000001</v>
      </c>
      <c r="F86" s="7">
        <f t="shared" si="20"/>
        <v>3.2910000000000039</v>
      </c>
      <c r="G86" s="7">
        <f t="shared" si="21"/>
        <v>0</v>
      </c>
      <c r="H86" s="7">
        <f t="shared" si="22"/>
        <v>13.04</v>
      </c>
      <c r="I86" s="8">
        <v>42.600999999999999</v>
      </c>
      <c r="J86" s="8">
        <v>45.892000000000003</v>
      </c>
      <c r="K86" s="8"/>
      <c r="L86" s="8"/>
      <c r="M86" s="8">
        <v>59.594000000000001</v>
      </c>
      <c r="N86" s="8">
        <v>58.932000000000002</v>
      </c>
      <c r="O86" s="8"/>
      <c r="P86" s="8"/>
      <c r="Q86" s="5"/>
      <c r="S86">
        <f t="shared" si="23"/>
        <v>0.66199999999999903</v>
      </c>
    </row>
    <row r="87" spans="1:19" x14ac:dyDescent="0.35">
      <c r="A87" s="9">
        <v>1934</v>
      </c>
      <c r="B87" s="10">
        <f t="shared" si="16"/>
        <v>42.953000000000003</v>
      </c>
      <c r="C87" s="10">
        <f t="shared" si="17"/>
        <v>46.375999999999998</v>
      </c>
      <c r="D87" s="10">
        <f t="shared" si="18"/>
        <v>59.585999999999999</v>
      </c>
      <c r="E87" s="10">
        <f t="shared" si="19"/>
        <v>60.036000000000001</v>
      </c>
      <c r="F87" s="10">
        <f t="shared" si="20"/>
        <v>3.4229999999999947</v>
      </c>
      <c r="G87" s="10">
        <f t="shared" si="21"/>
        <v>0</v>
      </c>
      <c r="H87" s="10">
        <f t="shared" si="22"/>
        <v>13.21</v>
      </c>
      <c r="I87" s="11">
        <v>42.953000000000003</v>
      </c>
      <c r="J87" s="11">
        <v>46.375999999999998</v>
      </c>
      <c r="K87" s="11"/>
      <c r="L87" s="11"/>
      <c r="M87" s="11">
        <v>60.036000000000001</v>
      </c>
      <c r="N87" s="11">
        <v>59.585999999999999</v>
      </c>
      <c r="O87" s="11"/>
      <c r="P87" s="11"/>
      <c r="Q87" s="5"/>
      <c r="S87">
        <f t="shared" si="23"/>
        <v>0.45000000000000284</v>
      </c>
    </row>
    <row r="88" spans="1:19" x14ac:dyDescent="0.35">
      <c r="A88" s="6">
        <v>1935</v>
      </c>
      <c r="B88" s="7">
        <f t="shared" si="16"/>
        <v>42.994</v>
      </c>
      <c r="C88" s="7">
        <f t="shared" si="17"/>
        <v>46.390999999999998</v>
      </c>
      <c r="D88" s="7">
        <f t="shared" si="18"/>
        <v>59.671999999999997</v>
      </c>
      <c r="E88" s="7">
        <f t="shared" si="19"/>
        <v>60.545000000000002</v>
      </c>
      <c r="F88" s="7">
        <f t="shared" si="20"/>
        <v>3.3969999999999985</v>
      </c>
      <c r="G88" s="7">
        <f t="shared" si="21"/>
        <v>0</v>
      </c>
      <c r="H88" s="7">
        <f t="shared" si="22"/>
        <v>13.280999999999999</v>
      </c>
      <c r="I88" s="8">
        <v>42.994</v>
      </c>
      <c r="J88" s="8">
        <v>46.390999999999998</v>
      </c>
      <c r="K88" s="8"/>
      <c r="L88" s="8"/>
      <c r="M88" s="8">
        <v>60.545000000000002</v>
      </c>
      <c r="N88" s="8">
        <v>59.671999999999997</v>
      </c>
      <c r="O88" s="8"/>
      <c r="P88" s="8"/>
      <c r="Q88" s="5"/>
      <c r="S88">
        <f t="shared" si="23"/>
        <v>0.87300000000000466</v>
      </c>
    </row>
    <row r="89" spans="1:19" x14ac:dyDescent="0.35">
      <c r="A89" s="9">
        <v>1936</v>
      </c>
      <c r="B89" s="10">
        <f t="shared" si="16"/>
        <v>43.555999999999997</v>
      </c>
      <c r="C89" s="10">
        <f t="shared" si="17"/>
        <v>47.069000000000003</v>
      </c>
      <c r="D89" s="10">
        <f t="shared" si="18"/>
        <v>60.267000000000003</v>
      </c>
      <c r="E89" s="10">
        <f t="shared" si="19"/>
        <v>61.302999999999997</v>
      </c>
      <c r="F89" s="10">
        <f t="shared" si="20"/>
        <v>3.5130000000000052</v>
      </c>
      <c r="G89" s="10">
        <f t="shared" si="21"/>
        <v>0</v>
      </c>
      <c r="H89" s="10">
        <f t="shared" si="22"/>
        <v>13.198</v>
      </c>
      <c r="I89" s="11">
        <v>43.555999999999997</v>
      </c>
      <c r="J89" s="11">
        <v>47.069000000000003</v>
      </c>
      <c r="K89" s="11"/>
      <c r="L89" s="11"/>
      <c r="M89" s="11">
        <v>61.302999999999997</v>
      </c>
      <c r="N89" s="11">
        <v>60.267000000000003</v>
      </c>
      <c r="O89" s="11"/>
      <c r="P89" s="11"/>
      <c r="Q89" s="5"/>
      <c r="S89">
        <f t="shared" si="23"/>
        <v>1.0359999999999943</v>
      </c>
    </row>
    <row r="90" spans="1:19" x14ac:dyDescent="0.35">
      <c r="A90" s="6">
        <v>1937</v>
      </c>
      <c r="B90" s="7">
        <f t="shared" si="16"/>
        <v>44.121000000000002</v>
      </c>
      <c r="C90" s="7">
        <f t="shared" si="17"/>
        <v>47.408999999999999</v>
      </c>
      <c r="D90" s="7">
        <f t="shared" si="18"/>
        <v>60.405999999999999</v>
      </c>
      <c r="E90" s="7">
        <f t="shared" si="19"/>
        <v>61.645000000000003</v>
      </c>
      <c r="F90" s="7">
        <f t="shared" si="20"/>
        <v>3.2879999999999967</v>
      </c>
      <c r="G90" s="7">
        <f t="shared" si="21"/>
        <v>0</v>
      </c>
      <c r="H90" s="7">
        <f t="shared" si="22"/>
        <v>12.997</v>
      </c>
      <c r="I90" s="8">
        <v>44.121000000000002</v>
      </c>
      <c r="J90" s="8">
        <v>47.408999999999999</v>
      </c>
      <c r="K90" s="8"/>
      <c r="L90" s="8"/>
      <c r="M90" s="8">
        <v>61.645000000000003</v>
      </c>
      <c r="N90" s="8">
        <v>60.405999999999999</v>
      </c>
      <c r="O90" s="8"/>
      <c r="P90" s="8"/>
      <c r="Q90" s="5"/>
      <c r="S90">
        <f t="shared" si="23"/>
        <v>1.2390000000000043</v>
      </c>
    </row>
    <row r="91" spans="1:19" x14ac:dyDescent="0.35">
      <c r="A91" s="9">
        <v>1938</v>
      </c>
      <c r="B91" s="10">
        <f t="shared" si="16"/>
        <v>42.302</v>
      </c>
      <c r="C91" s="10">
        <f t="shared" si="17"/>
        <v>45.39</v>
      </c>
      <c r="D91" s="10">
        <f t="shared" si="18"/>
        <v>58.939</v>
      </c>
      <c r="E91" s="10">
        <f t="shared" si="19"/>
        <v>60.607999999999997</v>
      </c>
      <c r="F91" s="10">
        <f t="shared" si="20"/>
        <v>3.088000000000001</v>
      </c>
      <c r="G91" s="10">
        <f t="shared" si="21"/>
        <v>0</v>
      </c>
      <c r="H91" s="10">
        <f t="shared" si="22"/>
        <v>13.548999999999999</v>
      </c>
      <c r="I91" s="11">
        <v>42.302</v>
      </c>
      <c r="J91" s="11">
        <v>45.39</v>
      </c>
      <c r="K91" s="11"/>
      <c r="L91" s="11"/>
      <c r="M91" s="11">
        <v>60.607999999999997</v>
      </c>
      <c r="N91" s="11">
        <v>58.939</v>
      </c>
      <c r="O91" s="11"/>
      <c r="P91" s="11"/>
      <c r="Q91" s="5"/>
      <c r="S91">
        <f t="shared" si="23"/>
        <v>1.6689999999999969</v>
      </c>
    </row>
    <row r="92" spans="1:19" x14ac:dyDescent="0.35">
      <c r="A92" s="6">
        <v>1939</v>
      </c>
      <c r="B92" s="7">
        <f t="shared" si="16"/>
        <v>42.994999999999997</v>
      </c>
      <c r="C92" s="7">
        <f t="shared" si="17"/>
        <v>46.165999999999997</v>
      </c>
      <c r="D92" s="7">
        <f t="shared" si="18"/>
        <v>59.3</v>
      </c>
      <c r="E92" s="7">
        <f t="shared" si="19"/>
        <v>60.966999999999999</v>
      </c>
      <c r="F92" s="7">
        <f t="shared" si="20"/>
        <v>3.1709999999999994</v>
      </c>
      <c r="G92" s="7">
        <f t="shared" si="21"/>
        <v>0</v>
      </c>
      <c r="H92" s="7">
        <f t="shared" si="22"/>
        <v>13.134</v>
      </c>
      <c r="I92" s="8">
        <v>42.994999999999997</v>
      </c>
      <c r="J92" s="8">
        <v>46.165999999999997</v>
      </c>
      <c r="K92" s="8"/>
      <c r="L92" s="8"/>
      <c r="M92" s="8">
        <v>60.966999999999999</v>
      </c>
      <c r="N92" s="8">
        <v>59.3</v>
      </c>
      <c r="O92" s="8"/>
      <c r="P92" s="8"/>
      <c r="Q92" s="5"/>
      <c r="S92">
        <f t="shared" si="23"/>
        <v>1.6670000000000016</v>
      </c>
    </row>
    <row r="93" spans="1:19" x14ac:dyDescent="0.35">
      <c r="A93" s="9">
        <v>1940</v>
      </c>
      <c r="B93" s="10">
        <f t="shared" si="16"/>
        <v>42.725000000000001</v>
      </c>
      <c r="C93" s="10">
        <f t="shared" si="17"/>
        <v>45.610999999999997</v>
      </c>
      <c r="D93" s="10">
        <f t="shared" si="18"/>
        <v>59.298000000000002</v>
      </c>
      <c r="E93" s="10">
        <f t="shared" si="19"/>
        <v>60.07</v>
      </c>
      <c r="F93" s="10">
        <f t="shared" si="20"/>
        <v>2.8859999999999957</v>
      </c>
      <c r="G93" s="10">
        <f t="shared" si="21"/>
        <v>0</v>
      </c>
      <c r="H93" s="10">
        <f t="shared" si="22"/>
        <v>13.687000000000005</v>
      </c>
      <c r="I93" s="11">
        <v>42.725000000000001</v>
      </c>
      <c r="J93" s="11">
        <v>45.610999999999997</v>
      </c>
      <c r="K93" s="11"/>
      <c r="L93" s="11"/>
      <c r="M93" s="11">
        <v>59.298000000000002</v>
      </c>
      <c r="N93" s="11">
        <v>60.07</v>
      </c>
      <c r="O93" s="11"/>
      <c r="P93" s="11"/>
      <c r="Q93" s="5"/>
      <c r="S93">
        <f t="shared" si="23"/>
        <v>0.77199999999999847</v>
      </c>
    </row>
    <row r="94" spans="1:19" x14ac:dyDescent="0.35">
      <c r="A94" s="6">
        <v>1941</v>
      </c>
      <c r="B94" s="7">
        <f t="shared" si="16"/>
        <v>43.180999999999997</v>
      </c>
      <c r="C94" s="7">
        <f t="shared" si="17"/>
        <v>46.679000000000002</v>
      </c>
      <c r="D94" s="7">
        <f t="shared" si="18"/>
        <v>58.085000000000001</v>
      </c>
      <c r="E94" s="7">
        <f t="shared" si="19"/>
        <v>59.987000000000002</v>
      </c>
      <c r="F94" s="7">
        <f t="shared" si="20"/>
        <v>3.4980000000000047</v>
      </c>
      <c r="G94" s="7">
        <f t="shared" si="21"/>
        <v>0</v>
      </c>
      <c r="H94" s="7">
        <f t="shared" si="22"/>
        <v>11.405999999999999</v>
      </c>
      <c r="I94" s="8">
        <v>43.180999999999997</v>
      </c>
      <c r="J94" s="8">
        <v>46.679000000000002</v>
      </c>
      <c r="K94" s="8"/>
      <c r="L94" s="8"/>
      <c r="M94" s="8">
        <v>58.085000000000001</v>
      </c>
      <c r="N94" s="8">
        <v>59.987000000000002</v>
      </c>
      <c r="O94" s="8"/>
      <c r="P94" s="8"/>
      <c r="Q94" s="5"/>
      <c r="S94">
        <f t="shared" si="23"/>
        <v>1.902000000000001</v>
      </c>
    </row>
    <row r="95" spans="1:19" x14ac:dyDescent="0.35">
      <c r="A95" s="9">
        <v>1942</v>
      </c>
      <c r="B95" s="10">
        <f t="shared" si="16"/>
        <v>44.390999999999998</v>
      </c>
      <c r="C95" s="10">
        <f t="shared" si="17"/>
        <v>48.079000000000001</v>
      </c>
      <c r="D95" s="10">
        <f t="shared" si="18"/>
        <v>57.281999999999996</v>
      </c>
      <c r="E95" s="10">
        <f t="shared" si="19"/>
        <v>60.13</v>
      </c>
      <c r="F95" s="10">
        <f t="shared" si="20"/>
        <v>3.6880000000000024</v>
      </c>
      <c r="G95" s="10">
        <f t="shared" si="21"/>
        <v>0</v>
      </c>
      <c r="H95" s="10">
        <f t="shared" si="22"/>
        <v>9.2029999999999959</v>
      </c>
      <c r="I95" s="11">
        <v>44.390999999999998</v>
      </c>
      <c r="J95" s="11">
        <v>48.079000000000001</v>
      </c>
      <c r="K95" s="11"/>
      <c r="L95" s="11"/>
      <c r="M95" s="11">
        <v>57.281999999999996</v>
      </c>
      <c r="N95" s="11">
        <v>60.13</v>
      </c>
      <c r="O95" s="11"/>
      <c r="P95" s="11"/>
      <c r="Q95" s="5"/>
      <c r="S95">
        <f t="shared" si="23"/>
        <v>2.8480000000000061</v>
      </c>
    </row>
    <row r="96" spans="1:19" x14ac:dyDescent="0.35">
      <c r="A96" s="6">
        <v>1943</v>
      </c>
      <c r="B96" s="7">
        <f t="shared" si="16"/>
        <v>44.42</v>
      </c>
      <c r="C96" s="7">
        <f t="shared" si="17"/>
        <v>47.368000000000002</v>
      </c>
      <c r="D96" s="7">
        <f t="shared" si="18"/>
        <v>56.862000000000002</v>
      </c>
      <c r="E96" s="7">
        <f t="shared" si="19"/>
        <v>59.857999999999997</v>
      </c>
      <c r="F96" s="7">
        <f t="shared" si="20"/>
        <v>2.9480000000000004</v>
      </c>
      <c r="G96" s="7">
        <f t="shared" si="21"/>
        <v>0</v>
      </c>
      <c r="H96" s="7">
        <f t="shared" si="22"/>
        <v>9.4939999999999998</v>
      </c>
      <c r="I96" s="8">
        <v>44.42</v>
      </c>
      <c r="J96" s="8">
        <v>47.368000000000002</v>
      </c>
      <c r="K96" s="8"/>
      <c r="L96" s="8"/>
      <c r="M96" s="8">
        <v>56.862000000000002</v>
      </c>
      <c r="N96" s="8">
        <v>59.857999999999997</v>
      </c>
      <c r="O96" s="8"/>
      <c r="P96" s="8"/>
      <c r="Q96" s="5"/>
      <c r="S96">
        <f t="shared" si="23"/>
        <v>2.9959999999999951</v>
      </c>
    </row>
    <row r="97" spans="1:19" x14ac:dyDescent="0.35">
      <c r="A97" s="9">
        <v>1944</v>
      </c>
      <c r="B97" s="10">
        <f t="shared" si="16"/>
        <v>44.174999999999997</v>
      </c>
      <c r="C97" s="10">
        <f t="shared" si="17"/>
        <v>46.905000000000001</v>
      </c>
      <c r="D97" s="10">
        <f t="shared" si="18"/>
        <v>56.283000000000001</v>
      </c>
      <c r="E97" s="10">
        <f t="shared" si="19"/>
        <v>58.847000000000001</v>
      </c>
      <c r="F97" s="10">
        <f t="shared" si="20"/>
        <v>2.730000000000004</v>
      </c>
      <c r="G97" s="10">
        <f t="shared" si="21"/>
        <v>0</v>
      </c>
      <c r="H97" s="10">
        <f t="shared" si="22"/>
        <v>9.3780000000000001</v>
      </c>
      <c r="I97" s="11">
        <v>44.174999999999997</v>
      </c>
      <c r="J97" s="11">
        <v>46.905000000000001</v>
      </c>
      <c r="K97" s="11"/>
      <c r="L97" s="11"/>
      <c r="M97" s="11">
        <v>56.283000000000001</v>
      </c>
      <c r="N97" s="11">
        <v>58.847000000000001</v>
      </c>
      <c r="O97" s="11"/>
      <c r="P97" s="11"/>
      <c r="Q97" s="5"/>
      <c r="S97">
        <f t="shared" si="23"/>
        <v>2.5640000000000001</v>
      </c>
    </row>
    <row r="98" spans="1:19" x14ac:dyDescent="0.35">
      <c r="A98" s="6">
        <v>1945</v>
      </c>
      <c r="B98" s="7">
        <f t="shared" si="16"/>
        <v>41.780999999999999</v>
      </c>
      <c r="C98" s="7">
        <f t="shared" si="17"/>
        <v>43.935000000000002</v>
      </c>
      <c r="D98" s="7">
        <f t="shared" si="18"/>
        <v>53.061999999999998</v>
      </c>
      <c r="E98" s="7">
        <f t="shared" si="19"/>
        <v>54.973999999999997</v>
      </c>
      <c r="F98" s="7">
        <f t="shared" si="20"/>
        <v>2.1540000000000035</v>
      </c>
      <c r="G98" s="7">
        <f t="shared" si="21"/>
        <v>0</v>
      </c>
      <c r="H98" s="7">
        <f t="shared" si="22"/>
        <v>9.1269999999999953</v>
      </c>
      <c r="I98" s="8">
        <v>41.780999999999999</v>
      </c>
      <c r="J98" s="8">
        <v>43.935000000000002</v>
      </c>
      <c r="K98" s="8"/>
      <c r="L98" s="8"/>
      <c r="M98" s="8">
        <v>53.061999999999998</v>
      </c>
      <c r="N98" s="8">
        <v>54.973999999999997</v>
      </c>
      <c r="O98" s="8"/>
      <c r="P98" s="8"/>
      <c r="Q98" s="5"/>
      <c r="S98">
        <f t="shared" si="23"/>
        <v>1.911999999999999</v>
      </c>
    </row>
    <row r="99" spans="1:19" x14ac:dyDescent="0.35">
      <c r="A99" s="9">
        <v>1946</v>
      </c>
      <c r="B99" s="10">
        <f t="shared" ref="B99:B130" si="24">IFERROR(MIN(I99:L99),"")</f>
        <v>42.106999999999999</v>
      </c>
      <c r="C99" s="10">
        <f t="shared" ref="C99:C130" si="25">IFERROR(MAX(I99:L99),"")</f>
        <v>43.015000000000001</v>
      </c>
      <c r="D99" s="10">
        <f t="shared" ref="D99:D130" si="26">IFERROR(MIN(M99:P99),"")</f>
        <v>53.31</v>
      </c>
      <c r="E99" s="10">
        <f t="shared" ref="E99:E130" si="27">IFERROR(MAX(M99:P99),"")</f>
        <v>54.113999999999997</v>
      </c>
      <c r="F99" s="10">
        <f t="shared" ref="F99:F130" si="28">IFERROR(MIN(C99,D99)-B99,"")</f>
        <v>0.90800000000000125</v>
      </c>
      <c r="G99" s="10">
        <f t="shared" ref="G99:G130" si="29">IFERROR(MAX(0,C99-D99),"")</f>
        <v>0</v>
      </c>
      <c r="H99" s="10">
        <f t="shared" ref="H99:H130" si="30">IFERROR(MAX(0,D99-C99),"")</f>
        <v>10.295000000000002</v>
      </c>
      <c r="I99" s="11">
        <v>42.106999999999999</v>
      </c>
      <c r="J99" s="11">
        <v>43.015000000000001</v>
      </c>
      <c r="K99" s="11"/>
      <c r="L99" s="11"/>
      <c r="M99" s="11">
        <v>53.31</v>
      </c>
      <c r="N99" s="11">
        <v>54.113999999999997</v>
      </c>
      <c r="O99" s="11"/>
      <c r="P99" s="11"/>
      <c r="Q99" s="5"/>
      <c r="S99">
        <f t="shared" ref="S99:S130" si="31">IFERROR(MAX(0,$E99-MAX($C99,$D99)),"")</f>
        <v>0.80399999999999494</v>
      </c>
    </row>
    <row r="100" spans="1:19" x14ac:dyDescent="0.35">
      <c r="A100" s="6">
        <v>1947</v>
      </c>
      <c r="B100" s="7">
        <f t="shared" si="24"/>
        <v>43.610999999999997</v>
      </c>
      <c r="C100" s="7">
        <f t="shared" si="25"/>
        <v>44.786000000000001</v>
      </c>
      <c r="D100" s="7">
        <f t="shared" si="26"/>
        <v>54.390999999999998</v>
      </c>
      <c r="E100" s="7">
        <f t="shared" si="27"/>
        <v>55.820999999999998</v>
      </c>
      <c r="F100" s="7">
        <f t="shared" si="28"/>
        <v>1.1750000000000043</v>
      </c>
      <c r="G100" s="7">
        <f t="shared" si="29"/>
        <v>0</v>
      </c>
      <c r="H100" s="7">
        <f t="shared" si="30"/>
        <v>9.6049999999999969</v>
      </c>
      <c r="I100" s="8">
        <v>43.610999999999997</v>
      </c>
      <c r="J100" s="8">
        <v>44.786000000000001</v>
      </c>
      <c r="K100" s="8"/>
      <c r="L100" s="8"/>
      <c r="M100" s="8">
        <v>54.390999999999998</v>
      </c>
      <c r="N100" s="8">
        <v>55.820999999999998</v>
      </c>
      <c r="O100" s="8"/>
      <c r="P100" s="8"/>
      <c r="Q100" s="5"/>
      <c r="S100">
        <f t="shared" si="31"/>
        <v>1.4299999999999997</v>
      </c>
    </row>
    <row r="101" spans="1:19" x14ac:dyDescent="0.35">
      <c r="A101" s="9">
        <v>1948</v>
      </c>
      <c r="B101" s="10">
        <f t="shared" si="24"/>
        <v>44.533999999999999</v>
      </c>
      <c r="C101" s="10">
        <f t="shared" si="25"/>
        <v>45.402999999999999</v>
      </c>
      <c r="D101" s="10">
        <f t="shared" si="26"/>
        <v>54.963000000000001</v>
      </c>
      <c r="E101" s="10">
        <f t="shared" si="27"/>
        <v>56.43</v>
      </c>
      <c r="F101" s="10">
        <f t="shared" si="28"/>
        <v>0.86899999999999977</v>
      </c>
      <c r="G101" s="10">
        <f t="shared" si="29"/>
        <v>0</v>
      </c>
      <c r="H101" s="10">
        <f t="shared" si="30"/>
        <v>9.5600000000000023</v>
      </c>
      <c r="I101" s="11">
        <v>44.533999999999999</v>
      </c>
      <c r="J101" s="11">
        <v>45.402999999999999</v>
      </c>
      <c r="K101" s="11"/>
      <c r="L101" s="11"/>
      <c r="M101" s="11">
        <v>54.963000000000001</v>
      </c>
      <c r="N101" s="11">
        <v>56.43</v>
      </c>
      <c r="O101" s="11"/>
      <c r="P101" s="11"/>
      <c r="Q101" s="5"/>
      <c r="S101">
        <f t="shared" si="31"/>
        <v>1.4669999999999987</v>
      </c>
    </row>
    <row r="102" spans="1:19" x14ac:dyDescent="0.35">
      <c r="A102" s="6">
        <v>1949</v>
      </c>
      <c r="B102" s="7">
        <f t="shared" si="24"/>
        <v>42.831000000000003</v>
      </c>
      <c r="C102" s="7">
        <f t="shared" si="25"/>
        <v>43.19</v>
      </c>
      <c r="D102" s="7">
        <f t="shared" si="26"/>
        <v>53.57</v>
      </c>
      <c r="E102" s="7">
        <f t="shared" si="27"/>
        <v>55.027999999999999</v>
      </c>
      <c r="F102" s="7">
        <f t="shared" si="28"/>
        <v>0.35899999999999466</v>
      </c>
      <c r="G102" s="7">
        <f t="shared" si="29"/>
        <v>0</v>
      </c>
      <c r="H102" s="7">
        <f t="shared" si="30"/>
        <v>10.380000000000003</v>
      </c>
      <c r="I102" s="8">
        <v>42.831000000000003</v>
      </c>
      <c r="J102" s="8">
        <v>43.19</v>
      </c>
      <c r="K102" s="8"/>
      <c r="L102" s="8"/>
      <c r="M102" s="8">
        <v>53.57</v>
      </c>
      <c r="N102" s="8">
        <v>55.027999999999999</v>
      </c>
      <c r="O102" s="8"/>
      <c r="P102" s="8"/>
      <c r="Q102" s="5"/>
      <c r="S102">
        <f t="shared" si="31"/>
        <v>1.4579999999999984</v>
      </c>
    </row>
    <row r="103" spans="1:19" x14ac:dyDescent="0.35">
      <c r="A103" s="9">
        <v>1950</v>
      </c>
      <c r="B103" s="10">
        <f t="shared" si="24"/>
        <v>41.698</v>
      </c>
      <c r="C103" s="10">
        <f t="shared" si="25"/>
        <v>45.058</v>
      </c>
      <c r="D103" s="10">
        <f t="shared" si="26"/>
        <v>53.122999999999998</v>
      </c>
      <c r="E103" s="10">
        <f t="shared" si="27"/>
        <v>56.981999999999999</v>
      </c>
      <c r="F103" s="10">
        <f t="shared" si="28"/>
        <v>3.3599999999999994</v>
      </c>
      <c r="G103" s="10">
        <f t="shared" si="29"/>
        <v>0</v>
      </c>
      <c r="H103" s="10">
        <f t="shared" si="30"/>
        <v>8.0649999999999977</v>
      </c>
      <c r="I103" s="11">
        <v>41.698</v>
      </c>
      <c r="J103" s="11">
        <v>45.058</v>
      </c>
      <c r="K103" s="11"/>
      <c r="L103" s="11"/>
      <c r="M103" s="11">
        <v>53.122999999999998</v>
      </c>
      <c r="N103" s="11">
        <v>56.981999999999999</v>
      </c>
      <c r="O103" s="11"/>
      <c r="P103" s="11"/>
      <c r="Q103" s="5"/>
      <c r="S103">
        <f t="shared" si="31"/>
        <v>3.8590000000000018</v>
      </c>
    </row>
    <row r="104" spans="1:19" x14ac:dyDescent="0.35">
      <c r="A104" s="6">
        <v>1951</v>
      </c>
      <c r="B104" s="7">
        <f t="shared" si="24"/>
        <v>40.817</v>
      </c>
      <c r="C104" s="7">
        <f t="shared" si="25"/>
        <v>44.366</v>
      </c>
      <c r="D104" s="7">
        <f t="shared" si="26"/>
        <v>52.731999999999999</v>
      </c>
      <c r="E104" s="7">
        <f t="shared" si="27"/>
        <v>58.113</v>
      </c>
      <c r="F104" s="7">
        <f t="shared" si="28"/>
        <v>3.5489999999999995</v>
      </c>
      <c r="G104" s="7">
        <f t="shared" si="29"/>
        <v>0</v>
      </c>
      <c r="H104" s="7">
        <f t="shared" si="30"/>
        <v>8.3659999999999997</v>
      </c>
      <c r="I104" s="8">
        <v>40.817</v>
      </c>
      <c r="J104" s="8">
        <v>44.366</v>
      </c>
      <c r="K104" s="8"/>
      <c r="L104" s="8"/>
      <c r="M104" s="8">
        <v>52.731999999999999</v>
      </c>
      <c r="N104" s="8">
        <v>58.113</v>
      </c>
      <c r="O104" s="8"/>
      <c r="P104" s="8"/>
      <c r="Q104" s="5"/>
      <c r="S104">
        <f t="shared" si="31"/>
        <v>5.3810000000000002</v>
      </c>
    </row>
    <row r="105" spans="1:19" x14ac:dyDescent="0.35">
      <c r="A105" s="9">
        <v>1952</v>
      </c>
      <c r="B105" s="10">
        <f t="shared" si="24"/>
        <v>40.243000000000002</v>
      </c>
      <c r="C105" s="10">
        <f t="shared" si="25"/>
        <v>42.624000000000002</v>
      </c>
      <c r="D105" s="10">
        <f t="shared" si="26"/>
        <v>52.781999999999996</v>
      </c>
      <c r="E105" s="10">
        <f t="shared" si="27"/>
        <v>57.152999999999999</v>
      </c>
      <c r="F105" s="10">
        <f t="shared" si="28"/>
        <v>2.3810000000000002</v>
      </c>
      <c r="G105" s="10">
        <f t="shared" si="29"/>
        <v>0</v>
      </c>
      <c r="H105" s="10">
        <f t="shared" si="30"/>
        <v>10.157999999999994</v>
      </c>
      <c r="I105" s="11">
        <v>40.243000000000002</v>
      </c>
      <c r="J105" s="11">
        <v>42.624000000000002</v>
      </c>
      <c r="K105" s="11"/>
      <c r="L105" s="11"/>
      <c r="M105" s="11">
        <v>52.781999999999996</v>
      </c>
      <c r="N105" s="11">
        <v>57.152999999999999</v>
      </c>
      <c r="O105" s="11"/>
      <c r="P105" s="11"/>
      <c r="Q105" s="5"/>
      <c r="S105">
        <f t="shared" si="31"/>
        <v>4.3710000000000022</v>
      </c>
    </row>
    <row r="106" spans="1:19" x14ac:dyDescent="0.35">
      <c r="A106" s="6">
        <v>1953</v>
      </c>
      <c r="B106" s="7">
        <f t="shared" si="24"/>
        <v>39.942</v>
      </c>
      <c r="C106" s="7">
        <f t="shared" si="25"/>
        <v>42.283999999999999</v>
      </c>
      <c r="D106" s="7">
        <f t="shared" si="26"/>
        <v>52.957000000000001</v>
      </c>
      <c r="E106" s="7">
        <f t="shared" si="27"/>
        <v>57.527000000000001</v>
      </c>
      <c r="F106" s="7">
        <f t="shared" si="28"/>
        <v>2.3419999999999987</v>
      </c>
      <c r="G106" s="7">
        <f t="shared" si="29"/>
        <v>0</v>
      </c>
      <c r="H106" s="7">
        <f t="shared" si="30"/>
        <v>10.673000000000002</v>
      </c>
      <c r="I106" s="8">
        <v>39.942</v>
      </c>
      <c r="J106" s="8">
        <v>42.283999999999999</v>
      </c>
      <c r="K106" s="8"/>
      <c r="L106" s="8"/>
      <c r="M106" s="8">
        <v>52.957000000000001</v>
      </c>
      <c r="N106" s="8">
        <v>57.527000000000001</v>
      </c>
      <c r="O106" s="8"/>
      <c r="P106" s="8"/>
      <c r="Q106" s="5"/>
      <c r="S106">
        <f t="shared" si="31"/>
        <v>4.57</v>
      </c>
    </row>
    <row r="107" spans="1:19" x14ac:dyDescent="0.35">
      <c r="A107" s="9">
        <v>1954</v>
      </c>
      <c r="B107" s="10">
        <f t="shared" si="24"/>
        <v>38.511000000000003</v>
      </c>
      <c r="C107" s="10">
        <f t="shared" si="25"/>
        <v>41.225999999999999</v>
      </c>
      <c r="D107" s="10">
        <f t="shared" si="26"/>
        <v>52.01</v>
      </c>
      <c r="E107" s="10">
        <f t="shared" si="27"/>
        <v>57.134</v>
      </c>
      <c r="F107" s="10">
        <f t="shared" si="28"/>
        <v>2.7149999999999963</v>
      </c>
      <c r="G107" s="10">
        <f t="shared" si="29"/>
        <v>0</v>
      </c>
      <c r="H107" s="10">
        <f t="shared" si="30"/>
        <v>10.783999999999999</v>
      </c>
      <c r="I107" s="11">
        <v>38.511000000000003</v>
      </c>
      <c r="J107" s="11">
        <v>41.225999999999999</v>
      </c>
      <c r="K107" s="11"/>
      <c r="L107" s="11"/>
      <c r="M107" s="11">
        <v>52.01</v>
      </c>
      <c r="N107" s="11">
        <v>57.134</v>
      </c>
      <c r="O107" s="11"/>
      <c r="P107" s="11"/>
      <c r="Q107" s="5"/>
      <c r="S107">
        <f t="shared" si="31"/>
        <v>5.1240000000000023</v>
      </c>
    </row>
    <row r="108" spans="1:19" x14ac:dyDescent="0.35">
      <c r="A108" s="6">
        <v>1955</v>
      </c>
      <c r="B108" s="7">
        <f t="shared" si="24"/>
        <v>38.793999999999997</v>
      </c>
      <c r="C108" s="7">
        <f t="shared" si="25"/>
        <v>41.371000000000002</v>
      </c>
      <c r="D108" s="7">
        <f t="shared" si="26"/>
        <v>52.637999999999998</v>
      </c>
      <c r="E108" s="7">
        <f t="shared" si="27"/>
        <v>57.661999999999999</v>
      </c>
      <c r="F108" s="7">
        <f t="shared" si="28"/>
        <v>2.5770000000000053</v>
      </c>
      <c r="G108" s="7">
        <f t="shared" si="29"/>
        <v>0</v>
      </c>
      <c r="H108" s="7">
        <f t="shared" si="30"/>
        <v>11.266999999999996</v>
      </c>
      <c r="I108" s="8">
        <v>38.793999999999997</v>
      </c>
      <c r="J108" s="8">
        <v>41.371000000000002</v>
      </c>
      <c r="K108" s="8"/>
      <c r="L108" s="8"/>
      <c r="M108" s="8">
        <v>52.637999999999998</v>
      </c>
      <c r="N108" s="8">
        <v>57.661999999999999</v>
      </c>
      <c r="O108" s="8"/>
      <c r="P108" s="8"/>
      <c r="Q108" s="5"/>
      <c r="S108">
        <f t="shared" si="31"/>
        <v>5.0240000000000009</v>
      </c>
    </row>
    <row r="109" spans="1:19" x14ac:dyDescent="0.35">
      <c r="A109" s="9">
        <v>1956</v>
      </c>
      <c r="B109" s="10">
        <f t="shared" si="24"/>
        <v>39.021999999999998</v>
      </c>
      <c r="C109" s="10">
        <f t="shared" si="25"/>
        <v>41.503999999999998</v>
      </c>
      <c r="D109" s="10">
        <f t="shared" si="26"/>
        <v>53.234999999999999</v>
      </c>
      <c r="E109" s="10">
        <f t="shared" si="27"/>
        <v>58.231999999999999</v>
      </c>
      <c r="F109" s="10">
        <f t="shared" si="28"/>
        <v>2.4819999999999993</v>
      </c>
      <c r="G109" s="10">
        <f t="shared" si="29"/>
        <v>0</v>
      </c>
      <c r="H109" s="10">
        <f t="shared" si="30"/>
        <v>11.731000000000002</v>
      </c>
      <c r="I109" s="11">
        <v>39.021999999999998</v>
      </c>
      <c r="J109" s="11">
        <v>41.503999999999998</v>
      </c>
      <c r="K109" s="11"/>
      <c r="L109" s="11"/>
      <c r="M109" s="11">
        <v>53.234999999999999</v>
      </c>
      <c r="N109" s="11">
        <v>58.231999999999999</v>
      </c>
      <c r="O109" s="11"/>
      <c r="P109" s="11"/>
      <c r="Q109" s="5"/>
      <c r="S109">
        <f t="shared" si="31"/>
        <v>4.9969999999999999</v>
      </c>
    </row>
    <row r="110" spans="1:19" x14ac:dyDescent="0.35">
      <c r="A110" s="6">
        <v>1957</v>
      </c>
      <c r="B110" s="7">
        <f t="shared" si="24"/>
        <v>38.200000000000003</v>
      </c>
      <c r="C110" s="7">
        <f t="shared" si="25"/>
        <v>40.661000000000001</v>
      </c>
      <c r="D110" s="7">
        <f t="shared" si="26"/>
        <v>52.856999999999999</v>
      </c>
      <c r="E110" s="7">
        <f t="shared" si="27"/>
        <v>58.165999999999997</v>
      </c>
      <c r="F110" s="7">
        <f t="shared" si="28"/>
        <v>2.4609999999999985</v>
      </c>
      <c r="G110" s="7">
        <f t="shared" si="29"/>
        <v>0</v>
      </c>
      <c r="H110" s="7">
        <f t="shared" si="30"/>
        <v>12.195999999999998</v>
      </c>
      <c r="I110" s="8">
        <v>38.200000000000003</v>
      </c>
      <c r="J110" s="8">
        <v>40.661000000000001</v>
      </c>
      <c r="K110" s="8"/>
      <c r="L110" s="8"/>
      <c r="M110" s="8">
        <v>52.856999999999999</v>
      </c>
      <c r="N110" s="8">
        <v>58.165999999999997</v>
      </c>
      <c r="O110" s="8"/>
      <c r="P110" s="8"/>
      <c r="Q110" s="5"/>
      <c r="S110">
        <f t="shared" si="31"/>
        <v>5.3089999999999975</v>
      </c>
    </row>
    <row r="111" spans="1:19" x14ac:dyDescent="0.35">
      <c r="A111" s="9">
        <v>1958</v>
      </c>
      <c r="B111" s="10">
        <f t="shared" si="24"/>
        <v>36.973999999999997</v>
      </c>
      <c r="C111" s="10">
        <f t="shared" si="25"/>
        <v>39.53</v>
      </c>
      <c r="D111" s="10">
        <f t="shared" si="26"/>
        <v>52.051000000000002</v>
      </c>
      <c r="E111" s="10">
        <f t="shared" si="27"/>
        <v>57.496000000000002</v>
      </c>
      <c r="F111" s="10">
        <f t="shared" si="28"/>
        <v>2.5560000000000045</v>
      </c>
      <c r="G111" s="10">
        <f t="shared" si="29"/>
        <v>0</v>
      </c>
      <c r="H111" s="10">
        <f t="shared" si="30"/>
        <v>12.521000000000001</v>
      </c>
      <c r="I111" s="11">
        <v>36.973999999999997</v>
      </c>
      <c r="J111" s="11">
        <v>39.53</v>
      </c>
      <c r="K111" s="11"/>
      <c r="L111" s="11"/>
      <c r="M111" s="11">
        <v>52.051000000000002</v>
      </c>
      <c r="N111" s="11">
        <v>57.496000000000002</v>
      </c>
      <c r="O111" s="11"/>
      <c r="P111" s="11"/>
      <c r="Q111" s="5"/>
      <c r="S111">
        <f t="shared" si="31"/>
        <v>5.4450000000000003</v>
      </c>
    </row>
    <row r="112" spans="1:19" x14ac:dyDescent="0.35">
      <c r="A112" s="6">
        <v>1959</v>
      </c>
      <c r="B112" s="7">
        <f t="shared" si="24"/>
        <v>35.530999999999999</v>
      </c>
      <c r="C112" s="7">
        <f t="shared" si="25"/>
        <v>39.173000000000002</v>
      </c>
      <c r="D112" s="7">
        <f t="shared" si="26"/>
        <v>51.631999999999998</v>
      </c>
      <c r="E112" s="7">
        <f t="shared" si="27"/>
        <v>56.28</v>
      </c>
      <c r="F112" s="7">
        <f t="shared" si="28"/>
        <v>3.642000000000003</v>
      </c>
      <c r="G112" s="7">
        <f t="shared" si="29"/>
        <v>0</v>
      </c>
      <c r="H112" s="7">
        <f t="shared" si="30"/>
        <v>12.458999999999996</v>
      </c>
      <c r="I112" s="8">
        <v>35.530999999999999</v>
      </c>
      <c r="J112" s="8">
        <v>39.173000000000002</v>
      </c>
      <c r="K112" s="8"/>
      <c r="L112" s="8"/>
      <c r="M112" s="8">
        <v>51.631999999999998</v>
      </c>
      <c r="N112" s="8">
        <v>56.28</v>
      </c>
      <c r="O112" s="8"/>
      <c r="P112" s="8"/>
      <c r="Q112" s="5"/>
      <c r="S112">
        <f t="shared" si="31"/>
        <v>4.6480000000000032</v>
      </c>
    </row>
    <row r="113" spans="1:19" x14ac:dyDescent="0.35">
      <c r="A113" s="9">
        <v>1960</v>
      </c>
      <c r="B113" s="10">
        <f t="shared" si="24"/>
        <v>37.359000000000002</v>
      </c>
      <c r="C113" s="10">
        <f t="shared" si="25"/>
        <v>39.606000000000002</v>
      </c>
      <c r="D113" s="10">
        <f t="shared" si="26"/>
        <v>53.048000000000002</v>
      </c>
      <c r="E113" s="10">
        <f t="shared" si="27"/>
        <v>56.72</v>
      </c>
      <c r="F113" s="10">
        <f t="shared" si="28"/>
        <v>2.2469999999999999</v>
      </c>
      <c r="G113" s="10">
        <f t="shared" si="29"/>
        <v>0</v>
      </c>
      <c r="H113" s="10">
        <f t="shared" si="30"/>
        <v>13.442</v>
      </c>
      <c r="I113" s="11">
        <v>37.359000000000002</v>
      </c>
      <c r="J113" s="11">
        <v>39.606000000000002</v>
      </c>
      <c r="K113" s="11"/>
      <c r="L113" s="11"/>
      <c r="M113" s="11">
        <v>53.048000000000002</v>
      </c>
      <c r="N113" s="11">
        <v>56.72</v>
      </c>
      <c r="O113" s="11"/>
      <c r="P113" s="11"/>
      <c r="Q113" s="5"/>
      <c r="S113">
        <f t="shared" si="31"/>
        <v>3.671999999999997</v>
      </c>
    </row>
    <row r="114" spans="1:19" x14ac:dyDescent="0.35">
      <c r="A114" s="6">
        <v>1961</v>
      </c>
      <c r="B114" s="7">
        <f t="shared" si="24"/>
        <v>37.460999999999999</v>
      </c>
      <c r="C114" s="7">
        <f t="shared" si="25"/>
        <v>39.463000000000001</v>
      </c>
      <c r="D114" s="7">
        <f t="shared" si="26"/>
        <v>53.430999999999997</v>
      </c>
      <c r="E114" s="7">
        <f t="shared" si="27"/>
        <v>56.569000000000003</v>
      </c>
      <c r="F114" s="7">
        <f t="shared" si="28"/>
        <v>2.0020000000000024</v>
      </c>
      <c r="G114" s="7">
        <f t="shared" si="29"/>
        <v>0</v>
      </c>
      <c r="H114" s="7">
        <f t="shared" si="30"/>
        <v>13.967999999999996</v>
      </c>
      <c r="I114" s="8">
        <v>37.460999999999999</v>
      </c>
      <c r="J114" s="8">
        <v>39.463000000000001</v>
      </c>
      <c r="K114" s="8"/>
      <c r="L114" s="8"/>
      <c r="M114" s="8">
        <v>53.430999999999997</v>
      </c>
      <c r="N114" s="8">
        <v>56.569000000000003</v>
      </c>
      <c r="O114" s="8"/>
      <c r="P114" s="8"/>
      <c r="Q114" s="5"/>
      <c r="S114">
        <f t="shared" si="31"/>
        <v>3.1380000000000052</v>
      </c>
    </row>
    <row r="115" spans="1:19" x14ac:dyDescent="0.35">
      <c r="A115" s="9">
        <v>1962</v>
      </c>
      <c r="B115" s="10">
        <f t="shared" si="24"/>
        <v>39.093000000000004</v>
      </c>
      <c r="C115" s="10">
        <f t="shared" si="25"/>
        <v>40.317999999999998</v>
      </c>
      <c r="D115" s="10">
        <f t="shared" si="26"/>
        <v>54.381999999999998</v>
      </c>
      <c r="E115" s="10">
        <f t="shared" si="27"/>
        <v>57.628999999999998</v>
      </c>
      <c r="F115" s="10">
        <f t="shared" si="28"/>
        <v>1.2249999999999943</v>
      </c>
      <c r="G115" s="10">
        <f t="shared" si="29"/>
        <v>0</v>
      </c>
      <c r="H115" s="10">
        <f t="shared" si="30"/>
        <v>14.064</v>
      </c>
      <c r="I115" s="11">
        <v>39.093000000000004</v>
      </c>
      <c r="J115" s="11">
        <v>40.317999999999998</v>
      </c>
      <c r="K115" s="11"/>
      <c r="L115" s="11"/>
      <c r="M115" s="11">
        <v>54.381999999999998</v>
      </c>
      <c r="N115" s="11">
        <v>57.628999999999998</v>
      </c>
      <c r="O115" s="11"/>
      <c r="P115" s="11"/>
      <c r="Q115" s="5"/>
      <c r="S115">
        <f t="shared" si="31"/>
        <v>3.2469999999999999</v>
      </c>
    </row>
    <row r="116" spans="1:19" x14ac:dyDescent="0.35">
      <c r="A116" s="6">
        <v>1963</v>
      </c>
      <c r="B116" s="7">
        <f t="shared" si="24"/>
        <v>39.46</v>
      </c>
      <c r="C116" s="7">
        <f t="shared" si="25"/>
        <v>40.738999999999997</v>
      </c>
      <c r="D116" s="7">
        <f t="shared" si="26"/>
        <v>55.042000000000002</v>
      </c>
      <c r="E116" s="7">
        <f t="shared" si="27"/>
        <v>58.155000000000001</v>
      </c>
      <c r="F116" s="7">
        <f t="shared" si="28"/>
        <v>1.2789999999999964</v>
      </c>
      <c r="G116" s="7">
        <f t="shared" si="29"/>
        <v>0</v>
      </c>
      <c r="H116" s="7">
        <f t="shared" si="30"/>
        <v>14.303000000000004</v>
      </c>
      <c r="I116" s="8">
        <v>39.46</v>
      </c>
      <c r="J116" s="8">
        <v>40.738999999999997</v>
      </c>
      <c r="K116" s="8"/>
      <c r="L116" s="8"/>
      <c r="M116" s="8">
        <v>55.042000000000002</v>
      </c>
      <c r="N116" s="8">
        <v>58.155000000000001</v>
      </c>
      <c r="O116" s="8"/>
      <c r="P116" s="8"/>
      <c r="Q116" s="5"/>
      <c r="S116">
        <f t="shared" si="31"/>
        <v>3.1129999999999995</v>
      </c>
    </row>
    <row r="117" spans="1:19" x14ac:dyDescent="0.35">
      <c r="A117" s="9">
        <v>1964</v>
      </c>
      <c r="B117" s="10">
        <f t="shared" si="24"/>
        <v>40.237000000000002</v>
      </c>
      <c r="C117" s="10">
        <f t="shared" si="25"/>
        <v>41.042000000000002</v>
      </c>
      <c r="D117" s="10">
        <f t="shared" si="26"/>
        <v>55.860999999999997</v>
      </c>
      <c r="E117" s="10">
        <f t="shared" si="27"/>
        <v>58.551000000000002</v>
      </c>
      <c r="F117" s="10">
        <f t="shared" si="28"/>
        <v>0.80499999999999972</v>
      </c>
      <c r="G117" s="10">
        <f t="shared" si="29"/>
        <v>0</v>
      </c>
      <c r="H117" s="10">
        <f t="shared" si="30"/>
        <v>14.818999999999996</v>
      </c>
      <c r="I117" s="11">
        <v>40.237000000000002</v>
      </c>
      <c r="J117" s="11">
        <v>41.042000000000002</v>
      </c>
      <c r="K117" s="11"/>
      <c r="L117" s="11"/>
      <c r="M117" s="11">
        <v>55.860999999999997</v>
      </c>
      <c r="N117" s="11">
        <v>58.551000000000002</v>
      </c>
      <c r="O117" s="11"/>
      <c r="P117" s="11"/>
      <c r="Q117" s="5"/>
      <c r="S117">
        <f t="shared" si="31"/>
        <v>2.6900000000000048</v>
      </c>
    </row>
    <row r="118" spans="1:19" x14ac:dyDescent="0.35">
      <c r="A118" s="6">
        <v>1965</v>
      </c>
      <c r="B118" s="7">
        <f t="shared" si="24"/>
        <v>40.747999999999998</v>
      </c>
      <c r="C118" s="7">
        <f t="shared" si="25"/>
        <v>41.042000000000002</v>
      </c>
      <c r="D118" s="7">
        <f t="shared" si="26"/>
        <v>56.430999999999997</v>
      </c>
      <c r="E118" s="7">
        <f t="shared" si="27"/>
        <v>58.508000000000003</v>
      </c>
      <c r="F118" s="7">
        <f t="shared" si="28"/>
        <v>0.29400000000000404</v>
      </c>
      <c r="G118" s="7">
        <f t="shared" si="29"/>
        <v>0</v>
      </c>
      <c r="H118" s="7">
        <f t="shared" si="30"/>
        <v>15.388999999999996</v>
      </c>
      <c r="I118" s="8">
        <v>40.747999999999998</v>
      </c>
      <c r="J118" s="8">
        <v>41.042000000000002</v>
      </c>
      <c r="K118" s="8"/>
      <c r="L118" s="8"/>
      <c r="M118" s="8">
        <v>56.430999999999997</v>
      </c>
      <c r="N118" s="8">
        <v>58.508000000000003</v>
      </c>
      <c r="O118" s="8"/>
      <c r="P118" s="8"/>
      <c r="Q118" s="5"/>
      <c r="S118">
        <f t="shared" si="31"/>
        <v>2.0770000000000053</v>
      </c>
    </row>
    <row r="119" spans="1:19" x14ac:dyDescent="0.35">
      <c r="A119" s="9">
        <v>1966</v>
      </c>
      <c r="B119" s="10">
        <f t="shared" si="24"/>
        <v>41.213000000000001</v>
      </c>
      <c r="C119" s="10">
        <f t="shared" si="25"/>
        <v>41.314</v>
      </c>
      <c r="D119" s="10">
        <f t="shared" si="26"/>
        <v>56.947000000000003</v>
      </c>
      <c r="E119" s="10">
        <f t="shared" si="27"/>
        <v>58.595999999999997</v>
      </c>
      <c r="F119" s="10">
        <f t="shared" si="28"/>
        <v>0.10099999999999909</v>
      </c>
      <c r="G119" s="10">
        <f t="shared" si="29"/>
        <v>0</v>
      </c>
      <c r="H119" s="10">
        <f t="shared" si="30"/>
        <v>15.633000000000003</v>
      </c>
      <c r="I119" s="11">
        <v>41.213000000000001</v>
      </c>
      <c r="J119" s="11">
        <v>41.314</v>
      </c>
      <c r="K119" s="11"/>
      <c r="L119" s="11"/>
      <c r="M119" s="11">
        <v>56.947000000000003</v>
      </c>
      <c r="N119" s="11">
        <v>58.595999999999997</v>
      </c>
      <c r="O119" s="11"/>
      <c r="P119" s="11"/>
      <c r="Q119" s="5"/>
      <c r="S119">
        <f t="shared" si="31"/>
        <v>1.6489999999999938</v>
      </c>
    </row>
    <row r="120" spans="1:19" x14ac:dyDescent="0.35">
      <c r="A120" s="6">
        <v>1967</v>
      </c>
      <c r="B120" s="7">
        <f t="shared" si="24"/>
        <v>41.959000000000003</v>
      </c>
      <c r="C120" s="7">
        <f t="shared" si="25"/>
        <v>43.043999999999997</v>
      </c>
      <c r="D120" s="7">
        <f t="shared" si="26"/>
        <v>58.823999999999998</v>
      </c>
      <c r="E120" s="7">
        <f t="shared" si="27"/>
        <v>59.283999999999999</v>
      </c>
      <c r="F120" s="7">
        <f t="shared" si="28"/>
        <v>1.0849999999999937</v>
      </c>
      <c r="G120" s="7">
        <f t="shared" si="29"/>
        <v>0</v>
      </c>
      <c r="H120" s="7">
        <f t="shared" si="30"/>
        <v>15.780000000000001</v>
      </c>
      <c r="I120" s="8">
        <v>43.043999999999997</v>
      </c>
      <c r="J120" s="8">
        <v>41.959000000000003</v>
      </c>
      <c r="K120" s="8"/>
      <c r="L120" s="8"/>
      <c r="M120" s="8">
        <v>58.823999999999998</v>
      </c>
      <c r="N120" s="8">
        <v>59.283999999999999</v>
      </c>
      <c r="O120" s="8"/>
      <c r="P120" s="8"/>
      <c r="Q120" s="5"/>
      <c r="S120">
        <f t="shared" si="31"/>
        <v>0.46000000000000085</v>
      </c>
    </row>
    <row r="121" spans="1:19" x14ac:dyDescent="0.35">
      <c r="A121" s="9">
        <v>1968</v>
      </c>
      <c r="B121" s="10">
        <f t="shared" si="24"/>
        <v>42.811</v>
      </c>
      <c r="C121" s="10">
        <f t="shared" si="25"/>
        <v>43.734999999999999</v>
      </c>
      <c r="D121" s="10">
        <f t="shared" si="26"/>
        <v>59.664000000000001</v>
      </c>
      <c r="E121" s="10">
        <f t="shared" si="27"/>
        <v>59.991</v>
      </c>
      <c r="F121" s="10">
        <f t="shared" si="28"/>
        <v>0.92399999999999949</v>
      </c>
      <c r="G121" s="10">
        <f t="shared" si="29"/>
        <v>0</v>
      </c>
      <c r="H121" s="10">
        <f t="shared" si="30"/>
        <v>15.929000000000002</v>
      </c>
      <c r="I121" s="11">
        <v>43.734999999999999</v>
      </c>
      <c r="J121" s="11">
        <v>42.811</v>
      </c>
      <c r="K121" s="11"/>
      <c r="L121" s="11"/>
      <c r="M121" s="11">
        <v>59.664000000000001</v>
      </c>
      <c r="N121" s="11">
        <v>59.991</v>
      </c>
      <c r="O121" s="11"/>
      <c r="P121" s="11"/>
      <c r="Q121" s="5"/>
      <c r="S121">
        <f t="shared" si="31"/>
        <v>0.32699999999999818</v>
      </c>
    </row>
    <row r="122" spans="1:19" x14ac:dyDescent="0.35">
      <c r="A122" s="6">
        <v>1969</v>
      </c>
      <c r="B122" s="7">
        <f t="shared" si="24"/>
        <v>41.905999999999999</v>
      </c>
      <c r="C122" s="7">
        <f t="shared" si="25"/>
        <v>43.326999999999998</v>
      </c>
      <c r="D122" s="7">
        <f t="shared" si="26"/>
        <v>57.162999999999997</v>
      </c>
      <c r="E122" s="7">
        <f t="shared" si="27"/>
        <v>60.198999999999998</v>
      </c>
      <c r="F122" s="7">
        <f t="shared" si="28"/>
        <v>1.4209999999999994</v>
      </c>
      <c r="G122" s="7">
        <f t="shared" si="29"/>
        <v>0</v>
      </c>
      <c r="H122" s="7">
        <f t="shared" si="30"/>
        <v>13.835999999999999</v>
      </c>
      <c r="I122" s="8">
        <v>41.905999999999999</v>
      </c>
      <c r="J122" s="8">
        <v>43.326999999999998</v>
      </c>
      <c r="K122" s="8"/>
      <c r="L122" s="8"/>
      <c r="M122" s="8">
        <v>57.162999999999997</v>
      </c>
      <c r="N122" s="8">
        <v>60.198999999999998</v>
      </c>
      <c r="O122" s="8"/>
      <c r="P122" s="8"/>
      <c r="Q122" s="5"/>
      <c r="S122">
        <f t="shared" si="31"/>
        <v>3.0360000000000014</v>
      </c>
    </row>
    <row r="123" spans="1:19" x14ac:dyDescent="0.35">
      <c r="A123" s="9">
        <v>1970</v>
      </c>
      <c r="B123" s="10">
        <f t="shared" si="24"/>
        <v>41.680999999999997</v>
      </c>
      <c r="C123" s="10">
        <f t="shared" si="25"/>
        <v>43.481000000000002</v>
      </c>
      <c r="D123" s="10">
        <f t="shared" si="26"/>
        <v>57.28</v>
      </c>
      <c r="E123" s="10">
        <f t="shared" si="27"/>
        <v>59.896999999999998</v>
      </c>
      <c r="F123" s="10">
        <f t="shared" si="28"/>
        <v>1.8000000000000043</v>
      </c>
      <c r="G123" s="10">
        <f t="shared" si="29"/>
        <v>0</v>
      </c>
      <c r="H123" s="10">
        <f t="shared" si="30"/>
        <v>13.798999999999999</v>
      </c>
      <c r="I123" s="11">
        <v>41.680999999999997</v>
      </c>
      <c r="J123" s="11">
        <v>43.481000000000002</v>
      </c>
      <c r="K123" s="11"/>
      <c r="L123" s="11"/>
      <c r="M123" s="11">
        <v>57.28</v>
      </c>
      <c r="N123" s="11">
        <v>59.896999999999998</v>
      </c>
      <c r="O123" s="11"/>
      <c r="P123" s="11"/>
      <c r="Q123" s="5"/>
      <c r="S123">
        <f t="shared" si="31"/>
        <v>2.6169999999999973</v>
      </c>
    </row>
    <row r="124" spans="1:19" x14ac:dyDescent="0.35">
      <c r="A124" s="6">
        <v>1971</v>
      </c>
      <c r="B124" s="7">
        <f t="shared" si="24"/>
        <v>42.124000000000002</v>
      </c>
      <c r="C124" s="7">
        <f t="shared" si="25"/>
        <v>43.110999999999997</v>
      </c>
      <c r="D124" s="7">
        <f t="shared" si="26"/>
        <v>57.76</v>
      </c>
      <c r="E124" s="7">
        <f t="shared" si="27"/>
        <v>59.859000000000002</v>
      </c>
      <c r="F124" s="7">
        <f t="shared" si="28"/>
        <v>0.98699999999999477</v>
      </c>
      <c r="G124" s="7">
        <f t="shared" si="29"/>
        <v>0</v>
      </c>
      <c r="H124" s="7">
        <f t="shared" si="30"/>
        <v>14.649000000000001</v>
      </c>
      <c r="I124" s="8">
        <v>42.124000000000002</v>
      </c>
      <c r="J124" s="8">
        <v>43.110999999999997</v>
      </c>
      <c r="K124" s="8"/>
      <c r="L124" s="8"/>
      <c r="M124" s="8">
        <v>57.76</v>
      </c>
      <c r="N124" s="8">
        <v>59.859000000000002</v>
      </c>
      <c r="O124" s="8"/>
      <c r="P124" s="8"/>
      <c r="Q124" s="5"/>
      <c r="S124">
        <f t="shared" si="31"/>
        <v>2.0990000000000038</v>
      </c>
    </row>
    <row r="125" spans="1:19" x14ac:dyDescent="0.35">
      <c r="A125" s="9">
        <v>1972</v>
      </c>
      <c r="B125" s="10">
        <f t="shared" si="24"/>
        <v>41.482999999999997</v>
      </c>
      <c r="C125" s="10">
        <f t="shared" si="25"/>
        <v>43.484000000000002</v>
      </c>
      <c r="D125" s="10">
        <f t="shared" si="26"/>
        <v>56.991999999999997</v>
      </c>
      <c r="E125" s="10">
        <f t="shared" si="27"/>
        <v>60.293999999999997</v>
      </c>
      <c r="F125" s="10">
        <f t="shared" si="28"/>
        <v>2.0010000000000048</v>
      </c>
      <c r="G125" s="10">
        <f t="shared" si="29"/>
        <v>0</v>
      </c>
      <c r="H125" s="10">
        <f t="shared" si="30"/>
        <v>13.507999999999996</v>
      </c>
      <c r="I125" s="11">
        <v>41.482999999999997</v>
      </c>
      <c r="J125" s="11">
        <v>43.484000000000002</v>
      </c>
      <c r="K125" s="11"/>
      <c r="L125" s="11"/>
      <c r="M125" s="11">
        <v>56.991999999999997</v>
      </c>
      <c r="N125" s="11">
        <v>60.293999999999997</v>
      </c>
      <c r="O125" s="11"/>
      <c r="P125" s="11"/>
      <c r="Q125" s="5"/>
      <c r="S125">
        <f t="shared" si="31"/>
        <v>3.3019999999999996</v>
      </c>
    </row>
    <row r="126" spans="1:19" x14ac:dyDescent="0.35">
      <c r="A126" s="6">
        <v>1973</v>
      </c>
      <c r="B126" s="7">
        <f t="shared" si="24"/>
        <v>41.731999999999999</v>
      </c>
      <c r="C126" s="7">
        <f t="shared" si="25"/>
        <v>43.494</v>
      </c>
      <c r="D126" s="7">
        <f t="shared" si="26"/>
        <v>57.445</v>
      </c>
      <c r="E126" s="7">
        <f t="shared" si="27"/>
        <v>60.161999999999999</v>
      </c>
      <c r="F126" s="7">
        <f t="shared" si="28"/>
        <v>1.7620000000000005</v>
      </c>
      <c r="G126" s="7">
        <f t="shared" si="29"/>
        <v>0</v>
      </c>
      <c r="H126" s="7">
        <f t="shared" si="30"/>
        <v>13.951000000000001</v>
      </c>
      <c r="I126" s="8">
        <v>41.731999999999999</v>
      </c>
      <c r="J126" s="8">
        <v>43.494</v>
      </c>
      <c r="K126" s="8"/>
      <c r="L126" s="8"/>
      <c r="M126" s="8">
        <v>57.445</v>
      </c>
      <c r="N126" s="8">
        <v>60.161999999999999</v>
      </c>
      <c r="O126" s="8"/>
      <c r="P126" s="8"/>
      <c r="Q126" s="5"/>
      <c r="S126">
        <f t="shared" si="31"/>
        <v>2.7169999999999987</v>
      </c>
    </row>
    <row r="127" spans="1:19" x14ac:dyDescent="0.35">
      <c r="A127" s="9">
        <v>1974</v>
      </c>
      <c r="B127" s="10">
        <f t="shared" si="24"/>
        <v>40.896999999999998</v>
      </c>
      <c r="C127" s="10">
        <f t="shared" si="25"/>
        <v>42.604999999999997</v>
      </c>
      <c r="D127" s="10">
        <f t="shared" si="26"/>
        <v>57.036999999999999</v>
      </c>
      <c r="E127" s="10">
        <f t="shared" si="27"/>
        <v>59.594999999999999</v>
      </c>
      <c r="F127" s="10">
        <f t="shared" si="28"/>
        <v>1.7079999999999984</v>
      </c>
      <c r="G127" s="10">
        <f t="shared" si="29"/>
        <v>0</v>
      </c>
      <c r="H127" s="10">
        <f t="shared" si="30"/>
        <v>14.432000000000002</v>
      </c>
      <c r="I127" s="11">
        <v>40.896999999999998</v>
      </c>
      <c r="J127" s="11">
        <v>42.604999999999997</v>
      </c>
      <c r="K127" s="11"/>
      <c r="L127" s="11"/>
      <c r="M127" s="11">
        <v>57.036999999999999</v>
      </c>
      <c r="N127" s="11">
        <v>59.594999999999999</v>
      </c>
      <c r="O127" s="11"/>
      <c r="P127" s="11"/>
      <c r="Q127" s="5"/>
      <c r="S127">
        <f t="shared" si="31"/>
        <v>2.5579999999999998</v>
      </c>
    </row>
    <row r="128" spans="1:19" x14ac:dyDescent="0.35">
      <c r="A128" s="6">
        <v>1975</v>
      </c>
      <c r="B128" s="7">
        <f t="shared" si="24"/>
        <v>39.804000000000002</v>
      </c>
      <c r="C128" s="7">
        <f t="shared" si="25"/>
        <v>41.128999999999998</v>
      </c>
      <c r="D128" s="7">
        <f t="shared" si="26"/>
        <v>56.491999999999997</v>
      </c>
      <c r="E128" s="7">
        <f t="shared" si="27"/>
        <v>58.652999999999999</v>
      </c>
      <c r="F128" s="7">
        <f t="shared" si="28"/>
        <v>1.3249999999999957</v>
      </c>
      <c r="G128" s="7">
        <f t="shared" si="29"/>
        <v>0</v>
      </c>
      <c r="H128" s="7">
        <f t="shared" si="30"/>
        <v>15.363</v>
      </c>
      <c r="I128" s="8">
        <v>39.804000000000002</v>
      </c>
      <c r="J128" s="8">
        <v>41.128999999999998</v>
      </c>
      <c r="K128" s="8"/>
      <c r="L128" s="8"/>
      <c r="M128" s="8">
        <v>56.491999999999997</v>
      </c>
      <c r="N128" s="8">
        <v>58.652999999999999</v>
      </c>
      <c r="O128" s="8"/>
      <c r="P128" s="8"/>
      <c r="Q128" s="5"/>
      <c r="S128">
        <f t="shared" si="31"/>
        <v>2.1610000000000014</v>
      </c>
    </row>
    <row r="129" spans="1:19" x14ac:dyDescent="0.35">
      <c r="A129" s="9">
        <v>1976</v>
      </c>
      <c r="B129" s="10">
        <f t="shared" si="24"/>
        <v>40.201000000000001</v>
      </c>
      <c r="C129" s="10">
        <f t="shared" si="25"/>
        <v>41.387999999999998</v>
      </c>
      <c r="D129" s="10">
        <f t="shared" si="26"/>
        <v>57.054000000000002</v>
      </c>
      <c r="E129" s="10">
        <f t="shared" si="27"/>
        <v>58.767000000000003</v>
      </c>
      <c r="F129" s="10">
        <f t="shared" si="28"/>
        <v>1.1869999999999976</v>
      </c>
      <c r="G129" s="10">
        <f t="shared" si="29"/>
        <v>0</v>
      </c>
      <c r="H129" s="10">
        <f t="shared" si="30"/>
        <v>15.666000000000004</v>
      </c>
      <c r="I129" s="11">
        <v>40.201000000000001</v>
      </c>
      <c r="J129" s="11">
        <v>41.387999999999998</v>
      </c>
      <c r="K129" s="11"/>
      <c r="L129" s="11"/>
      <c r="M129" s="11">
        <v>57.054000000000002</v>
      </c>
      <c r="N129" s="11">
        <v>58.767000000000003</v>
      </c>
      <c r="O129" s="11"/>
      <c r="P129" s="11"/>
      <c r="Q129" s="5"/>
      <c r="S129">
        <f t="shared" si="31"/>
        <v>1.713000000000001</v>
      </c>
    </row>
    <row r="130" spans="1:19" x14ac:dyDescent="0.35">
      <c r="A130" s="6">
        <v>1977</v>
      </c>
      <c r="B130" s="7">
        <f t="shared" si="24"/>
        <v>39.491</v>
      </c>
      <c r="C130" s="7">
        <f t="shared" si="25"/>
        <v>40.878</v>
      </c>
      <c r="D130" s="7">
        <f t="shared" si="26"/>
        <v>56.145000000000003</v>
      </c>
      <c r="E130" s="7">
        <f t="shared" si="27"/>
        <v>58.319000000000003</v>
      </c>
      <c r="F130" s="7">
        <f t="shared" si="28"/>
        <v>1.3870000000000005</v>
      </c>
      <c r="G130" s="7">
        <f t="shared" si="29"/>
        <v>0</v>
      </c>
      <c r="H130" s="7">
        <f t="shared" si="30"/>
        <v>15.267000000000003</v>
      </c>
      <c r="I130" s="8">
        <v>39.491</v>
      </c>
      <c r="J130" s="8">
        <v>40.878</v>
      </c>
      <c r="K130" s="8"/>
      <c r="L130" s="8"/>
      <c r="M130" s="8">
        <v>56.145000000000003</v>
      </c>
      <c r="N130" s="8">
        <v>58.319000000000003</v>
      </c>
      <c r="O130" s="8"/>
      <c r="P130" s="8"/>
      <c r="Q130" s="5"/>
      <c r="S130">
        <f t="shared" si="31"/>
        <v>2.1739999999999995</v>
      </c>
    </row>
    <row r="131" spans="1:19" x14ac:dyDescent="0.35">
      <c r="A131" s="9">
        <v>1978</v>
      </c>
      <c r="B131" s="10">
        <f t="shared" ref="B131:B162" si="32">IFERROR(MIN(I131:L131),"")</f>
        <v>38.915999999999997</v>
      </c>
      <c r="C131" s="10">
        <f t="shared" ref="C131:C162" si="33">IFERROR(MAX(I131:L131),"")</f>
        <v>40.701000000000001</v>
      </c>
      <c r="D131" s="10">
        <f t="shared" ref="D131:D162" si="34">IFERROR(MIN(M131:P131),"")</f>
        <v>55.753999999999998</v>
      </c>
      <c r="E131" s="10">
        <f t="shared" ref="E131:E162" si="35">IFERROR(MAX(M131:P131),"")</f>
        <v>58.171999999999997</v>
      </c>
      <c r="F131" s="10">
        <f t="shared" ref="F131:F162" si="36">IFERROR(MIN(C131,D131)-B131,"")</f>
        <v>1.7850000000000037</v>
      </c>
      <c r="G131" s="10">
        <f t="shared" ref="G131:G162" si="37">IFERROR(MAX(0,C131-D131),"")</f>
        <v>0</v>
      </c>
      <c r="H131" s="10">
        <f t="shared" ref="H131:H162" si="38">IFERROR(MAX(0,D131-C131),"")</f>
        <v>15.052999999999997</v>
      </c>
      <c r="I131" s="11">
        <v>38.915999999999997</v>
      </c>
      <c r="J131" s="11">
        <v>40.701000000000001</v>
      </c>
      <c r="K131" s="11"/>
      <c r="L131" s="11"/>
      <c r="M131" s="11">
        <v>55.753999999999998</v>
      </c>
      <c r="N131" s="11">
        <v>58.171999999999997</v>
      </c>
      <c r="O131" s="11"/>
      <c r="P131" s="11"/>
      <c r="Q131" s="5"/>
      <c r="S131">
        <f t="shared" ref="S131:S162" si="39">IFERROR(MAX(0,$E131-MAX($C131,$D131)),"")</f>
        <v>2.4179999999999993</v>
      </c>
    </row>
    <row r="132" spans="1:19" x14ac:dyDescent="0.35">
      <c r="A132" s="6">
        <v>1979</v>
      </c>
      <c r="B132" s="7">
        <f t="shared" si="32"/>
        <v>39.758000000000003</v>
      </c>
      <c r="C132" s="7">
        <f t="shared" si="33"/>
        <v>40.86</v>
      </c>
      <c r="D132" s="7">
        <f t="shared" si="34"/>
        <v>56.56</v>
      </c>
      <c r="E132" s="7">
        <f t="shared" si="35"/>
        <v>58.091000000000001</v>
      </c>
      <c r="F132" s="7">
        <f t="shared" si="36"/>
        <v>1.1019999999999968</v>
      </c>
      <c r="G132" s="7">
        <f t="shared" si="37"/>
        <v>0</v>
      </c>
      <c r="H132" s="7">
        <f t="shared" si="38"/>
        <v>15.700000000000003</v>
      </c>
      <c r="I132" s="8">
        <v>39.758000000000003</v>
      </c>
      <c r="J132" s="8">
        <v>40.86</v>
      </c>
      <c r="K132" s="8"/>
      <c r="L132" s="8"/>
      <c r="M132" s="8">
        <v>56.56</v>
      </c>
      <c r="N132" s="8">
        <v>58.091000000000001</v>
      </c>
      <c r="O132" s="8"/>
      <c r="P132" s="8"/>
      <c r="Q132" s="5"/>
      <c r="S132">
        <f t="shared" si="39"/>
        <v>1.5309999999999988</v>
      </c>
    </row>
    <row r="133" spans="1:19" x14ac:dyDescent="0.35">
      <c r="A133" s="9">
        <v>1980</v>
      </c>
      <c r="B133" s="10">
        <f t="shared" si="32"/>
        <v>38.950000000000003</v>
      </c>
      <c r="C133" s="10">
        <f t="shared" si="33"/>
        <v>40.098999999999997</v>
      </c>
      <c r="D133" s="10">
        <f t="shared" si="34"/>
        <v>56.515000000000001</v>
      </c>
      <c r="E133" s="10">
        <f t="shared" si="35"/>
        <v>57.866999999999997</v>
      </c>
      <c r="F133" s="10">
        <f t="shared" si="36"/>
        <v>1.1489999999999938</v>
      </c>
      <c r="G133" s="10">
        <f t="shared" si="37"/>
        <v>0</v>
      </c>
      <c r="H133" s="10">
        <f t="shared" si="38"/>
        <v>16.416000000000004</v>
      </c>
      <c r="I133" s="11">
        <v>38.950000000000003</v>
      </c>
      <c r="J133" s="11">
        <v>40.098999999999997</v>
      </c>
      <c r="K133" s="11"/>
      <c r="L133" s="11"/>
      <c r="M133" s="11">
        <v>56.515000000000001</v>
      </c>
      <c r="N133" s="11">
        <v>57.866999999999997</v>
      </c>
      <c r="O133" s="11"/>
      <c r="P133" s="11"/>
      <c r="Q133" s="5"/>
      <c r="S133">
        <f t="shared" si="39"/>
        <v>1.3519999999999968</v>
      </c>
    </row>
    <row r="134" spans="1:19" x14ac:dyDescent="0.35">
      <c r="A134" s="6">
        <v>1981</v>
      </c>
      <c r="B134" s="7">
        <f t="shared" si="32"/>
        <v>38.573</v>
      </c>
      <c r="C134" s="7">
        <f t="shared" si="33"/>
        <v>39.515999999999998</v>
      </c>
      <c r="D134" s="7">
        <f t="shared" si="34"/>
        <v>55.811999999999998</v>
      </c>
      <c r="E134" s="7">
        <f t="shared" si="35"/>
        <v>57.137999999999998</v>
      </c>
      <c r="F134" s="7">
        <f t="shared" si="36"/>
        <v>0.94299999999999784</v>
      </c>
      <c r="G134" s="7">
        <f t="shared" si="37"/>
        <v>0</v>
      </c>
      <c r="H134" s="7">
        <f t="shared" si="38"/>
        <v>16.295999999999999</v>
      </c>
      <c r="I134" s="8">
        <v>38.573</v>
      </c>
      <c r="J134" s="8">
        <v>39.515999999999998</v>
      </c>
      <c r="K134" s="8"/>
      <c r="L134" s="8"/>
      <c r="M134" s="8">
        <v>55.811999999999998</v>
      </c>
      <c r="N134" s="8">
        <v>57.137999999999998</v>
      </c>
      <c r="O134" s="8"/>
      <c r="P134" s="8"/>
      <c r="Q134" s="5"/>
      <c r="S134">
        <f t="shared" si="39"/>
        <v>1.3260000000000005</v>
      </c>
    </row>
    <row r="135" spans="1:19" x14ac:dyDescent="0.35">
      <c r="A135" s="9">
        <v>1982</v>
      </c>
      <c r="B135" s="10">
        <f t="shared" si="32"/>
        <v>37.384999999999998</v>
      </c>
      <c r="C135" s="10">
        <f t="shared" si="33"/>
        <v>37.485999999999997</v>
      </c>
      <c r="D135" s="10">
        <f t="shared" si="34"/>
        <v>54.948999999999998</v>
      </c>
      <c r="E135" s="10">
        <f t="shared" si="35"/>
        <v>55.247</v>
      </c>
      <c r="F135" s="10">
        <f t="shared" si="36"/>
        <v>0.10099999999999909</v>
      </c>
      <c r="G135" s="10">
        <f t="shared" si="37"/>
        <v>0</v>
      </c>
      <c r="H135" s="10">
        <f t="shared" si="38"/>
        <v>17.463000000000001</v>
      </c>
      <c r="I135" s="11">
        <v>37.485999999999997</v>
      </c>
      <c r="J135" s="11">
        <v>37.384999999999998</v>
      </c>
      <c r="K135" s="11"/>
      <c r="L135" s="11"/>
      <c r="M135" s="11">
        <v>55.247</v>
      </c>
      <c r="N135" s="11">
        <v>54.948999999999998</v>
      </c>
      <c r="O135" s="11"/>
      <c r="P135" s="11"/>
      <c r="Q135" s="5"/>
      <c r="S135">
        <f t="shared" si="39"/>
        <v>0.29800000000000182</v>
      </c>
    </row>
    <row r="136" spans="1:19" x14ac:dyDescent="0.35">
      <c r="A136" s="6">
        <v>1983</v>
      </c>
      <c r="B136" s="7">
        <f t="shared" si="32"/>
        <v>36.686999999999998</v>
      </c>
      <c r="C136" s="7">
        <f t="shared" si="33"/>
        <v>36.793999999999997</v>
      </c>
      <c r="D136" s="7">
        <f t="shared" si="34"/>
        <v>54.198999999999998</v>
      </c>
      <c r="E136" s="7">
        <f t="shared" si="35"/>
        <v>54.454999999999998</v>
      </c>
      <c r="F136" s="7">
        <f t="shared" si="36"/>
        <v>0.10699999999999932</v>
      </c>
      <c r="G136" s="7">
        <f t="shared" si="37"/>
        <v>0</v>
      </c>
      <c r="H136" s="7">
        <f t="shared" si="38"/>
        <v>17.405000000000001</v>
      </c>
      <c r="I136" s="8">
        <v>36.793999999999997</v>
      </c>
      <c r="J136" s="8">
        <v>36.686999999999998</v>
      </c>
      <c r="K136" s="8"/>
      <c r="L136" s="8"/>
      <c r="M136" s="8">
        <v>54.454999999999998</v>
      </c>
      <c r="N136" s="8">
        <v>54.198999999999998</v>
      </c>
      <c r="O136" s="8"/>
      <c r="P136" s="8"/>
      <c r="Q136" s="5"/>
      <c r="S136">
        <f t="shared" si="39"/>
        <v>0.25600000000000023</v>
      </c>
    </row>
    <row r="137" spans="1:19" x14ac:dyDescent="0.35">
      <c r="A137" s="9">
        <v>1984</v>
      </c>
      <c r="B137" s="10">
        <f t="shared" si="32"/>
        <v>36.085999999999999</v>
      </c>
      <c r="C137" s="10">
        <f t="shared" si="33"/>
        <v>36.472000000000001</v>
      </c>
      <c r="D137" s="10">
        <f t="shared" si="34"/>
        <v>53.332000000000001</v>
      </c>
      <c r="E137" s="10">
        <f t="shared" si="35"/>
        <v>53.725000000000001</v>
      </c>
      <c r="F137" s="10">
        <f t="shared" si="36"/>
        <v>0.38600000000000279</v>
      </c>
      <c r="G137" s="10">
        <f t="shared" si="37"/>
        <v>0</v>
      </c>
      <c r="H137" s="10">
        <f t="shared" si="38"/>
        <v>16.86</v>
      </c>
      <c r="I137" s="11">
        <v>36.085999999999999</v>
      </c>
      <c r="J137" s="11">
        <v>36.472000000000001</v>
      </c>
      <c r="K137" s="11"/>
      <c r="L137" s="11"/>
      <c r="M137" s="11">
        <v>53.332000000000001</v>
      </c>
      <c r="N137" s="11">
        <v>53.725000000000001</v>
      </c>
      <c r="O137" s="11"/>
      <c r="P137" s="11"/>
      <c r="Q137" s="5"/>
      <c r="S137">
        <f t="shared" si="39"/>
        <v>0.39300000000000068</v>
      </c>
    </row>
    <row r="138" spans="1:19" x14ac:dyDescent="0.35">
      <c r="A138" s="6">
        <v>1985</v>
      </c>
      <c r="B138" s="7">
        <f t="shared" si="32"/>
        <v>35.069000000000003</v>
      </c>
      <c r="C138" s="7">
        <f t="shared" si="33"/>
        <v>35.789000000000001</v>
      </c>
      <c r="D138" s="7">
        <f t="shared" si="34"/>
        <v>52.595999999999997</v>
      </c>
      <c r="E138" s="7">
        <f t="shared" si="35"/>
        <v>53.360999999999997</v>
      </c>
      <c r="F138" s="7">
        <f t="shared" si="36"/>
        <v>0.71999999999999886</v>
      </c>
      <c r="G138" s="7">
        <f t="shared" si="37"/>
        <v>0</v>
      </c>
      <c r="H138" s="7">
        <f t="shared" si="38"/>
        <v>16.806999999999995</v>
      </c>
      <c r="I138" s="8">
        <v>35.069000000000003</v>
      </c>
      <c r="J138" s="8">
        <v>35.789000000000001</v>
      </c>
      <c r="K138" s="8"/>
      <c r="L138" s="8"/>
      <c r="M138" s="8">
        <v>52.595999999999997</v>
      </c>
      <c r="N138" s="8">
        <v>53.360999999999997</v>
      </c>
      <c r="O138" s="8"/>
      <c r="P138" s="8"/>
      <c r="Q138" s="5"/>
      <c r="S138">
        <f t="shared" si="39"/>
        <v>0.76500000000000057</v>
      </c>
    </row>
    <row r="139" spans="1:19" x14ac:dyDescent="0.35">
      <c r="A139" s="9">
        <v>1986</v>
      </c>
      <c r="B139" s="10">
        <f t="shared" si="32"/>
        <v>34.219000000000001</v>
      </c>
      <c r="C139" s="10">
        <f t="shared" si="33"/>
        <v>35.234999999999999</v>
      </c>
      <c r="D139" s="10">
        <f t="shared" si="34"/>
        <v>51.567</v>
      </c>
      <c r="E139" s="10">
        <f t="shared" si="35"/>
        <v>52.793999999999997</v>
      </c>
      <c r="F139" s="10">
        <f t="shared" si="36"/>
        <v>1.0159999999999982</v>
      </c>
      <c r="G139" s="10">
        <f t="shared" si="37"/>
        <v>0</v>
      </c>
      <c r="H139" s="10">
        <f t="shared" si="38"/>
        <v>16.332000000000001</v>
      </c>
      <c r="I139" s="11">
        <v>34.219000000000001</v>
      </c>
      <c r="J139" s="11">
        <v>35.234999999999999</v>
      </c>
      <c r="K139" s="11"/>
      <c r="L139" s="11"/>
      <c r="M139" s="11">
        <v>51.567</v>
      </c>
      <c r="N139" s="11">
        <v>52.793999999999997</v>
      </c>
      <c r="O139" s="11"/>
      <c r="P139" s="11"/>
      <c r="Q139" s="5"/>
      <c r="S139">
        <f t="shared" si="39"/>
        <v>1.2269999999999968</v>
      </c>
    </row>
    <row r="140" spans="1:19" x14ac:dyDescent="0.35">
      <c r="A140" s="6">
        <v>1987</v>
      </c>
      <c r="B140" s="7">
        <f t="shared" si="32"/>
        <v>34.563000000000002</v>
      </c>
      <c r="C140" s="7">
        <f t="shared" si="33"/>
        <v>35.179000000000002</v>
      </c>
      <c r="D140" s="7">
        <f t="shared" si="34"/>
        <v>51.804000000000002</v>
      </c>
      <c r="E140" s="7">
        <f t="shared" si="35"/>
        <v>52.491</v>
      </c>
      <c r="F140" s="7">
        <f t="shared" si="36"/>
        <v>0.61599999999999966</v>
      </c>
      <c r="G140" s="7">
        <f t="shared" si="37"/>
        <v>0</v>
      </c>
      <c r="H140" s="7">
        <f t="shared" si="38"/>
        <v>16.625</v>
      </c>
      <c r="I140" s="8">
        <v>34.563000000000002</v>
      </c>
      <c r="J140" s="8">
        <v>35.179000000000002</v>
      </c>
      <c r="K140" s="8"/>
      <c r="L140" s="8"/>
      <c r="M140" s="8">
        <v>51.804000000000002</v>
      </c>
      <c r="N140" s="8">
        <v>52.491</v>
      </c>
      <c r="O140" s="8"/>
      <c r="P140" s="8"/>
      <c r="Q140" s="5"/>
      <c r="S140">
        <f t="shared" si="39"/>
        <v>0.68699999999999761</v>
      </c>
    </row>
    <row r="141" spans="1:19" x14ac:dyDescent="0.35">
      <c r="A141" s="9">
        <v>1988</v>
      </c>
      <c r="B141" s="10">
        <f t="shared" si="32"/>
        <v>34.880000000000003</v>
      </c>
      <c r="C141" s="10">
        <f t="shared" si="33"/>
        <v>35.253999999999998</v>
      </c>
      <c r="D141" s="10">
        <f t="shared" si="34"/>
        <v>51.917999999999999</v>
      </c>
      <c r="E141" s="10">
        <f t="shared" si="35"/>
        <v>52.139000000000003</v>
      </c>
      <c r="F141" s="10">
        <f t="shared" si="36"/>
        <v>0.37399999999999523</v>
      </c>
      <c r="G141" s="10">
        <f t="shared" si="37"/>
        <v>0</v>
      </c>
      <c r="H141" s="10">
        <f t="shared" si="38"/>
        <v>16.664000000000001</v>
      </c>
      <c r="I141" s="11">
        <v>34.880000000000003</v>
      </c>
      <c r="J141" s="11">
        <v>35.253999999999998</v>
      </c>
      <c r="K141" s="11"/>
      <c r="L141" s="11"/>
      <c r="M141" s="11">
        <v>51.917999999999999</v>
      </c>
      <c r="N141" s="11">
        <v>52.139000000000003</v>
      </c>
      <c r="O141" s="11"/>
      <c r="P141" s="11"/>
      <c r="Q141" s="5"/>
      <c r="S141">
        <f t="shared" si="39"/>
        <v>0.22100000000000364</v>
      </c>
    </row>
    <row r="142" spans="1:19" x14ac:dyDescent="0.35">
      <c r="A142" s="6">
        <v>1989</v>
      </c>
      <c r="B142" s="7">
        <f t="shared" si="32"/>
        <v>35.207999999999998</v>
      </c>
      <c r="C142" s="7">
        <f t="shared" si="33"/>
        <v>35.341999999999999</v>
      </c>
      <c r="D142" s="7">
        <f t="shared" si="34"/>
        <v>51.667999999999999</v>
      </c>
      <c r="E142" s="7">
        <f t="shared" si="35"/>
        <v>51.692999999999998</v>
      </c>
      <c r="F142" s="7">
        <f t="shared" si="36"/>
        <v>0.13400000000000034</v>
      </c>
      <c r="G142" s="7">
        <f t="shared" si="37"/>
        <v>0</v>
      </c>
      <c r="H142" s="7">
        <f t="shared" si="38"/>
        <v>16.326000000000001</v>
      </c>
      <c r="I142" s="8">
        <v>35.207999999999998</v>
      </c>
      <c r="J142" s="8">
        <v>35.341999999999999</v>
      </c>
      <c r="K142" s="8"/>
      <c r="L142" s="8"/>
      <c r="M142" s="8">
        <v>51.692999999999998</v>
      </c>
      <c r="N142" s="8">
        <v>51.667999999999999</v>
      </c>
      <c r="O142" s="8"/>
      <c r="P142" s="8"/>
      <c r="Q142" s="5"/>
      <c r="S142">
        <f t="shared" si="39"/>
        <v>2.4999999999998579E-2</v>
      </c>
    </row>
    <row r="143" spans="1:19" x14ac:dyDescent="0.35">
      <c r="A143" s="9">
        <v>1990</v>
      </c>
      <c r="B143" s="10">
        <f t="shared" si="32"/>
        <v>36.118000000000002</v>
      </c>
      <c r="C143" s="10">
        <f t="shared" si="33"/>
        <v>37.823</v>
      </c>
      <c r="D143" s="10">
        <f t="shared" si="34"/>
        <v>52.475000000000001</v>
      </c>
      <c r="E143" s="10">
        <f t="shared" si="35"/>
        <v>52.75</v>
      </c>
      <c r="F143" s="10">
        <f t="shared" si="36"/>
        <v>1.7049999999999983</v>
      </c>
      <c r="G143" s="10">
        <f t="shared" si="37"/>
        <v>0</v>
      </c>
      <c r="H143" s="10">
        <f t="shared" si="38"/>
        <v>14.652000000000001</v>
      </c>
      <c r="I143" s="11">
        <v>36.118000000000002</v>
      </c>
      <c r="J143" s="11">
        <v>37.823</v>
      </c>
      <c r="K143" s="11"/>
      <c r="L143" s="11"/>
      <c r="M143" s="11">
        <v>52.475000000000001</v>
      </c>
      <c r="N143" s="11">
        <v>52.75</v>
      </c>
      <c r="O143" s="11"/>
      <c r="P143" s="11"/>
      <c r="Q143" s="5"/>
      <c r="S143">
        <f t="shared" si="39"/>
        <v>0.27499999999999858</v>
      </c>
    </row>
    <row r="144" spans="1:19" x14ac:dyDescent="0.35">
      <c r="A144" s="6">
        <v>1991</v>
      </c>
      <c r="B144" s="7">
        <f t="shared" si="32"/>
        <v>35.615000000000002</v>
      </c>
      <c r="C144" s="7">
        <f t="shared" si="33"/>
        <v>37.326999999999998</v>
      </c>
      <c r="D144" s="7">
        <f t="shared" si="34"/>
        <v>50.487000000000002</v>
      </c>
      <c r="E144" s="7">
        <f t="shared" si="35"/>
        <v>50.890999999999998</v>
      </c>
      <c r="F144" s="7">
        <f t="shared" si="36"/>
        <v>1.7119999999999962</v>
      </c>
      <c r="G144" s="7">
        <f t="shared" si="37"/>
        <v>0</v>
      </c>
      <c r="H144" s="7">
        <f t="shared" si="38"/>
        <v>13.160000000000004</v>
      </c>
      <c r="I144" s="8">
        <v>35.615000000000002</v>
      </c>
      <c r="J144" s="8">
        <v>37.326999999999998</v>
      </c>
      <c r="K144" s="8"/>
      <c r="L144" s="8"/>
      <c r="M144" s="8">
        <v>50.890999999999998</v>
      </c>
      <c r="N144" s="8">
        <v>50.487000000000002</v>
      </c>
      <c r="O144" s="8"/>
      <c r="P144" s="8"/>
      <c r="Q144" s="5"/>
      <c r="S144">
        <f t="shared" si="39"/>
        <v>0.40399999999999636</v>
      </c>
    </row>
    <row r="145" spans="1:19" x14ac:dyDescent="0.35">
      <c r="A145" s="9">
        <v>1992</v>
      </c>
      <c r="B145" s="10">
        <f t="shared" si="32"/>
        <v>36.11</v>
      </c>
      <c r="C145" s="10">
        <f t="shared" si="33"/>
        <v>38.012999999999998</v>
      </c>
      <c r="D145" s="10">
        <f t="shared" si="34"/>
        <v>49.298000000000002</v>
      </c>
      <c r="E145" s="10">
        <f t="shared" si="35"/>
        <v>49.640999999999998</v>
      </c>
      <c r="F145" s="10">
        <f t="shared" si="36"/>
        <v>1.9029999999999987</v>
      </c>
      <c r="G145" s="10">
        <f t="shared" si="37"/>
        <v>0</v>
      </c>
      <c r="H145" s="10">
        <f t="shared" si="38"/>
        <v>11.285000000000004</v>
      </c>
      <c r="I145" s="11">
        <v>36.11</v>
      </c>
      <c r="J145" s="11">
        <v>38.012999999999998</v>
      </c>
      <c r="K145" s="11"/>
      <c r="L145" s="11"/>
      <c r="M145" s="11">
        <v>49.640999999999998</v>
      </c>
      <c r="N145" s="11">
        <v>49.298000000000002</v>
      </c>
      <c r="O145" s="11"/>
      <c r="P145" s="11"/>
      <c r="Q145" s="5"/>
      <c r="S145">
        <f t="shared" si="39"/>
        <v>0.34299999999999642</v>
      </c>
    </row>
    <row r="146" spans="1:19" x14ac:dyDescent="0.35">
      <c r="A146" s="6">
        <v>1993</v>
      </c>
      <c r="B146" s="7">
        <f t="shared" si="32"/>
        <v>36.137999999999998</v>
      </c>
      <c r="C146" s="7">
        <f t="shared" si="33"/>
        <v>38.06</v>
      </c>
      <c r="D146" s="7">
        <f t="shared" si="34"/>
        <v>48.055</v>
      </c>
      <c r="E146" s="7">
        <f t="shared" si="35"/>
        <v>48.850999999999999</v>
      </c>
      <c r="F146" s="7">
        <f t="shared" si="36"/>
        <v>1.9220000000000041</v>
      </c>
      <c r="G146" s="7">
        <f t="shared" si="37"/>
        <v>0</v>
      </c>
      <c r="H146" s="7">
        <f t="shared" si="38"/>
        <v>9.9949999999999974</v>
      </c>
      <c r="I146" s="8">
        <v>36.137999999999998</v>
      </c>
      <c r="J146" s="8">
        <v>38.06</v>
      </c>
      <c r="K146" s="8"/>
      <c r="L146" s="8"/>
      <c r="M146" s="8">
        <v>48.850999999999999</v>
      </c>
      <c r="N146" s="8">
        <v>48.055</v>
      </c>
      <c r="O146" s="8"/>
      <c r="P146" s="8"/>
      <c r="Q146" s="5"/>
      <c r="S146">
        <f t="shared" si="39"/>
        <v>0.79599999999999937</v>
      </c>
    </row>
    <row r="147" spans="1:19" x14ac:dyDescent="0.35">
      <c r="A147" s="9">
        <v>1994</v>
      </c>
      <c r="B147" s="10">
        <f t="shared" si="32"/>
        <v>35.374000000000002</v>
      </c>
      <c r="C147" s="10">
        <f t="shared" si="33"/>
        <v>41.673999999999999</v>
      </c>
      <c r="D147" s="10">
        <f t="shared" si="34"/>
        <v>46.473999999999997</v>
      </c>
      <c r="E147" s="10">
        <f t="shared" si="35"/>
        <v>50.387999999999998</v>
      </c>
      <c r="F147" s="10">
        <f t="shared" si="36"/>
        <v>6.2999999999999972</v>
      </c>
      <c r="G147" s="10">
        <f t="shared" si="37"/>
        <v>0</v>
      </c>
      <c r="H147" s="10">
        <f t="shared" si="38"/>
        <v>4.7999999999999972</v>
      </c>
      <c r="I147" s="11">
        <v>35.374000000000002</v>
      </c>
      <c r="J147" s="11">
        <v>41.673999999999999</v>
      </c>
      <c r="K147" s="11"/>
      <c r="L147" s="11"/>
      <c r="M147" s="11">
        <v>46.473999999999997</v>
      </c>
      <c r="N147" s="11">
        <v>50.387999999999998</v>
      </c>
      <c r="O147" s="11"/>
      <c r="P147" s="11"/>
      <c r="Q147" s="5"/>
      <c r="S147">
        <f t="shared" si="39"/>
        <v>3.9140000000000015</v>
      </c>
    </row>
    <row r="148" spans="1:19" x14ac:dyDescent="0.35">
      <c r="A148" s="6">
        <v>1995</v>
      </c>
      <c r="B148" s="7">
        <f t="shared" si="32"/>
        <v>35.555999999999997</v>
      </c>
      <c r="C148" s="7">
        <f t="shared" si="33"/>
        <v>40.518999999999998</v>
      </c>
      <c r="D148" s="7">
        <f t="shared" si="34"/>
        <v>46.185000000000002</v>
      </c>
      <c r="E148" s="7">
        <f t="shared" si="35"/>
        <v>48.292999999999999</v>
      </c>
      <c r="F148" s="7">
        <f t="shared" si="36"/>
        <v>4.963000000000001</v>
      </c>
      <c r="G148" s="7">
        <f t="shared" si="37"/>
        <v>0</v>
      </c>
      <c r="H148" s="7">
        <f t="shared" si="38"/>
        <v>5.6660000000000039</v>
      </c>
      <c r="I148" s="8">
        <v>35.555999999999997</v>
      </c>
      <c r="J148" s="8">
        <v>40.518999999999998</v>
      </c>
      <c r="K148" s="8"/>
      <c r="L148" s="8"/>
      <c r="M148" s="8">
        <v>46.185000000000002</v>
      </c>
      <c r="N148" s="8">
        <v>48.292999999999999</v>
      </c>
      <c r="O148" s="8"/>
      <c r="P148" s="8"/>
      <c r="Q148" s="5"/>
      <c r="S148">
        <f t="shared" si="39"/>
        <v>2.107999999999997</v>
      </c>
    </row>
    <row r="149" spans="1:19" x14ac:dyDescent="0.35">
      <c r="A149" s="9">
        <v>1996</v>
      </c>
      <c r="B149" s="10">
        <f t="shared" si="32"/>
        <v>35.357999999999997</v>
      </c>
      <c r="C149" s="10">
        <f t="shared" si="33"/>
        <v>40.951000000000001</v>
      </c>
      <c r="D149" s="10">
        <f t="shared" si="34"/>
        <v>46.508000000000003</v>
      </c>
      <c r="E149" s="10">
        <f t="shared" si="35"/>
        <v>49.276000000000003</v>
      </c>
      <c r="F149" s="10">
        <f t="shared" si="36"/>
        <v>5.5930000000000035</v>
      </c>
      <c r="G149" s="10">
        <f t="shared" si="37"/>
        <v>0</v>
      </c>
      <c r="H149" s="10">
        <f t="shared" si="38"/>
        <v>5.5570000000000022</v>
      </c>
      <c r="I149" s="11">
        <v>35.357999999999997</v>
      </c>
      <c r="J149" s="11">
        <v>40.951000000000001</v>
      </c>
      <c r="K149" s="11"/>
      <c r="L149" s="11"/>
      <c r="M149" s="11">
        <v>46.508000000000003</v>
      </c>
      <c r="N149" s="11">
        <v>49.276000000000003</v>
      </c>
      <c r="O149" s="11"/>
      <c r="P149" s="11"/>
      <c r="Q149" s="5"/>
      <c r="S149">
        <f t="shared" si="39"/>
        <v>2.7680000000000007</v>
      </c>
    </row>
    <row r="150" spans="1:19" x14ac:dyDescent="0.35">
      <c r="A150" s="6">
        <v>1997</v>
      </c>
      <c r="B150" s="7">
        <f t="shared" si="32"/>
        <v>33.869</v>
      </c>
      <c r="C150" s="7">
        <f t="shared" si="33"/>
        <v>41.670999999999999</v>
      </c>
      <c r="D150" s="7">
        <f t="shared" si="34"/>
        <v>43.292999999999999</v>
      </c>
      <c r="E150" s="7">
        <f t="shared" si="35"/>
        <v>48.808999999999997</v>
      </c>
      <c r="F150" s="7">
        <f t="shared" si="36"/>
        <v>7.8019999999999996</v>
      </c>
      <c r="G150" s="7">
        <f t="shared" si="37"/>
        <v>0</v>
      </c>
      <c r="H150" s="7">
        <f t="shared" si="38"/>
        <v>1.6219999999999999</v>
      </c>
      <c r="I150" s="8">
        <v>33.869</v>
      </c>
      <c r="J150" s="8">
        <v>41.670999999999999</v>
      </c>
      <c r="K150" s="8"/>
      <c r="L150" s="8"/>
      <c r="M150" s="8">
        <v>43.292999999999999</v>
      </c>
      <c r="N150" s="8">
        <v>48.808999999999997</v>
      </c>
      <c r="O150" s="8"/>
      <c r="P150" s="8"/>
      <c r="Q150" s="5"/>
      <c r="S150">
        <f t="shared" si="39"/>
        <v>5.5159999999999982</v>
      </c>
    </row>
    <row r="151" spans="1:19" x14ac:dyDescent="0.35">
      <c r="A151" s="9">
        <v>1998</v>
      </c>
      <c r="B151" s="10">
        <f t="shared" si="32"/>
        <v>35.252000000000002</v>
      </c>
      <c r="C151" s="10">
        <f t="shared" si="33"/>
        <v>40.96</v>
      </c>
      <c r="D151" s="10">
        <f t="shared" si="34"/>
        <v>44.808999999999997</v>
      </c>
      <c r="E151" s="10">
        <f t="shared" si="35"/>
        <v>48.533999999999999</v>
      </c>
      <c r="F151" s="10">
        <f t="shared" si="36"/>
        <v>5.7079999999999984</v>
      </c>
      <c r="G151" s="10">
        <f t="shared" si="37"/>
        <v>0</v>
      </c>
      <c r="H151" s="10">
        <f t="shared" si="38"/>
        <v>3.8489999999999966</v>
      </c>
      <c r="I151" s="11">
        <v>35.252000000000002</v>
      </c>
      <c r="J151" s="11">
        <v>40.96</v>
      </c>
      <c r="K151" s="11"/>
      <c r="L151" s="11"/>
      <c r="M151" s="11">
        <v>44.808999999999997</v>
      </c>
      <c r="N151" s="11">
        <v>48.533999999999999</v>
      </c>
      <c r="O151" s="11"/>
      <c r="P151" s="11"/>
      <c r="Q151" s="5"/>
      <c r="S151">
        <f t="shared" si="39"/>
        <v>3.7250000000000014</v>
      </c>
    </row>
    <row r="152" spans="1:19" x14ac:dyDescent="0.35">
      <c r="A152" s="6">
        <v>1999</v>
      </c>
      <c r="B152" s="7">
        <f t="shared" si="32"/>
        <v>35.228000000000002</v>
      </c>
      <c r="C152" s="7">
        <f t="shared" si="33"/>
        <v>41.192</v>
      </c>
      <c r="D152" s="7">
        <f t="shared" si="34"/>
        <v>44.612000000000002</v>
      </c>
      <c r="E152" s="7">
        <f t="shared" si="35"/>
        <v>47.378</v>
      </c>
      <c r="F152" s="7">
        <f t="shared" si="36"/>
        <v>5.9639999999999986</v>
      </c>
      <c r="G152" s="7">
        <f t="shared" si="37"/>
        <v>0</v>
      </c>
      <c r="H152" s="7">
        <f t="shared" si="38"/>
        <v>3.4200000000000017</v>
      </c>
      <c r="I152" s="8">
        <v>35.228000000000002</v>
      </c>
      <c r="J152" s="8">
        <v>41.192</v>
      </c>
      <c r="K152" s="8"/>
      <c r="L152" s="8"/>
      <c r="M152" s="8">
        <v>44.612000000000002</v>
      </c>
      <c r="N152" s="8">
        <v>47.378</v>
      </c>
      <c r="O152" s="8"/>
      <c r="P152" s="8"/>
      <c r="Q152" s="5"/>
      <c r="S152">
        <f t="shared" si="39"/>
        <v>2.7659999999999982</v>
      </c>
    </row>
    <row r="153" spans="1:19" x14ac:dyDescent="0.35">
      <c r="A153" s="9">
        <v>2000</v>
      </c>
      <c r="B153" s="10">
        <f t="shared" si="32"/>
        <v>35.779000000000003</v>
      </c>
      <c r="C153" s="10">
        <f t="shared" si="33"/>
        <v>41.886000000000003</v>
      </c>
      <c r="D153" s="10">
        <f t="shared" si="34"/>
        <v>44.787999999999997</v>
      </c>
      <c r="E153" s="10">
        <f t="shared" si="35"/>
        <v>48.316000000000003</v>
      </c>
      <c r="F153" s="10">
        <f t="shared" si="36"/>
        <v>6.1069999999999993</v>
      </c>
      <c r="G153" s="10">
        <f t="shared" si="37"/>
        <v>0</v>
      </c>
      <c r="H153" s="10">
        <f t="shared" si="38"/>
        <v>2.9019999999999939</v>
      </c>
      <c r="I153" s="11">
        <v>35.779000000000003</v>
      </c>
      <c r="J153" s="11">
        <v>41.886000000000003</v>
      </c>
      <c r="K153" s="11"/>
      <c r="L153" s="11"/>
      <c r="M153" s="11">
        <v>44.787999999999997</v>
      </c>
      <c r="N153" s="11">
        <v>48.316000000000003</v>
      </c>
      <c r="O153" s="11"/>
      <c r="P153" s="11"/>
      <c r="Q153" s="5"/>
      <c r="S153">
        <f t="shared" si="39"/>
        <v>3.5280000000000058</v>
      </c>
    </row>
    <row r="154" spans="1:19" x14ac:dyDescent="0.35">
      <c r="A154" s="6">
        <v>2001</v>
      </c>
      <c r="B154" s="7">
        <f t="shared" si="32"/>
        <v>35.612000000000002</v>
      </c>
      <c r="C154" s="7">
        <f t="shared" si="33"/>
        <v>41.103999999999999</v>
      </c>
      <c r="D154" s="7">
        <f t="shared" si="34"/>
        <v>44.823999999999998</v>
      </c>
      <c r="E154" s="7">
        <f t="shared" si="35"/>
        <v>47.34</v>
      </c>
      <c r="F154" s="7">
        <f t="shared" si="36"/>
        <v>5.4919999999999973</v>
      </c>
      <c r="G154" s="7">
        <f t="shared" si="37"/>
        <v>0</v>
      </c>
      <c r="H154" s="7">
        <f t="shared" si="38"/>
        <v>3.7199999999999989</v>
      </c>
      <c r="I154" s="8">
        <v>35.612000000000002</v>
      </c>
      <c r="J154" s="8">
        <v>41.103999999999999</v>
      </c>
      <c r="K154" s="8"/>
      <c r="L154" s="8"/>
      <c r="M154" s="8">
        <v>44.823999999999998</v>
      </c>
      <c r="N154" s="8">
        <v>47.34</v>
      </c>
      <c r="O154" s="8"/>
      <c r="P154" s="8"/>
      <c r="Q154" s="5"/>
      <c r="S154">
        <f t="shared" si="39"/>
        <v>2.5160000000000053</v>
      </c>
    </row>
    <row r="155" spans="1:19" x14ac:dyDescent="0.35">
      <c r="A155" s="9">
        <v>2002</v>
      </c>
      <c r="B155" s="10">
        <f t="shared" si="32"/>
        <v>34.692</v>
      </c>
      <c r="C155" s="10">
        <f t="shared" si="33"/>
        <v>40.027000000000001</v>
      </c>
      <c r="D155" s="10">
        <f t="shared" si="34"/>
        <v>43.462000000000003</v>
      </c>
      <c r="E155" s="10">
        <f t="shared" si="35"/>
        <v>46.076999999999998</v>
      </c>
      <c r="F155" s="10">
        <f t="shared" si="36"/>
        <v>5.3350000000000009</v>
      </c>
      <c r="G155" s="10">
        <f t="shared" si="37"/>
        <v>0</v>
      </c>
      <c r="H155" s="10">
        <f t="shared" si="38"/>
        <v>3.4350000000000023</v>
      </c>
      <c r="I155" s="11">
        <v>34.692</v>
      </c>
      <c r="J155" s="11">
        <v>40.027000000000001</v>
      </c>
      <c r="K155" s="11"/>
      <c r="L155" s="11"/>
      <c r="M155" s="11">
        <v>43.462000000000003</v>
      </c>
      <c r="N155" s="11">
        <v>46.076999999999998</v>
      </c>
      <c r="O155" s="11"/>
      <c r="P155" s="11"/>
      <c r="Q155" s="5"/>
      <c r="S155">
        <f t="shared" si="39"/>
        <v>2.6149999999999949</v>
      </c>
    </row>
    <row r="156" spans="1:19" x14ac:dyDescent="0.35">
      <c r="A156" s="6">
        <v>2003</v>
      </c>
      <c r="B156" s="7">
        <f t="shared" si="32"/>
        <v>33.192</v>
      </c>
      <c r="C156" s="7">
        <f t="shared" si="33"/>
        <v>37.298000000000002</v>
      </c>
      <c r="D156" s="7">
        <f t="shared" si="34"/>
        <v>41.805999999999997</v>
      </c>
      <c r="E156" s="7">
        <f t="shared" si="35"/>
        <v>43.491999999999997</v>
      </c>
      <c r="F156" s="7">
        <f t="shared" si="36"/>
        <v>4.1060000000000016</v>
      </c>
      <c r="G156" s="7">
        <f t="shared" si="37"/>
        <v>0</v>
      </c>
      <c r="H156" s="7">
        <f t="shared" si="38"/>
        <v>4.5079999999999956</v>
      </c>
      <c r="I156" s="8">
        <v>33.192</v>
      </c>
      <c r="J156" s="8">
        <v>37.298000000000002</v>
      </c>
      <c r="K156" s="8"/>
      <c r="L156" s="8"/>
      <c r="M156" s="8">
        <v>41.805999999999997</v>
      </c>
      <c r="N156" s="8">
        <v>43.491999999999997</v>
      </c>
      <c r="O156" s="8"/>
      <c r="P156" s="8"/>
      <c r="Q156" s="5"/>
      <c r="S156">
        <f t="shared" si="39"/>
        <v>1.6859999999999999</v>
      </c>
    </row>
    <row r="157" spans="1:19" x14ac:dyDescent="0.35">
      <c r="A157" s="9">
        <v>2004</v>
      </c>
      <c r="B157" s="10">
        <f t="shared" si="32"/>
        <v>33.200000000000003</v>
      </c>
      <c r="C157" s="10">
        <f t="shared" si="33"/>
        <v>36.125999999999998</v>
      </c>
      <c r="D157" s="10">
        <f t="shared" si="34"/>
        <v>41.058</v>
      </c>
      <c r="E157" s="10">
        <f t="shared" si="35"/>
        <v>41.738</v>
      </c>
      <c r="F157" s="10">
        <f t="shared" si="36"/>
        <v>2.9259999999999948</v>
      </c>
      <c r="G157" s="10">
        <f t="shared" si="37"/>
        <v>0</v>
      </c>
      <c r="H157" s="10">
        <f t="shared" si="38"/>
        <v>4.9320000000000022</v>
      </c>
      <c r="I157" s="11">
        <v>33.200000000000003</v>
      </c>
      <c r="J157" s="11">
        <v>36.125999999999998</v>
      </c>
      <c r="K157" s="11"/>
      <c r="L157" s="11"/>
      <c r="M157" s="11">
        <v>41.738</v>
      </c>
      <c r="N157" s="11">
        <v>41.058</v>
      </c>
      <c r="O157" s="11"/>
      <c r="P157" s="11"/>
      <c r="Q157" s="5"/>
      <c r="S157">
        <f t="shared" si="39"/>
        <v>0.67999999999999972</v>
      </c>
    </row>
    <row r="158" spans="1:19" x14ac:dyDescent="0.35">
      <c r="A158" s="6">
        <v>2005</v>
      </c>
      <c r="B158" s="7">
        <f t="shared" si="32"/>
        <v>32.71</v>
      </c>
      <c r="C158" s="7">
        <f t="shared" si="33"/>
        <v>35.822000000000003</v>
      </c>
      <c r="D158" s="7">
        <f t="shared" si="34"/>
        <v>40.976999999999997</v>
      </c>
      <c r="E158" s="7">
        <f t="shared" si="35"/>
        <v>41.308999999999997</v>
      </c>
      <c r="F158" s="7">
        <f t="shared" si="36"/>
        <v>3.1120000000000019</v>
      </c>
      <c r="G158" s="7">
        <f t="shared" si="37"/>
        <v>0</v>
      </c>
      <c r="H158" s="7">
        <f t="shared" si="38"/>
        <v>5.154999999999994</v>
      </c>
      <c r="I158" s="8">
        <v>32.71</v>
      </c>
      <c r="J158" s="8">
        <v>35.822000000000003</v>
      </c>
      <c r="K158" s="8"/>
      <c r="L158" s="8"/>
      <c r="M158" s="8">
        <v>41.308999999999997</v>
      </c>
      <c r="N158" s="8">
        <v>40.976999999999997</v>
      </c>
      <c r="O158" s="8"/>
      <c r="P158" s="8"/>
      <c r="Q158" s="5"/>
      <c r="S158">
        <f t="shared" si="39"/>
        <v>0.33200000000000074</v>
      </c>
    </row>
    <row r="159" spans="1:19" x14ac:dyDescent="0.35">
      <c r="A159" s="9">
        <v>2006</v>
      </c>
      <c r="B159" s="10">
        <f t="shared" si="32"/>
        <v>30.936</v>
      </c>
      <c r="C159" s="10">
        <f t="shared" si="33"/>
        <v>34.951000000000001</v>
      </c>
      <c r="D159" s="10">
        <f t="shared" si="34"/>
        <v>39.572000000000003</v>
      </c>
      <c r="E159" s="10">
        <f t="shared" si="35"/>
        <v>40.265999999999998</v>
      </c>
      <c r="F159" s="10">
        <f t="shared" si="36"/>
        <v>4.0150000000000006</v>
      </c>
      <c r="G159" s="10">
        <f t="shared" si="37"/>
        <v>0</v>
      </c>
      <c r="H159" s="10">
        <f t="shared" si="38"/>
        <v>4.6210000000000022</v>
      </c>
      <c r="I159" s="11">
        <v>30.936</v>
      </c>
      <c r="J159" s="11">
        <v>34.951000000000001</v>
      </c>
      <c r="K159" s="11"/>
      <c r="L159" s="11"/>
      <c r="M159" s="11">
        <v>39.572000000000003</v>
      </c>
      <c r="N159" s="11">
        <v>40.265999999999998</v>
      </c>
      <c r="O159" s="11"/>
      <c r="P159" s="11"/>
      <c r="Q159" s="5"/>
      <c r="S159">
        <f t="shared" si="39"/>
        <v>0.69399999999999551</v>
      </c>
    </row>
    <row r="160" spans="1:19" x14ac:dyDescent="0.35">
      <c r="A160" s="6">
        <v>2007</v>
      </c>
      <c r="B160" s="7">
        <f t="shared" si="32"/>
        <v>30.901</v>
      </c>
      <c r="C160" s="7">
        <f t="shared" si="33"/>
        <v>35.061</v>
      </c>
      <c r="D160" s="7">
        <f t="shared" si="34"/>
        <v>39.75</v>
      </c>
      <c r="E160" s="7">
        <f t="shared" si="35"/>
        <v>40.325000000000003</v>
      </c>
      <c r="F160" s="7">
        <f t="shared" si="36"/>
        <v>4.16</v>
      </c>
      <c r="G160" s="7">
        <f t="shared" si="37"/>
        <v>0</v>
      </c>
      <c r="H160" s="7">
        <f t="shared" si="38"/>
        <v>4.6890000000000001</v>
      </c>
      <c r="I160" s="8">
        <v>30.901</v>
      </c>
      <c r="J160" s="8">
        <v>35.061</v>
      </c>
      <c r="K160" s="8"/>
      <c r="L160" s="8"/>
      <c r="M160" s="8">
        <v>39.75</v>
      </c>
      <c r="N160" s="8">
        <v>40.325000000000003</v>
      </c>
      <c r="O160" s="8"/>
      <c r="P160" s="8"/>
      <c r="Q160" s="5"/>
      <c r="S160">
        <f t="shared" si="39"/>
        <v>0.57500000000000284</v>
      </c>
    </row>
    <row r="161" spans="1:19" x14ac:dyDescent="0.35">
      <c r="A161" s="9">
        <v>2008</v>
      </c>
      <c r="B161" s="10">
        <f t="shared" si="32"/>
        <v>29.853000000000002</v>
      </c>
      <c r="C161" s="10">
        <f t="shared" si="33"/>
        <v>33.520000000000003</v>
      </c>
      <c r="D161" s="10">
        <f t="shared" si="34"/>
        <v>38.402999999999999</v>
      </c>
      <c r="E161" s="10">
        <f t="shared" si="35"/>
        <v>38.962000000000003</v>
      </c>
      <c r="F161" s="10">
        <f t="shared" si="36"/>
        <v>3.6670000000000016</v>
      </c>
      <c r="G161" s="10">
        <f t="shared" si="37"/>
        <v>0</v>
      </c>
      <c r="H161" s="10">
        <f t="shared" si="38"/>
        <v>4.8829999999999956</v>
      </c>
      <c r="I161" s="11">
        <v>29.853000000000002</v>
      </c>
      <c r="J161" s="11">
        <v>33.520000000000003</v>
      </c>
      <c r="K161" s="11"/>
      <c r="L161" s="11"/>
      <c r="M161" s="11">
        <v>38.402999999999999</v>
      </c>
      <c r="N161" s="11">
        <v>38.962000000000003</v>
      </c>
      <c r="O161" s="11"/>
      <c r="P161" s="11"/>
      <c r="Q161" s="5"/>
      <c r="S161">
        <f t="shared" si="39"/>
        <v>0.5590000000000046</v>
      </c>
    </row>
    <row r="162" spans="1:19" x14ac:dyDescent="0.35">
      <c r="A162" s="6">
        <v>2009</v>
      </c>
      <c r="B162" s="7">
        <f t="shared" si="32"/>
        <v>27.632999999999999</v>
      </c>
      <c r="C162" s="7">
        <f t="shared" si="33"/>
        <v>32.302999999999997</v>
      </c>
      <c r="D162" s="7">
        <f t="shared" si="34"/>
        <v>36.131</v>
      </c>
      <c r="E162" s="7">
        <f t="shared" si="35"/>
        <v>37.015000000000001</v>
      </c>
      <c r="F162" s="7">
        <f t="shared" si="36"/>
        <v>4.6699999999999982</v>
      </c>
      <c r="G162" s="7">
        <f t="shared" si="37"/>
        <v>0</v>
      </c>
      <c r="H162" s="7">
        <f t="shared" si="38"/>
        <v>3.828000000000003</v>
      </c>
      <c r="I162" s="8">
        <v>27.632999999999999</v>
      </c>
      <c r="J162" s="8">
        <v>32.302999999999997</v>
      </c>
      <c r="K162" s="8"/>
      <c r="L162" s="8"/>
      <c r="M162" s="8">
        <v>36.131</v>
      </c>
      <c r="N162" s="8">
        <v>37.015000000000001</v>
      </c>
      <c r="O162" s="8"/>
      <c r="P162" s="8"/>
      <c r="Q162" s="5"/>
      <c r="S162">
        <f t="shared" si="39"/>
        <v>0.88400000000000034</v>
      </c>
    </row>
    <row r="163" spans="1:19" x14ac:dyDescent="0.35">
      <c r="A163" s="9">
        <v>2010</v>
      </c>
      <c r="B163" s="10">
        <f t="shared" ref="B163:B177" si="40">IFERROR(MIN(I163:L163),"")</f>
        <v>27.724</v>
      </c>
      <c r="C163" s="10">
        <f t="shared" ref="C163:C177" si="41">IFERROR(MAX(I163:L163),"")</f>
        <v>32.064</v>
      </c>
      <c r="D163" s="10">
        <f t="shared" ref="D163:D177" si="42">IFERROR(MIN(M163:P163),"")</f>
        <v>36.435000000000002</v>
      </c>
      <c r="E163" s="10">
        <f t="shared" ref="E163:E177" si="43">IFERROR(MAX(M163:P163),"")</f>
        <v>36.976999999999997</v>
      </c>
      <c r="F163" s="10">
        <f t="shared" ref="F163:F177" si="44">IFERROR(MIN(C163,D163)-B163,"")</f>
        <v>4.34</v>
      </c>
      <c r="G163" s="10">
        <f t="shared" ref="G163:G177" si="45">IFERROR(MAX(0,C163-D163),"")</f>
        <v>0</v>
      </c>
      <c r="H163" s="10">
        <f t="shared" ref="H163:H177" si="46">IFERROR(MAX(0,D163-C163),"")</f>
        <v>4.3710000000000022</v>
      </c>
      <c r="I163" s="11">
        <v>27.724</v>
      </c>
      <c r="J163" s="11">
        <v>32.064</v>
      </c>
      <c r="K163" s="11"/>
      <c r="L163" s="11"/>
      <c r="M163" s="11">
        <v>36.435000000000002</v>
      </c>
      <c r="N163" s="11">
        <v>36.976999999999997</v>
      </c>
      <c r="O163" s="11"/>
      <c r="P163" s="11"/>
      <c r="Q163" s="5"/>
      <c r="S163">
        <f t="shared" ref="S163:S177" si="47">IFERROR(MAX(0,$E163-MAX($C163,$D163)),"")</f>
        <v>0.54199999999999449</v>
      </c>
    </row>
    <row r="164" spans="1:19" x14ac:dyDescent="0.35">
      <c r="A164" s="6">
        <v>2011</v>
      </c>
      <c r="B164" s="7">
        <f t="shared" si="40"/>
        <v>26.271999999999998</v>
      </c>
      <c r="C164" s="7">
        <f t="shared" si="41"/>
        <v>29.452000000000002</v>
      </c>
      <c r="D164" s="7">
        <f t="shared" si="42"/>
        <v>34.5</v>
      </c>
      <c r="E164" s="7">
        <f t="shared" si="43"/>
        <v>35.255000000000003</v>
      </c>
      <c r="F164" s="7">
        <f t="shared" si="44"/>
        <v>3.1800000000000033</v>
      </c>
      <c r="G164" s="7">
        <f t="shared" si="45"/>
        <v>0</v>
      </c>
      <c r="H164" s="7">
        <f t="shared" si="46"/>
        <v>5.0479999999999983</v>
      </c>
      <c r="I164" s="8">
        <v>26.271999999999998</v>
      </c>
      <c r="J164" s="8">
        <v>29.452000000000002</v>
      </c>
      <c r="K164" s="8"/>
      <c r="L164" s="8"/>
      <c r="M164" s="8">
        <v>34.5</v>
      </c>
      <c r="N164" s="8">
        <v>35.255000000000003</v>
      </c>
      <c r="O164" s="8"/>
      <c r="P164" s="8"/>
      <c r="Q164" s="5"/>
      <c r="S164">
        <f t="shared" si="47"/>
        <v>0.75500000000000256</v>
      </c>
    </row>
    <row r="165" spans="1:19" x14ac:dyDescent="0.35">
      <c r="A165" s="9">
        <v>2012</v>
      </c>
      <c r="B165" s="10">
        <f t="shared" si="40"/>
        <v>25.449000000000002</v>
      </c>
      <c r="C165" s="10">
        <f t="shared" si="41"/>
        <v>28.196999999999999</v>
      </c>
      <c r="D165" s="10">
        <f t="shared" si="42"/>
        <v>34.063000000000002</v>
      </c>
      <c r="E165" s="10">
        <f t="shared" si="43"/>
        <v>34.832999999999998</v>
      </c>
      <c r="F165" s="10">
        <f t="shared" si="44"/>
        <v>2.7479999999999976</v>
      </c>
      <c r="G165" s="10">
        <f t="shared" si="45"/>
        <v>0</v>
      </c>
      <c r="H165" s="10">
        <f t="shared" si="46"/>
        <v>5.8660000000000032</v>
      </c>
      <c r="I165" s="11">
        <v>25.449000000000002</v>
      </c>
      <c r="J165" s="11">
        <v>28.196999999999999</v>
      </c>
      <c r="K165" s="11"/>
      <c r="L165" s="11"/>
      <c r="M165" s="11">
        <v>34.063000000000002</v>
      </c>
      <c r="N165" s="11">
        <v>34.832999999999998</v>
      </c>
      <c r="O165" s="11"/>
      <c r="P165" s="11"/>
      <c r="Q165" s="5"/>
      <c r="S165">
        <f t="shared" si="47"/>
        <v>0.76999999999999602</v>
      </c>
    </row>
    <row r="166" spans="1:19" x14ac:dyDescent="0.35">
      <c r="A166" s="6">
        <v>2013</v>
      </c>
      <c r="B166" s="7">
        <f t="shared" si="40"/>
        <v>25.402999999999999</v>
      </c>
      <c r="C166" s="7">
        <f t="shared" si="41"/>
        <v>28.692</v>
      </c>
      <c r="D166" s="7">
        <f t="shared" si="42"/>
        <v>33.646000000000001</v>
      </c>
      <c r="E166" s="7">
        <f t="shared" si="43"/>
        <v>33.954000000000001</v>
      </c>
      <c r="F166" s="7">
        <f t="shared" si="44"/>
        <v>3.2890000000000015</v>
      </c>
      <c r="G166" s="7">
        <f t="shared" si="45"/>
        <v>0</v>
      </c>
      <c r="H166" s="7">
        <f t="shared" si="46"/>
        <v>4.9540000000000006</v>
      </c>
      <c r="I166" s="8">
        <v>25.402999999999999</v>
      </c>
      <c r="J166" s="8">
        <v>28.692</v>
      </c>
      <c r="K166" s="8"/>
      <c r="L166" s="8"/>
      <c r="M166" s="8">
        <v>33.646000000000001</v>
      </c>
      <c r="N166" s="8">
        <v>33.954000000000001</v>
      </c>
      <c r="O166" s="8"/>
      <c r="P166" s="8"/>
      <c r="Q166" s="5"/>
      <c r="S166">
        <f t="shared" si="47"/>
        <v>0.30799999999999983</v>
      </c>
    </row>
    <row r="167" spans="1:19" x14ac:dyDescent="0.35">
      <c r="A167" s="9">
        <v>2014</v>
      </c>
      <c r="B167" s="10">
        <f t="shared" si="40"/>
        <v>25.004000000000001</v>
      </c>
      <c r="C167" s="10">
        <f t="shared" si="41"/>
        <v>27.841999999999999</v>
      </c>
      <c r="D167" s="10">
        <f t="shared" si="42"/>
        <v>32.890999999999998</v>
      </c>
      <c r="E167" s="10">
        <f t="shared" si="43"/>
        <v>33.353000000000002</v>
      </c>
      <c r="F167" s="10">
        <f t="shared" si="44"/>
        <v>2.8379999999999974</v>
      </c>
      <c r="G167" s="10">
        <f t="shared" si="45"/>
        <v>0</v>
      </c>
      <c r="H167" s="10">
        <f t="shared" si="46"/>
        <v>5.0489999999999995</v>
      </c>
      <c r="I167" s="11">
        <v>25.004000000000001</v>
      </c>
      <c r="J167" s="11">
        <v>27.841999999999999</v>
      </c>
      <c r="K167" s="11"/>
      <c r="L167" s="11"/>
      <c r="M167" s="11">
        <v>32.890999999999998</v>
      </c>
      <c r="N167" s="11">
        <v>33.353000000000002</v>
      </c>
      <c r="O167" s="11"/>
      <c r="P167" s="11"/>
      <c r="Q167" s="5"/>
      <c r="S167">
        <f t="shared" si="47"/>
        <v>0.4620000000000033</v>
      </c>
    </row>
    <row r="168" spans="1:19" x14ac:dyDescent="0.35">
      <c r="A168" s="6">
        <v>2015</v>
      </c>
      <c r="B168" s="7">
        <f t="shared" si="40"/>
        <v>24.536999999999999</v>
      </c>
      <c r="C168" s="7">
        <f t="shared" si="41"/>
        <v>26.885999999999999</v>
      </c>
      <c r="D168" s="7">
        <f t="shared" si="42"/>
        <v>32.283999999999999</v>
      </c>
      <c r="E168" s="7">
        <f t="shared" si="43"/>
        <v>32.930999999999997</v>
      </c>
      <c r="F168" s="7">
        <f t="shared" si="44"/>
        <v>2.3490000000000002</v>
      </c>
      <c r="G168" s="7">
        <f t="shared" si="45"/>
        <v>0</v>
      </c>
      <c r="H168" s="7">
        <f t="shared" si="46"/>
        <v>5.3979999999999997</v>
      </c>
      <c r="I168" s="8">
        <v>24.536999999999999</v>
      </c>
      <c r="J168" s="8">
        <v>26.885999999999999</v>
      </c>
      <c r="K168" s="8"/>
      <c r="L168" s="8"/>
      <c r="M168" s="8">
        <v>32.930999999999997</v>
      </c>
      <c r="N168" s="8">
        <v>32.283999999999999</v>
      </c>
      <c r="O168" s="8"/>
      <c r="P168" s="8"/>
      <c r="Q168" s="5"/>
      <c r="S168">
        <f t="shared" si="47"/>
        <v>0.64699999999999847</v>
      </c>
    </row>
    <row r="169" spans="1:19" x14ac:dyDescent="0.35">
      <c r="A169" s="9">
        <v>2016</v>
      </c>
      <c r="B169" s="10">
        <f t="shared" si="40"/>
        <v>24.785</v>
      </c>
      <c r="C169" s="10">
        <f t="shared" si="41"/>
        <v>26.388999999999999</v>
      </c>
      <c r="D169" s="10">
        <f t="shared" si="42"/>
        <v>32.253</v>
      </c>
      <c r="E169" s="10">
        <f t="shared" si="43"/>
        <v>33.442</v>
      </c>
      <c r="F169" s="10">
        <f t="shared" si="44"/>
        <v>1.6039999999999992</v>
      </c>
      <c r="G169" s="10">
        <f t="shared" si="45"/>
        <v>0</v>
      </c>
      <c r="H169" s="10">
        <f t="shared" si="46"/>
        <v>5.8640000000000008</v>
      </c>
      <c r="I169" s="11">
        <v>24.785</v>
      </c>
      <c r="J169" s="11">
        <v>26.388999999999999</v>
      </c>
      <c r="K169" s="11"/>
      <c r="L169" s="11"/>
      <c r="M169" s="11">
        <v>33.442</v>
      </c>
      <c r="N169" s="11">
        <v>32.253</v>
      </c>
      <c r="O169" s="11"/>
      <c r="P169" s="11"/>
      <c r="Q169" s="5"/>
      <c r="S169">
        <f t="shared" si="47"/>
        <v>1.1890000000000001</v>
      </c>
    </row>
    <row r="170" spans="1:19" x14ac:dyDescent="0.35">
      <c r="A170" s="6">
        <v>2017</v>
      </c>
      <c r="B170" s="7">
        <f t="shared" si="40"/>
        <v>24.58</v>
      </c>
      <c r="C170" s="7">
        <f t="shared" si="41"/>
        <v>26.132000000000001</v>
      </c>
      <c r="D170" s="7">
        <f t="shared" si="42"/>
        <v>31.817</v>
      </c>
      <c r="E170" s="7">
        <f t="shared" si="43"/>
        <v>33.220999999999997</v>
      </c>
      <c r="F170" s="7">
        <f t="shared" si="44"/>
        <v>1.5520000000000032</v>
      </c>
      <c r="G170" s="7">
        <f t="shared" si="45"/>
        <v>0</v>
      </c>
      <c r="H170" s="7">
        <f t="shared" si="46"/>
        <v>5.6849999999999987</v>
      </c>
      <c r="I170" s="8">
        <v>24.58</v>
      </c>
      <c r="J170" s="8">
        <v>26.132000000000001</v>
      </c>
      <c r="K170" s="8"/>
      <c r="L170" s="8"/>
      <c r="M170" s="8">
        <v>33.220999999999997</v>
      </c>
      <c r="N170" s="8">
        <v>31.817</v>
      </c>
      <c r="O170" s="8"/>
      <c r="P170" s="8"/>
      <c r="Q170" s="5"/>
      <c r="S170">
        <f t="shared" si="47"/>
        <v>1.4039999999999964</v>
      </c>
    </row>
    <row r="171" spans="1:19" x14ac:dyDescent="0.35">
      <c r="A171" s="9">
        <v>2018</v>
      </c>
      <c r="B171" s="10">
        <f t="shared" si="40"/>
        <v>24.401</v>
      </c>
      <c r="C171" s="10">
        <f t="shared" si="41"/>
        <v>26.094999999999999</v>
      </c>
      <c r="D171" s="10">
        <f t="shared" si="42"/>
        <v>32.18</v>
      </c>
      <c r="E171" s="10">
        <f t="shared" si="43"/>
        <v>32.911000000000001</v>
      </c>
      <c r="F171" s="10">
        <f t="shared" si="44"/>
        <v>1.6939999999999991</v>
      </c>
      <c r="G171" s="10">
        <f t="shared" si="45"/>
        <v>0</v>
      </c>
      <c r="H171" s="10">
        <f t="shared" si="46"/>
        <v>6.0850000000000009</v>
      </c>
      <c r="I171" s="11">
        <v>24.401</v>
      </c>
      <c r="J171" s="11">
        <v>26.094999999999999</v>
      </c>
      <c r="K171" s="11"/>
      <c r="L171" s="11"/>
      <c r="M171" s="11">
        <v>32.911000000000001</v>
      </c>
      <c r="N171" s="11">
        <v>32.18</v>
      </c>
      <c r="O171" s="11"/>
      <c r="P171" s="11"/>
      <c r="Q171" s="5"/>
      <c r="S171">
        <f t="shared" si="47"/>
        <v>0.73100000000000165</v>
      </c>
    </row>
    <row r="172" spans="1:19" x14ac:dyDescent="0.35">
      <c r="A172" s="6">
        <v>2019</v>
      </c>
      <c r="B172" s="7">
        <f t="shared" si="40"/>
        <v>23.571000000000002</v>
      </c>
      <c r="C172" s="7">
        <f t="shared" si="41"/>
        <v>25.029</v>
      </c>
      <c r="D172" s="7">
        <f t="shared" si="42"/>
        <v>31.181999999999999</v>
      </c>
      <c r="E172" s="7">
        <f t="shared" si="43"/>
        <v>31.858000000000001</v>
      </c>
      <c r="F172" s="7">
        <f t="shared" si="44"/>
        <v>1.4579999999999984</v>
      </c>
      <c r="G172" s="7">
        <f t="shared" si="45"/>
        <v>0</v>
      </c>
      <c r="H172" s="7">
        <f t="shared" si="46"/>
        <v>6.1529999999999987</v>
      </c>
      <c r="I172" s="8">
        <v>23.571000000000002</v>
      </c>
      <c r="J172" s="8">
        <v>25.029</v>
      </c>
      <c r="K172" s="8"/>
      <c r="L172" s="8"/>
      <c r="M172" s="8">
        <v>31.858000000000001</v>
      </c>
      <c r="N172" s="8">
        <v>31.181999999999999</v>
      </c>
      <c r="O172" s="8"/>
      <c r="P172" s="8"/>
      <c r="Q172" s="5"/>
      <c r="S172">
        <f t="shared" si="47"/>
        <v>0.67600000000000193</v>
      </c>
    </row>
    <row r="173" spans="1:19" x14ac:dyDescent="0.35">
      <c r="A173" s="9">
        <v>2020</v>
      </c>
      <c r="B173" s="10">
        <f t="shared" si="40"/>
        <v>22.427</v>
      </c>
      <c r="C173" s="10">
        <f t="shared" si="41"/>
        <v>23.914000000000001</v>
      </c>
      <c r="D173" s="10">
        <f t="shared" si="42"/>
        <v>29.655000000000001</v>
      </c>
      <c r="E173" s="10">
        <f t="shared" si="43"/>
        <v>30.675999999999998</v>
      </c>
      <c r="F173" s="10">
        <f t="shared" si="44"/>
        <v>1.4870000000000019</v>
      </c>
      <c r="G173" s="10">
        <f t="shared" si="45"/>
        <v>0</v>
      </c>
      <c r="H173" s="10">
        <f t="shared" si="46"/>
        <v>5.7409999999999997</v>
      </c>
      <c r="I173" s="11">
        <v>22.427</v>
      </c>
      <c r="J173" s="11">
        <v>23.914000000000001</v>
      </c>
      <c r="K173" s="11"/>
      <c r="L173" s="11"/>
      <c r="M173" s="11">
        <v>30.675999999999998</v>
      </c>
      <c r="N173" s="11">
        <v>29.655000000000001</v>
      </c>
      <c r="O173" s="11"/>
      <c r="P173" s="11"/>
      <c r="Q173" s="5"/>
      <c r="S173">
        <f t="shared" si="47"/>
        <v>1.0209999999999972</v>
      </c>
    </row>
    <row r="174" spans="1:19" x14ac:dyDescent="0.35">
      <c r="A174" s="6">
        <v>2021</v>
      </c>
      <c r="B174" s="7">
        <f t="shared" si="40"/>
        <v>22.664000000000001</v>
      </c>
      <c r="C174" s="7">
        <f t="shared" si="41"/>
        <v>23.356999999999999</v>
      </c>
      <c r="D174" s="7">
        <f t="shared" si="42"/>
        <v>29.86</v>
      </c>
      <c r="E174" s="7">
        <f t="shared" si="43"/>
        <v>30.997</v>
      </c>
      <c r="F174" s="7">
        <f t="shared" si="44"/>
        <v>0.69299999999999784</v>
      </c>
      <c r="G174" s="7">
        <f t="shared" si="45"/>
        <v>0</v>
      </c>
      <c r="H174" s="7">
        <f t="shared" si="46"/>
        <v>6.5030000000000001</v>
      </c>
      <c r="I174" s="8">
        <v>22.664000000000001</v>
      </c>
      <c r="J174" s="8">
        <v>23.356999999999999</v>
      </c>
      <c r="K174" s="8"/>
      <c r="L174" s="8"/>
      <c r="M174" s="8">
        <v>30.997</v>
      </c>
      <c r="N174" s="8">
        <v>29.86</v>
      </c>
      <c r="O174" s="8"/>
      <c r="P174" s="8"/>
      <c r="Q174" s="5"/>
      <c r="S174">
        <f t="shared" si="47"/>
        <v>1.1370000000000005</v>
      </c>
    </row>
    <row r="175" spans="1:19" x14ac:dyDescent="0.35">
      <c r="A175" s="9">
        <v>2022</v>
      </c>
      <c r="B175" s="10">
        <f t="shared" si="40"/>
        <v>22.128</v>
      </c>
      <c r="C175" s="10">
        <f t="shared" si="41"/>
        <v>22.773</v>
      </c>
      <c r="D175" s="10">
        <f t="shared" si="42"/>
        <v>27.812999999999999</v>
      </c>
      <c r="E175" s="10">
        <f t="shared" si="43"/>
        <v>30.27</v>
      </c>
      <c r="F175" s="10">
        <f t="shared" si="44"/>
        <v>0.64499999999999957</v>
      </c>
      <c r="G175" s="10">
        <f t="shared" si="45"/>
        <v>0</v>
      </c>
      <c r="H175" s="10">
        <f t="shared" si="46"/>
        <v>5.0399999999999991</v>
      </c>
      <c r="I175" s="11">
        <v>22.128</v>
      </c>
      <c r="J175" s="11">
        <v>22.773</v>
      </c>
      <c r="K175" s="11"/>
      <c r="L175" s="11"/>
      <c r="M175" s="11">
        <v>30.27</v>
      </c>
      <c r="N175" s="11">
        <v>27.812999999999999</v>
      </c>
      <c r="O175" s="11"/>
      <c r="P175" s="11"/>
      <c r="Q175" s="5"/>
      <c r="S175">
        <f t="shared" si="47"/>
        <v>2.4570000000000007</v>
      </c>
    </row>
    <row r="176" spans="1:19" x14ac:dyDescent="0.35">
      <c r="A176" s="6">
        <v>2023</v>
      </c>
      <c r="B176" s="7">
        <f t="shared" si="40"/>
        <v>21.236999999999998</v>
      </c>
      <c r="C176" s="7">
        <f t="shared" si="41"/>
        <v>21.692</v>
      </c>
      <c r="D176" s="7">
        <f t="shared" si="42"/>
        <v>26.652999999999999</v>
      </c>
      <c r="E176" s="7">
        <f t="shared" si="43"/>
        <v>29.359000000000002</v>
      </c>
      <c r="F176" s="7">
        <f t="shared" si="44"/>
        <v>0.45500000000000185</v>
      </c>
      <c r="G176" s="7">
        <f t="shared" si="45"/>
        <v>0</v>
      </c>
      <c r="H176" s="7">
        <f t="shared" si="46"/>
        <v>4.9609999999999985</v>
      </c>
      <c r="I176" s="8">
        <v>21.236999999999998</v>
      </c>
      <c r="J176" s="8">
        <v>21.692</v>
      </c>
      <c r="K176" s="8"/>
      <c r="L176" s="8"/>
      <c r="M176" s="8">
        <v>29.359000000000002</v>
      </c>
      <c r="N176" s="8">
        <v>26.652999999999999</v>
      </c>
      <c r="O176" s="8"/>
      <c r="P176" s="8"/>
      <c r="Q176" s="5"/>
      <c r="S176">
        <f t="shared" si="47"/>
        <v>2.7060000000000031</v>
      </c>
    </row>
    <row r="177" spans="1:19" x14ac:dyDescent="0.35">
      <c r="A177" s="9">
        <v>2024</v>
      </c>
      <c r="B177" s="10">
        <f t="shared" si="40"/>
        <v>20.895</v>
      </c>
      <c r="C177" s="10">
        <f t="shared" si="41"/>
        <v>24.324999999999999</v>
      </c>
      <c r="D177" s="10">
        <f t="shared" si="42"/>
        <v>29.056999999999999</v>
      </c>
      <c r="E177" s="10">
        <f t="shared" si="43"/>
        <v>32.228999999999999</v>
      </c>
      <c r="F177" s="10">
        <f t="shared" si="44"/>
        <v>3.4299999999999997</v>
      </c>
      <c r="G177" s="10">
        <f t="shared" si="45"/>
        <v>0</v>
      </c>
      <c r="H177" s="10">
        <f t="shared" si="46"/>
        <v>4.7319999999999993</v>
      </c>
      <c r="I177" s="11">
        <v>20.895</v>
      </c>
      <c r="J177" s="11">
        <v>24.324999999999999</v>
      </c>
      <c r="K177" s="11"/>
      <c r="L177" s="11"/>
      <c r="M177" s="11">
        <v>29.056999999999999</v>
      </c>
      <c r="N177" s="11">
        <v>32.228999999999999</v>
      </c>
      <c r="O177" s="11"/>
      <c r="P177" s="11"/>
      <c r="Q177" s="5"/>
      <c r="S177">
        <f t="shared" si="47"/>
        <v>3.1720000000000006</v>
      </c>
    </row>
    <row r="179" spans="1:19" ht="60" customHeight="1" x14ac:dyDescent="0.35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7C86-DD92-44C9-B1DB-7FE26E098E3A}">
  <sheetPr>
    <tabColor rgb="FF5DBDD0"/>
  </sheetPr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b04f7f-0f64-4a5e-bf04-53db9ee74c0c" xsi:nil="true"/>
    <lcf76f155ced4ddcb4097134ff3c332f xmlns="40aef5c5-d752-4158-9074-039719bead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905E93-59A4-4978-8930-3CF5DD7C9E11}"/>
</file>

<file path=customXml/itemProps2.xml><?xml version="1.0" encoding="utf-8"?>
<ds:datastoreItem xmlns:ds="http://schemas.openxmlformats.org/officeDocument/2006/customXml" ds:itemID="{C4B01F61-0DDD-4281-81C6-637B98840CAF}"/>
</file>

<file path=customXml/itemProps3.xml><?xml version="1.0" encoding="utf-8"?>
<ds:datastoreItem xmlns:ds="http://schemas.openxmlformats.org/officeDocument/2006/customXml" ds:itemID="{89C92BC2-B38C-4F22-8502-2F664E1BE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data_ghg_incLUC</vt:lpstr>
      <vt:lpstr>GHG incl LUC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2026-04-30T13:56:21Z</dcterms:created>
  <dcterms:modified xsi:type="dcterms:W3CDTF">2026-07-07T12:51:51Z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0x010100FD1ADAF7CDC05F468DC4656A04C1CC40</vt:lpwstr>
  </property>
</Properties>
</file>