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0" documentId="8_{85A2A60C-A8B1-47FA-B6EC-120F3A84D142}" xr6:coauthVersionLast="47" xr6:coauthVersionMax="47" xr10:uidLastSave="{00000000-0000-0000-0000-000000000000}"/>
  <bookViews>
    <workbookView xWindow="1140" yWindow="1140" windowWidth="14400" windowHeight="7270" firstSheet="6" activeTab="8" xr2:uid="{C441C3D3-680E-4A69-9E63-7F025E3E0370}"/>
  </bookViews>
  <sheets>
    <sheet name="GHG incl LULUCF" sheetId="9" r:id="rId1"/>
    <sheet name="data_ghg_incLUC" sheetId="8" r:id="rId2"/>
    <sheet name="GHG excl LULUCF" sheetId="7" r:id="rId3"/>
    <sheet name="data_ghg_excLUC" sheetId="6" r:id="rId4"/>
    <sheet name="CO2 incl LULUCF" sheetId="5" r:id="rId5"/>
    <sheet name="data_co2_incLUC" sheetId="4" r:id="rId6"/>
    <sheet name="data_co2_excLUC" sheetId="1" r:id="rId7"/>
    <sheet name="CO2 excl LULUCF" sheetId="3" r:id="rId8"/>
    <sheet name="All measure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8" l="1"/>
  <c r="Q36" i="8"/>
  <c r="Q50" i="8"/>
  <c r="Q90" i="8"/>
  <c r="Q100" i="8"/>
  <c r="Q140" i="8"/>
  <c r="H4" i="8"/>
  <c r="H5" i="8"/>
  <c r="H18" i="8"/>
  <c r="H28" i="8"/>
  <c r="H29" i="8"/>
  <c r="H53" i="8"/>
  <c r="H67" i="8"/>
  <c r="H68" i="8"/>
  <c r="H69" i="8"/>
  <c r="H93" i="8"/>
  <c r="H107" i="8"/>
  <c r="H117" i="8"/>
  <c r="H133" i="8"/>
  <c r="H156" i="8"/>
  <c r="H157" i="8"/>
  <c r="G6" i="8"/>
  <c r="G20" i="8"/>
  <c r="G21" i="8"/>
  <c r="G22" i="8"/>
  <c r="G34" i="8"/>
  <c r="G35" i="8"/>
  <c r="G45" i="8"/>
  <c r="G46" i="8"/>
  <c r="G60" i="8"/>
  <c r="G61" i="8"/>
  <c r="G70" i="8"/>
  <c r="G74" i="8"/>
  <c r="G85" i="8"/>
  <c r="G86" i="8"/>
  <c r="G109" i="8"/>
  <c r="G110" i="8"/>
  <c r="G123" i="8"/>
  <c r="G125" i="8"/>
  <c r="G134" i="8"/>
  <c r="G149" i="8"/>
  <c r="G150" i="8"/>
  <c r="G162" i="8"/>
  <c r="G173" i="8"/>
  <c r="G174" i="8"/>
  <c r="F14" i="8"/>
  <c r="F27" i="8"/>
  <c r="F38" i="8"/>
  <c r="F53" i="8"/>
  <c r="F62" i="8"/>
  <c r="F85" i="8"/>
  <c r="F86" i="8"/>
  <c r="F94" i="8"/>
  <c r="F116" i="8"/>
  <c r="F117" i="8"/>
  <c r="F118" i="8"/>
  <c r="F126" i="8"/>
  <c r="F140" i="8"/>
  <c r="F148" i="8"/>
  <c r="F150" i="8"/>
  <c r="F158" i="8"/>
  <c r="F166" i="8"/>
  <c r="F174" i="8"/>
  <c r="E3" i="8"/>
  <c r="E4" i="8"/>
  <c r="Q4" i="8" s="1"/>
  <c r="E5" i="8"/>
  <c r="E6" i="8"/>
  <c r="Q6" i="8" s="1"/>
  <c r="E7" i="8"/>
  <c r="Q7" i="8" s="1"/>
  <c r="E8" i="8"/>
  <c r="E9" i="8"/>
  <c r="E10" i="8"/>
  <c r="E11" i="8"/>
  <c r="E12" i="8"/>
  <c r="E13" i="8"/>
  <c r="E14" i="8"/>
  <c r="Q14" i="8" s="1"/>
  <c r="E15" i="8"/>
  <c r="Q15" i="8" s="1"/>
  <c r="E16" i="8"/>
  <c r="E17" i="8"/>
  <c r="E18" i="8"/>
  <c r="E19" i="8"/>
  <c r="E20" i="8"/>
  <c r="Q20" i="8" s="1"/>
  <c r="E21" i="8"/>
  <c r="E22" i="8"/>
  <c r="Q22" i="8" s="1"/>
  <c r="E23" i="8"/>
  <c r="Q23" i="8" s="1"/>
  <c r="E24" i="8"/>
  <c r="E25" i="8"/>
  <c r="E26" i="8"/>
  <c r="E27" i="8"/>
  <c r="E28" i="8"/>
  <c r="Q28" i="8" s="1"/>
  <c r="E29" i="8"/>
  <c r="E30" i="8"/>
  <c r="Q30" i="8" s="1"/>
  <c r="E31" i="8"/>
  <c r="Q31" i="8" s="1"/>
  <c r="E32" i="8"/>
  <c r="E33" i="8"/>
  <c r="E34" i="8"/>
  <c r="E35" i="8"/>
  <c r="E36" i="8"/>
  <c r="E37" i="8"/>
  <c r="E38" i="8"/>
  <c r="Q38" i="8" s="1"/>
  <c r="E39" i="8"/>
  <c r="Q39" i="8" s="1"/>
  <c r="E40" i="8"/>
  <c r="E41" i="8"/>
  <c r="E42" i="8"/>
  <c r="E43" i="8"/>
  <c r="E44" i="8"/>
  <c r="Q44" i="8" s="1"/>
  <c r="E45" i="8"/>
  <c r="E46" i="8"/>
  <c r="Q46" i="8" s="1"/>
  <c r="E47" i="8"/>
  <c r="Q47" i="8" s="1"/>
  <c r="E48" i="8"/>
  <c r="E49" i="8"/>
  <c r="E50" i="8"/>
  <c r="E51" i="8"/>
  <c r="E52" i="8"/>
  <c r="E53" i="8"/>
  <c r="E54" i="8"/>
  <c r="Q54" i="8" s="1"/>
  <c r="E55" i="8"/>
  <c r="Q55" i="8" s="1"/>
  <c r="E56" i="8"/>
  <c r="E57" i="8"/>
  <c r="E58" i="8"/>
  <c r="E59" i="8"/>
  <c r="E60" i="8"/>
  <c r="Q60" i="8" s="1"/>
  <c r="E61" i="8"/>
  <c r="E62" i="8"/>
  <c r="Q62" i="8" s="1"/>
  <c r="E63" i="8"/>
  <c r="Q63" i="8" s="1"/>
  <c r="E64" i="8"/>
  <c r="Q64" i="8" s="1"/>
  <c r="E65" i="8"/>
  <c r="E66" i="8"/>
  <c r="E67" i="8"/>
  <c r="E68" i="8"/>
  <c r="E69" i="8"/>
  <c r="E70" i="8"/>
  <c r="Q70" i="8" s="1"/>
  <c r="E71" i="8"/>
  <c r="Q71" i="8" s="1"/>
  <c r="E72" i="8"/>
  <c r="E73" i="8"/>
  <c r="E74" i="8"/>
  <c r="E75" i="8"/>
  <c r="E76" i="8"/>
  <c r="E77" i="8"/>
  <c r="E78" i="8"/>
  <c r="Q78" i="8" s="1"/>
  <c r="E79" i="8"/>
  <c r="Q79" i="8" s="1"/>
  <c r="E80" i="8"/>
  <c r="E81" i="8"/>
  <c r="E82" i="8"/>
  <c r="E83" i="8"/>
  <c r="E84" i="8"/>
  <c r="E85" i="8"/>
  <c r="E86" i="8"/>
  <c r="Q86" i="8" s="1"/>
  <c r="E87" i="8"/>
  <c r="Q87" i="8" s="1"/>
  <c r="E88" i="8"/>
  <c r="E89" i="8"/>
  <c r="Q89" i="8" s="1"/>
  <c r="E90" i="8"/>
  <c r="E91" i="8"/>
  <c r="E92" i="8"/>
  <c r="E93" i="8"/>
  <c r="E94" i="8"/>
  <c r="Q94" i="8" s="1"/>
  <c r="E95" i="8"/>
  <c r="Q95" i="8" s="1"/>
  <c r="E96" i="8"/>
  <c r="E97" i="8"/>
  <c r="E98" i="8"/>
  <c r="E99" i="8"/>
  <c r="E100" i="8"/>
  <c r="E101" i="8"/>
  <c r="E102" i="8"/>
  <c r="Q102" i="8" s="1"/>
  <c r="E103" i="8"/>
  <c r="Q103" i="8" s="1"/>
  <c r="E104" i="8"/>
  <c r="Q104" i="8" s="1"/>
  <c r="E105" i="8"/>
  <c r="E106" i="8"/>
  <c r="E107" i="8"/>
  <c r="E108" i="8"/>
  <c r="E109" i="8"/>
  <c r="E110" i="8"/>
  <c r="Q110" i="8" s="1"/>
  <c r="E111" i="8"/>
  <c r="Q111" i="8" s="1"/>
  <c r="E112" i="8"/>
  <c r="E113" i="8"/>
  <c r="E114" i="8"/>
  <c r="E115" i="8"/>
  <c r="E116" i="8"/>
  <c r="E117" i="8"/>
  <c r="E118" i="8"/>
  <c r="Q118" i="8" s="1"/>
  <c r="E119" i="8"/>
  <c r="Q119" i="8" s="1"/>
  <c r="E120" i="8"/>
  <c r="E121" i="8"/>
  <c r="E122" i="8"/>
  <c r="E123" i="8"/>
  <c r="E124" i="8"/>
  <c r="E125" i="8"/>
  <c r="E126" i="8"/>
  <c r="Q126" i="8" s="1"/>
  <c r="E127" i="8"/>
  <c r="Q127" i="8" s="1"/>
  <c r="E128" i="8"/>
  <c r="Q128" i="8" s="1"/>
  <c r="E129" i="8"/>
  <c r="Q129" i="8" s="1"/>
  <c r="E130" i="8"/>
  <c r="E131" i="8"/>
  <c r="E132" i="8"/>
  <c r="E133" i="8"/>
  <c r="E134" i="8"/>
  <c r="Q134" i="8" s="1"/>
  <c r="E135" i="8"/>
  <c r="Q135" i="8" s="1"/>
  <c r="E136" i="8"/>
  <c r="E137" i="8"/>
  <c r="E138" i="8"/>
  <c r="E139" i="8"/>
  <c r="E140" i="8"/>
  <c r="E141" i="8"/>
  <c r="E142" i="8"/>
  <c r="Q142" i="8" s="1"/>
  <c r="E143" i="8"/>
  <c r="Q143" i="8" s="1"/>
  <c r="E144" i="8"/>
  <c r="E145" i="8"/>
  <c r="E146" i="8"/>
  <c r="E147" i="8"/>
  <c r="E148" i="8"/>
  <c r="E149" i="8"/>
  <c r="E150" i="8"/>
  <c r="Q150" i="8" s="1"/>
  <c r="E151" i="8"/>
  <c r="Q151" i="8" s="1"/>
  <c r="E152" i="8"/>
  <c r="E153" i="8"/>
  <c r="E154" i="8"/>
  <c r="E155" i="8"/>
  <c r="E156" i="8"/>
  <c r="E157" i="8"/>
  <c r="E158" i="8"/>
  <c r="Q158" i="8" s="1"/>
  <c r="E159" i="8"/>
  <c r="Q159" i="8" s="1"/>
  <c r="E160" i="8"/>
  <c r="E161" i="8"/>
  <c r="E162" i="8"/>
  <c r="E163" i="8"/>
  <c r="E164" i="8"/>
  <c r="E165" i="8"/>
  <c r="E166" i="8"/>
  <c r="Q166" i="8" s="1"/>
  <c r="E167" i="8"/>
  <c r="Q167" i="8" s="1"/>
  <c r="E168" i="8"/>
  <c r="Q168" i="8" s="1"/>
  <c r="E169" i="8"/>
  <c r="E170" i="8"/>
  <c r="E171" i="8"/>
  <c r="E172" i="8"/>
  <c r="E173" i="8"/>
  <c r="E174" i="8"/>
  <c r="Q174" i="8" s="1"/>
  <c r="E175" i="8"/>
  <c r="Q175" i="8" s="1"/>
  <c r="E176" i="8"/>
  <c r="E177" i="8"/>
  <c r="D3" i="8"/>
  <c r="D4" i="8"/>
  <c r="D5" i="8"/>
  <c r="D6" i="8"/>
  <c r="H6" i="8" s="1"/>
  <c r="D7" i="8"/>
  <c r="H7" i="8" s="1"/>
  <c r="D8" i="8"/>
  <c r="H8" i="8" s="1"/>
  <c r="D9" i="8"/>
  <c r="D10" i="8"/>
  <c r="D11" i="8"/>
  <c r="D12" i="8"/>
  <c r="H12" i="8" s="1"/>
  <c r="D13" i="8"/>
  <c r="H13" i="8" s="1"/>
  <c r="D14" i="8"/>
  <c r="H14" i="8" s="1"/>
  <c r="D15" i="8"/>
  <c r="H15" i="8" s="1"/>
  <c r="D16" i="8"/>
  <c r="H16" i="8" s="1"/>
  <c r="D17" i="8"/>
  <c r="D18" i="8"/>
  <c r="D19" i="8"/>
  <c r="D20" i="8"/>
  <c r="H20" i="8" s="1"/>
  <c r="D21" i="8"/>
  <c r="H21" i="8" s="1"/>
  <c r="D22" i="8"/>
  <c r="H22" i="8" s="1"/>
  <c r="D23" i="8"/>
  <c r="H23" i="8" s="1"/>
  <c r="D24" i="8"/>
  <c r="H24" i="8" s="1"/>
  <c r="D25" i="8"/>
  <c r="D26" i="8"/>
  <c r="D27" i="8"/>
  <c r="D28" i="8"/>
  <c r="D29" i="8"/>
  <c r="D30" i="8"/>
  <c r="H30" i="8" s="1"/>
  <c r="D31" i="8"/>
  <c r="H31" i="8" s="1"/>
  <c r="D32" i="8"/>
  <c r="H32" i="8" s="1"/>
  <c r="D33" i="8"/>
  <c r="D34" i="8"/>
  <c r="D35" i="8"/>
  <c r="D36" i="8"/>
  <c r="H36" i="8" s="1"/>
  <c r="D37" i="8"/>
  <c r="H37" i="8" s="1"/>
  <c r="D38" i="8"/>
  <c r="H38" i="8" s="1"/>
  <c r="D39" i="8"/>
  <c r="H39" i="8" s="1"/>
  <c r="D40" i="8"/>
  <c r="H40" i="8" s="1"/>
  <c r="D41" i="8"/>
  <c r="D42" i="8"/>
  <c r="H42" i="8" s="1"/>
  <c r="D43" i="8"/>
  <c r="D44" i="8"/>
  <c r="D45" i="8"/>
  <c r="H45" i="8" s="1"/>
  <c r="D46" i="8"/>
  <c r="H46" i="8" s="1"/>
  <c r="D47" i="8"/>
  <c r="H47" i="8" s="1"/>
  <c r="D48" i="8"/>
  <c r="H48" i="8" s="1"/>
  <c r="D49" i="8"/>
  <c r="D50" i="8"/>
  <c r="D51" i="8"/>
  <c r="D52" i="8"/>
  <c r="H52" i="8" s="1"/>
  <c r="D53" i="8"/>
  <c r="D54" i="8"/>
  <c r="H54" i="8" s="1"/>
  <c r="D55" i="8"/>
  <c r="H55" i="8" s="1"/>
  <c r="D56" i="8"/>
  <c r="H56" i="8" s="1"/>
  <c r="D57" i="8"/>
  <c r="H57" i="8" s="1"/>
  <c r="D58" i="8"/>
  <c r="D59" i="8"/>
  <c r="D60" i="8"/>
  <c r="H60" i="8" s="1"/>
  <c r="D61" i="8"/>
  <c r="H61" i="8" s="1"/>
  <c r="D62" i="8"/>
  <c r="H62" i="8" s="1"/>
  <c r="D63" i="8"/>
  <c r="H63" i="8" s="1"/>
  <c r="D64" i="8"/>
  <c r="H64" i="8" s="1"/>
  <c r="D65" i="8"/>
  <c r="D66" i="8"/>
  <c r="D67" i="8"/>
  <c r="D68" i="8"/>
  <c r="D69" i="8"/>
  <c r="D70" i="8"/>
  <c r="H70" i="8" s="1"/>
  <c r="D71" i="8"/>
  <c r="H71" i="8" s="1"/>
  <c r="D72" i="8"/>
  <c r="H72" i="8" s="1"/>
  <c r="D73" i="8"/>
  <c r="D74" i="8"/>
  <c r="D75" i="8"/>
  <c r="D76" i="8"/>
  <c r="D77" i="8"/>
  <c r="H77" i="8" s="1"/>
  <c r="D78" i="8"/>
  <c r="H78" i="8" s="1"/>
  <c r="D79" i="8"/>
  <c r="H79" i="8" s="1"/>
  <c r="D80" i="8"/>
  <c r="H80" i="8" s="1"/>
  <c r="D81" i="8"/>
  <c r="H81" i="8" s="1"/>
  <c r="D82" i="8"/>
  <c r="H82" i="8" s="1"/>
  <c r="D83" i="8"/>
  <c r="D84" i="8"/>
  <c r="D85" i="8"/>
  <c r="H85" i="8" s="1"/>
  <c r="D86" i="8"/>
  <c r="H86" i="8" s="1"/>
  <c r="D87" i="8"/>
  <c r="H87" i="8" s="1"/>
  <c r="D88" i="8"/>
  <c r="H88" i="8" s="1"/>
  <c r="D89" i="8"/>
  <c r="D90" i="8"/>
  <c r="D91" i="8"/>
  <c r="D92" i="8"/>
  <c r="D93" i="8"/>
  <c r="D94" i="8"/>
  <c r="H94" i="8" s="1"/>
  <c r="D95" i="8"/>
  <c r="H95" i="8" s="1"/>
  <c r="D96" i="8"/>
  <c r="H96" i="8" s="1"/>
  <c r="D97" i="8"/>
  <c r="D98" i="8"/>
  <c r="D99" i="8"/>
  <c r="D100" i="8"/>
  <c r="D101" i="8"/>
  <c r="H101" i="8" s="1"/>
  <c r="D102" i="8"/>
  <c r="H102" i="8" s="1"/>
  <c r="D103" i="8"/>
  <c r="H103" i="8" s="1"/>
  <c r="D104" i="8"/>
  <c r="H104" i="8" s="1"/>
  <c r="D105" i="8"/>
  <c r="D106" i="8"/>
  <c r="H106" i="8" s="1"/>
  <c r="D107" i="8"/>
  <c r="D108" i="8"/>
  <c r="D109" i="8"/>
  <c r="H109" i="8" s="1"/>
  <c r="D110" i="8"/>
  <c r="H110" i="8" s="1"/>
  <c r="D111" i="8"/>
  <c r="H111" i="8" s="1"/>
  <c r="D112" i="8"/>
  <c r="H112" i="8" s="1"/>
  <c r="D113" i="8"/>
  <c r="D114" i="8"/>
  <c r="D115" i="8"/>
  <c r="D116" i="8"/>
  <c r="D117" i="8"/>
  <c r="D118" i="8"/>
  <c r="H118" i="8" s="1"/>
  <c r="D119" i="8"/>
  <c r="H119" i="8" s="1"/>
  <c r="D120" i="8"/>
  <c r="H120" i="8" s="1"/>
  <c r="D121" i="8"/>
  <c r="H121" i="8" s="1"/>
  <c r="D122" i="8"/>
  <c r="D123" i="8"/>
  <c r="D124" i="8"/>
  <c r="D125" i="8"/>
  <c r="H125" i="8" s="1"/>
  <c r="D126" i="8"/>
  <c r="H126" i="8" s="1"/>
  <c r="D127" i="8"/>
  <c r="H127" i="8" s="1"/>
  <c r="D128" i="8"/>
  <c r="H128" i="8" s="1"/>
  <c r="D129" i="8"/>
  <c r="D130" i="8"/>
  <c r="D131" i="8"/>
  <c r="D132" i="8"/>
  <c r="D133" i="8"/>
  <c r="D134" i="8"/>
  <c r="H134" i="8" s="1"/>
  <c r="D135" i="8"/>
  <c r="H135" i="8" s="1"/>
  <c r="D136" i="8"/>
  <c r="H136" i="8" s="1"/>
  <c r="D137" i="8"/>
  <c r="D138" i="8"/>
  <c r="D139" i="8"/>
  <c r="D140" i="8"/>
  <c r="D141" i="8"/>
  <c r="H141" i="8" s="1"/>
  <c r="D142" i="8"/>
  <c r="H142" i="8" s="1"/>
  <c r="D143" i="8"/>
  <c r="H143" i="8" s="1"/>
  <c r="D144" i="8"/>
  <c r="H144" i="8" s="1"/>
  <c r="D145" i="8"/>
  <c r="H145" i="8" s="1"/>
  <c r="D146" i="8"/>
  <c r="H146" i="8" s="1"/>
  <c r="D147" i="8"/>
  <c r="D148" i="8"/>
  <c r="D149" i="8"/>
  <c r="H149" i="8" s="1"/>
  <c r="D150" i="8"/>
  <c r="H150" i="8" s="1"/>
  <c r="D151" i="8"/>
  <c r="H151" i="8" s="1"/>
  <c r="D152" i="8"/>
  <c r="H152" i="8" s="1"/>
  <c r="D153" i="8"/>
  <c r="D154" i="8"/>
  <c r="D155" i="8"/>
  <c r="D156" i="8"/>
  <c r="D157" i="8"/>
  <c r="D158" i="8"/>
  <c r="H158" i="8" s="1"/>
  <c r="D159" i="8"/>
  <c r="H159" i="8" s="1"/>
  <c r="D160" i="8"/>
  <c r="H160" i="8" s="1"/>
  <c r="D161" i="8"/>
  <c r="D162" i="8"/>
  <c r="D163" i="8"/>
  <c r="D164" i="8"/>
  <c r="D165" i="8"/>
  <c r="H165" i="8" s="1"/>
  <c r="D166" i="8"/>
  <c r="H166" i="8" s="1"/>
  <c r="D167" i="8"/>
  <c r="H167" i="8" s="1"/>
  <c r="D168" i="8"/>
  <c r="H168" i="8" s="1"/>
  <c r="D169" i="8"/>
  <c r="D170" i="8"/>
  <c r="D171" i="8"/>
  <c r="D172" i="8"/>
  <c r="D173" i="8"/>
  <c r="H173" i="8" s="1"/>
  <c r="D174" i="8"/>
  <c r="H174" i="8" s="1"/>
  <c r="D175" i="8"/>
  <c r="H175" i="8" s="1"/>
  <c r="D176" i="8"/>
  <c r="H176" i="8" s="1"/>
  <c r="D177" i="8"/>
  <c r="C3" i="8"/>
  <c r="H3" i="8" s="1"/>
  <c r="C4" i="8"/>
  <c r="C5" i="8"/>
  <c r="C6" i="8"/>
  <c r="F6" i="8" s="1"/>
  <c r="C7" i="8"/>
  <c r="C8" i="8"/>
  <c r="C9" i="8"/>
  <c r="C10" i="8"/>
  <c r="C11" i="8"/>
  <c r="C12" i="8"/>
  <c r="G12" i="8" s="1"/>
  <c r="C13" i="8"/>
  <c r="G13" i="8" s="1"/>
  <c r="C14" i="8"/>
  <c r="G14" i="8" s="1"/>
  <c r="C15" i="8"/>
  <c r="C16" i="8"/>
  <c r="C17" i="8"/>
  <c r="H17" i="8" s="1"/>
  <c r="C18" i="8"/>
  <c r="C19" i="8"/>
  <c r="C20" i="8"/>
  <c r="C21" i="8"/>
  <c r="C22" i="8"/>
  <c r="F22" i="8" s="1"/>
  <c r="C23" i="8"/>
  <c r="C24" i="8"/>
  <c r="C25" i="8"/>
  <c r="C26" i="8"/>
  <c r="C27" i="8"/>
  <c r="C28" i="8"/>
  <c r="G28" i="8" s="1"/>
  <c r="C29" i="8"/>
  <c r="C30" i="8"/>
  <c r="F30" i="8" s="1"/>
  <c r="C31" i="8"/>
  <c r="C32" i="8"/>
  <c r="C33" i="8"/>
  <c r="C34" i="8"/>
  <c r="C35" i="8"/>
  <c r="C36" i="8"/>
  <c r="C37" i="8"/>
  <c r="G37" i="8" s="1"/>
  <c r="C38" i="8"/>
  <c r="G38" i="8" s="1"/>
  <c r="C39" i="8"/>
  <c r="C40" i="8"/>
  <c r="C41" i="8"/>
  <c r="C42" i="8"/>
  <c r="C43" i="8"/>
  <c r="H43" i="8" s="1"/>
  <c r="C44" i="8"/>
  <c r="C45" i="8"/>
  <c r="C46" i="8"/>
  <c r="F46" i="8" s="1"/>
  <c r="C47" i="8"/>
  <c r="C48" i="8"/>
  <c r="C49" i="8"/>
  <c r="C50" i="8"/>
  <c r="C51" i="8"/>
  <c r="G51" i="8" s="1"/>
  <c r="C52" i="8"/>
  <c r="G52" i="8" s="1"/>
  <c r="C53" i="8"/>
  <c r="G53" i="8" s="1"/>
  <c r="C54" i="8"/>
  <c r="F54" i="8" s="1"/>
  <c r="C55" i="8"/>
  <c r="C56" i="8"/>
  <c r="C57" i="8"/>
  <c r="C58" i="8"/>
  <c r="C59" i="8"/>
  <c r="G59" i="8" s="1"/>
  <c r="C60" i="8"/>
  <c r="C61" i="8"/>
  <c r="C62" i="8"/>
  <c r="G62" i="8" s="1"/>
  <c r="C63" i="8"/>
  <c r="C64" i="8"/>
  <c r="C65" i="8"/>
  <c r="G65" i="8" s="1"/>
  <c r="C66" i="8"/>
  <c r="C67" i="8"/>
  <c r="C68" i="8"/>
  <c r="C69" i="8"/>
  <c r="C70" i="8"/>
  <c r="F70" i="8" s="1"/>
  <c r="C71" i="8"/>
  <c r="C72" i="8"/>
  <c r="C73" i="8"/>
  <c r="G73" i="8" s="1"/>
  <c r="C74" i="8"/>
  <c r="C75" i="8"/>
  <c r="G75" i="8" s="1"/>
  <c r="C76" i="8"/>
  <c r="G76" i="8" s="1"/>
  <c r="C77" i="8"/>
  <c r="C78" i="8"/>
  <c r="F78" i="8" s="1"/>
  <c r="C79" i="8"/>
  <c r="C80" i="8"/>
  <c r="C81" i="8"/>
  <c r="C82" i="8"/>
  <c r="C83" i="8"/>
  <c r="C84" i="8"/>
  <c r="F84" i="8" s="1"/>
  <c r="C85" i="8"/>
  <c r="C86" i="8"/>
  <c r="C87" i="8"/>
  <c r="C88" i="8"/>
  <c r="C89" i="8"/>
  <c r="C90" i="8"/>
  <c r="C91" i="8"/>
  <c r="C92" i="8"/>
  <c r="H92" i="8" s="1"/>
  <c r="C93" i="8"/>
  <c r="G93" i="8" s="1"/>
  <c r="C94" i="8"/>
  <c r="G94" i="8" s="1"/>
  <c r="C95" i="8"/>
  <c r="C96" i="8"/>
  <c r="C97" i="8"/>
  <c r="G97" i="8" s="1"/>
  <c r="C98" i="8"/>
  <c r="C99" i="8"/>
  <c r="G99" i="8" s="1"/>
  <c r="C100" i="8"/>
  <c r="C101" i="8"/>
  <c r="G101" i="8" s="1"/>
  <c r="C102" i="8"/>
  <c r="G102" i="8" s="1"/>
  <c r="C103" i="8"/>
  <c r="C104" i="8"/>
  <c r="C105" i="8"/>
  <c r="G105" i="8" s="1"/>
  <c r="C106" i="8"/>
  <c r="C107" i="8"/>
  <c r="G107" i="8" s="1"/>
  <c r="C108" i="8"/>
  <c r="F108" i="8" s="1"/>
  <c r="C109" i="8"/>
  <c r="C110" i="8"/>
  <c r="F110" i="8" s="1"/>
  <c r="C111" i="8"/>
  <c r="C112" i="8"/>
  <c r="C113" i="8"/>
  <c r="C114" i="8"/>
  <c r="C115" i="8"/>
  <c r="Q115" i="8" s="1"/>
  <c r="C116" i="8"/>
  <c r="C117" i="8"/>
  <c r="G117" i="8" s="1"/>
  <c r="C118" i="8"/>
  <c r="G118" i="8" s="1"/>
  <c r="C119" i="8"/>
  <c r="C120" i="8"/>
  <c r="C121" i="8"/>
  <c r="C122" i="8"/>
  <c r="C123" i="8"/>
  <c r="C124" i="8"/>
  <c r="G124" i="8" s="1"/>
  <c r="C125" i="8"/>
  <c r="C126" i="8"/>
  <c r="G126" i="8" s="1"/>
  <c r="C127" i="8"/>
  <c r="C128" i="8"/>
  <c r="C129" i="8"/>
  <c r="G129" i="8" s="1"/>
  <c r="C130" i="8"/>
  <c r="C131" i="8"/>
  <c r="C132" i="8"/>
  <c r="C133" i="8"/>
  <c r="C134" i="8"/>
  <c r="F134" i="8" s="1"/>
  <c r="C135" i="8"/>
  <c r="C136" i="8"/>
  <c r="C137" i="8"/>
  <c r="G137" i="8" s="1"/>
  <c r="C138" i="8"/>
  <c r="C139" i="8"/>
  <c r="G139" i="8" s="1"/>
  <c r="C140" i="8"/>
  <c r="G140" i="8" s="1"/>
  <c r="C141" i="8"/>
  <c r="C142" i="8"/>
  <c r="F142" i="8" s="1"/>
  <c r="C143" i="8"/>
  <c r="C144" i="8"/>
  <c r="C145" i="8"/>
  <c r="C146" i="8"/>
  <c r="C147" i="8"/>
  <c r="C148" i="8"/>
  <c r="G148" i="8" s="1"/>
  <c r="C149" i="8"/>
  <c r="C150" i="8"/>
  <c r="C151" i="8"/>
  <c r="C152" i="8"/>
  <c r="C153" i="8"/>
  <c r="C154" i="8"/>
  <c r="C155" i="8"/>
  <c r="C156" i="8"/>
  <c r="C157" i="8"/>
  <c r="G157" i="8" s="1"/>
  <c r="C158" i="8"/>
  <c r="G158" i="8" s="1"/>
  <c r="C159" i="8"/>
  <c r="C160" i="8"/>
  <c r="C161" i="8"/>
  <c r="C162" i="8"/>
  <c r="C163" i="8"/>
  <c r="G163" i="8" s="1"/>
  <c r="C164" i="8"/>
  <c r="C165" i="8"/>
  <c r="G165" i="8" s="1"/>
  <c r="C166" i="8"/>
  <c r="G166" i="8" s="1"/>
  <c r="C167" i="8"/>
  <c r="C168" i="8"/>
  <c r="C169" i="8"/>
  <c r="C170" i="8"/>
  <c r="C171" i="8"/>
  <c r="C172" i="8"/>
  <c r="C173" i="8"/>
  <c r="C174" i="8"/>
  <c r="C175" i="8"/>
  <c r="C176" i="8"/>
  <c r="C177" i="8"/>
  <c r="B3" i="8"/>
  <c r="B4" i="8"/>
  <c r="B5" i="8"/>
  <c r="B6" i="8"/>
  <c r="B7" i="8"/>
  <c r="B8" i="8"/>
  <c r="B9" i="8"/>
  <c r="B10" i="8"/>
  <c r="B11" i="8"/>
  <c r="B12" i="8"/>
  <c r="F12" i="8" s="1"/>
  <c r="B13" i="8"/>
  <c r="F13" i="8" s="1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F28" i="8" s="1"/>
  <c r="B29" i="8"/>
  <c r="B30" i="8"/>
  <c r="B31" i="8"/>
  <c r="B32" i="8"/>
  <c r="B33" i="8"/>
  <c r="B34" i="8"/>
  <c r="B35" i="8"/>
  <c r="B36" i="8"/>
  <c r="B37" i="8"/>
  <c r="F37" i="8" s="1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F52" i="8" s="1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F149" i="8" s="1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H19" i="6"/>
  <c r="H51" i="6"/>
  <c r="H83" i="6"/>
  <c r="H115" i="6"/>
  <c r="H147" i="6"/>
  <c r="G19" i="6"/>
  <c r="G51" i="6"/>
  <c r="G83" i="6"/>
  <c r="G115" i="6"/>
  <c r="G147" i="6"/>
  <c r="E3" i="6"/>
  <c r="Q3" i="6" s="1"/>
  <c r="E4" i="6"/>
  <c r="E5" i="6"/>
  <c r="E6" i="6"/>
  <c r="E7" i="6"/>
  <c r="E8" i="6"/>
  <c r="E9" i="6"/>
  <c r="Q9" i="6" s="1"/>
  <c r="E10" i="6"/>
  <c r="E11" i="6"/>
  <c r="Q11" i="6" s="1"/>
  <c r="E12" i="6"/>
  <c r="E13" i="6"/>
  <c r="E14" i="6"/>
  <c r="E15" i="6"/>
  <c r="E16" i="6"/>
  <c r="E17" i="6"/>
  <c r="E18" i="6"/>
  <c r="Q18" i="6" s="1"/>
  <c r="E19" i="6"/>
  <c r="Q19" i="6" s="1"/>
  <c r="E20" i="6"/>
  <c r="E21" i="6"/>
  <c r="E22" i="6"/>
  <c r="E23" i="6"/>
  <c r="E24" i="6"/>
  <c r="E25" i="6"/>
  <c r="Q25" i="6" s="1"/>
  <c r="E26" i="6"/>
  <c r="Q26" i="6" s="1"/>
  <c r="E27" i="6"/>
  <c r="Q27" i="6" s="1"/>
  <c r="E28" i="6"/>
  <c r="E29" i="6"/>
  <c r="E30" i="6"/>
  <c r="E31" i="6"/>
  <c r="E32" i="6"/>
  <c r="E33" i="6"/>
  <c r="Q33" i="6" s="1"/>
  <c r="E34" i="6"/>
  <c r="E35" i="6"/>
  <c r="Q35" i="6" s="1"/>
  <c r="E36" i="6"/>
  <c r="E37" i="6"/>
  <c r="E38" i="6"/>
  <c r="E39" i="6"/>
  <c r="E40" i="6"/>
  <c r="E41" i="6"/>
  <c r="E42" i="6"/>
  <c r="Q42" i="6" s="1"/>
  <c r="E43" i="6"/>
  <c r="Q43" i="6" s="1"/>
  <c r="E44" i="6"/>
  <c r="E45" i="6"/>
  <c r="E46" i="6"/>
  <c r="E47" i="6"/>
  <c r="E48" i="6"/>
  <c r="E49" i="6"/>
  <c r="E50" i="6"/>
  <c r="Q50" i="6" s="1"/>
  <c r="E51" i="6"/>
  <c r="Q51" i="6" s="1"/>
  <c r="E52" i="6"/>
  <c r="E53" i="6"/>
  <c r="E54" i="6"/>
  <c r="E55" i="6"/>
  <c r="E56" i="6"/>
  <c r="E57" i="6"/>
  <c r="Q57" i="6" s="1"/>
  <c r="E58" i="6"/>
  <c r="Q58" i="6" s="1"/>
  <c r="E59" i="6"/>
  <c r="Q59" i="6" s="1"/>
  <c r="E60" i="6"/>
  <c r="E61" i="6"/>
  <c r="E62" i="6"/>
  <c r="E63" i="6"/>
  <c r="E64" i="6"/>
  <c r="E65" i="6"/>
  <c r="Q65" i="6" s="1"/>
  <c r="E66" i="6"/>
  <c r="E67" i="6"/>
  <c r="Q67" i="6" s="1"/>
  <c r="E68" i="6"/>
  <c r="E69" i="6"/>
  <c r="E70" i="6"/>
  <c r="E71" i="6"/>
  <c r="E72" i="6"/>
  <c r="E73" i="6"/>
  <c r="E74" i="6"/>
  <c r="Q74" i="6" s="1"/>
  <c r="E75" i="6"/>
  <c r="Q75" i="6" s="1"/>
  <c r="E76" i="6"/>
  <c r="E77" i="6"/>
  <c r="E78" i="6"/>
  <c r="E79" i="6"/>
  <c r="E80" i="6"/>
  <c r="E81" i="6"/>
  <c r="E82" i="6"/>
  <c r="Q82" i="6" s="1"/>
  <c r="E83" i="6"/>
  <c r="Q83" i="6" s="1"/>
  <c r="E84" i="6"/>
  <c r="E85" i="6"/>
  <c r="E86" i="6"/>
  <c r="E87" i="6"/>
  <c r="E88" i="6"/>
  <c r="E89" i="6"/>
  <c r="Q89" i="6" s="1"/>
  <c r="E90" i="6"/>
  <c r="Q90" i="6" s="1"/>
  <c r="E91" i="6"/>
  <c r="Q91" i="6" s="1"/>
  <c r="E92" i="6"/>
  <c r="E93" i="6"/>
  <c r="E94" i="6"/>
  <c r="E95" i="6"/>
  <c r="E96" i="6"/>
  <c r="E97" i="6"/>
  <c r="Q97" i="6" s="1"/>
  <c r="E98" i="6"/>
  <c r="E99" i="6"/>
  <c r="Q99" i="6" s="1"/>
  <c r="E100" i="6"/>
  <c r="E101" i="6"/>
  <c r="E102" i="6"/>
  <c r="E103" i="6"/>
  <c r="E104" i="6"/>
  <c r="E105" i="6"/>
  <c r="E106" i="6"/>
  <c r="Q106" i="6" s="1"/>
  <c r="E107" i="6"/>
  <c r="Q107" i="6" s="1"/>
  <c r="E108" i="6"/>
  <c r="E109" i="6"/>
  <c r="E110" i="6"/>
  <c r="E111" i="6"/>
  <c r="E112" i="6"/>
  <c r="E113" i="6"/>
  <c r="E114" i="6"/>
  <c r="E115" i="6"/>
  <c r="Q115" i="6" s="1"/>
  <c r="E116" i="6"/>
  <c r="E117" i="6"/>
  <c r="E118" i="6"/>
  <c r="E119" i="6"/>
  <c r="E120" i="6"/>
  <c r="E121" i="6"/>
  <c r="Q121" i="6" s="1"/>
  <c r="E122" i="6"/>
  <c r="E123" i="6"/>
  <c r="Q123" i="6" s="1"/>
  <c r="E124" i="6"/>
  <c r="E125" i="6"/>
  <c r="E126" i="6"/>
  <c r="E127" i="6"/>
  <c r="E128" i="6"/>
  <c r="E129" i="6"/>
  <c r="Q129" i="6" s="1"/>
  <c r="E130" i="6"/>
  <c r="E131" i="6"/>
  <c r="Q131" i="6" s="1"/>
  <c r="E132" i="6"/>
  <c r="E133" i="6"/>
  <c r="E134" i="6"/>
  <c r="E135" i="6"/>
  <c r="E136" i="6"/>
  <c r="E137" i="6"/>
  <c r="E138" i="6"/>
  <c r="E139" i="6"/>
  <c r="Q139" i="6" s="1"/>
  <c r="E140" i="6"/>
  <c r="E141" i="6"/>
  <c r="E142" i="6"/>
  <c r="E143" i="6"/>
  <c r="E144" i="6"/>
  <c r="E145" i="6"/>
  <c r="E146" i="6"/>
  <c r="E147" i="6"/>
  <c r="Q147" i="6" s="1"/>
  <c r="E148" i="6"/>
  <c r="E149" i="6"/>
  <c r="E150" i="6"/>
  <c r="E151" i="6"/>
  <c r="E152" i="6"/>
  <c r="E153" i="6"/>
  <c r="Q153" i="6" s="1"/>
  <c r="E154" i="6"/>
  <c r="E155" i="6"/>
  <c r="Q155" i="6" s="1"/>
  <c r="E156" i="6"/>
  <c r="E157" i="6"/>
  <c r="E158" i="6"/>
  <c r="E159" i="6"/>
  <c r="E160" i="6"/>
  <c r="E161" i="6"/>
  <c r="Q161" i="6" s="1"/>
  <c r="E162" i="6"/>
  <c r="E163" i="6"/>
  <c r="Q163" i="6" s="1"/>
  <c r="E164" i="6"/>
  <c r="E165" i="6"/>
  <c r="E166" i="6"/>
  <c r="E167" i="6"/>
  <c r="E168" i="6"/>
  <c r="E169" i="6"/>
  <c r="E170" i="6"/>
  <c r="E171" i="6"/>
  <c r="Q171" i="6" s="1"/>
  <c r="E172" i="6"/>
  <c r="E173" i="6"/>
  <c r="E174" i="6"/>
  <c r="E175" i="6"/>
  <c r="E176" i="6"/>
  <c r="E177" i="6"/>
  <c r="D3" i="6"/>
  <c r="H3" i="6" s="1"/>
  <c r="D4" i="6"/>
  <c r="H4" i="6" s="1"/>
  <c r="D5" i="6"/>
  <c r="D6" i="6"/>
  <c r="D7" i="6"/>
  <c r="H7" i="6" s="1"/>
  <c r="D8" i="6"/>
  <c r="D9" i="6"/>
  <c r="D10" i="6"/>
  <c r="H10" i="6" s="1"/>
  <c r="D11" i="6"/>
  <c r="H11" i="6" s="1"/>
  <c r="D12" i="6"/>
  <c r="H12" i="6" s="1"/>
  <c r="D13" i="6"/>
  <c r="D14" i="6"/>
  <c r="D15" i="6"/>
  <c r="H15" i="6" s="1"/>
  <c r="D16" i="6"/>
  <c r="D17" i="6"/>
  <c r="D18" i="6"/>
  <c r="H18" i="6" s="1"/>
  <c r="D19" i="6"/>
  <c r="D20" i="6"/>
  <c r="H20" i="6" s="1"/>
  <c r="D21" i="6"/>
  <c r="D22" i="6"/>
  <c r="D23" i="6"/>
  <c r="H23" i="6" s="1"/>
  <c r="D24" i="6"/>
  <c r="D25" i="6"/>
  <c r="D26" i="6"/>
  <c r="D27" i="6"/>
  <c r="H27" i="6" s="1"/>
  <c r="D28" i="6"/>
  <c r="H28" i="6" s="1"/>
  <c r="D29" i="6"/>
  <c r="D30" i="6"/>
  <c r="D31" i="6"/>
  <c r="H31" i="6" s="1"/>
  <c r="D32" i="6"/>
  <c r="D33" i="6"/>
  <c r="D34" i="6"/>
  <c r="D35" i="6"/>
  <c r="H35" i="6" s="1"/>
  <c r="D36" i="6"/>
  <c r="H36" i="6" s="1"/>
  <c r="D37" i="6"/>
  <c r="D38" i="6"/>
  <c r="D39" i="6"/>
  <c r="H39" i="6" s="1"/>
  <c r="D40" i="6"/>
  <c r="D41" i="6"/>
  <c r="D42" i="6"/>
  <c r="H42" i="6" s="1"/>
  <c r="D43" i="6"/>
  <c r="H43" i="6" s="1"/>
  <c r="D44" i="6"/>
  <c r="H44" i="6" s="1"/>
  <c r="D45" i="6"/>
  <c r="D46" i="6"/>
  <c r="D47" i="6"/>
  <c r="H47" i="6" s="1"/>
  <c r="D48" i="6"/>
  <c r="D49" i="6"/>
  <c r="D50" i="6"/>
  <c r="H50" i="6" s="1"/>
  <c r="D51" i="6"/>
  <c r="D52" i="6"/>
  <c r="H52" i="6" s="1"/>
  <c r="D53" i="6"/>
  <c r="D54" i="6"/>
  <c r="D55" i="6"/>
  <c r="H55" i="6" s="1"/>
  <c r="D56" i="6"/>
  <c r="D57" i="6"/>
  <c r="D58" i="6"/>
  <c r="H58" i="6" s="1"/>
  <c r="D59" i="6"/>
  <c r="H59" i="6" s="1"/>
  <c r="D60" i="6"/>
  <c r="H60" i="6" s="1"/>
  <c r="D61" i="6"/>
  <c r="D62" i="6"/>
  <c r="D63" i="6"/>
  <c r="H63" i="6" s="1"/>
  <c r="D64" i="6"/>
  <c r="D65" i="6"/>
  <c r="D66" i="6"/>
  <c r="D67" i="6"/>
  <c r="H67" i="6" s="1"/>
  <c r="D68" i="6"/>
  <c r="H68" i="6" s="1"/>
  <c r="D69" i="6"/>
  <c r="D70" i="6"/>
  <c r="D71" i="6"/>
  <c r="H71" i="6" s="1"/>
  <c r="D72" i="6"/>
  <c r="D73" i="6"/>
  <c r="D74" i="6"/>
  <c r="H74" i="6" s="1"/>
  <c r="D75" i="6"/>
  <c r="H75" i="6" s="1"/>
  <c r="D76" i="6"/>
  <c r="H76" i="6" s="1"/>
  <c r="D77" i="6"/>
  <c r="D78" i="6"/>
  <c r="D79" i="6"/>
  <c r="H79" i="6" s="1"/>
  <c r="D80" i="6"/>
  <c r="D81" i="6"/>
  <c r="D82" i="6"/>
  <c r="H82" i="6" s="1"/>
  <c r="D83" i="6"/>
  <c r="D84" i="6"/>
  <c r="H84" i="6" s="1"/>
  <c r="D85" i="6"/>
  <c r="D86" i="6"/>
  <c r="D87" i="6"/>
  <c r="H87" i="6" s="1"/>
  <c r="D88" i="6"/>
  <c r="D89" i="6"/>
  <c r="D90" i="6"/>
  <c r="H90" i="6" s="1"/>
  <c r="D91" i="6"/>
  <c r="H91" i="6" s="1"/>
  <c r="D92" i="6"/>
  <c r="H92" i="6" s="1"/>
  <c r="D93" i="6"/>
  <c r="D94" i="6"/>
  <c r="D95" i="6"/>
  <c r="H95" i="6" s="1"/>
  <c r="D96" i="6"/>
  <c r="D97" i="6"/>
  <c r="D98" i="6"/>
  <c r="D99" i="6"/>
  <c r="H99" i="6" s="1"/>
  <c r="D100" i="6"/>
  <c r="H100" i="6" s="1"/>
  <c r="D101" i="6"/>
  <c r="D102" i="6"/>
  <c r="D103" i="6"/>
  <c r="H103" i="6" s="1"/>
  <c r="D104" i="6"/>
  <c r="D105" i="6"/>
  <c r="D106" i="6"/>
  <c r="H106" i="6" s="1"/>
  <c r="D107" i="6"/>
  <c r="H107" i="6" s="1"/>
  <c r="D108" i="6"/>
  <c r="H108" i="6" s="1"/>
  <c r="D109" i="6"/>
  <c r="D110" i="6"/>
  <c r="D111" i="6"/>
  <c r="H111" i="6" s="1"/>
  <c r="D112" i="6"/>
  <c r="D113" i="6"/>
  <c r="D114" i="6"/>
  <c r="H114" i="6" s="1"/>
  <c r="D115" i="6"/>
  <c r="D116" i="6"/>
  <c r="H116" i="6" s="1"/>
  <c r="D117" i="6"/>
  <c r="D118" i="6"/>
  <c r="D119" i="6"/>
  <c r="H119" i="6" s="1"/>
  <c r="D120" i="6"/>
  <c r="D121" i="6"/>
  <c r="D122" i="6"/>
  <c r="H122" i="6" s="1"/>
  <c r="D123" i="6"/>
  <c r="H123" i="6" s="1"/>
  <c r="D124" i="6"/>
  <c r="H124" i="6" s="1"/>
  <c r="D125" i="6"/>
  <c r="D126" i="6"/>
  <c r="D127" i="6"/>
  <c r="H127" i="6" s="1"/>
  <c r="D128" i="6"/>
  <c r="D129" i="6"/>
  <c r="D130" i="6"/>
  <c r="D131" i="6"/>
  <c r="H131" i="6" s="1"/>
  <c r="D132" i="6"/>
  <c r="H132" i="6" s="1"/>
  <c r="D133" i="6"/>
  <c r="D134" i="6"/>
  <c r="D135" i="6"/>
  <c r="H135" i="6" s="1"/>
  <c r="D136" i="6"/>
  <c r="D137" i="6"/>
  <c r="D138" i="6"/>
  <c r="H138" i="6" s="1"/>
  <c r="D139" i="6"/>
  <c r="H139" i="6" s="1"/>
  <c r="D140" i="6"/>
  <c r="H140" i="6" s="1"/>
  <c r="D141" i="6"/>
  <c r="D142" i="6"/>
  <c r="D143" i="6"/>
  <c r="H143" i="6" s="1"/>
  <c r="D144" i="6"/>
  <c r="D145" i="6"/>
  <c r="D146" i="6"/>
  <c r="H146" i="6" s="1"/>
  <c r="D147" i="6"/>
  <c r="D148" i="6"/>
  <c r="H148" i="6" s="1"/>
  <c r="D149" i="6"/>
  <c r="D150" i="6"/>
  <c r="D151" i="6"/>
  <c r="H151" i="6" s="1"/>
  <c r="D152" i="6"/>
  <c r="D153" i="6"/>
  <c r="D154" i="6"/>
  <c r="H154" i="6" s="1"/>
  <c r="D155" i="6"/>
  <c r="H155" i="6" s="1"/>
  <c r="D156" i="6"/>
  <c r="H156" i="6" s="1"/>
  <c r="D157" i="6"/>
  <c r="D158" i="6"/>
  <c r="D159" i="6"/>
  <c r="H159" i="6" s="1"/>
  <c r="D160" i="6"/>
  <c r="D161" i="6"/>
  <c r="D162" i="6"/>
  <c r="D163" i="6"/>
  <c r="H163" i="6" s="1"/>
  <c r="D164" i="6"/>
  <c r="H164" i="6" s="1"/>
  <c r="D165" i="6"/>
  <c r="D166" i="6"/>
  <c r="D167" i="6"/>
  <c r="H167" i="6" s="1"/>
  <c r="D168" i="6"/>
  <c r="D169" i="6"/>
  <c r="D170" i="6"/>
  <c r="H170" i="6" s="1"/>
  <c r="D171" i="6"/>
  <c r="H171" i="6" s="1"/>
  <c r="D172" i="6"/>
  <c r="H172" i="6" s="1"/>
  <c r="D173" i="6"/>
  <c r="D174" i="6"/>
  <c r="D175" i="6"/>
  <c r="H175" i="6" s="1"/>
  <c r="D176" i="6"/>
  <c r="D177" i="6"/>
  <c r="C3" i="6"/>
  <c r="G3" i="6" s="1"/>
  <c r="C4" i="6"/>
  <c r="C5" i="6"/>
  <c r="G5" i="6" s="1"/>
  <c r="C6" i="6"/>
  <c r="C7" i="6"/>
  <c r="C8" i="6"/>
  <c r="C9" i="6"/>
  <c r="C10" i="6"/>
  <c r="C11" i="6"/>
  <c r="G11" i="6" s="1"/>
  <c r="C12" i="6"/>
  <c r="G12" i="6" s="1"/>
  <c r="C13" i="6"/>
  <c r="G13" i="6" s="1"/>
  <c r="C14" i="6"/>
  <c r="C15" i="6"/>
  <c r="C16" i="6"/>
  <c r="C17" i="6"/>
  <c r="C18" i="6"/>
  <c r="C19" i="6"/>
  <c r="C20" i="6"/>
  <c r="G20" i="6" s="1"/>
  <c r="C21" i="6"/>
  <c r="G21" i="6" s="1"/>
  <c r="C22" i="6"/>
  <c r="C23" i="6"/>
  <c r="C24" i="6"/>
  <c r="C25" i="6"/>
  <c r="G25" i="6" s="1"/>
  <c r="C26" i="6"/>
  <c r="H26" i="6" s="1"/>
  <c r="C27" i="6"/>
  <c r="C28" i="6"/>
  <c r="G28" i="6" s="1"/>
  <c r="C29" i="6"/>
  <c r="G29" i="6" s="1"/>
  <c r="C30" i="6"/>
  <c r="C31" i="6"/>
  <c r="C32" i="6"/>
  <c r="C33" i="6"/>
  <c r="G33" i="6" s="1"/>
  <c r="C34" i="6"/>
  <c r="Q34" i="6" s="1"/>
  <c r="C35" i="6"/>
  <c r="G35" i="6" s="1"/>
  <c r="C36" i="6"/>
  <c r="F36" i="6" s="1"/>
  <c r="C37" i="6"/>
  <c r="G37" i="6" s="1"/>
  <c r="C38" i="6"/>
  <c r="C39" i="6"/>
  <c r="C40" i="6"/>
  <c r="C41" i="6"/>
  <c r="G41" i="6" s="1"/>
  <c r="C42" i="6"/>
  <c r="C43" i="6"/>
  <c r="G43" i="6" s="1"/>
  <c r="C44" i="6"/>
  <c r="G44" i="6" s="1"/>
  <c r="C45" i="6"/>
  <c r="G45" i="6" s="1"/>
  <c r="C46" i="6"/>
  <c r="C47" i="6"/>
  <c r="C48" i="6"/>
  <c r="C49" i="6"/>
  <c r="G49" i="6" s="1"/>
  <c r="C50" i="6"/>
  <c r="C51" i="6"/>
  <c r="C52" i="6"/>
  <c r="G52" i="6" s="1"/>
  <c r="C53" i="6"/>
  <c r="G53" i="6" s="1"/>
  <c r="C54" i="6"/>
  <c r="C55" i="6"/>
  <c r="C56" i="6"/>
  <c r="C57" i="6"/>
  <c r="G57" i="6" s="1"/>
  <c r="C58" i="6"/>
  <c r="C59" i="6"/>
  <c r="C60" i="6"/>
  <c r="G60" i="6" s="1"/>
  <c r="C61" i="6"/>
  <c r="G61" i="6" s="1"/>
  <c r="C62" i="6"/>
  <c r="C63" i="6"/>
  <c r="C64" i="6"/>
  <c r="C65" i="6"/>
  <c r="C66" i="6"/>
  <c r="Q66" i="6" s="1"/>
  <c r="C67" i="6"/>
  <c r="G67" i="6" s="1"/>
  <c r="C68" i="6"/>
  <c r="F68" i="6" s="1"/>
  <c r="C69" i="6"/>
  <c r="G69" i="6" s="1"/>
  <c r="C70" i="6"/>
  <c r="C71" i="6"/>
  <c r="C72" i="6"/>
  <c r="C73" i="6"/>
  <c r="C74" i="6"/>
  <c r="C75" i="6"/>
  <c r="G75" i="6" s="1"/>
  <c r="C76" i="6"/>
  <c r="G76" i="6" s="1"/>
  <c r="C77" i="6"/>
  <c r="G77" i="6" s="1"/>
  <c r="C78" i="6"/>
  <c r="C79" i="6"/>
  <c r="C80" i="6"/>
  <c r="C81" i="6"/>
  <c r="C82" i="6"/>
  <c r="C83" i="6"/>
  <c r="C84" i="6"/>
  <c r="G84" i="6" s="1"/>
  <c r="C85" i="6"/>
  <c r="G85" i="6" s="1"/>
  <c r="C86" i="6"/>
  <c r="C87" i="6"/>
  <c r="C88" i="6"/>
  <c r="C89" i="6"/>
  <c r="C90" i="6"/>
  <c r="C91" i="6"/>
  <c r="C92" i="6"/>
  <c r="G92" i="6" s="1"/>
  <c r="C93" i="6"/>
  <c r="G93" i="6" s="1"/>
  <c r="C94" i="6"/>
  <c r="C95" i="6"/>
  <c r="C96" i="6"/>
  <c r="C97" i="6"/>
  <c r="C98" i="6"/>
  <c r="Q98" i="6" s="1"/>
  <c r="C99" i="6"/>
  <c r="G99" i="6" s="1"/>
  <c r="C100" i="6"/>
  <c r="F100" i="6" s="1"/>
  <c r="C101" i="6"/>
  <c r="G101" i="6" s="1"/>
  <c r="C102" i="6"/>
  <c r="C103" i="6"/>
  <c r="C104" i="6"/>
  <c r="C105" i="6"/>
  <c r="C106" i="6"/>
  <c r="C107" i="6"/>
  <c r="G107" i="6" s="1"/>
  <c r="C108" i="6"/>
  <c r="G108" i="6" s="1"/>
  <c r="C109" i="6"/>
  <c r="G109" i="6" s="1"/>
  <c r="C110" i="6"/>
  <c r="C111" i="6"/>
  <c r="C112" i="6"/>
  <c r="C113" i="6"/>
  <c r="C114" i="6"/>
  <c r="C115" i="6"/>
  <c r="C116" i="6"/>
  <c r="G116" i="6" s="1"/>
  <c r="C117" i="6"/>
  <c r="G117" i="6" s="1"/>
  <c r="C118" i="6"/>
  <c r="C119" i="6"/>
  <c r="C120" i="6"/>
  <c r="C121" i="6"/>
  <c r="C122" i="6"/>
  <c r="C123" i="6"/>
  <c r="C124" i="6"/>
  <c r="G124" i="6" s="1"/>
  <c r="C125" i="6"/>
  <c r="G125" i="6" s="1"/>
  <c r="C126" i="6"/>
  <c r="C127" i="6"/>
  <c r="C128" i="6"/>
  <c r="C129" i="6"/>
  <c r="C130" i="6"/>
  <c r="C131" i="6"/>
  <c r="G131" i="6" s="1"/>
  <c r="C132" i="6"/>
  <c r="F132" i="6" s="1"/>
  <c r="C133" i="6"/>
  <c r="G133" i="6" s="1"/>
  <c r="C134" i="6"/>
  <c r="C135" i="6"/>
  <c r="C136" i="6"/>
  <c r="C137" i="6"/>
  <c r="C138" i="6"/>
  <c r="C139" i="6"/>
  <c r="G139" i="6" s="1"/>
  <c r="C140" i="6"/>
  <c r="G140" i="6" s="1"/>
  <c r="C141" i="6"/>
  <c r="G141" i="6" s="1"/>
  <c r="C142" i="6"/>
  <c r="C143" i="6"/>
  <c r="C144" i="6"/>
  <c r="C145" i="6"/>
  <c r="C146" i="6"/>
  <c r="C147" i="6"/>
  <c r="C148" i="6"/>
  <c r="G148" i="6" s="1"/>
  <c r="C149" i="6"/>
  <c r="G149" i="6" s="1"/>
  <c r="C150" i="6"/>
  <c r="C151" i="6"/>
  <c r="C152" i="6"/>
  <c r="C153" i="6"/>
  <c r="C154" i="6"/>
  <c r="C155" i="6"/>
  <c r="G155" i="6" s="1"/>
  <c r="C156" i="6"/>
  <c r="F156" i="6" s="1"/>
  <c r="C157" i="6"/>
  <c r="G157" i="6" s="1"/>
  <c r="C158" i="6"/>
  <c r="C159" i="6"/>
  <c r="C160" i="6"/>
  <c r="C161" i="6"/>
  <c r="C162" i="6"/>
  <c r="C163" i="6"/>
  <c r="G163" i="6" s="1"/>
  <c r="C164" i="6"/>
  <c r="F164" i="6" s="1"/>
  <c r="C165" i="6"/>
  <c r="G165" i="6" s="1"/>
  <c r="C166" i="6"/>
  <c r="C167" i="6"/>
  <c r="C168" i="6"/>
  <c r="C169" i="6"/>
  <c r="C170" i="6"/>
  <c r="C171" i="6"/>
  <c r="G171" i="6" s="1"/>
  <c r="C172" i="6"/>
  <c r="G172" i="6" s="1"/>
  <c r="C173" i="6"/>
  <c r="G173" i="6" s="1"/>
  <c r="C174" i="6"/>
  <c r="C175" i="6"/>
  <c r="C176" i="6"/>
  <c r="C177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H43" i="4"/>
  <c r="G129" i="4"/>
  <c r="F53" i="4"/>
  <c r="F138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Q29" i="4" s="1"/>
  <c r="E30" i="4"/>
  <c r="E31" i="4"/>
  <c r="E32" i="4"/>
  <c r="E33" i="4"/>
  <c r="E34" i="4"/>
  <c r="E35" i="4"/>
  <c r="E36" i="4"/>
  <c r="E37" i="4"/>
  <c r="Q37" i="4" s="1"/>
  <c r="E38" i="4"/>
  <c r="E39" i="4"/>
  <c r="E40" i="4"/>
  <c r="E41" i="4"/>
  <c r="E42" i="4"/>
  <c r="E43" i="4"/>
  <c r="E44" i="4"/>
  <c r="E45" i="4"/>
  <c r="Q45" i="4" s="1"/>
  <c r="E46" i="4"/>
  <c r="E47" i="4"/>
  <c r="E48" i="4"/>
  <c r="E49" i="4"/>
  <c r="E50" i="4"/>
  <c r="E51" i="4"/>
  <c r="E52" i="4"/>
  <c r="E53" i="4"/>
  <c r="Q53" i="4" s="1"/>
  <c r="E54" i="4"/>
  <c r="E55" i="4"/>
  <c r="E56" i="4"/>
  <c r="E57" i="4"/>
  <c r="E58" i="4"/>
  <c r="E59" i="4"/>
  <c r="E60" i="4"/>
  <c r="E61" i="4"/>
  <c r="Q61" i="4" s="1"/>
  <c r="E62" i="4"/>
  <c r="E63" i="4"/>
  <c r="E64" i="4"/>
  <c r="E65" i="4"/>
  <c r="E66" i="4"/>
  <c r="E67" i="4"/>
  <c r="E68" i="4"/>
  <c r="E69" i="4"/>
  <c r="Q69" i="4" s="1"/>
  <c r="E70" i="4"/>
  <c r="E71" i="4"/>
  <c r="E72" i="4"/>
  <c r="E73" i="4"/>
  <c r="E74" i="4"/>
  <c r="E75" i="4"/>
  <c r="E76" i="4"/>
  <c r="E77" i="4"/>
  <c r="Q77" i="4" s="1"/>
  <c r="E78" i="4"/>
  <c r="E79" i="4"/>
  <c r="E80" i="4"/>
  <c r="E81" i="4"/>
  <c r="E82" i="4"/>
  <c r="E83" i="4"/>
  <c r="E84" i="4"/>
  <c r="E85" i="4"/>
  <c r="Q85" i="4" s="1"/>
  <c r="E86" i="4"/>
  <c r="E87" i="4"/>
  <c r="E88" i="4"/>
  <c r="E89" i="4"/>
  <c r="E90" i="4"/>
  <c r="E91" i="4"/>
  <c r="E92" i="4"/>
  <c r="E93" i="4"/>
  <c r="Q93" i="4" s="1"/>
  <c r="E94" i="4"/>
  <c r="E95" i="4"/>
  <c r="E96" i="4"/>
  <c r="E97" i="4"/>
  <c r="E98" i="4"/>
  <c r="E99" i="4"/>
  <c r="E100" i="4"/>
  <c r="E101" i="4"/>
  <c r="Q101" i="4" s="1"/>
  <c r="E102" i="4"/>
  <c r="E103" i="4"/>
  <c r="E104" i="4"/>
  <c r="E105" i="4"/>
  <c r="E106" i="4"/>
  <c r="E107" i="4"/>
  <c r="E108" i="4"/>
  <c r="E109" i="4"/>
  <c r="Q109" i="4" s="1"/>
  <c r="E110" i="4"/>
  <c r="E111" i="4"/>
  <c r="E112" i="4"/>
  <c r="E113" i="4"/>
  <c r="E114" i="4"/>
  <c r="E115" i="4"/>
  <c r="E116" i="4"/>
  <c r="E117" i="4"/>
  <c r="Q117" i="4" s="1"/>
  <c r="E118" i="4"/>
  <c r="E119" i="4"/>
  <c r="E120" i="4"/>
  <c r="E121" i="4"/>
  <c r="E122" i="4"/>
  <c r="E123" i="4"/>
  <c r="E124" i="4"/>
  <c r="E125" i="4"/>
  <c r="Q125" i="4" s="1"/>
  <c r="E126" i="4"/>
  <c r="E127" i="4"/>
  <c r="E128" i="4"/>
  <c r="E129" i="4"/>
  <c r="E130" i="4"/>
  <c r="E131" i="4"/>
  <c r="E132" i="4"/>
  <c r="E133" i="4"/>
  <c r="Q133" i="4" s="1"/>
  <c r="E134" i="4"/>
  <c r="E135" i="4"/>
  <c r="E136" i="4"/>
  <c r="E137" i="4"/>
  <c r="E138" i="4"/>
  <c r="E139" i="4"/>
  <c r="E140" i="4"/>
  <c r="E141" i="4"/>
  <c r="Q141" i="4" s="1"/>
  <c r="E142" i="4"/>
  <c r="E143" i="4"/>
  <c r="E144" i="4"/>
  <c r="E145" i="4"/>
  <c r="E146" i="4"/>
  <c r="E147" i="4"/>
  <c r="E148" i="4"/>
  <c r="E149" i="4"/>
  <c r="Q149" i="4" s="1"/>
  <c r="E150" i="4"/>
  <c r="E151" i="4"/>
  <c r="E152" i="4"/>
  <c r="E153" i="4"/>
  <c r="E154" i="4"/>
  <c r="E155" i="4"/>
  <c r="E156" i="4"/>
  <c r="E157" i="4"/>
  <c r="Q157" i="4" s="1"/>
  <c r="E158" i="4"/>
  <c r="E159" i="4"/>
  <c r="E160" i="4"/>
  <c r="E161" i="4"/>
  <c r="E162" i="4"/>
  <c r="E163" i="4"/>
  <c r="E164" i="4"/>
  <c r="E165" i="4"/>
  <c r="Q165" i="4" s="1"/>
  <c r="E166" i="4"/>
  <c r="E167" i="4"/>
  <c r="E168" i="4"/>
  <c r="E169" i="4"/>
  <c r="E170" i="4"/>
  <c r="E171" i="4"/>
  <c r="E172" i="4"/>
  <c r="E173" i="4"/>
  <c r="Q173" i="4" s="1"/>
  <c r="E174" i="4"/>
  <c r="E175" i="4"/>
  <c r="E176" i="4"/>
  <c r="E177" i="4"/>
  <c r="D3" i="4"/>
  <c r="D4" i="4"/>
  <c r="D5" i="4"/>
  <c r="D6" i="4"/>
  <c r="H6" i="4" s="1"/>
  <c r="D7" i="4"/>
  <c r="D8" i="4"/>
  <c r="D9" i="4"/>
  <c r="D10" i="4"/>
  <c r="D11" i="4"/>
  <c r="D12" i="4"/>
  <c r="D13" i="4"/>
  <c r="D14" i="4"/>
  <c r="H14" i="4" s="1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H30" i="4" s="1"/>
  <c r="D31" i="4"/>
  <c r="D32" i="4"/>
  <c r="D33" i="4"/>
  <c r="D34" i="4"/>
  <c r="D35" i="4"/>
  <c r="D36" i="4"/>
  <c r="D37" i="4"/>
  <c r="D38" i="4"/>
  <c r="H38" i="4" s="1"/>
  <c r="D39" i="4"/>
  <c r="D40" i="4"/>
  <c r="D41" i="4"/>
  <c r="D42" i="4"/>
  <c r="D43" i="4"/>
  <c r="D44" i="4"/>
  <c r="D45" i="4"/>
  <c r="D46" i="4"/>
  <c r="H46" i="4" s="1"/>
  <c r="D47" i="4"/>
  <c r="H47" i="4" s="1"/>
  <c r="D48" i="4"/>
  <c r="D49" i="4"/>
  <c r="D50" i="4"/>
  <c r="D51" i="4"/>
  <c r="D52" i="4"/>
  <c r="D53" i="4"/>
  <c r="D54" i="4"/>
  <c r="H54" i="4" s="1"/>
  <c r="D55" i="4"/>
  <c r="H55" i="4" s="1"/>
  <c r="D56" i="4"/>
  <c r="D57" i="4"/>
  <c r="D58" i="4"/>
  <c r="D59" i="4"/>
  <c r="D60" i="4"/>
  <c r="D61" i="4"/>
  <c r="D62" i="4"/>
  <c r="H62" i="4" s="1"/>
  <c r="D63" i="4"/>
  <c r="H63" i="4" s="1"/>
  <c r="D64" i="4"/>
  <c r="H64" i="4" s="1"/>
  <c r="D65" i="4"/>
  <c r="D66" i="4"/>
  <c r="D67" i="4"/>
  <c r="D68" i="4"/>
  <c r="D69" i="4"/>
  <c r="H69" i="4" s="1"/>
  <c r="D70" i="4"/>
  <c r="D71" i="4"/>
  <c r="H71" i="4" s="1"/>
  <c r="D72" i="4"/>
  <c r="D73" i="4"/>
  <c r="D74" i="4"/>
  <c r="D75" i="4"/>
  <c r="D76" i="4"/>
  <c r="D77" i="4"/>
  <c r="H77" i="4" s="1"/>
  <c r="D78" i="4"/>
  <c r="D79" i="4"/>
  <c r="H79" i="4" s="1"/>
  <c r="D80" i="4"/>
  <c r="H80" i="4" s="1"/>
  <c r="D81" i="4"/>
  <c r="D82" i="4"/>
  <c r="D83" i="4"/>
  <c r="D84" i="4"/>
  <c r="D85" i="4"/>
  <c r="H85" i="4" s="1"/>
  <c r="D86" i="4"/>
  <c r="D87" i="4"/>
  <c r="H87" i="4" s="1"/>
  <c r="D88" i="4"/>
  <c r="D89" i="4"/>
  <c r="D90" i="4"/>
  <c r="D91" i="4"/>
  <c r="D92" i="4"/>
  <c r="D93" i="4"/>
  <c r="H93" i="4" s="1"/>
  <c r="D94" i="4"/>
  <c r="D95" i="4"/>
  <c r="H95" i="4" s="1"/>
  <c r="D96" i="4"/>
  <c r="H96" i="4" s="1"/>
  <c r="D97" i="4"/>
  <c r="D98" i="4"/>
  <c r="D99" i="4"/>
  <c r="D100" i="4"/>
  <c r="D101" i="4"/>
  <c r="H101" i="4" s="1"/>
  <c r="D102" i="4"/>
  <c r="D103" i="4"/>
  <c r="H103" i="4" s="1"/>
  <c r="D104" i="4"/>
  <c r="D105" i="4"/>
  <c r="D106" i="4"/>
  <c r="D107" i="4"/>
  <c r="D108" i="4"/>
  <c r="D109" i="4"/>
  <c r="H109" i="4" s="1"/>
  <c r="D110" i="4"/>
  <c r="D111" i="4"/>
  <c r="H111" i="4" s="1"/>
  <c r="D112" i="4"/>
  <c r="H112" i="4" s="1"/>
  <c r="D113" i="4"/>
  <c r="D114" i="4"/>
  <c r="D115" i="4"/>
  <c r="D116" i="4"/>
  <c r="D117" i="4"/>
  <c r="H117" i="4" s="1"/>
  <c r="D118" i="4"/>
  <c r="D119" i="4"/>
  <c r="H119" i="4" s="1"/>
  <c r="D120" i="4"/>
  <c r="D121" i="4"/>
  <c r="D122" i="4"/>
  <c r="D123" i="4"/>
  <c r="D124" i="4"/>
  <c r="D125" i="4"/>
  <c r="H125" i="4" s="1"/>
  <c r="D126" i="4"/>
  <c r="D127" i="4"/>
  <c r="H127" i="4" s="1"/>
  <c r="D128" i="4"/>
  <c r="H128" i="4" s="1"/>
  <c r="D129" i="4"/>
  <c r="D130" i="4"/>
  <c r="D131" i="4"/>
  <c r="D132" i="4"/>
  <c r="D133" i="4"/>
  <c r="H133" i="4" s="1"/>
  <c r="D134" i="4"/>
  <c r="D135" i="4"/>
  <c r="H135" i="4" s="1"/>
  <c r="D136" i="4"/>
  <c r="D137" i="4"/>
  <c r="D138" i="4"/>
  <c r="D139" i="4"/>
  <c r="D140" i="4"/>
  <c r="D141" i="4"/>
  <c r="H141" i="4" s="1"/>
  <c r="D142" i="4"/>
  <c r="D143" i="4"/>
  <c r="H143" i="4" s="1"/>
  <c r="D144" i="4"/>
  <c r="H144" i="4" s="1"/>
  <c r="D145" i="4"/>
  <c r="D146" i="4"/>
  <c r="D147" i="4"/>
  <c r="D148" i="4"/>
  <c r="D149" i="4"/>
  <c r="H149" i="4" s="1"/>
  <c r="D150" i="4"/>
  <c r="D151" i="4"/>
  <c r="H151" i="4" s="1"/>
  <c r="D152" i="4"/>
  <c r="D153" i="4"/>
  <c r="D154" i="4"/>
  <c r="D155" i="4"/>
  <c r="D156" i="4"/>
  <c r="D157" i="4"/>
  <c r="H157" i="4" s="1"/>
  <c r="D158" i="4"/>
  <c r="D159" i="4"/>
  <c r="H159" i="4" s="1"/>
  <c r="D160" i="4"/>
  <c r="H160" i="4" s="1"/>
  <c r="D161" i="4"/>
  <c r="D162" i="4"/>
  <c r="D163" i="4"/>
  <c r="D164" i="4"/>
  <c r="D165" i="4"/>
  <c r="H165" i="4" s="1"/>
  <c r="D166" i="4"/>
  <c r="D167" i="4"/>
  <c r="H167" i="4" s="1"/>
  <c r="D168" i="4"/>
  <c r="D169" i="4"/>
  <c r="D170" i="4"/>
  <c r="D171" i="4"/>
  <c r="D172" i="4"/>
  <c r="D173" i="4"/>
  <c r="H173" i="4" s="1"/>
  <c r="D174" i="4"/>
  <c r="D175" i="4"/>
  <c r="H175" i="4" s="1"/>
  <c r="D176" i="4"/>
  <c r="D177" i="4"/>
  <c r="C3" i="4"/>
  <c r="C4" i="4"/>
  <c r="G4" i="4" s="1"/>
  <c r="C5" i="4"/>
  <c r="C6" i="4"/>
  <c r="C7" i="4"/>
  <c r="G7" i="4" s="1"/>
  <c r="C8" i="4"/>
  <c r="C9" i="4"/>
  <c r="C10" i="4"/>
  <c r="G10" i="4" s="1"/>
  <c r="C11" i="4"/>
  <c r="C12" i="4"/>
  <c r="G12" i="4" s="1"/>
  <c r="C13" i="4"/>
  <c r="C14" i="4"/>
  <c r="C15" i="4"/>
  <c r="C16" i="4"/>
  <c r="C17" i="4"/>
  <c r="C18" i="4"/>
  <c r="C19" i="4"/>
  <c r="C20" i="4"/>
  <c r="G20" i="4" s="1"/>
  <c r="C21" i="4"/>
  <c r="G21" i="4" s="1"/>
  <c r="C22" i="4"/>
  <c r="H22" i="4" s="1"/>
  <c r="C23" i="4"/>
  <c r="C24" i="4"/>
  <c r="C25" i="4"/>
  <c r="C26" i="4"/>
  <c r="C27" i="4"/>
  <c r="C28" i="4"/>
  <c r="C29" i="4"/>
  <c r="C30" i="4"/>
  <c r="C31" i="4"/>
  <c r="G31" i="4" s="1"/>
  <c r="C32" i="4"/>
  <c r="C33" i="4"/>
  <c r="C34" i="4"/>
  <c r="C35" i="4"/>
  <c r="C36" i="4"/>
  <c r="G36" i="4" s="1"/>
  <c r="C37" i="4"/>
  <c r="C38" i="4"/>
  <c r="C39" i="4"/>
  <c r="G39" i="4" s="1"/>
  <c r="C40" i="4"/>
  <c r="C41" i="4"/>
  <c r="C42" i="4"/>
  <c r="G42" i="4" s="1"/>
  <c r="C43" i="4"/>
  <c r="C44" i="4"/>
  <c r="G44" i="4" s="1"/>
  <c r="C45" i="4"/>
  <c r="C46" i="4"/>
  <c r="C47" i="4"/>
  <c r="F47" i="4" s="1"/>
  <c r="C48" i="4"/>
  <c r="C49" i="4"/>
  <c r="C50" i="4"/>
  <c r="C51" i="4"/>
  <c r="C52" i="4"/>
  <c r="G52" i="4" s="1"/>
  <c r="C53" i="4"/>
  <c r="G53" i="4" s="1"/>
  <c r="C54" i="4"/>
  <c r="C55" i="4"/>
  <c r="F55" i="4" s="1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G74" i="4" s="1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G106" i="4" s="1"/>
  <c r="C107" i="4"/>
  <c r="C108" i="4"/>
  <c r="C109" i="4"/>
  <c r="C110" i="4"/>
  <c r="C111" i="4"/>
  <c r="C112" i="4"/>
  <c r="C113" i="4"/>
  <c r="C114" i="4"/>
  <c r="C115" i="4"/>
  <c r="C116" i="4"/>
  <c r="C117" i="4"/>
  <c r="F117" i="4" s="1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G138" i="4" s="1"/>
  <c r="C139" i="4"/>
  <c r="C140" i="4"/>
  <c r="C141" i="4"/>
  <c r="C142" i="4"/>
  <c r="C143" i="4"/>
  <c r="C144" i="4"/>
  <c r="C145" i="4"/>
  <c r="C146" i="4"/>
  <c r="C147" i="4"/>
  <c r="C148" i="4"/>
  <c r="C149" i="4"/>
  <c r="F149" i="4" s="1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F174" i="4" s="1"/>
  <c r="C175" i="4"/>
  <c r="F175" i="4" s="1"/>
  <c r="C176" i="4"/>
  <c r="H176" i="4" s="1"/>
  <c r="C177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F31" i="4" s="1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H10" i="1"/>
  <c r="H18" i="1"/>
  <c r="H26" i="1"/>
  <c r="H34" i="1"/>
  <c r="H42" i="1"/>
  <c r="H50" i="1"/>
  <c r="H58" i="1"/>
  <c r="H66" i="1"/>
  <c r="H74" i="1"/>
  <c r="H82" i="1"/>
  <c r="H90" i="1"/>
  <c r="H98" i="1"/>
  <c r="H106" i="1"/>
  <c r="H114" i="1"/>
  <c r="H122" i="1"/>
  <c r="H130" i="1"/>
  <c r="H138" i="1"/>
  <c r="H146" i="1"/>
  <c r="H154" i="1"/>
  <c r="H162" i="1"/>
  <c r="H170" i="1"/>
  <c r="G58" i="1"/>
  <c r="G66" i="1"/>
  <c r="G70" i="1"/>
  <c r="G78" i="1"/>
  <c r="G90" i="1"/>
  <c r="G98" i="1"/>
  <c r="G102" i="1"/>
  <c r="G110" i="1"/>
  <c r="G122" i="1"/>
  <c r="G130" i="1"/>
  <c r="G134" i="1"/>
  <c r="G146" i="1"/>
  <c r="G150" i="1"/>
  <c r="G154" i="1"/>
  <c r="G158" i="1"/>
  <c r="G159" i="1"/>
  <c r="F15" i="1"/>
  <c r="F39" i="1"/>
  <c r="F71" i="1"/>
  <c r="F79" i="1"/>
  <c r="F103" i="1"/>
  <c r="F135" i="1"/>
  <c r="F143" i="1"/>
  <c r="E3" i="1"/>
  <c r="E4" i="1"/>
  <c r="E5" i="1"/>
  <c r="E6" i="1"/>
  <c r="Q6" i="1" s="1"/>
  <c r="E7" i="1"/>
  <c r="Q7" i="1" s="1"/>
  <c r="E8" i="1"/>
  <c r="Q8" i="1" s="1"/>
  <c r="E9" i="1"/>
  <c r="E10" i="1"/>
  <c r="Q10" i="1" s="1"/>
  <c r="E11" i="1"/>
  <c r="Q11" i="1" s="1"/>
  <c r="E12" i="1"/>
  <c r="Q12" i="1" s="1"/>
  <c r="E13" i="1"/>
  <c r="E14" i="1"/>
  <c r="Q14" i="1" s="1"/>
  <c r="E15" i="1"/>
  <c r="Q15" i="1" s="1"/>
  <c r="E16" i="1"/>
  <c r="Q16" i="1" s="1"/>
  <c r="E17" i="1"/>
  <c r="E18" i="1"/>
  <c r="Q18" i="1" s="1"/>
  <c r="E19" i="1"/>
  <c r="E20" i="1"/>
  <c r="Q20" i="1" s="1"/>
  <c r="E21" i="1"/>
  <c r="E22" i="1"/>
  <c r="Q22" i="1" s="1"/>
  <c r="E23" i="1"/>
  <c r="Q23" i="1" s="1"/>
  <c r="E24" i="1"/>
  <c r="Q24" i="1" s="1"/>
  <c r="E25" i="1"/>
  <c r="E26" i="1"/>
  <c r="Q26" i="1" s="1"/>
  <c r="E27" i="1"/>
  <c r="Q27" i="1" s="1"/>
  <c r="E28" i="1"/>
  <c r="Q28" i="1" s="1"/>
  <c r="E29" i="1"/>
  <c r="E30" i="1"/>
  <c r="Q30" i="1" s="1"/>
  <c r="E31" i="1"/>
  <c r="Q31" i="1" s="1"/>
  <c r="E32" i="1"/>
  <c r="Q32" i="1" s="1"/>
  <c r="E33" i="1"/>
  <c r="E34" i="1"/>
  <c r="Q34" i="1" s="1"/>
  <c r="E35" i="1"/>
  <c r="E36" i="1"/>
  <c r="Q36" i="1" s="1"/>
  <c r="E37" i="1"/>
  <c r="E38" i="1"/>
  <c r="Q38" i="1" s="1"/>
  <c r="E39" i="1"/>
  <c r="Q39" i="1" s="1"/>
  <c r="E40" i="1"/>
  <c r="Q40" i="1" s="1"/>
  <c r="E41" i="1"/>
  <c r="E42" i="1"/>
  <c r="Q42" i="1" s="1"/>
  <c r="E43" i="1"/>
  <c r="Q43" i="1" s="1"/>
  <c r="E44" i="1"/>
  <c r="Q44" i="1" s="1"/>
  <c r="E45" i="1"/>
  <c r="E46" i="1"/>
  <c r="Q46" i="1" s="1"/>
  <c r="E47" i="1"/>
  <c r="Q47" i="1" s="1"/>
  <c r="E48" i="1"/>
  <c r="Q48" i="1" s="1"/>
  <c r="E49" i="1"/>
  <c r="E50" i="1"/>
  <c r="Q50" i="1" s="1"/>
  <c r="E51" i="1"/>
  <c r="E52" i="1"/>
  <c r="Q52" i="1" s="1"/>
  <c r="E53" i="1"/>
  <c r="E54" i="1"/>
  <c r="Q54" i="1" s="1"/>
  <c r="E55" i="1"/>
  <c r="Q55" i="1" s="1"/>
  <c r="E56" i="1"/>
  <c r="Q56" i="1" s="1"/>
  <c r="E57" i="1"/>
  <c r="E58" i="1"/>
  <c r="Q58" i="1" s="1"/>
  <c r="E59" i="1"/>
  <c r="Q59" i="1" s="1"/>
  <c r="E60" i="1"/>
  <c r="Q60" i="1" s="1"/>
  <c r="E61" i="1"/>
  <c r="E62" i="1"/>
  <c r="Q62" i="1" s="1"/>
  <c r="E63" i="1"/>
  <c r="Q63" i="1" s="1"/>
  <c r="E64" i="1"/>
  <c r="Q64" i="1" s="1"/>
  <c r="E65" i="1"/>
  <c r="E66" i="1"/>
  <c r="Q66" i="1" s="1"/>
  <c r="E67" i="1"/>
  <c r="E68" i="1"/>
  <c r="Q68" i="1" s="1"/>
  <c r="E69" i="1"/>
  <c r="E70" i="1"/>
  <c r="Q70" i="1" s="1"/>
  <c r="E71" i="1"/>
  <c r="Q71" i="1" s="1"/>
  <c r="E72" i="1"/>
  <c r="Q72" i="1" s="1"/>
  <c r="E73" i="1"/>
  <c r="E74" i="1"/>
  <c r="Q74" i="1" s="1"/>
  <c r="E75" i="1"/>
  <c r="Q75" i="1" s="1"/>
  <c r="E76" i="1"/>
  <c r="Q76" i="1" s="1"/>
  <c r="E77" i="1"/>
  <c r="E78" i="1"/>
  <c r="Q78" i="1" s="1"/>
  <c r="E79" i="1"/>
  <c r="Q79" i="1" s="1"/>
  <c r="E80" i="1"/>
  <c r="Q80" i="1" s="1"/>
  <c r="E81" i="1"/>
  <c r="E82" i="1"/>
  <c r="Q82" i="1" s="1"/>
  <c r="E83" i="1"/>
  <c r="E84" i="1"/>
  <c r="Q84" i="1" s="1"/>
  <c r="E85" i="1"/>
  <c r="E86" i="1"/>
  <c r="Q86" i="1" s="1"/>
  <c r="E87" i="1"/>
  <c r="Q87" i="1" s="1"/>
  <c r="E88" i="1"/>
  <c r="Q88" i="1" s="1"/>
  <c r="E89" i="1"/>
  <c r="E90" i="1"/>
  <c r="Q90" i="1" s="1"/>
  <c r="E91" i="1"/>
  <c r="Q91" i="1" s="1"/>
  <c r="E92" i="1"/>
  <c r="Q92" i="1" s="1"/>
  <c r="E93" i="1"/>
  <c r="E94" i="1"/>
  <c r="Q94" i="1" s="1"/>
  <c r="E95" i="1"/>
  <c r="Q95" i="1" s="1"/>
  <c r="E96" i="1"/>
  <c r="Q96" i="1" s="1"/>
  <c r="E97" i="1"/>
  <c r="E98" i="1"/>
  <c r="Q98" i="1" s="1"/>
  <c r="E99" i="1"/>
  <c r="E100" i="1"/>
  <c r="Q100" i="1" s="1"/>
  <c r="E101" i="1"/>
  <c r="E102" i="1"/>
  <c r="Q102" i="1" s="1"/>
  <c r="E103" i="1"/>
  <c r="Q103" i="1" s="1"/>
  <c r="E104" i="1"/>
  <c r="Q104" i="1" s="1"/>
  <c r="E105" i="1"/>
  <c r="E106" i="1"/>
  <c r="Q106" i="1" s="1"/>
  <c r="E107" i="1"/>
  <c r="Q107" i="1" s="1"/>
  <c r="E108" i="1"/>
  <c r="Q108" i="1" s="1"/>
  <c r="E109" i="1"/>
  <c r="E110" i="1"/>
  <c r="Q110" i="1" s="1"/>
  <c r="E111" i="1"/>
  <c r="Q111" i="1" s="1"/>
  <c r="E112" i="1"/>
  <c r="Q112" i="1" s="1"/>
  <c r="E113" i="1"/>
  <c r="E114" i="1"/>
  <c r="Q114" i="1" s="1"/>
  <c r="E115" i="1"/>
  <c r="E116" i="1"/>
  <c r="Q116" i="1" s="1"/>
  <c r="E117" i="1"/>
  <c r="E118" i="1"/>
  <c r="Q118" i="1" s="1"/>
  <c r="E119" i="1"/>
  <c r="Q119" i="1" s="1"/>
  <c r="E120" i="1"/>
  <c r="Q120" i="1" s="1"/>
  <c r="E121" i="1"/>
  <c r="E122" i="1"/>
  <c r="Q122" i="1" s="1"/>
  <c r="E123" i="1"/>
  <c r="Q123" i="1" s="1"/>
  <c r="E124" i="1"/>
  <c r="Q124" i="1" s="1"/>
  <c r="E125" i="1"/>
  <c r="E126" i="1"/>
  <c r="Q126" i="1" s="1"/>
  <c r="E127" i="1"/>
  <c r="Q127" i="1" s="1"/>
  <c r="E128" i="1"/>
  <c r="Q128" i="1" s="1"/>
  <c r="E129" i="1"/>
  <c r="E130" i="1"/>
  <c r="Q130" i="1" s="1"/>
  <c r="E131" i="1"/>
  <c r="Q131" i="1" s="1"/>
  <c r="E132" i="1"/>
  <c r="Q132" i="1" s="1"/>
  <c r="E133" i="1"/>
  <c r="E134" i="1"/>
  <c r="Q134" i="1" s="1"/>
  <c r="E135" i="1"/>
  <c r="Q135" i="1" s="1"/>
  <c r="E136" i="1"/>
  <c r="Q136" i="1" s="1"/>
  <c r="E137" i="1"/>
  <c r="E138" i="1"/>
  <c r="Q138" i="1" s="1"/>
  <c r="E139" i="1"/>
  <c r="Q139" i="1" s="1"/>
  <c r="E140" i="1"/>
  <c r="Q140" i="1" s="1"/>
  <c r="E141" i="1"/>
  <c r="E142" i="1"/>
  <c r="Q142" i="1" s="1"/>
  <c r="E143" i="1"/>
  <c r="Q143" i="1" s="1"/>
  <c r="E144" i="1"/>
  <c r="Q144" i="1" s="1"/>
  <c r="E145" i="1"/>
  <c r="E146" i="1"/>
  <c r="Q146" i="1" s="1"/>
  <c r="E147" i="1"/>
  <c r="Q147" i="1" s="1"/>
  <c r="E148" i="1"/>
  <c r="Q148" i="1" s="1"/>
  <c r="E149" i="1"/>
  <c r="E150" i="1"/>
  <c r="Q150" i="1" s="1"/>
  <c r="E151" i="1"/>
  <c r="Q151" i="1" s="1"/>
  <c r="E152" i="1"/>
  <c r="Q152" i="1" s="1"/>
  <c r="E153" i="1"/>
  <c r="E154" i="1"/>
  <c r="Q154" i="1" s="1"/>
  <c r="E155" i="1"/>
  <c r="Q155" i="1" s="1"/>
  <c r="E156" i="1"/>
  <c r="Q156" i="1" s="1"/>
  <c r="E157" i="1"/>
  <c r="E158" i="1"/>
  <c r="Q158" i="1" s="1"/>
  <c r="E159" i="1"/>
  <c r="Q159" i="1" s="1"/>
  <c r="E160" i="1"/>
  <c r="Q160" i="1" s="1"/>
  <c r="E161" i="1"/>
  <c r="E162" i="1"/>
  <c r="Q162" i="1" s="1"/>
  <c r="E163" i="1"/>
  <c r="Q163" i="1" s="1"/>
  <c r="E164" i="1"/>
  <c r="Q164" i="1" s="1"/>
  <c r="E165" i="1"/>
  <c r="E166" i="1"/>
  <c r="Q166" i="1" s="1"/>
  <c r="E167" i="1"/>
  <c r="Q167" i="1" s="1"/>
  <c r="E168" i="1"/>
  <c r="Q168" i="1" s="1"/>
  <c r="E169" i="1"/>
  <c r="E170" i="1"/>
  <c r="Q170" i="1" s="1"/>
  <c r="E171" i="1"/>
  <c r="Q171" i="1" s="1"/>
  <c r="E172" i="1"/>
  <c r="Q172" i="1" s="1"/>
  <c r="E173" i="1"/>
  <c r="E174" i="1"/>
  <c r="Q174" i="1" s="1"/>
  <c r="E175" i="1"/>
  <c r="Q175" i="1" s="1"/>
  <c r="E176" i="1"/>
  <c r="Q176" i="1" s="1"/>
  <c r="E177" i="1"/>
  <c r="D3" i="1"/>
  <c r="H3" i="1" s="1"/>
  <c r="D4" i="1"/>
  <c r="H4" i="1" s="1"/>
  <c r="D5" i="1"/>
  <c r="H5" i="1" s="1"/>
  <c r="D6" i="1"/>
  <c r="H6" i="1" s="1"/>
  <c r="D7" i="1"/>
  <c r="H7" i="1" s="1"/>
  <c r="D8" i="1"/>
  <c r="H8" i="1" s="1"/>
  <c r="D9" i="1"/>
  <c r="H9" i="1" s="1"/>
  <c r="D10" i="1"/>
  <c r="D11" i="1"/>
  <c r="H11" i="1" s="1"/>
  <c r="D12" i="1"/>
  <c r="H12" i="1" s="1"/>
  <c r="D13" i="1"/>
  <c r="H13" i="1" s="1"/>
  <c r="D14" i="1"/>
  <c r="H14" i="1" s="1"/>
  <c r="D15" i="1"/>
  <c r="H15" i="1" s="1"/>
  <c r="D16" i="1"/>
  <c r="H16" i="1" s="1"/>
  <c r="D17" i="1"/>
  <c r="H17" i="1" s="1"/>
  <c r="D18" i="1"/>
  <c r="D19" i="1"/>
  <c r="H19" i="1" s="1"/>
  <c r="D20" i="1"/>
  <c r="H20" i="1" s="1"/>
  <c r="D21" i="1"/>
  <c r="H21" i="1" s="1"/>
  <c r="D22" i="1"/>
  <c r="H22" i="1" s="1"/>
  <c r="D23" i="1"/>
  <c r="H23" i="1" s="1"/>
  <c r="D24" i="1"/>
  <c r="H24" i="1" s="1"/>
  <c r="D25" i="1"/>
  <c r="H25" i="1" s="1"/>
  <c r="D26" i="1"/>
  <c r="D27" i="1"/>
  <c r="H27" i="1" s="1"/>
  <c r="D28" i="1"/>
  <c r="H28" i="1" s="1"/>
  <c r="D29" i="1"/>
  <c r="H29" i="1" s="1"/>
  <c r="D30" i="1"/>
  <c r="H30" i="1" s="1"/>
  <c r="D31" i="1"/>
  <c r="H31" i="1" s="1"/>
  <c r="D32" i="1"/>
  <c r="H32" i="1" s="1"/>
  <c r="D33" i="1"/>
  <c r="H33" i="1" s="1"/>
  <c r="D34" i="1"/>
  <c r="D35" i="1"/>
  <c r="H35" i="1" s="1"/>
  <c r="D36" i="1"/>
  <c r="H36" i="1" s="1"/>
  <c r="D37" i="1"/>
  <c r="H37" i="1" s="1"/>
  <c r="D38" i="1"/>
  <c r="H38" i="1" s="1"/>
  <c r="D39" i="1"/>
  <c r="H39" i="1" s="1"/>
  <c r="D40" i="1"/>
  <c r="H40" i="1" s="1"/>
  <c r="D41" i="1"/>
  <c r="H41" i="1" s="1"/>
  <c r="D42" i="1"/>
  <c r="D43" i="1"/>
  <c r="H43" i="1" s="1"/>
  <c r="D44" i="1"/>
  <c r="H44" i="1" s="1"/>
  <c r="D45" i="1"/>
  <c r="H45" i="1" s="1"/>
  <c r="D46" i="1"/>
  <c r="H46" i="1" s="1"/>
  <c r="D47" i="1"/>
  <c r="H47" i="1" s="1"/>
  <c r="D48" i="1"/>
  <c r="H48" i="1" s="1"/>
  <c r="D49" i="1"/>
  <c r="H49" i="1" s="1"/>
  <c r="D50" i="1"/>
  <c r="D51" i="1"/>
  <c r="H51" i="1" s="1"/>
  <c r="D52" i="1"/>
  <c r="H52" i="1" s="1"/>
  <c r="D53" i="1"/>
  <c r="H53" i="1" s="1"/>
  <c r="D54" i="1"/>
  <c r="H54" i="1" s="1"/>
  <c r="D55" i="1"/>
  <c r="H55" i="1" s="1"/>
  <c r="D56" i="1"/>
  <c r="H56" i="1" s="1"/>
  <c r="D57" i="1"/>
  <c r="H57" i="1" s="1"/>
  <c r="D58" i="1"/>
  <c r="D59" i="1"/>
  <c r="H59" i="1" s="1"/>
  <c r="D60" i="1"/>
  <c r="H60" i="1" s="1"/>
  <c r="D61" i="1"/>
  <c r="H61" i="1" s="1"/>
  <c r="D62" i="1"/>
  <c r="H62" i="1" s="1"/>
  <c r="D63" i="1"/>
  <c r="H63" i="1" s="1"/>
  <c r="D64" i="1"/>
  <c r="H64" i="1" s="1"/>
  <c r="D65" i="1"/>
  <c r="H65" i="1" s="1"/>
  <c r="D66" i="1"/>
  <c r="D67" i="1"/>
  <c r="H67" i="1" s="1"/>
  <c r="D68" i="1"/>
  <c r="H68" i="1" s="1"/>
  <c r="D69" i="1"/>
  <c r="H69" i="1" s="1"/>
  <c r="D70" i="1"/>
  <c r="H70" i="1" s="1"/>
  <c r="D71" i="1"/>
  <c r="H71" i="1" s="1"/>
  <c r="D72" i="1"/>
  <c r="H72" i="1" s="1"/>
  <c r="D73" i="1"/>
  <c r="H73" i="1" s="1"/>
  <c r="D74" i="1"/>
  <c r="D75" i="1"/>
  <c r="H75" i="1" s="1"/>
  <c r="D76" i="1"/>
  <c r="H76" i="1" s="1"/>
  <c r="D77" i="1"/>
  <c r="H77" i="1" s="1"/>
  <c r="D78" i="1"/>
  <c r="H78" i="1" s="1"/>
  <c r="D79" i="1"/>
  <c r="H79" i="1" s="1"/>
  <c r="D80" i="1"/>
  <c r="H80" i="1" s="1"/>
  <c r="D81" i="1"/>
  <c r="H81" i="1" s="1"/>
  <c r="D82" i="1"/>
  <c r="D83" i="1"/>
  <c r="H83" i="1" s="1"/>
  <c r="D84" i="1"/>
  <c r="H84" i="1" s="1"/>
  <c r="D85" i="1"/>
  <c r="H85" i="1" s="1"/>
  <c r="D86" i="1"/>
  <c r="H86" i="1" s="1"/>
  <c r="D87" i="1"/>
  <c r="H87" i="1" s="1"/>
  <c r="D88" i="1"/>
  <c r="H88" i="1" s="1"/>
  <c r="D89" i="1"/>
  <c r="H89" i="1" s="1"/>
  <c r="D90" i="1"/>
  <c r="D91" i="1"/>
  <c r="H91" i="1" s="1"/>
  <c r="D92" i="1"/>
  <c r="H92" i="1" s="1"/>
  <c r="D93" i="1"/>
  <c r="H93" i="1" s="1"/>
  <c r="D94" i="1"/>
  <c r="H94" i="1" s="1"/>
  <c r="D95" i="1"/>
  <c r="H95" i="1" s="1"/>
  <c r="D96" i="1"/>
  <c r="H96" i="1" s="1"/>
  <c r="D97" i="1"/>
  <c r="H97" i="1" s="1"/>
  <c r="D98" i="1"/>
  <c r="D99" i="1"/>
  <c r="H99" i="1" s="1"/>
  <c r="D100" i="1"/>
  <c r="H100" i="1" s="1"/>
  <c r="D101" i="1"/>
  <c r="H101" i="1" s="1"/>
  <c r="D102" i="1"/>
  <c r="H102" i="1" s="1"/>
  <c r="D103" i="1"/>
  <c r="H103" i="1" s="1"/>
  <c r="D104" i="1"/>
  <c r="H104" i="1" s="1"/>
  <c r="D105" i="1"/>
  <c r="H105" i="1" s="1"/>
  <c r="D106" i="1"/>
  <c r="D107" i="1"/>
  <c r="H107" i="1" s="1"/>
  <c r="D108" i="1"/>
  <c r="H108" i="1" s="1"/>
  <c r="D109" i="1"/>
  <c r="H109" i="1" s="1"/>
  <c r="D110" i="1"/>
  <c r="H110" i="1" s="1"/>
  <c r="D111" i="1"/>
  <c r="H111" i="1" s="1"/>
  <c r="D112" i="1"/>
  <c r="H112" i="1" s="1"/>
  <c r="D113" i="1"/>
  <c r="H113" i="1" s="1"/>
  <c r="D114" i="1"/>
  <c r="D115" i="1"/>
  <c r="H115" i="1" s="1"/>
  <c r="D116" i="1"/>
  <c r="H116" i="1" s="1"/>
  <c r="D117" i="1"/>
  <c r="H117" i="1" s="1"/>
  <c r="D118" i="1"/>
  <c r="H118" i="1" s="1"/>
  <c r="D119" i="1"/>
  <c r="H119" i="1" s="1"/>
  <c r="D120" i="1"/>
  <c r="H120" i="1" s="1"/>
  <c r="D121" i="1"/>
  <c r="H121" i="1" s="1"/>
  <c r="D122" i="1"/>
  <c r="D123" i="1"/>
  <c r="H123" i="1" s="1"/>
  <c r="D124" i="1"/>
  <c r="H124" i="1" s="1"/>
  <c r="D125" i="1"/>
  <c r="H125" i="1" s="1"/>
  <c r="D126" i="1"/>
  <c r="H126" i="1" s="1"/>
  <c r="D127" i="1"/>
  <c r="H127" i="1" s="1"/>
  <c r="D128" i="1"/>
  <c r="H128" i="1" s="1"/>
  <c r="D129" i="1"/>
  <c r="H129" i="1" s="1"/>
  <c r="D130" i="1"/>
  <c r="D131" i="1"/>
  <c r="H131" i="1" s="1"/>
  <c r="D132" i="1"/>
  <c r="H132" i="1" s="1"/>
  <c r="D133" i="1"/>
  <c r="H133" i="1" s="1"/>
  <c r="D134" i="1"/>
  <c r="H134" i="1" s="1"/>
  <c r="D135" i="1"/>
  <c r="H135" i="1" s="1"/>
  <c r="D136" i="1"/>
  <c r="H136" i="1" s="1"/>
  <c r="D137" i="1"/>
  <c r="H137" i="1" s="1"/>
  <c r="D138" i="1"/>
  <c r="D139" i="1"/>
  <c r="H139" i="1" s="1"/>
  <c r="D140" i="1"/>
  <c r="H140" i="1" s="1"/>
  <c r="D141" i="1"/>
  <c r="H141" i="1" s="1"/>
  <c r="D142" i="1"/>
  <c r="H142" i="1" s="1"/>
  <c r="D143" i="1"/>
  <c r="H143" i="1" s="1"/>
  <c r="D144" i="1"/>
  <c r="H144" i="1" s="1"/>
  <c r="D145" i="1"/>
  <c r="H145" i="1" s="1"/>
  <c r="D146" i="1"/>
  <c r="D147" i="1"/>
  <c r="H147" i="1" s="1"/>
  <c r="D148" i="1"/>
  <c r="H148" i="1" s="1"/>
  <c r="D149" i="1"/>
  <c r="H149" i="1" s="1"/>
  <c r="D150" i="1"/>
  <c r="H150" i="1" s="1"/>
  <c r="D151" i="1"/>
  <c r="H151" i="1" s="1"/>
  <c r="D152" i="1"/>
  <c r="H152" i="1" s="1"/>
  <c r="D153" i="1"/>
  <c r="H153" i="1" s="1"/>
  <c r="D154" i="1"/>
  <c r="D155" i="1"/>
  <c r="H155" i="1" s="1"/>
  <c r="D156" i="1"/>
  <c r="H156" i="1" s="1"/>
  <c r="D157" i="1"/>
  <c r="H157" i="1" s="1"/>
  <c r="D158" i="1"/>
  <c r="H158" i="1" s="1"/>
  <c r="D159" i="1"/>
  <c r="H159" i="1" s="1"/>
  <c r="D160" i="1"/>
  <c r="H160" i="1" s="1"/>
  <c r="D161" i="1"/>
  <c r="H161" i="1" s="1"/>
  <c r="D162" i="1"/>
  <c r="D163" i="1"/>
  <c r="H163" i="1" s="1"/>
  <c r="D164" i="1"/>
  <c r="H164" i="1" s="1"/>
  <c r="D165" i="1"/>
  <c r="H165" i="1" s="1"/>
  <c r="D166" i="1"/>
  <c r="H166" i="1" s="1"/>
  <c r="D167" i="1"/>
  <c r="H167" i="1" s="1"/>
  <c r="D168" i="1"/>
  <c r="H168" i="1" s="1"/>
  <c r="D169" i="1"/>
  <c r="H169" i="1" s="1"/>
  <c r="D170" i="1"/>
  <c r="D171" i="1"/>
  <c r="H171" i="1" s="1"/>
  <c r="D172" i="1"/>
  <c r="H172" i="1" s="1"/>
  <c r="D173" i="1"/>
  <c r="H173" i="1" s="1"/>
  <c r="D174" i="1"/>
  <c r="H174" i="1" s="1"/>
  <c r="D175" i="1"/>
  <c r="H175" i="1" s="1"/>
  <c r="D176" i="1"/>
  <c r="H176" i="1" s="1"/>
  <c r="D177" i="1"/>
  <c r="H177" i="1" s="1"/>
  <c r="C3" i="1"/>
  <c r="C4" i="1"/>
  <c r="G4" i="1" s="1"/>
  <c r="C5" i="1"/>
  <c r="F5" i="1" s="1"/>
  <c r="C6" i="1"/>
  <c r="G6" i="1" s="1"/>
  <c r="C7" i="1"/>
  <c r="C8" i="1"/>
  <c r="C9" i="1"/>
  <c r="C10" i="1"/>
  <c r="G10" i="1" s="1"/>
  <c r="C11" i="1"/>
  <c r="C12" i="1"/>
  <c r="G12" i="1" s="1"/>
  <c r="C13" i="1"/>
  <c r="G13" i="1" s="1"/>
  <c r="C14" i="1"/>
  <c r="G14" i="1" s="1"/>
  <c r="C15" i="1"/>
  <c r="C16" i="1"/>
  <c r="C17" i="1"/>
  <c r="C18" i="1"/>
  <c r="F18" i="1" s="1"/>
  <c r="C19" i="1"/>
  <c r="F19" i="1" s="1"/>
  <c r="C20" i="1"/>
  <c r="G20" i="1" s="1"/>
  <c r="C21" i="1"/>
  <c r="G21" i="1" s="1"/>
  <c r="C22" i="1"/>
  <c r="G22" i="1" s="1"/>
  <c r="C23" i="1"/>
  <c r="C24" i="1"/>
  <c r="C25" i="1"/>
  <c r="Q25" i="1" s="1"/>
  <c r="C26" i="1"/>
  <c r="G26" i="1" s="1"/>
  <c r="C27" i="1"/>
  <c r="F27" i="1" s="1"/>
  <c r="C28" i="1"/>
  <c r="G28" i="1" s="1"/>
  <c r="C29" i="1"/>
  <c r="G29" i="1" s="1"/>
  <c r="C30" i="1"/>
  <c r="G30" i="1" s="1"/>
  <c r="C31" i="1"/>
  <c r="F31" i="1" s="1"/>
  <c r="C32" i="1"/>
  <c r="C33" i="1"/>
  <c r="C34" i="1"/>
  <c r="G34" i="1" s="1"/>
  <c r="C35" i="1"/>
  <c r="C36" i="1"/>
  <c r="G36" i="1" s="1"/>
  <c r="C37" i="1"/>
  <c r="F37" i="1" s="1"/>
  <c r="C38" i="1"/>
  <c r="G38" i="1" s="1"/>
  <c r="C39" i="1"/>
  <c r="C40" i="1"/>
  <c r="F40" i="1" s="1"/>
  <c r="C41" i="1"/>
  <c r="Q41" i="1" s="1"/>
  <c r="C42" i="1"/>
  <c r="G42" i="1" s="1"/>
  <c r="C43" i="1"/>
  <c r="C44" i="1"/>
  <c r="G44" i="1" s="1"/>
  <c r="C45" i="1"/>
  <c r="G45" i="1" s="1"/>
  <c r="C46" i="1"/>
  <c r="G46" i="1" s="1"/>
  <c r="C47" i="1"/>
  <c r="C48" i="1"/>
  <c r="C49" i="1"/>
  <c r="C50" i="1"/>
  <c r="G50" i="1" s="1"/>
  <c r="C51" i="1"/>
  <c r="F51" i="1" s="1"/>
  <c r="C52" i="1"/>
  <c r="G52" i="1" s="1"/>
  <c r="C53" i="1"/>
  <c r="F53" i="1" s="1"/>
  <c r="C54" i="1"/>
  <c r="F54" i="1" s="1"/>
  <c r="C55" i="1"/>
  <c r="F55" i="1" s="1"/>
  <c r="C56" i="1"/>
  <c r="C57" i="1"/>
  <c r="F57" i="1" s="1"/>
  <c r="C58" i="1"/>
  <c r="C59" i="1"/>
  <c r="G59" i="1" s="1"/>
  <c r="C60" i="1"/>
  <c r="G60" i="1" s="1"/>
  <c r="C61" i="1"/>
  <c r="F61" i="1" s="1"/>
  <c r="C62" i="1"/>
  <c r="G62" i="1" s="1"/>
  <c r="C63" i="1"/>
  <c r="C64" i="1"/>
  <c r="F64" i="1" s="1"/>
  <c r="C65" i="1"/>
  <c r="F65" i="1" s="1"/>
  <c r="C66" i="1"/>
  <c r="C67" i="1"/>
  <c r="G67" i="1" s="1"/>
  <c r="C68" i="1"/>
  <c r="G68" i="1" s="1"/>
  <c r="C69" i="1"/>
  <c r="G69" i="1" s="1"/>
  <c r="C70" i="1"/>
  <c r="C71" i="1"/>
  <c r="C72" i="1"/>
  <c r="C73" i="1"/>
  <c r="F73" i="1" s="1"/>
  <c r="C74" i="1"/>
  <c r="G74" i="1" s="1"/>
  <c r="C75" i="1"/>
  <c r="G75" i="1" s="1"/>
  <c r="C76" i="1"/>
  <c r="G76" i="1" s="1"/>
  <c r="C77" i="1"/>
  <c r="G77" i="1" s="1"/>
  <c r="C78" i="1"/>
  <c r="C79" i="1"/>
  <c r="C80" i="1"/>
  <c r="C81" i="1"/>
  <c r="F81" i="1" s="1"/>
  <c r="C82" i="1"/>
  <c r="G82" i="1" s="1"/>
  <c r="C83" i="1"/>
  <c r="F83" i="1" s="1"/>
  <c r="C84" i="1"/>
  <c r="G84" i="1" s="1"/>
  <c r="C85" i="1"/>
  <c r="G85" i="1" s="1"/>
  <c r="C86" i="1"/>
  <c r="G86" i="1" s="1"/>
  <c r="C87" i="1"/>
  <c r="C88" i="1"/>
  <c r="C89" i="1"/>
  <c r="F89" i="1" s="1"/>
  <c r="C90" i="1"/>
  <c r="C91" i="1"/>
  <c r="F91" i="1" s="1"/>
  <c r="C92" i="1"/>
  <c r="G92" i="1" s="1"/>
  <c r="C93" i="1"/>
  <c r="F93" i="1" s="1"/>
  <c r="C94" i="1"/>
  <c r="C95" i="1"/>
  <c r="F95" i="1" s="1"/>
  <c r="C96" i="1"/>
  <c r="C97" i="1"/>
  <c r="F97" i="1" s="1"/>
  <c r="C98" i="1"/>
  <c r="C99" i="1"/>
  <c r="G99" i="1" s="1"/>
  <c r="C100" i="1"/>
  <c r="G100" i="1" s="1"/>
  <c r="C101" i="1"/>
  <c r="G101" i="1" s="1"/>
  <c r="C102" i="1"/>
  <c r="C103" i="1"/>
  <c r="C104" i="1"/>
  <c r="F104" i="1" s="1"/>
  <c r="C105" i="1"/>
  <c r="F105" i="1" s="1"/>
  <c r="C106" i="1"/>
  <c r="F106" i="1" s="1"/>
  <c r="C107" i="1"/>
  <c r="G107" i="1" s="1"/>
  <c r="C108" i="1"/>
  <c r="G108" i="1" s="1"/>
  <c r="C109" i="1"/>
  <c r="F109" i="1" s="1"/>
  <c r="C110" i="1"/>
  <c r="F110" i="1" s="1"/>
  <c r="C111" i="1"/>
  <c r="C112" i="1"/>
  <c r="C113" i="1"/>
  <c r="F113" i="1" s="1"/>
  <c r="C114" i="1"/>
  <c r="G114" i="1" s="1"/>
  <c r="C115" i="1"/>
  <c r="F115" i="1" s="1"/>
  <c r="C116" i="1"/>
  <c r="G116" i="1" s="1"/>
  <c r="C117" i="1"/>
  <c r="F117" i="1" s="1"/>
  <c r="C118" i="1"/>
  <c r="F118" i="1" s="1"/>
  <c r="C119" i="1"/>
  <c r="F119" i="1" s="1"/>
  <c r="C120" i="1"/>
  <c r="C121" i="1"/>
  <c r="F121" i="1" s="1"/>
  <c r="C122" i="1"/>
  <c r="C123" i="1"/>
  <c r="G123" i="1" s="1"/>
  <c r="C124" i="1"/>
  <c r="G124" i="1" s="1"/>
  <c r="C125" i="1"/>
  <c r="F125" i="1" s="1"/>
  <c r="C126" i="1"/>
  <c r="G126" i="1" s="1"/>
  <c r="C127" i="1"/>
  <c r="C128" i="1"/>
  <c r="F128" i="1" s="1"/>
  <c r="C129" i="1"/>
  <c r="F129" i="1" s="1"/>
  <c r="C130" i="1"/>
  <c r="C131" i="1"/>
  <c r="G131" i="1" s="1"/>
  <c r="C132" i="1"/>
  <c r="G132" i="1" s="1"/>
  <c r="C133" i="1"/>
  <c r="F133" i="1" s="1"/>
  <c r="C134" i="1"/>
  <c r="C135" i="1"/>
  <c r="C136" i="1"/>
  <c r="C137" i="1"/>
  <c r="F137" i="1" s="1"/>
  <c r="C138" i="1"/>
  <c r="G138" i="1" s="1"/>
  <c r="C139" i="1"/>
  <c r="G139" i="1" s="1"/>
  <c r="C140" i="1"/>
  <c r="F140" i="1" s="1"/>
  <c r="C141" i="1"/>
  <c r="G141" i="1" s="1"/>
  <c r="C142" i="1"/>
  <c r="C143" i="1"/>
  <c r="C144" i="1"/>
  <c r="C145" i="1"/>
  <c r="F145" i="1" s="1"/>
  <c r="C146" i="1"/>
  <c r="F146" i="1" s="1"/>
  <c r="C147" i="1"/>
  <c r="G147" i="1" s="1"/>
  <c r="C148" i="1"/>
  <c r="F148" i="1" s="1"/>
  <c r="C149" i="1"/>
  <c r="G149" i="1" s="1"/>
  <c r="C150" i="1"/>
  <c r="C151" i="1"/>
  <c r="F151" i="1" s="1"/>
  <c r="C152" i="1"/>
  <c r="C153" i="1"/>
  <c r="F153" i="1" s="1"/>
  <c r="C154" i="1"/>
  <c r="C155" i="1"/>
  <c r="G155" i="1" s="1"/>
  <c r="C156" i="1"/>
  <c r="G156" i="1" s="1"/>
  <c r="C157" i="1"/>
  <c r="G157" i="1" s="1"/>
  <c r="C158" i="1"/>
  <c r="C159" i="1"/>
  <c r="F159" i="1" s="1"/>
  <c r="C160" i="1"/>
  <c r="C161" i="1"/>
  <c r="F161" i="1" s="1"/>
  <c r="C162" i="1"/>
  <c r="G162" i="1" s="1"/>
  <c r="C163" i="1"/>
  <c r="F163" i="1" s="1"/>
  <c r="C164" i="1"/>
  <c r="G164" i="1" s="1"/>
  <c r="C165" i="1"/>
  <c r="G165" i="1" s="1"/>
  <c r="C166" i="1"/>
  <c r="G166" i="1" s="1"/>
  <c r="C167" i="1"/>
  <c r="F167" i="1" s="1"/>
  <c r="C168" i="1"/>
  <c r="C169" i="1"/>
  <c r="Q169" i="1" s="1"/>
  <c r="C170" i="1"/>
  <c r="G170" i="1" s="1"/>
  <c r="C171" i="1"/>
  <c r="G171" i="1" s="1"/>
  <c r="C172" i="1"/>
  <c r="F172" i="1" s="1"/>
  <c r="C173" i="1"/>
  <c r="G173" i="1" s="1"/>
  <c r="C174" i="1"/>
  <c r="G174" i="1" s="1"/>
  <c r="C175" i="1"/>
  <c r="G175" i="1" s="1"/>
  <c r="C176" i="1"/>
  <c r="C177" i="1"/>
  <c r="F177" i="1" s="1"/>
  <c r="B3" i="1"/>
  <c r="B4" i="1"/>
  <c r="B5" i="1"/>
  <c r="B6" i="1"/>
  <c r="F6" i="1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F26" i="1" s="1"/>
  <c r="B27" i="1"/>
  <c r="B28" i="1"/>
  <c r="B29" i="1"/>
  <c r="B30" i="1"/>
  <c r="F30" i="1" s="1"/>
  <c r="B31" i="1"/>
  <c r="B32" i="1"/>
  <c r="B33" i="1"/>
  <c r="B34" i="1"/>
  <c r="F34" i="1" s="1"/>
  <c r="B35" i="1"/>
  <c r="B36" i="1"/>
  <c r="B37" i="1"/>
  <c r="B38" i="1"/>
  <c r="F38" i="1" s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F58" i="1" s="1"/>
  <c r="B59" i="1"/>
  <c r="B60" i="1"/>
  <c r="B61" i="1"/>
  <c r="B62" i="1"/>
  <c r="F62" i="1" s="1"/>
  <c r="B63" i="1"/>
  <c r="B64" i="1"/>
  <c r="B65" i="1"/>
  <c r="B66" i="1"/>
  <c r="F66" i="1" s="1"/>
  <c r="B67" i="1"/>
  <c r="B68" i="1"/>
  <c r="B69" i="1"/>
  <c r="B70" i="1"/>
  <c r="F70" i="1" s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F90" i="1" s="1"/>
  <c r="B91" i="1"/>
  <c r="B92" i="1"/>
  <c r="B93" i="1"/>
  <c r="B94" i="1"/>
  <c r="F94" i="1" s="1"/>
  <c r="B95" i="1"/>
  <c r="B96" i="1"/>
  <c r="B97" i="1"/>
  <c r="B98" i="1"/>
  <c r="F98" i="1" s="1"/>
  <c r="B99" i="1"/>
  <c r="B100" i="1"/>
  <c r="B101" i="1"/>
  <c r="B102" i="1"/>
  <c r="F102" i="1" s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F122" i="1" s="1"/>
  <c r="B123" i="1"/>
  <c r="B124" i="1"/>
  <c r="B125" i="1"/>
  <c r="B126" i="1"/>
  <c r="F126" i="1" s="1"/>
  <c r="B127" i="1"/>
  <c r="B128" i="1"/>
  <c r="B129" i="1"/>
  <c r="B130" i="1"/>
  <c r="F130" i="1" s="1"/>
  <c r="B131" i="1"/>
  <c r="B132" i="1"/>
  <c r="B133" i="1"/>
  <c r="B134" i="1"/>
  <c r="F134" i="1" s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F154" i="1" s="1"/>
  <c r="B155" i="1"/>
  <c r="B156" i="1"/>
  <c r="B157" i="1"/>
  <c r="B158" i="1"/>
  <c r="F158" i="1" s="1"/>
  <c r="B159" i="1"/>
  <c r="B160" i="1"/>
  <c r="B161" i="1"/>
  <c r="B162" i="1"/>
  <c r="F162" i="1" s="1"/>
  <c r="B163" i="1"/>
  <c r="B164" i="1"/>
  <c r="B165" i="1"/>
  <c r="B166" i="1"/>
  <c r="F166" i="1" s="1"/>
  <c r="B167" i="1"/>
  <c r="B168" i="1"/>
  <c r="B169" i="1"/>
  <c r="B170" i="1"/>
  <c r="F170" i="1" s="1"/>
  <c r="B171" i="1"/>
  <c r="B172" i="1"/>
  <c r="B173" i="1"/>
  <c r="B174" i="1"/>
  <c r="F174" i="1" s="1"/>
  <c r="B175" i="1"/>
  <c r="B176" i="1"/>
  <c r="B177" i="1"/>
  <c r="G169" i="8" l="1"/>
  <c r="F169" i="8"/>
  <c r="G153" i="8"/>
  <c r="F153" i="8"/>
  <c r="G121" i="8"/>
  <c r="F121" i="8"/>
  <c r="G81" i="8"/>
  <c r="F81" i="8"/>
  <c r="F57" i="8"/>
  <c r="G57" i="8"/>
  <c r="F25" i="8"/>
  <c r="G25" i="8"/>
  <c r="F56" i="8"/>
  <c r="G56" i="8"/>
  <c r="F170" i="8"/>
  <c r="G170" i="8"/>
  <c r="F162" i="8"/>
  <c r="F154" i="8"/>
  <c r="G154" i="8"/>
  <c r="F146" i="8"/>
  <c r="G146" i="8"/>
  <c r="F138" i="8"/>
  <c r="F130" i="8"/>
  <c r="G130" i="8"/>
  <c r="Q130" i="8"/>
  <c r="F122" i="8"/>
  <c r="G122" i="8"/>
  <c r="F114" i="8"/>
  <c r="G114" i="8"/>
  <c r="F106" i="8"/>
  <c r="G106" i="8"/>
  <c r="F98" i="8"/>
  <c r="F90" i="8"/>
  <c r="G90" i="8"/>
  <c r="F82" i="8"/>
  <c r="G82" i="8"/>
  <c r="F74" i="8"/>
  <c r="F66" i="8"/>
  <c r="G66" i="8"/>
  <c r="Q66" i="8"/>
  <c r="F58" i="8"/>
  <c r="G58" i="8"/>
  <c r="F50" i="8"/>
  <c r="G50" i="8"/>
  <c r="F42" i="8"/>
  <c r="G42" i="8"/>
  <c r="F34" i="8"/>
  <c r="F26" i="8"/>
  <c r="G26" i="8"/>
  <c r="F18" i="8"/>
  <c r="G18" i="8"/>
  <c r="F10" i="8"/>
  <c r="H177" i="8"/>
  <c r="H169" i="8"/>
  <c r="H161" i="8"/>
  <c r="H153" i="8"/>
  <c r="H137" i="8"/>
  <c r="H129" i="8"/>
  <c r="H113" i="8"/>
  <c r="H105" i="8"/>
  <c r="H97" i="8"/>
  <c r="H89" i="8"/>
  <c r="H73" i="8"/>
  <c r="H65" i="8"/>
  <c r="H49" i="8"/>
  <c r="H41" i="8"/>
  <c r="H33" i="8"/>
  <c r="H25" i="8"/>
  <c r="H9" i="8"/>
  <c r="Q176" i="8"/>
  <c r="Q160" i="8"/>
  <c r="Q152" i="8"/>
  <c r="Q144" i="8"/>
  <c r="Q136" i="8"/>
  <c r="Q120" i="8"/>
  <c r="Q112" i="8"/>
  <c r="Q96" i="8"/>
  <c r="Q88" i="8"/>
  <c r="Q80" i="8"/>
  <c r="Q72" i="8"/>
  <c r="Q56" i="8"/>
  <c r="Q48" i="8"/>
  <c r="Q32" i="8"/>
  <c r="Q24" i="8"/>
  <c r="Q16" i="8"/>
  <c r="Q8" i="8"/>
  <c r="F63" i="8"/>
  <c r="G84" i="8"/>
  <c r="H170" i="8"/>
  <c r="Q154" i="8"/>
  <c r="Q51" i="8"/>
  <c r="G177" i="8"/>
  <c r="F177" i="8"/>
  <c r="F41" i="8"/>
  <c r="G41" i="8"/>
  <c r="G160" i="8"/>
  <c r="F120" i="8"/>
  <c r="G120" i="8"/>
  <c r="F80" i="8"/>
  <c r="G80" i="8"/>
  <c r="F32" i="8"/>
  <c r="G32" i="8"/>
  <c r="F8" i="8"/>
  <c r="G8" i="8"/>
  <c r="G175" i="8"/>
  <c r="G167" i="8"/>
  <c r="G159" i="8"/>
  <c r="G151" i="8"/>
  <c r="F151" i="8"/>
  <c r="G143" i="8"/>
  <c r="F143" i="8"/>
  <c r="G135" i="8"/>
  <c r="F135" i="8"/>
  <c r="G127" i="8"/>
  <c r="G119" i="8"/>
  <c r="F119" i="8"/>
  <c r="G111" i="8"/>
  <c r="F111" i="8"/>
  <c r="G103" i="8"/>
  <c r="F103" i="8"/>
  <c r="G95" i="8"/>
  <c r="G87" i="8"/>
  <c r="F87" i="8"/>
  <c r="G79" i="8"/>
  <c r="F79" i="8"/>
  <c r="G71" i="8"/>
  <c r="F71" i="8"/>
  <c r="G63" i="8"/>
  <c r="G55" i="8"/>
  <c r="F55" i="8"/>
  <c r="F47" i="8"/>
  <c r="F139" i="8"/>
  <c r="Q139" i="8"/>
  <c r="G89" i="8"/>
  <c r="F89" i="8"/>
  <c r="F33" i="8"/>
  <c r="G33" i="8"/>
  <c r="F152" i="8"/>
  <c r="G152" i="8"/>
  <c r="F104" i="8"/>
  <c r="G104" i="8"/>
  <c r="F40" i="8"/>
  <c r="G40" i="8"/>
  <c r="F167" i="8"/>
  <c r="F23" i="8"/>
  <c r="Q40" i="8"/>
  <c r="Q172" i="8"/>
  <c r="Q156" i="8"/>
  <c r="Q148" i="8"/>
  <c r="Q132" i="8"/>
  <c r="Q124" i="8"/>
  <c r="Q108" i="8"/>
  <c r="Q92" i="8"/>
  <c r="Q84" i="8"/>
  <c r="Q68" i="8"/>
  <c r="F160" i="8"/>
  <c r="F137" i="8"/>
  <c r="F107" i="8"/>
  <c r="F76" i="8"/>
  <c r="F51" i="8"/>
  <c r="Q76" i="8"/>
  <c r="Q26" i="8"/>
  <c r="G145" i="8"/>
  <c r="F145" i="8"/>
  <c r="F9" i="8"/>
  <c r="G9" i="8"/>
  <c r="G176" i="8"/>
  <c r="F136" i="8"/>
  <c r="G136" i="8"/>
  <c r="F96" i="8"/>
  <c r="G96" i="8"/>
  <c r="F64" i="8"/>
  <c r="G64" i="8"/>
  <c r="F173" i="8"/>
  <c r="F141" i="8"/>
  <c r="F133" i="8"/>
  <c r="F125" i="8"/>
  <c r="F109" i="8"/>
  <c r="F77" i="8"/>
  <c r="F69" i="8"/>
  <c r="F61" i="8"/>
  <c r="F45" i="8"/>
  <c r="F29" i="8"/>
  <c r="F21" i="8"/>
  <c r="F5" i="8"/>
  <c r="H164" i="8"/>
  <c r="H148" i="8"/>
  <c r="H140" i="8"/>
  <c r="H124" i="8"/>
  <c r="H116" i="8"/>
  <c r="H100" i="8"/>
  <c r="H84" i="8"/>
  <c r="H76" i="8"/>
  <c r="Q171" i="8"/>
  <c r="Q163" i="8"/>
  <c r="Q147" i="8"/>
  <c r="Q131" i="8"/>
  <c r="Q123" i="8"/>
  <c r="Q107" i="8"/>
  <c r="Q99" i="8"/>
  <c r="Q83" i="8"/>
  <c r="Q67" i="8"/>
  <c r="Q59" i="8"/>
  <c r="Q43" i="8"/>
  <c r="Q35" i="8"/>
  <c r="Q19" i="8"/>
  <c r="Q3" i="8"/>
  <c r="F159" i="8"/>
  <c r="F129" i="8"/>
  <c r="F105" i="8"/>
  <c r="F75" i="8"/>
  <c r="F39" i="8"/>
  <c r="G138" i="8"/>
  <c r="G98" i="8"/>
  <c r="G10" i="8"/>
  <c r="Q75" i="8"/>
  <c r="Q25" i="8"/>
  <c r="F17" i="8"/>
  <c r="G17" i="8"/>
  <c r="F168" i="8"/>
  <c r="Q153" i="8"/>
  <c r="G168" i="8"/>
  <c r="F128" i="8"/>
  <c r="G128" i="8"/>
  <c r="F88" i="8"/>
  <c r="G88" i="8"/>
  <c r="F48" i="8"/>
  <c r="G48" i="8"/>
  <c r="F16" i="8"/>
  <c r="G16" i="8"/>
  <c r="F172" i="8"/>
  <c r="G172" i="8"/>
  <c r="H172" i="8"/>
  <c r="F164" i="8"/>
  <c r="G164" i="8"/>
  <c r="G156" i="8"/>
  <c r="F156" i="8"/>
  <c r="F132" i="8"/>
  <c r="G132" i="8"/>
  <c r="F124" i="8"/>
  <c r="G116" i="8"/>
  <c r="Q116" i="8"/>
  <c r="G108" i="8"/>
  <c r="H108" i="8"/>
  <c r="F100" i="8"/>
  <c r="G100" i="8"/>
  <c r="G92" i="8"/>
  <c r="F92" i="8"/>
  <c r="F68" i="8"/>
  <c r="G68" i="8"/>
  <c r="F60" i="8"/>
  <c r="F44" i="8"/>
  <c r="F36" i="8"/>
  <c r="F20" i="8"/>
  <c r="F4" i="8"/>
  <c r="H163" i="8"/>
  <c r="H155" i="8"/>
  <c r="H139" i="8"/>
  <c r="H123" i="8"/>
  <c r="H115" i="8"/>
  <c r="H99" i="8"/>
  <c r="H91" i="8"/>
  <c r="H75" i="8"/>
  <c r="H59" i="8"/>
  <c r="H51" i="8"/>
  <c r="H35" i="8"/>
  <c r="H27" i="8"/>
  <c r="H11" i="8"/>
  <c r="Q170" i="8"/>
  <c r="Q162" i="8"/>
  <c r="Q146" i="8"/>
  <c r="Q138" i="8"/>
  <c r="Q122" i="8"/>
  <c r="Q106" i="8"/>
  <c r="Q98" i="8"/>
  <c r="Q82" i="8"/>
  <c r="Q74" i="8"/>
  <c r="Q58" i="8"/>
  <c r="Q42" i="8"/>
  <c r="Q34" i="8"/>
  <c r="Q18" i="8"/>
  <c r="Q10" i="8"/>
  <c r="F176" i="8"/>
  <c r="F127" i="8"/>
  <c r="F97" i="8"/>
  <c r="F73" i="8"/>
  <c r="H132" i="8"/>
  <c r="Q65" i="8"/>
  <c r="G161" i="8"/>
  <c r="F161" i="8"/>
  <c r="G113" i="8"/>
  <c r="F113" i="8"/>
  <c r="F49" i="8"/>
  <c r="G49" i="8"/>
  <c r="F144" i="8"/>
  <c r="G144" i="8"/>
  <c r="F112" i="8"/>
  <c r="G112" i="8"/>
  <c r="F72" i="8"/>
  <c r="G72" i="8"/>
  <c r="F24" i="8"/>
  <c r="G24" i="8"/>
  <c r="F171" i="8"/>
  <c r="G171" i="8"/>
  <c r="F163" i="8"/>
  <c r="G155" i="8"/>
  <c r="F155" i="8"/>
  <c r="Q155" i="8"/>
  <c r="G147" i="8"/>
  <c r="F147" i="8"/>
  <c r="H147" i="8"/>
  <c r="F131" i="8"/>
  <c r="G131" i="8"/>
  <c r="F123" i="8"/>
  <c r="G115" i="8"/>
  <c r="F115" i="8"/>
  <c r="F99" i="8"/>
  <c r="G91" i="8"/>
  <c r="F91" i="8"/>
  <c r="Q91" i="8"/>
  <c r="G83" i="8"/>
  <c r="F83" i="8"/>
  <c r="H83" i="8"/>
  <c r="F67" i="8"/>
  <c r="G67" i="8"/>
  <c r="F59" i="8"/>
  <c r="F43" i="8"/>
  <c r="G43" i="8"/>
  <c r="F35" i="8"/>
  <c r="G27" i="8"/>
  <c r="Q27" i="8"/>
  <c r="F19" i="8"/>
  <c r="G19" i="8"/>
  <c r="H19" i="8"/>
  <c r="F11" i="8"/>
  <c r="G11" i="8"/>
  <c r="G3" i="8"/>
  <c r="F3" i="8"/>
  <c r="H162" i="8"/>
  <c r="H154" i="8"/>
  <c r="H138" i="8"/>
  <c r="H130" i="8"/>
  <c r="H122" i="8"/>
  <c r="H114" i="8"/>
  <c r="H98" i="8"/>
  <c r="H90" i="8"/>
  <c r="H74" i="8"/>
  <c r="H66" i="8"/>
  <c r="H58" i="8"/>
  <c r="H50" i="8"/>
  <c r="H34" i="8"/>
  <c r="H26" i="8"/>
  <c r="H10" i="8"/>
  <c r="Q177" i="8"/>
  <c r="Q169" i="8"/>
  <c r="Q161" i="8"/>
  <c r="Q145" i="8"/>
  <c r="Q137" i="8"/>
  <c r="Q121" i="8"/>
  <c r="Q113" i="8"/>
  <c r="Q105" i="8"/>
  <c r="Q97" i="8"/>
  <c r="Q81" i="8"/>
  <c r="Q73" i="8"/>
  <c r="Q57" i="8"/>
  <c r="Q49" i="8"/>
  <c r="Q41" i="8"/>
  <c r="Q33" i="8"/>
  <c r="Q17" i="8"/>
  <c r="Q9" i="8"/>
  <c r="F175" i="8"/>
  <c r="F95" i="8"/>
  <c r="F65" i="8"/>
  <c r="H171" i="8"/>
  <c r="H131" i="8"/>
  <c r="Q164" i="8"/>
  <c r="Q114" i="8"/>
  <c r="Q11" i="8"/>
  <c r="G36" i="8"/>
  <c r="H44" i="8"/>
  <c r="Q52" i="8"/>
  <c r="F165" i="8"/>
  <c r="F157" i="8"/>
  <c r="F93" i="8"/>
  <c r="G133" i="8"/>
  <c r="G69" i="8"/>
  <c r="G44" i="8"/>
  <c r="G30" i="8"/>
  <c r="G5" i="8"/>
  <c r="G47" i="8"/>
  <c r="G39" i="8"/>
  <c r="G31" i="8"/>
  <c r="G23" i="8"/>
  <c r="G15" i="8"/>
  <c r="G7" i="8"/>
  <c r="Q173" i="8"/>
  <c r="Q165" i="8"/>
  <c r="Q157" i="8"/>
  <c r="Q149" i="8"/>
  <c r="Q141" i="8"/>
  <c r="Q133" i="8"/>
  <c r="Q125" i="8"/>
  <c r="Q117" i="8"/>
  <c r="Q109" i="8"/>
  <c r="Q101" i="8"/>
  <c r="Q93" i="8"/>
  <c r="Q85" i="8"/>
  <c r="Q77" i="8"/>
  <c r="Q69" i="8"/>
  <c r="Q61" i="8"/>
  <c r="Q53" i="8"/>
  <c r="Q45" i="8"/>
  <c r="Q37" i="8"/>
  <c r="Q29" i="8"/>
  <c r="Q21" i="8"/>
  <c r="Q13" i="8"/>
  <c r="Q5" i="8"/>
  <c r="F102" i="8"/>
  <c r="F7" i="8"/>
  <c r="G54" i="8"/>
  <c r="G29" i="8"/>
  <c r="G4" i="8"/>
  <c r="F101" i="8"/>
  <c r="F31" i="8"/>
  <c r="G142" i="8"/>
  <c r="G78" i="8"/>
  <c r="G141" i="8"/>
  <c r="G77" i="8"/>
  <c r="F15" i="8"/>
  <c r="G162" i="6"/>
  <c r="H162" i="6"/>
  <c r="Q162" i="6"/>
  <c r="F162" i="6"/>
  <c r="F154" i="6"/>
  <c r="G154" i="6"/>
  <c r="F146" i="6"/>
  <c r="G146" i="6"/>
  <c r="F138" i="6"/>
  <c r="G138" i="6"/>
  <c r="F130" i="6"/>
  <c r="G130" i="6"/>
  <c r="H130" i="6"/>
  <c r="Q130" i="6"/>
  <c r="F122" i="6"/>
  <c r="G122" i="6"/>
  <c r="F114" i="6"/>
  <c r="G114" i="6"/>
  <c r="G170" i="6"/>
  <c r="F170" i="6"/>
  <c r="G177" i="6"/>
  <c r="Q177" i="6"/>
  <c r="F177" i="6"/>
  <c r="G169" i="6"/>
  <c r="F169" i="6"/>
  <c r="Q169" i="6"/>
  <c r="G161" i="6"/>
  <c r="F161" i="6"/>
  <c r="G153" i="6"/>
  <c r="F153" i="6"/>
  <c r="G145" i="6"/>
  <c r="F145" i="6"/>
  <c r="Q145" i="6"/>
  <c r="G137" i="6"/>
  <c r="F137" i="6"/>
  <c r="Q137" i="6"/>
  <c r="G129" i="6"/>
  <c r="F129" i="6"/>
  <c r="G121" i="6"/>
  <c r="F121" i="6"/>
  <c r="G113" i="6"/>
  <c r="F113" i="6"/>
  <c r="Q113" i="6"/>
  <c r="G105" i="6"/>
  <c r="F105" i="6"/>
  <c r="Q105" i="6"/>
  <c r="G97" i="6"/>
  <c r="F97" i="6"/>
  <c r="G89" i="6"/>
  <c r="F89" i="6"/>
  <c r="G81" i="6"/>
  <c r="F81" i="6"/>
  <c r="Q81" i="6"/>
  <c r="G73" i="6"/>
  <c r="F73" i="6"/>
  <c r="Q73" i="6"/>
  <c r="G65" i="6"/>
  <c r="F65" i="6"/>
  <c r="G176" i="6"/>
  <c r="F176" i="6"/>
  <c r="G168" i="6"/>
  <c r="F168" i="6"/>
  <c r="G160" i="6"/>
  <c r="F160" i="6"/>
  <c r="G152" i="6"/>
  <c r="F152" i="6"/>
  <c r="G144" i="6"/>
  <c r="F144" i="6"/>
  <c r="G136" i="6"/>
  <c r="F136" i="6"/>
  <c r="G128" i="6"/>
  <c r="F128" i="6"/>
  <c r="G120" i="6"/>
  <c r="F120" i="6"/>
  <c r="G112" i="6"/>
  <c r="F112" i="6"/>
  <c r="G104" i="6"/>
  <c r="F104" i="6"/>
  <c r="G88" i="6"/>
  <c r="F88" i="6"/>
  <c r="G80" i="6"/>
  <c r="F80" i="6"/>
  <c r="G72" i="6"/>
  <c r="F72" i="6"/>
  <c r="G64" i="6"/>
  <c r="F64" i="6"/>
  <c r="G56" i="6"/>
  <c r="F56" i="6"/>
  <c r="G48" i="6"/>
  <c r="F48" i="6"/>
  <c r="G40" i="6"/>
  <c r="F40" i="6"/>
  <c r="G32" i="6"/>
  <c r="F32" i="6"/>
  <c r="G24" i="6"/>
  <c r="F24" i="6"/>
  <c r="F16" i="6"/>
  <c r="G16" i="6"/>
  <c r="F8" i="6"/>
  <c r="G8" i="6"/>
  <c r="Q174" i="6"/>
  <c r="Q166" i="6"/>
  <c r="Q158" i="6"/>
  <c r="Q150" i="6"/>
  <c r="Q142" i="6"/>
  <c r="Q134" i="6"/>
  <c r="Q126" i="6"/>
  <c r="Q118" i="6"/>
  <c r="Q110" i="6"/>
  <c r="G175" i="6"/>
  <c r="F175" i="6"/>
  <c r="G167" i="6"/>
  <c r="F167" i="6"/>
  <c r="G159" i="6"/>
  <c r="F159" i="6"/>
  <c r="G151" i="6"/>
  <c r="F151" i="6"/>
  <c r="G143" i="6"/>
  <c r="F143" i="6"/>
  <c r="G135" i="6"/>
  <c r="F135" i="6"/>
  <c r="G127" i="6"/>
  <c r="F127" i="6"/>
  <c r="G119" i="6"/>
  <c r="F119" i="6"/>
  <c r="G111" i="6"/>
  <c r="F111" i="6"/>
  <c r="G103" i="6"/>
  <c r="F103" i="6"/>
  <c r="F95" i="6"/>
  <c r="F87" i="6"/>
  <c r="F79" i="6"/>
  <c r="F63" i="6"/>
  <c r="F55" i="6"/>
  <c r="F47" i="6"/>
  <c r="G96" i="6"/>
  <c r="F96" i="6"/>
  <c r="G174" i="6"/>
  <c r="F174" i="6"/>
  <c r="G166" i="6"/>
  <c r="F166" i="6"/>
  <c r="G158" i="6"/>
  <c r="F158" i="6"/>
  <c r="G150" i="6"/>
  <c r="F150" i="6"/>
  <c r="G142" i="6"/>
  <c r="F142" i="6"/>
  <c r="G134" i="6"/>
  <c r="F134" i="6"/>
  <c r="G126" i="6"/>
  <c r="F126" i="6"/>
  <c r="G118" i="6"/>
  <c r="F118" i="6"/>
  <c r="G110" i="6"/>
  <c r="F110" i="6"/>
  <c r="G102" i="6"/>
  <c r="F102" i="6"/>
  <c r="G94" i="6"/>
  <c r="F94" i="6"/>
  <c r="G86" i="6"/>
  <c r="F86" i="6"/>
  <c r="G78" i="6"/>
  <c r="F78" i="6"/>
  <c r="G70" i="6"/>
  <c r="F70" i="6"/>
  <c r="G62" i="6"/>
  <c r="F62" i="6"/>
  <c r="G54" i="6"/>
  <c r="F54" i="6"/>
  <c r="G46" i="6"/>
  <c r="F46" i="6"/>
  <c r="G38" i="6"/>
  <c r="F38" i="6"/>
  <c r="F30" i="6"/>
  <c r="G30" i="6"/>
  <c r="Q170" i="6"/>
  <c r="Q154" i="6"/>
  <c r="Q146" i="6"/>
  <c r="Q138" i="6"/>
  <c r="Q122" i="6"/>
  <c r="Q114" i="6"/>
  <c r="F22" i="6"/>
  <c r="G22" i="6"/>
  <c r="F14" i="6"/>
  <c r="G14" i="6"/>
  <c r="F6" i="6"/>
  <c r="G6" i="6"/>
  <c r="H173" i="6"/>
  <c r="H165" i="6"/>
  <c r="H157" i="6"/>
  <c r="H149" i="6"/>
  <c r="H141" i="6"/>
  <c r="H133" i="6"/>
  <c r="H125" i="6"/>
  <c r="H117" i="6"/>
  <c r="H109" i="6"/>
  <c r="H101" i="6"/>
  <c r="H93" i="6"/>
  <c r="H85" i="6"/>
  <c r="H77" i="6"/>
  <c r="H69" i="6"/>
  <c r="H61" i="6"/>
  <c r="H53" i="6"/>
  <c r="H45" i="6"/>
  <c r="H37" i="6"/>
  <c r="H29" i="6"/>
  <c r="H21" i="6"/>
  <c r="H13" i="6"/>
  <c r="H5" i="6"/>
  <c r="Q172" i="6"/>
  <c r="Q164" i="6"/>
  <c r="Q156" i="6"/>
  <c r="Q148" i="6"/>
  <c r="Q140" i="6"/>
  <c r="Q132" i="6"/>
  <c r="Q124" i="6"/>
  <c r="Q116" i="6"/>
  <c r="Q108" i="6"/>
  <c r="Q100" i="6"/>
  <c r="Q92" i="6"/>
  <c r="Q84" i="6"/>
  <c r="Q76" i="6"/>
  <c r="Q68" i="6"/>
  <c r="Q60" i="6"/>
  <c r="Q52" i="6"/>
  <c r="Q44" i="6"/>
  <c r="Q36" i="6"/>
  <c r="Q28" i="6"/>
  <c r="Q20" i="6"/>
  <c r="Q12" i="6"/>
  <c r="Q4" i="6"/>
  <c r="F171" i="6"/>
  <c r="F163" i="6"/>
  <c r="F155" i="6"/>
  <c r="F124" i="6"/>
  <c r="F92" i="6"/>
  <c r="F60" i="6"/>
  <c r="Q41" i="6"/>
  <c r="F133" i="6"/>
  <c r="F69" i="6"/>
  <c r="F57" i="6"/>
  <c r="F37" i="6"/>
  <c r="G132" i="6"/>
  <c r="G68" i="6"/>
  <c r="G4" i="6"/>
  <c r="Q10" i="6"/>
  <c r="F20" i="6"/>
  <c r="F101" i="6"/>
  <c r="F21" i="6"/>
  <c r="G164" i="6"/>
  <c r="G100" i="6"/>
  <c r="G36" i="6"/>
  <c r="F147" i="6"/>
  <c r="F139" i="6"/>
  <c r="F131" i="6"/>
  <c r="F123" i="6"/>
  <c r="F115" i="6"/>
  <c r="F107" i="6"/>
  <c r="F99" i="6"/>
  <c r="F91" i="6"/>
  <c r="F83" i="6"/>
  <c r="F75" i="6"/>
  <c r="F67" i="6"/>
  <c r="F59" i="6"/>
  <c r="F51" i="6"/>
  <c r="F43" i="6"/>
  <c r="F35" i="6"/>
  <c r="F27" i="6"/>
  <c r="F19" i="6"/>
  <c r="F11" i="6"/>
  <c r="F3" i="6"/>
  <c r="F141" i="6"/>
  <c r="F109" i="6"/>
  <c r="F77" i="6"/>
  <c r="F45" i="6"/>
  <c r="F33" i="6"/>
  <c r="F13" i="6"/>
  <c r="G156" i="6"/>
  <c r="F106" i="6"/>
  <c r="G106" i="6"/>
  <c r="F98" i="6"/>
  <c r="G98" i="6"/>
  <c r="F90" i="6"/>
  <c r="G90" i="6"/>
  <c r="F82" i="6"/>
  <c r="G82" i="6"/>
  <c r="F74" i="6"/>
  <c r="G74" i="6"/>
  <c r="F66" i="6"/>
  <c r="G66" i="6"/>
  <c r="F58" i="6"/>
  <c r="G58" i="6"/>
  <c r="F50" i="6"/>
  <c r="G50" i="6"/>
  <c r="F42" i="6"/>
  <c r="G42" i="6"/>
  <c r="F34" i="6"/>
  <c r="G34" i="6"/>
  <c r="F26" i="6"/>
  <c r="G26" i="6"/>
  <c r="F18" i="6"/>
  <c r="G18" i="6"/>
  <c r="F10" i="6"/>
  <c r="G10" i="6"/>
  <c r="H177" i="6"/>
  <c r="H169" i="6"/>
  <c r="H161" i="6"/>
  <c r="H153" i="6"/>
  <c r="H145" i="6"/>
  <c r="H137" i="6"/>
  <c r="H129" i="6"/>
  <c r="H121" i="6"/>
  <c r="H113" i="6"/>
  <c r="H105" i="6"/>
  <c r="H97" i="6"/>
  <c r="H89" i="6"/>
  <c r="H81" i="6"/>
  <c r="H73" i="6"/>
  <c r="H65" i="6"/>
  <c r="H57" i="6"/>
  <c r="H49" i="6"/>
  <c r="H41" i="6"/>
  <c r="H33" i="6"/>
  <c r="H25" i="6"/>
  <c r="H17" i="6"/>
  <c r="H9" i="6"/>
  <c r="Q176" i="6"/>
  <c r="Q168" i="6"/>
  <c r="Q160" i="6"/>
  <c r="Q152" i="6"/>
  <c r="Q144" i="6"/>
  <c r="Q136" i="6"/>
  <c r="Q128" i="6"/>
  <c r="Q120" i="6"/>
  <c r="Q112" i="6"/>
  <c r="Q104" i="6"/>
  <c r="Q96" i="6"/>
  <c r="Q88" i="6"/>
  <c r="Q80" i="6"/>
  <c r="Q72" i="6"/>
  <c r="Q64" i="6"/>
  <c r="Q56" i="6"/>
  <c r="Q48" i="6"/>
  <c r="Q40" i="6"/>
  <c r="Q32" i="6"/>
  <c r="Q24" i="6"/>
  <c r="Q16" i="6"/>
  <c r="Q8" i="6"/>
  <c r="F140" i="6"/>
  <c r="F108" i="6"/>
  <c r="F76" i="6"/>
  <c r="F44" i="6"/>
  <c r="F12" i="6"/>
  <c r="G123" i="6"/>
  <c r="G91" i="6"/>
  <c r="G59" i="6"/>
  <c r="G27" i="6"/>
  <c r="F17" i="6"/>
  <c r="G17" i="6"/>
  <c r="F9" i="6"/>
  <c r="G9" i="6"/>
  <c r="H176" i="6"/>
  <c r="H168" i="6"/>
  <c r="H160" i="6"/>
  <c r="H152" i="6"/>
  <c r="H144" i="6"/>
  <c r="H136" i="6"/>
  <c r="H128" i="6"/>
  <c r="H120" i="6"/>
  <c r="H112" i="6"/>
  <c r="H104" i="6"/>
  <c r="H96" i="6"/>
  <c r="H88" i="6"/>
  <c r="H80" i="6"/>
  <c r="H72" i="6"/>
  <c r="H64" i="6"/>
  <c r="H56" i="6"/>
  <c r="H48" i="6"/>
  <c r="H40" i="6"/>
  <c r="H32" i="6"/>
  <c r="H24" i="6"/>
  <c r="H16" i="6"/>
  <c r="H8" i="6"/>
  <c r="Q175" i="6"/>
  <c r="Q167" i="6"/>
  <c r="Q159" i="6"/>
  <c r="Q151" i="6"/>
  <c r="Q143" i="6"/>
  <c r="Q135" i="6"/>
  <c r="Q127" i="6"/>
  <c r="Q119" i="6"/>
  <c r="Q111" i="6"/>
  <c r="Q103" i="6"/>
  <c r="Q95" i="6"/>
  <c r="Q87" i="6"/>
  <c r="Q79" i="6"/>
  <c r="Q71" i="6"/>
  <c r="Q63" i="6"/>
  <c r="Q55" i="6"/>
  <c r="Q47" i="6"/>
  <c r="Q39" i="6"/>
  <c r="Q31" i="6"/>
  <c r="Q23" i="6"/>
  <c r="Q15" i="6"/>
  <c r="Q7" i="6"/>
  <c r="F149" i="6"/>
  <c r="F117" i="6"/>
  <c r="F85" i="6"/>
  <c r="F53" i="6"/>
  <c r="F41" i="6"/>
  <c r="F29" i="6"/>
  <c r="F5" i="6"/>
  <c r="Q102" i="6"/>
  <c r="Q94" i="6"/>
  <c r="Q86" i="6"/>
  <c r="Q78" i="6"/>
  <c r="Q70" i="6"/>
  <c r="Q62" i="6"/>
  <c r="Q54" i="6"/>
  <c r="Q46" i="6"/>
  <c r="Q38" i="6"/>
  <c r="Q30" i="6"/>
  <c r="Q22" i="6"/>
  <c r="Q14" i="6"/>
  <c r="Q6" i="6"/>
  <c r="F173" i="6"/>
  <c r="F165" i="6"/>
  <c r="F157" i="6"/>
  <c r="F148" i="6"/>
  <c r="F116" i="6"/>
  <c r="F84" i="6"/>
  <c r="F52" i="6"/>
  <c r="F28" i="6"/>
  <c r="F4" i="6"/>
  <c r="H98" i="6"/>
  <c r="H66" i="6"/>
  <c r="H34" i="6"/>
  <c r="Q49" i="6"/>
  <c r="Q17" i="6"/>
  <c r="G95" i="6"/>
  <c r="G87" i="6"/>
  <c r="G79" i="6"/>
  <c r="G71" i="6"/>
  <c r="G63" i="6"/>
  <c r="G55" i="6"/>
  <c r="G47" i="6"/>
  <c r="G39" i="6"/>
  <c r="F31" i="6"/>
  <c r="G31" i="6"/>
  <c r="F23" i="6"/>
  <c r="G23" i="6"/>
  <c r="F15" i="6"/>
  <c r="G15" i="6"/>
  <c r="F7" i="6"/>
  <c r="G7" i="6"/>
  <c r="H174" i="6"/>
  <c r="H166" i="6"/>
  <c r="H158" i="6"/>
  <c r="H150" i="6"/>
  <c r="H142" i="6"/>
  <c r="H134" i="6"/>
  <c r="H126" i="6"/>
  <c r="H118" i="6"/>
  <c r="H110" i="6"/>
  <c r="H102" i="6"/>
  <c r="H94" i="6"/>
  <c r="H86" i="6"/>
  <c r="H78" i="6"/>
  <c r="H70" i="6"/>
  <c r="H62" i="6"/>
  <c r="H54" i="6"/>
  <c r="H46" i="6"/>
  <c r="H38" i="6"/>
  <c r="H30" i="6"/>
  <c r="H22" i="6"/>
  <c r="H14" i="6"/>
  <c r="H6" i="6"/>
  <c r="Q173" i="6"/>
  <c r="Q165" i="6"/>
  <c r="Q157" i="6"/>
  <c r="Q149" i="6"/>
  <c r="Q141" i="6"/>
  <c r="Q133" i="6"/>
  <c r="Q125" i="6"/>
  <c r="Q117" i="6"/>
  <c r="Q109" i="6"/>
  <c r="Q101" i="6"/>
  <c r="Q93" i="6"/>
  <c r="Q85" i="6"/>
  <c r="Q77" i="6"/>
  <c r="Q69" i="6"/>
  <c r="Q61" i="6"/>
  <c r="Q53" i="6"/>
  <c r="Q45" i="6"/>
  <c r="Q37" i="6"/>
  <c r="Q29" i="6"/>
  <c r="Q21" i="6"/>
  <c r="Q13" i="6"/>
  <c r="Q5" i="6"/>
  <c r="F172" i="6"/>
  <c r="F125" i="6"/>
  <c r="F93" i="6"/>
  <c r="F71" i="6"/>
  <c r="F61" i="6"/>
  <c r="F49" i="6"/>
  <c r="F39" i="6"/>
  <c r="F25" i="6"/>
  <c r="G168" i="4"/>
  <c r="F168" i="4"/>
  <c r="G128" i="4"/>
  <c r="F128" i="4"/>
  <c r="G88" i="4"/>
  <c r="F88" i="4"/>
  <c r="G40" i="4"/>
  <c r="F40" i="4"/>
  <c r="G177" i="4"/>
  <c r="F177" i="4"/>
  <c r="F169" i="4"/>
  <c r="G169" i="4"/>
  <c r="F161" i="4"/>
  <c r="F153" i="4"/>
  <c r="G153" i="4"/>
  <c r="F145" i="4"/>
  <c r="F137" i="4"/>
  <c r="G137" i="4"/>
  <c r="F129" i="4"/>
  <c r="F121" i="4"/>
  <c r="G121" i="4"/>
  <c r="F113" i="4"/>
  <c r="F105" i="4"/>
  <c r="G105" i="4"/>
  <c r="F97" i="4"/>
  <c r="F89" i="4"/>
  <c r="G89" i="4"/>
  <c r="F81" i="4"/>
  <c r="F73" i="4"/>
  <c r="G73" i="4"/>
  <c r="F65" i="4"/>
  <c r="F57" i="4"/>
  <c r="G57" i="4"/>
  <c r="F49" i="4"/>
  <c r="F41" i="4"/>
  <c r="G41" i="4"/>
  <c r="F33" i="4"/>
  <c r="F25" i="4"/>
  <c r="G25" i="4"/>
  <c r="F17" i="4"/>
  <c r="F9" i="4"/>
  <c r="G9" i="4"/>
  <c r="H168" i="4"/>
  <c r="H152" i="4"/>
  <c r="H136" i="4"/>
  <c r="H120" i="4"/>
  <c r="H104" i="4"/>
  <c r="H88" i="4"/>
  <c r="H72" i="4"/>
  <c r="H56" i="4"/>
  <c r="H48" i="4"/>
  <c r="H40" i="4"/>
  <c r="H32" i="4"/>
  <c r="H24" i="4"/>
  <c r="H16" i="4"/>
  <c r="H8" i="4"/>
  <c r="Q175" i="4"/>
  <c r="Q167" i="4"/>
  <c r="F63" i="4"/>
  <c r="G145" i="4"/>
  <c r="G17" i="4"/>
  <c r="G144" i="4"/>
  <c r="F144" i="4"/>
  <c r="G104" i="4"/>
  <c r="F104" i="4"/>
  <c r="G64" i="4"/>
  <c r="F64" i="4"/>
  <c r="G24" i="4"/>
  <c r="F24" i="4"/>
  <c r="G152" i="4"/>
  <c r="F152" i="4"/>
  <c r="G112" i="4"/>
  <c r="F112" i="4"/>
  <c r="G80" i="4"/>
  <c r="F80" i="4"/>
  <c r="G48" i="4"/>
  <c r="F48" i="4"/>
  <c r="G16" i="4"/>
  <c r="F16" i="4"/>
  <c r="G159" i="4"/>
  <c r="F151" i="4"/>
  <c r="G151" i="4"/>
  <c r="F143" i="4"/>
  <c r="G143" i="4"/>
  <c r="G135" i="4"/>
  <c r="F135" i="4"/>
  <c r="G127" i="4"/>
  <c r="F119" i="4"/>
  <c r="G119" i="4"/>
  <c r="F111" i="4"/>
  <c r="G111" i="4"/>
  <c r="G103" i="4"/>
  <c r="F103" i="4"/>
  <c r="G95" i="4"/>
  <c r="F87" i="4"/>
  <c r="F79" i="4"/>
  <c r="G71" i="4"/>
  <c r="G63" i="4"/>
  <c r="F23" i="4"/>
  <c r="F15" i="4"/>
  <c r="H174" i="4"/>
  <c r="H166" i="4"/>
  <c r="H158" i="4"/>
  <c r="H150" i="4"/>
  <c r="H142" i="4"/>
  <c r="H134" i="4"/>
  <c r="H126" i="4"/>
  <c r="H118" i="4"/>
  <c r="H110" i="4"/>
  <c r="H102" i="4"/>
  <c r="H94" i="4"/>
  <c r="H86" i="4"/>
  <c r="H78" i="4"/>
  <c r="H70" i="4"/>
  <c r="F127" i="4"/>
  <c r="F42" i="4"/>
  <c r="G113" i="4"/>
  <c r="G176" i="4"/>
  <c r="F176" i="4"/>
  <c r="G136" i="4"/>
  <c r="F136" i="4"/>
  <c r="G96" i="4"/>
  <c r="F96" i="4"/>
  <c r="G56" i="4"/>
  <c r="F56" i="4"/>
  <c r="G32" i="4"/>
  <c r="F32" i="4"/>
  <c r="G8" i="4"/>
  <c r="F8" i="4"/>
  <c r="G166" i="4"/>
  <c r="F166" i="4"/>
  <c r="G158" i="4"/>
  <c r="F158" i="4"/>
  <c r="G134" i="4"/>
  <c r="F134" i="4"/>
  <c r="G126" i="4"/>
  <c r="F126" i="4"/>
  <c r="G118" i="4"/>
  <c r="F118" i="4"/>
  <c r="G110" i="4"/>
  <c r="F110" i="4"/>
  <c r="G102" i="4"/>
  <c r="F102" i="4"/>
  <c r="G94" i="4"/>
  <c r="F94" i="4"/>
  <c r="G86" i="4"/>
  <c r="F86" i="4"/>
  <c r="G78" i="4"/>
  <c r="F78" i="4"/>
  <c r="G70" i="4"/>
  <c r="F70" i="4"/>
  <c r="G62" i="4"/>
  <c r="F62" i="4"/>
  <c r="G54" i="4"/>
  <c r="F54" i="4"/>
  <c r="G46" i="4"/>
  <c r="F46" i="4"/>
  <c r="G38" i="4"/>
  <c r="F38" i="4"/>
  <c r="G30" i="4"/>
  <c r="F30" i="4"/>
  <c r="G22" i="4"/>
  <c r="F22" i="4"/>
  <c r="G14" i="4"/>
  <c r="F14" i="4"/>
  <c r="G6" i="4"/>
  <c r="F6" i="4"/>
  <c r="G97" i="4"/>
  <c r="Q169" i="4"/>
  <c r="G167" i="4"/>
  <c r="G150" i="4"/>
  <c r="F150" i="4"/>
  <c r="F173" i="4"/>
  <c r="G173" i="4"/>
  <c r="G165" i="4"/>
  <c r="F165" i="4"/>
  <c r="G157" i="4"/>
  <c r="F157" i="4"/>
  <c r="G149" i="4"/>
  <c r="G141" i="4"/>
  <c r="F141" i="4"/>
  <c r="G133" i="4"/>
  <c r="F133" i="4"/>
  <c r="G125" i="4"/>
  <c r="F125" i="4"/>
  <c r="G117" i="4"/>
  <c r="G109" i="4"/>
  <c r="F109" i="4"/>
  <c r="G101" i="4"/>
  <c r="F101" i="4"/>
  <c r="G93" i="4"/>
  <c r="F93" i="4"/>
  <c r="G85" i="4"/>
  <c r="G77" i="4"/>
  <c r="F77" i="4"/>
  <c r="G69" i="4"/>
  <c r="F69" i="4"/>
  <c r="G61" i="4"/>
  <c r="F61" i="4"/>
  <c r="G45" i="4"/>
  <c r="F45" i="4"/>
  <c r="G37" i="4"/>
  <c r="F37" i="4"/>
  <c r="G29" i="4"/>
  <c r="F29" i="4"/>
  <c r="G13" i="4"/>
  <c r="F13" i="4"/>
  <c r="G5" i="4"/>
  <c r="F5" i="4"/>
  <c r="H172" i="4"/>
  <c r="H164" i="4"/>
  <c r="F106" i="4"/>
  <c r="F21" i="4"/>
  <c r="G81" i="4"/>
  <c r="Q137" i="4"/>
  <c r="G142" i="4"/>
  <c r="F142" i="4"/>
  <c r="F172" i="4"/>
  <c r="G172" i="4"/>
  <c r="G164" i="4"/>
  <c r="F164" i="4"/>
  <c r="F156" i="4"/>
  <c r="G156" i="4"/>
  <c r="G148" i="4"/>
  <c r="F148" i="4"/>
  <c r="G140" i="4"/>
  <c r="F140" i="4"/>
  <c r="G132" i="4"/>
  <c r="F132" i="4"/>
  <c r="F124" i="4"/>
  <c r="G124" i="4"/>
  <c r="G116" i="4"/>
  <c r="F116" i="4"/>
  <c r="G108" i="4"/>
  <c r="F108" i="4"/>
  <c r="G100" i="4"/>
  <c r="F100" i="4"/>
  <c r="F92" i="4"/>
  <c r="G92" i="4"/>
  <c r="G84" i="4"/>
  <c r="F84" i="4"/>
  <c r="G76" i="4"/>
  <c r="F76" i="4"/>
  <c r="G68" i="4"/>
  <c r="F68" i="4"/>
  <c r="F60" i="4"/>
  <c r="F28" i="4"/>
  <c r="H171" i="4"/>
  <c r="H163" i="4"/>
  <c r="H155" i="4"/>
  <c r="H147" i="4"/>
  <c r="H139" i="4"/>
  <c r="H131" i="4"/>
  <c r="H123" i="4"/>
  <c r="H115" i="4"/>
  <c r="H107" i="4"/>
  <c r="H99" i="4"/>
  <c r="H91" i="4"/>
  <c r="H83" i="4"/>
  <c r="H75" i="4"/>
  <c r="H67" i="4"/>
  <c r="H59" i="4"/>
  <c r="H51" i="4"/>
  <c r="H35" i="4"/>
  <c r="H27" i="4"/>
  <c r="H19" i="4"/>
  <c r="F95" i="4"/>
  <c r="F10" i="4"/>
  <c r="G65" i="4"/>
  <c r="Q105" i="4"/>
  <c r="G160" i="4"/>
  <c r="F160" i="4"/>
  <c r="G120" i="4"/>
  <c r="F120" i="4"/>
  <c r="G72" i="4"/>
  <c r="F72" i="4"/>
  <c r="G175" i="4"/>
  <c r="F171" i="4"/>
  <c r="G171" i="4"/>
  <c r="F163" i="4"/>
  <c r="G163" i="4"/>
  <c r="F155" i="4"/>
  <c r="G155" i="4"/>
  <c r="F147" i="4"/>
  <c r="G147" i="4"/>
  <c r="F139" i="4"/>
  <c r="G139" i="4"/>
  <c r="F131" i="4"/>
  <c r="G131" i="4"/>
  <c r="F123" i="4"/>
  <c r="G123" i="4"/>
  <c r="F115" i="4"/>
  <c r="G115" i="4"/>
  <c r="F107" i="4"/>
  <c r="G107" i="4"/>
  <c r="F99" i="4"/>
  <c r="G99" i="4"/>
  <c r="F91" i="4"/>
  <c r="G91" i="4"/>
  <c r="F83" i="4"/>
  <c r="G83" i="4"/>
  <c r="F75" i="4"/>
  <c r="G75" i="4"/>
  <c r="F67" i="4"/>
  <c r="G67" i="4"/>
  <c r="F59" i="4"/>
  <c r="G59" i="4"/>
  <c r="F51" i="4"/>
  <c r="G51" i="4"/>
  <c r="F43" i="4"/>
  <c r="G43" i="4"/>
  <c r="F35" i="4"/>
  <c r="G35" i="4"/>
  <c r="F27" i="4"/>
  <c r="G27" i="4"/>
  <c r="F19" i="4"/>
  <c r="G19" i="4"/>
  <c r="F11" i="4"/>
  <c r="G11" i="4"/>
  <c r="F3" i="4"/>
  <c r="G3" i="4"/>
  <c r="H170" i="4"/>
  <c r="H162" i="4"/>
  <c r="H154" i="4"/>
  <c r="H146" i="4"/>
  <c r="H138" i="4"/>
  <c r="H130" i="4"/>
  <c r="H122" i="4"/>
  <c r="H114" i="4"/>
  <c r="H106" i="4"/>
  <c r="H98" i="4"/>
  <c r="H90" i="4"/>
  <c r="H82" i="4"/>
  <c r="H74" i="4"/>
  <c r="H66" i="4"/>
  <c r="H58" i="4"/>
  <c r="H50" i="4"/>
  <c r="H42" i="4"/>
  <c r="H34" i="4"/>
  <c r="H26" i="4"/>
  <c r="H18" i="4"/>
  <c r="H10" i="4"/>
  <c r="Q177" i="4"/>
  <c r="Q161" i="4"/>
  <c r="Q153" i="4"/>
  <c r="Q145" i="4"/>
  <c r="Q129" i="4"/>
  <c r="Q121" i="4"/>
  <c r="Q113" i="4"/>
  <c r="Q97" i="4"/>
  <c r="Q89" i="4"/>
  <c r="Q81" i="4"/>
  <c r="Q65" i="4"/>
  <c r="Q57" i="4"/>
  <c r="Q49" i="4"/>
  <c r="Q33" i="4"/>
  <c r="Q25" i="4"/>
  <c r="Q17" i="4"/>
  <c r="Q9" i="4"/>
  <c r="F167" i="4"/>
  <c r="F85" i="4"/>
  <c r="G174" i="4"/>
  <c r="G49" i="4"/>
  <c r="Q73" i="4"/>
  <c r="G170" i="4"/>
  <c r="F170" i="4"/>
  <c r="G162" i="4"/>
  <c r="F162" i="4"/>
  <c r="G154" i="4"/>
  <c r="F154" i="4"/>
  <c r="G146" i="4"/>
  <c r="F146" i="4"/>
  <c r="G130" i="4"/>
  <c r="F130" i="4"/>
  <c r="G122" i="4"/>
  <c r="F122" i="4"/>
  <c r="G114" i="4"/>
  <c r="F114" i="4"/>
  <c r="G98" i="4"/>
  <c r="F98" i="4"/>
  <c r="G90" i="4"/>
  <c r="F90" i="4"/>
  <c r="G82" i="4"/>
  <c r="F82" i="4"/>
  <c r="G66" i="4"/>
  <c r="F66" i="4"/>
  <c r="G58" i="4"/>
  <c r="F58" i="4"/>
  <c r="G50" i="4"/>
  <c r="F50" i="4"/>
  <c r="G34" i="4"/>
  <c r="F34" i="4"/>
  <c r="G26" i="4"/>
  <c r="F26" i="4"/>
  <c r="G18" i="4"/>
  <c r="F18" i="4"/>
  <c r="H177" i="4"/>
  <c r="H169" i="4"/>
  <c r="H161" i="4"/>
  <c r="H153" i="4"/>
  <c r="H145" i="4"/>
  <c r="H137" i="4"/>
  <c r="H129" i="4"/>
  <c r="H121" i="4"/>
  <c r="H113" i="4"/>
  <c r="H105" i="4"/>
  <c r="H97" i="4"/>
  <c r="H89" i="4"/>
  <c r="H81" i="4"/>
  <c r="H73" i="4"/>
  <c r="H65" i="4"/>
  <c r="H57" i="4"/>
  <c r="H49" i="4"/>
  <c r="H41" i="4"/>
  <c r="H33" i="4"/>
  <c r="H25" i="4"/>
  <c r="H17" i="4"/>
  <c r="H9" i="4"/>
  <c r="Q176" i="4"/>
  <c r="Q168" i="4"/>
  <c r="Q160" i="4"/>
  <c r="Q152" i="4"/>
  <c r="Q144" i="4"/>
  <c r="Q136" i="4"/>
  <c r="Q128" i="4"/>
  <c r="Q120" i="4"/>
  <c r="Q112" i="4"/>
  <c r="Q104" i="4"/>
  <c r="Q96" i="4"/>
  <c r="Q88" i="4"/>
  <c r="Q80" i="4"/>
  <c r="Q72" i="4"/>
  <c r="Q64" i="4"/>
  <c r="Q56" i="4"/>
  <c r="Q48" i="4"/>
  <c r="Q40" i="4"/>
  <c r="Q32" i="4"/>
  <c r="Q24" i="4"/>
  <c r="Q16" i="4"/>
  <c r="Q8" i="4"/>
  <c r="F159" i="4"/>
  <c r="F74" i="4"/>
  <c r="G161" i="4"/>
  <c r="G33" i="4"/>
  <c r="Q41" i="4"/>
  <c r="F44" i="4"/>
  <c r="F12" i="4"/>
  <c r="Q159" i="4"/>
  <c r="Q151" i="4"/>
  <c r="Q143" i="4"/>
  <c r="Q135" i="4"/>
  <c r="Q127" i="4"/>
  <c r="Q119" i="4"/>
  <c r="Q111" i="4"/>
  <c r="Q103" i="4"/>
  <c r="Q95" i="4"/>
  <c r="Q87" i="4"/>
  <c r="Q79" i="4"/>
  <c r="Q71" i="4"/>
  <c r="Q63" i="4"/>
  <c r="Q55" i="4"/>
  <c r="Q47" i="4"/>
  <c r="Q39" i="4"/>
  <c r="Q31" i="4"/>
  <c r="Q23" i="4"/>
  <c r="Q15" i="4"/>
  <c r="Q7" i="4"/>
  <c r="F52" i="4"/>
  <c r="F20" i="4"/>
  <c r="G79" i="4"/>
  <c r="G47" i="4"/>
  <c r="G15" i="4"/>
  <c r="H39" i="4"/>
  <c r="H31" i="4"/>
  <c r="H23" i="4"/>
  <c r="H15" i="4"/>
  <c r="H7" i="4"/>
  <c r="Q174" i="4"/>
  <c r="Q166" i="4"/>
  <c r="Q158" i="4"/>
  <c r="Q150" i="4"/>
  <c r="Q142" i="4"/>
  <c r="Q134" i="4"/>
  <c r="Q126" i="4"/>
  <c r="Q118" i="4"/>
  <c r="Q110" i="4"/>
  <c r="Q102" i="4"/>
  <c r="Q94" i="4"/>
  <c r="Q86" i="4"/>
  <c r="Q78" i="4"/>
  <c r="Q70" i="4"/>
  <c r="Q62" i="4"/>
  <c r="Q54" i="4"/>
  <c r="Q46" i="4"/>
  <c r="Q38" i="4"/>
  <c r="Q30" i="4"/>
  <c r="Q22" i="4"/>
  <c r="Q14" i="4"/>
  <c r="Q6" i="4"/>
  <c r="F71" i="4"/>
  <c r="F39" i="4"/>
  <c r="F7" i="4"/>
  <c r="G60" i="4"/>
  <c r="G28" i="4"/>
  <c r="Q21" i="4"/>
  <c r="Q13" i="4"/>
  <c r="Q5" i="4"/>
  <c r="H61" i="4"/>
  <c r="H53" i="4"/>
  <c r="H45" i="4"/>
  <c r="H37" i="4"/>
  <c r="H29" i="4"/>
  <c r="H21" i="4"/>
  <c r="H13" i="4"/>
  <c r="H5" i="4"/>
  <c r="Q172" i="4"/>
  <c r="Q164" i="4"/>
  <c r="Q156" i="4"/>
  <c r="Q148" i="4"/>
  <c r="Q140" i="4"/>
  <c r="Q132" i="4"/>
  <c r="Q124" i="4"/>
  <c r="Q116" i="4"/>
  <c r="Q108" i="4"/>
  <c r="Q100" i="4"/>
  <c r="Q92" i="4"/>
  <c r="Q84" i="4"/>
  <c r="Q76" i="4"/>
  <c r="Q68" i="4"/>
  <c r="Q60" i="4"/>
  <c r="Q52" i="4"/>
  <c r="Q44" i="4"/>
  <c r="Q36" i="4"/>
  <c r="Q28" i="4"/>
  <c r="Q20" i="4"/>
  <c r="Q12" i="4"/>
  <c r="Q4" i="4"/>
  <c r="H156" i="4"/>
  <c r="H148" i="4"/>
  <c r="H140" i="4"/>
  <c r="H132" i="4"/>
  <c r="H124" i="4"/>
  <c r="H116" i="4"/>
  <c r="H108" i="4"/>
  <c r="H100" i="4"/>
  <c r="H92" i="4"/>
  <c r="H84" i="4"/>
  <c r="H76" i="4"/>
  <c r="H68" i="4"/>
  <c r="H60" i="4"/>
  <c r="H52" i="4"/>
  <c r="H44" i="4"/>
  <c r="H36" i="4"/>
  <c r="H28" i="4"/>
  <c r="H20" i="4"/>
  <c r="H12" i="4"/>
  <c r="H4" i="4"/>
  <c r="Q171" i="4"/>
  <c r="Q163" i="4"/>
  <c r="Q155" i="4"/>
  <c r="Q147" i="4"/>
  <c r="Q139" i="4"/>
  <c r="Q131" i="4"/>
  <c r="Q123" i="4"/>
  <c r="Q115" i="4"/>
  <c r="Q107" i="4"/>
  <c r="Q99" i="4"/>
  <c r="Q91" i="4"/>
  <c r="Q83" i="4"/>
  <c r="Q75" i="4"/>
  <c r="Q67" i="4"/>
  <c r="Q59" i="4"/>
  <c r="Q51" i="4"/>
  <c r="Q43" i="4"/>
  <c r="Q35" i="4"/>
  <c r="Q27" i="4"/>
  <c r="Q19" i="4"/>
  <c r="Q11" i="4"/>
  <c r="Q3" i="4"/>
  <c r="F36" i="4"/>
  <c r="F4" i="4"/>
  <c r="G87" i="4"/>
  <c r="G55" i="4"/>
  <c r="G23" i="4"/>
  <c r="H11" i="4"/>
  <c r="H3" i="4"/>
  <c r="Q170" i="4"/>
  <c r="Q162" i="4"/>
  <c r="Q154" i="4"/>
  <c r="Q146" i="4"/>
  <c r="Q138" i="4"/>
  <c r="Q130" i="4"/>
  <c r="Q122" i="4"/>
  <c r="Q114" i="4"/>
  <c r="Q106" i="4"/>
  <c r="Q98" i="4"/>
  <c r="Q90" i="4"/>
  <c r="Q82" i="4"/>
  <c r="Q74" i="4"/>
  <c r="Q66" i="4"/>
  <c r="Q58" i="4"/>
  <c r="Q50" i="4"/>
  <c r="Q42" i="4"/>
  <c r="Q34" i="4"/>
  <c r="Q26" i="4"/>
  <c r="Q18" i="4"/>
  <c r="Q10" i="4"/>
  <c r="F169" i="1"/>
  <c r="F152" i="1"/>
  <c r="F116" i="1"/>
  <c r="F88" i="1"/>
  <c r="F52" i="1"/>
  <c r="G172" i="1"/>
  <c r="G163" i="1"/>
  <c r="G145" i="1"/>
  <c r="G133" i="1"/>
  <c r="G109" i="1"/>
  <c r="G83" i="1"/>
  <c r="G27" i="1"/>
  <c r="G11" i="1"/>
  <c r="Q153" i="1"/>
  <c r="Q121" i="1"/>
  <c r="Q89" i="1"/>
  <c r="Q57" i="1"/>
  <c r="F175" i="1"/>
  <c r="F150" i="1"/>
  <c r="F141" i="1"/>
  <c r="F132" i="1"/>
  <c r="F123" i="1"/>
  <c r="F114" i="1"/>
  <c r="F86" i="1"/>
  <c r="F77" i="1"/>
  <c r="F68" i="1"/>
  <c r="F59" i="1"/>
  <c r="F50" i="1"/>
  <c r="F22" i="1"/>
  <c r="F13" i="1"/>
  <c r="F4" i="1"/>
  <c r="G161" i="1"/>
  <c r="G151" i="1"/>
  <c r="G118" i="1"/>
  <c r="G106" i="1"/>
  <c r="G93" i="1"/>
  <c r="G81" i="1"/>
  <c r="G54" i="1"/>
  <c r="F49" i="1"/>
  <c r="G49" i="1"/>
  <c r="F33" i="1"/>
  <c r="G33" i="1"/>
  <c r="F17" i="1"/>
  <c r="G17" i="1"/>
  <c r="F149" i="1"/>
  <c r="F131" i="1"/>
  <c r="F112" i="1"/>
  <c r="F76" i="1"/>
  <c r="F21" i="1"/>
  <c r="F3" i="1"/>
  <c r="G140" i="1"/>
  <c r="G117" i="1"/>
  <c r="G91" i="1"/>
  <c r="G37" i="1"/>
  <c r="G5" i="1"/>
  <c r="Q99" i="1"/>
  <c r="Q67" i="1"/>
  <c r="Q35" i="1"/>
  <c r="G176" i="1"/>
  <c r="G160" i="1"/>
  <c r="G144" i="1"/>
  <c r="G136" i="1"/>
  <c r="G120" i="1"/>
  <c r="G104" i="1"/>
  <c r="G88" i="1"/>
  <c r="G72" i="1"/>
  <c r="G56" i="1"/>
  <c r="G40" i="1"/>
  <c r="G24" i="1"/>
  <c r="G8" i="1"/>
  <c r="F173" i="1"/>
  <c r="F157" i="1"/>
  <c r="F139" i="1"/>
  <c r="F120" i="1"/>
  <c r="F84" i="1"/>
  <c r="F47" i="1"/>
  <c r="F29" i="1"/>
  <c r="F20" i="1"/>
  <c r="G177" i="1"/>
  <c r="G129" i="1"/>
  <c r="G115" i="1"/>
  <c r="G65" i="1"/>
  <c r="G51" i="1"/>
  <c r="G35" i="1"/>
  <c r="G19" i="1"/>
  <c r="G3" i="1"/>
  <c r="Q177" i="1"/>
  <c r="Q161" i="1"/>
  <c r="Q145" i="1"/>
  <c r="Q129" i="1"/>
  <c r="Q113" i="1"/>
  <c r="Q97" i="1"/>
  <c r="Q81" i="1"/>
  <c r="Q65" i="1"/>
  <c r="Q49" i="1"/>
  <c r="Q17" i="1"/>
  <c r="G135" i="1"/>
  <c r="G103" i="1"/>
  <c r="G63" i="1"/>
  <c r="G31" i="1"/>
  <c r="Q157" i="1"/>
  <c r="Q117" i="1"/>
  <c r="Q85" i="1"/>
  <c r="Q53" i="1"/>
  <c r="Q29" i="1"/>
  <c r="Q21" i="1"/>
  <c r="Q5" i="1"/>
  <c r="F164" i="1"/>
  <c r="F156" i="1"/>
  <c r="F147" i="1"/>
  <c r="F138" i="1"/>
  <c r="F101" i="1"/>
  <c r="F92" i="1"/>
  <c r="F74" i="1"/>
  <c r="F46" i="1"/>
  <c r="F28" i="1"/>
  <c r="F10" i="1"/>
  <c r="G148" i="1"/>
  <c r="G89" i="1"/>
  <c r="G18" i="1"/>
  <c r="F41" i="1"/>
  <c r="G41" i="1"/>
  <c r="F25" i="1"/>
  <c r="G25" i="1"/>
  <c r="F9" i="1"/>
  <c r="G9" i="1"/>
  <c r="F85" i="1"/>
  <c r="F67" i="1"/>
  <c r="F48" i="1"/>
  <c r="F12" i="1"/>
  <c r="G169" i="1"/>
  <c r="G105" i="1"/>
  <c r="G53" i="1"/>
  <c r="Q115" i="1"/>
  <c r="Q83" i="1"/>
  <c r="Q51" i="1"/>
  <c r="Q19" i="1"/>
  <c r="G168" i="1"/>
  <c r="G152" i="1"/>
  <c r="G128" i="1"/>
  <c r="G112" i="1"/>
  <c r="G96" i="1"/>
  <c r="G80" i="1"/>
  <c r="G64" i="1"/>
  <c r="G48" i="1"/>
  <c r="G32" i="1"/>
  <c r="G16" i="1"/>
  <c r="F165" i="1"/>
  <c r="F111" i="1"/>
  <c r="F75" i="1"/>
  <c r="F56" i="1"/>
  <c r="F11" i="1"/>
  <c r="G167" i="1"/>
  <c r="Q33" i="1"/>
  <c r="G143" i="1"/>
  <c r="G127" i="1"/>
  <c r="G119" i="1"/>
  <c r="G111" i="1"/>
  <c r="G95" i="1"/>
  <c r="G87" i="1"/>
  <c r="G79" i="1"/>
  <c r="G71" i="1"/>
  <c r="G55" i="1"/>
  <c r="G47" i="1"/>
  <c r="G39" i="1"/>
  <c r="G23" i="1"/>
  <c r="G15" i="1"/>
  <c r="G7" i="1"/>
  <c r="Q173" i="1"/>
  <c r="Q165" i="1"/>
  <c r="Q149" i="1"/>
  <c r="Q141" i="1"/>
  <c r="Q133" i="1"/>
  <c r="Q125" i="1"/>
  <c r="Q109" i="1"/>
  <c r="Q101" i="1"/>
  <c r="Q93" i="1"/>
  <c r="Q77" i="1"/>
  <c r="Q69" i="1"/>
  <c r="Q61" i="1"/>
  <c r="Q45" i="1"/>
  <c r="Q37" i="1"/>
  <c r="Q13" i="1"/>
  <c r="Q4" i="1"/>
  <c r="F171" i="1"/>
  <c r="F155" i="1"/>
  <c r="F136" i="1"/>
  <c r="F127" i="1"/>
  <c r="F100" i="1"/>
  <c r="F82" i="1"/>
  <c r="F72" i="1"/>
  <c r="F63" i="1"/>
  <c r="F45" i="1"/>
  <c r="F36" i="1"/>
  <c r="F8" i="1"/>
  <c r="G137" i="1"/>
  <c r="G125" i="1"/>
  <c r="G113" i="1"/>
  <c r="G61" i="1"/>
  <c r="Q3" i="1"/>
  <c r="F144" i="1"/>
  <c r="F108" i="1"/>
  <c r="F99" i="1"/>
  <c r="F80" i="1"/>
  <c r="F44" i="1"/>
  <c r="F35" i="1"/>
  <c r="F16" i="1"/>
  <c r="F7" i="1"/>
  <c r="G73" i="1"/>
  <c r="F107" i="1"/>
  <c r="F43" i="1"/>
  <c r="F24" i="1"/>
  <c r="G97" i="1"/>
  <c r="G43" i="1"/>
  <c r="Q137" i="1"/>
  <c r="Q105" i="1"/>
  <c r="Q73" i="1"/>
  <c r="Q9" i="1"/>
  <c r="F176" i="1"/>
  <c r="F168" i="1"/>
  <c r="F160" i="1"/>
  <c r="F142" i="1"/>
  <c r="F124" i="1"/>
  <c r="F96" i="1"/>
  <c r="F87" i="1"/>
  <c r="F78" i="1"/>
  <c r="F69" i="1"/>
  <c r="F60" i="1"/>
  <c r="F42" i="1"/>
  <c r="F32" i="1"/>
  <c r="F23" i="1"/>
  <c r="F14" i="1"/>
  <c r="G153" i="1"/>
  <c r="G142" i="1"/>
  <c r="G121" i="1"/>
  <c r="G94" i="1"/>
  <c r="G57" i="1"/>
</calcChain>
</file>

<file path=xl/sharedStrings.xml><?xml version="1.0" encoding="utf-8"?>
<sst xmlns="http://schemas.openxmlformats.org/spreadsheetml/2006/main" count="68" uniqueCount="27">
  <si>
    <t>Year</t>
  </si>
  <si>
    <t>AII_Min</t>
  </si>
  <si>
    <t>AII_Max</t>
  </si>
  <si>
    <t>AI_Min</t>
  </si>
  <si>
    <t>AI_Max</t>
  </si>
  <si>
    <t>Pure_AII</t>
  </si>
  <si>
    <t>Overlap</t>
  </si>
  <si>
    <t>AI_Gap</t>
  </si>
  <si>
    <t>Pure_AI</t>
  </si>
  <si>
    <t>pct_annex2_OWID</t>
  </si>
  <si>
    <t>pct_annex1_OWID</t>
  </si>
  <si>
    <t>pct_annex2_PRIMAP</t>
  </si>
  <si>
    <t>pct_annex1_PRIMAP</t>
  </si>
  <si>
    <t>pct_annex2_GCP_fossil</t>
  </si>
  <si>
    <t>pct_annex1_GCP_fossil</t>
  </si>
  <si>
    <t>pct_annex2_GCP_BLUE</t>
  </si>
  <si>
    <t>pct_annex1_GCP_BLUE</t>
  </si>
  <si>
    <t>pct_annex2_GCP_OSCAR</t>
  </si>
  <si>
    <t>pct_annex1_GCP_OSCAR</t>
  </si>
  <si>
    <t>pct_annex2_EDGAR</t>
  </si>
  <si>
    <t>pct_annex1_EDGAR</t>
  </si>
  <si>
    <t>pct_annex2_ClimateWatch</t>
  </si>
  <si>
    <t>pct_annex1_ClimateWatch</t>
  </si>
  <si>
    <t>Annual CO2 emissions excluding LULUCF, share of world total, 1850-2024</t>
  </si>
  <si>
    <t>Annual CO2 emissions including LULUCF, share of world total, 1850-2024</t>
  </si>
  <si>
    <t>Annual GHG emissions excluding LULUCF, share of world total, 1850-2024</t>
  </si>
  <si>
    <t>Annual GHG emissions including LULUCF, share of world total, 1850-2024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</si>
</sst>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rgb="FF333333"/>
      <name val="Sofia Pro"/>
      <family val="3"/>
    </font>
    <font>
      <i/>
      <sz val="9"/>
      <color rgb="FF333333"/>
      <name val="Sofia Pro"/>
      <family val="3"/>
    </font>
    <font>
      <sz val="9"/>
      <color theme="1"/>
      <name val="Sofia Pro"/>
      <family val="3"/>
    </font>
  </fonts>
  <fills count="5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D6EA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" fontId="3" fillId="0" borderId="0" xfId="0" applyNumberFormat="1" applyFont="1"/>
    <xf numFmtId="164" fontId="4" fillId="0" borderId="0" xfId="0" applyNumberFormat="1" applyFont="1"/>
    <xf numFmtId="164" fontId="3" fillId="0" borderId="0" xfId="0" applyNumberFormat="1" applyFont="1"/>
    <xf numFmtId="1" fontId="3" fillId="4" borderId="0" xfId="0" applyNumberFormat="1" applyFont="1" applyFill="1"/>
    <xf numFmtId="164" fontId="4" fillId="4" borderId="0" xfId="0" applyNumberFormat="1" applyFont="1" applyFill="1"/>
    <xf numFmtId="164" fontId="3" fillId="4" borderId="0" xfId="0" applyNumberFormat="1" applyFont="1" applyFill="1"/>
    <xf numFmtId="0" fontId="1" fillId="2" borderId="0" xfId="0" applyFont="1" applyFill="1" applyAlignment="1">
      <alignment vertical="center"/>
    </xf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Annual GHG emissions including LULUCF, share of world total, 1850-2024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0.0</c:formatCode>
                <c:ptCount val="175"/>
                <c:pt idx="0">
                  <c:v>36.118000000000002</c:v>
                </c:pt>
                <c:pt idx="1">
                  <c:v>36.279000000000003</c:v>
                </c:pt>
                <c:pt idx="2">
                  <c:v>36.048000000000002</c:v>
                </c:pt>
                <c:pt idx="3">
                  <c:v>36.9</c:v>
                </c:pt>
                <c:pt idx="4">
                  <c:v>37.71</c:v>
                </c:pt>
                <c:pt idx="5">
                  <c:v>37.610999999999997</c:v>
                </c:pt>
                <c:pt idx="6">
                  <c:v>37.923000000000002</c:v>
                </c:pt>
                <c:pt idx="7">
                  <c:v>37.997</c:v>
                </c:pt>
                <c:pt idx="8">
                  <c:v>38.378</c:v>
                </c:pt>
                <c:pt idx="9">
                  <c:v>38.863</c:v>
                </c:pt>
                <c:pt idx="10">
                  <c:v>40.182000000000002</c:v>
                </c:pt>
                <c:pt idx="11">
                  <c:v>40.095999999999997</c:v>
                </c:pt>
                <c:pt idx="12">
                  <c:v>40.817</c:v>
                </c:pt>
                <c:pt idx="13">
                  <c:v>41.436999999999998</c:v>
                </c:pt>
                <c:pt idx="14">
                  <c:v>41.207000000000001</c:v>
                </c:pt>
                <c:pt idx="15">
                  <c:v>41.728000000000002</c:v>
                </c:pt>
                <c:pt idx="16">
                  <c:v>41.533000000000001</c:v>
                </c:pt>
                <c:pt idx="17">
                  <c:v>42.655000000000001</c:v>
                </c:pt>
                <c:pt idx="18">
                  <c:v>42.658000000000001</c:v>
                </c:pt>
                <c:pt idx="19">
                  <c:v>42.682000000000002</c:v>
                </c:pt>
                <c:pt idx="20">
                  <c:v>44.509</c:v>
                </c:pt>
                <c:pt idx="21">
                  <c:v>46.197000000000003</c:v>
                </c:pt>
                <c:pt idx="22">
                  <c:v>46.567</c:v>
                </c:pt>
                <c:pt idx="23">
                  <c:v>47.795000000000002</c:v>
                </c:pt>
                <c:pt idx="24">
                  <c:v>47.395000000000003</c:v>
                </c:pt>
                <c:pt idx="25">
                  <c:v>48.390999999999998</c:v>
                </c:pt>
                <c:pt idx="26">
                  <c:v>48.505000000000003</c:v>
                </c:pt>
                <c:pt idx="27">
                  <c:v>48.710999999999999</c:v>
                </c:pt>
                <c:pt idx="28">
                  <c:v>48.902999999999999</c:v>
                </c:pt>
                <c:pt idx="29">
                  <c:v>49.575000000000003</c:v>
                </c:pt>
                <c:pt idx="30">
                  <c:v>48.662999999999997</c:v>
                </c:pt>
                <c:pt idx="31">
                  <c:v>47.771999999999998</c:v>
                </c:pt>
                <c:pt idx="32">
                  <c:v>47.790999999999997</c:v>
                </c:pt>
                <c:pt idx="33">
                  <c:v>48.112000000000002</c:v>
                </c:pt>
                <c:pt idx="34">
                  <c:v>47.811999999999998</c:v>
                </c:pt>
                <c:pt idx="35">
                  <c:v>47.405000000000001</c:v>
                </c:pt>
                <c:pt idx="36">
                  <c:v>47.484999999999999</c:v>
                </c:pt>
                <c:pt idx="37">
                  <c:v>47.896000000000001</c:v>
                </c:pt>
                <c:pt idx="38">
                  <c:v>48.561999999999998</c:v>
                </c:pt>
                <c:pt idx="39">
                  <c:v>47.829000000000001</c:v>
                </c:pt>
                <c:pt idx="40">
                  <c:v>47.841000000000001</c:v>
                </c:pt>
                <c:pt idx="41">
                  <c:v>47.988</c:v>
                </c:pt>
                <c:pt idx="42">
                  <c:v>48.06</c:v>
                </c:pt>
                <c:pt idx="43">
                  <c:v>47.948999999999998</c:v>
                </c:pt>
                <c:pt idx="44">
                  <c:v>47.82</c:v>
                </c:pt>
                <c:pt idx="45">
                  <c:v>48.287999999999997</c:v>
                </c:pt>
                <c:pt idx="46">
                  <c:v>48.576999999999998</c:v>
                </c:pt>
                <c:pt idx="47">
                  <c:v>48.651000000000003</c:v>
                </c:pt>
                <c:pt idx="48">
                  <c:v>49.101999999999997</c:v>
                </c:pt>
                <c:pt idx="49">
                  <c:v>49.951000000000001</c:v>
                </c:pt>
                <c:pt idx="50">
                  <c:v>50.081000000000003</c:v>
                </c:pt>
                <c:pt idx="51">
                  <c:v>49.209000000000003</c:v>
                </c:pt>
                <c:pt idx="52">
                  <c:v>49.347999999999999</c:v>
                </c:pt>
                <c:pt idx="53">
                  <c:v>50.02</c:v>
                </c:pt>
                <c:pt idx="54">
                  <c:v>49.723999999999997</c:v>
                </c:pt>
                <c:pt idx="55">
                  <c:v>50.338999999999999</c:v>
                </c:pt>
                <c:pt idx="56">
                  <c:v>50.206000000000003</c:v>
                </c:pt>
                <c:pt idx="57">
                  <c:v>51.616</c:v>
                </c:pt>
                <c:pt idx="58">
                  <c:v>50.625999999999998</c:v>
                </c:pt>
                <c:pt idx="59">
                  <c:v>50.826999999999998</c:v>
                </c:pt>
                <c:pt idx="60">
                  <c:v>52.042000000000002</c:v>
                </c:pt>
                <c:pt idx="61">
                  <c:v>52.093000000000004</c:v>
                </c:pt>
                <c:pt idx="62">
                  <c:v>52.44</c:v>
                </c:pt>
                <c:pt idx="63">
                  <c:v>53.482999999999997</c:v>
                </c:pt>
                <c:pt idx="64">
                  <c:v>52.304000000000002</c:v>
                </c:pt>
                <c:pt idx="65">
                  <c:v>52.112000000000002</c:v>
                </c:pt>
                <c:pt idx="66">
                  <c:v>52.826999999999998</c:v>
                </c:pt>
                <c:pt idx="67">
                  <c:v>53.6</c:v>
                </c:pt>
                <c:pt idx="68">
                  <c:v>54.533999999999999</c:v>
                </c:pt>
                <c:pt idx="69">
                  <c:v>52.987000000000002</c:v>
                </c:pt>
                <c:pt idx="70">
                  <c:v>52.469000000000001</c:v>
                </c:pt>
                <c:pt idx="71">
                  <c:v>49.36</c:v>
                </c:pt>
                <c:pt idx="72">
                  <c:v>49.838999999999999</c:v>
                </c:pt>
                <c:pt idx="73">
                  <c:v>51.070999999999998</c:v>
                </c:pt>
                <c:pt idx="74">
                  <c:v>50.889000000000003</c:v>
                </c:pt>
                <c:pt idx="75">
                  <c:v>50.518999999999998</c:v>
                </c:pt>
                <c:pt idx="76">
                  <c:v>49.613999999999997</c:v>
                </c:pt>
                <c:pt idx="77">
                  <c:v>50.412999999999997</c:v>
                </c:pt>
                <c:pt idx="78">
                  <c:v>49.725999999999999</c:v>
                </c:pt>
                <c:pt idx="79">
                  <c:v>50.213000000000001</c:v>
                </c:pt>
                <c:pt idx="80">
                  <c:v>47.533999999999999</c:v>
                </c:pt>
                <c:pt idx="81">
                  <c:v>44.808</c:v>
                </c:pt>
                <c:pt idx="82">
                  <c:v>42.244</c:v>
                </c:pt>
                <c:pt idx="83">
                  <c:v>42.600999999999999</c:v>
                </c:pt>
                <c:pt idx="84">
                  <c:v>42.953000000000003</c:v>
                </c:pt>
                <c:pt idx="85">
                  <c:v>42.994</c:v>
                </c:pt>
                <c:pt idx="86">
                  <c:v>43.555999999999997</c:v>
                </c:pt>
                <c:pt idx="87">
                  <c:v>44.121000000000002</c:v>
                </c:pt>
                <c:pt idx="88">
                  <c:v>42.302</c:v>
                </c:pt>
                <c:pt idx="89">
                  <c:v>42.994999999999997</c:v>
                </c:pt>
                <c:pt idx="90">
                  <c:v>42.725000000000001</c:v>
                </c:pt>
                <c:pt idx="91">
                  <c:v>43.180999999999997</c:v>
                </c:pt>
                <c:pt idx="92">
                  <c:v>44.390999999999998</c:v>
                </c:pt>
                <c:pt idx="93">
                  <c:v>44.42</c:v>
                </c:pt>
                <c:pt idx="94">
                  <c:v>44.174999999999997</c:v>
                </c:pt>
                <c:pt idx="95">
                  <c:v>41.780999999999999</c:v>
                </c:pt>
                <c:pt idx="96">
                  <c:v>42.106999999999999</c:v>
                </c:pt>
                <c:pt idx="97">
                  <c:v>43.610999999999997</c:v>
                </c:pt>
                <c:pt idx="98">
                  <c:v>44.533999999999999</c:v>
                </c:pt>
                <c:pt idx="99">
                  <c:v>42.831000000000003</c:v>
                </c:pt>
                <c:pt idx="100">
                  <c:v>41.698</c:v>
                </c:pt>
                <c:pt idx="101">
                  <c:v>40.817</c:v>
                </c:pt>
                <c:pt idx="102">
                  <c:v>40.243000000000002</c:v>
                </c:pt>
                <c:pt idx="103">
                  <c:v>39.942</c:v>
                </c:pt>
                <c:pt idx="104">
                  <c:v>38.511000000000003</c:v>
                </c:pt>
                <c:pt idx="105">
                  <c:v>38.793999999999997</c:v>
                </c:pt>
                <c:pt idx="106">
                  <c:v>39.021999999999998</c:v>
                </c:pt>
                <c:pt idx="107">
                  <c:v>38.200000000000003</c:v>
                </c:pt>
                <c:pt idx="108">
                  <c:v>36.973999999999997</c:v>
                </c:pt>
                <c:pt idx="109">
                  <c:v>35.530999999999999</c:v>
                </c:pt>
                <c:pt idx="110">
                  <c:v>37.359000000000002</c:v>
                </c:pt>
                <c:pt idx="111">
                  <c:v>37.460999999999999</c:v>
                </c:pt>
                <c:pt idx="112">
                  <c:v>39.093000000000004</c:v>
                </c:pt>
                <c:pt idx="113">
                  <c:v>39.46</c:v>
                </c:pt>
                <c:pt idx="114">
                  <c:v>40.237000000000002</c:v>
                </c:pt>
                <c:pt idx="115">
                  <c:v>40.747999999999998</c:v>
                </c:pt>
                <c:pt idx="116">
                  <c:v>41.213000000000001</c:v>
                </c:pt>
                <c:pt idx="117">
                  <c:v>41.959000000000003</c:v>
                </c:pt>
                <c:pt idx="118">
                  <c:v>42.811</c:v>
                </c:pt>
                <c:pt idx="119">
                  <c:v>41.905999999999999</c:v>
                </c:pt>
                <c:pt idx="120">
                  <c:v>41.680999999999997</c:v>
                </c:pt>
                <c:pt idx="121">
                  <c:v>42.124000000000002</c:v>
                </c:pt>
                <c:pt idx="122">
                  <c:v>41.482999999999997</c:v>
                </c:pt>
                <c:pt idx="123">
                  <c:v>41.731999999999999</c:v>
                </c:pt>
                <c:pt idx="124">
                  <c:v>40.896999999999998</c:v>
                </c:pt>
                <c:pt idx="125">
                  <c:v>39.804000000000002</c:v>
                </c:pt>
                <c:pt idx="126">
                  <c:v>40.201000000000001</c:v>
                </c:pt>
                <c:pt idx="127">
                  <c:v>39.491</c:v>
                </c:pt>
                <c:pt idx="128">
                  <c:v>38.915999999999997</c:v>
                </c:pt>
                <c:pt idx="129">
                  <c:v>39.758000000000003</c:v>
                </c:pt>
                <c:pt idx="130">
                  <c:v>38.950000000000003</c:v>
                </c:pt>
                <c:pt idx="131">
                  <c:v>38.573</c:v>
                </c:pt>
                <c:pt idx="132">
                  <c:v>37.384999999999998</c:v>
                </c:pt>
                <c:pt idx="133">
                  <c:v>36.686999999999998</c:v>
                </c:pt>
                <c:pt idx="134">
                  <c:v>36.085999999999999</c:v>
                </c:pt>
                <c:pt idx="135">
                  <c:v>35.069000000000003</c:v>
                </c:pt>
                <c:pt idx="136">
                  <c:v>34.219000000000001</c:v>
                </c:pt>
                <c:pt idx="137">
                  <c:v>34.563000000000002</c:v>
                </c:pt>
                <c:pt idx="138">
                  <c:v>34.880000000000003</c:v>
                </c:pt>
                <c:pt idx="139">
                  <c:v>35.207999999999998</c:v>
                </c:pt>
                <c:pt idx="140">
                  <c:v>36.118000000000002</c:v>
                </c:pt>
                <c:pt idx="141">
                  <c:v>35.615000000000002</c:v>
                </c:pt>
                <c:pt idx="142">
                  <c:v>36.11</c:v>
                </c:pt>
                <c:pt idx="143">
                  <c:v>36.137999999999998</c:v>
                </c:pt>
                <c:pt idx="144">
                  <c:v>35.374000000000002</c:v>
                </c:pt>
                <c:pt idx="145">
                  <c:v>35.555999999999997</c:v>
                </c:pt>
                <c:pt idx="146">
                  <c:v>35.357999999999997</c:v>
                </c:pt>
                <c:pt idx="147">
                  <c:v>33.869</c:v>
                </c:pt>
                <c:pt idx="148">
                  <c:v>35.252000000000002</c:v>
                </c:pt>
                <c:pt idx="149">
                  <c:v>35.228000000000002</c:v>
                </c:pt>
                <c:pt idx="150">
                  <c:v>35.779000000000003</c:v>
                </c:pt>
                <c:pt idx="151">
                  <c:v>35.612000000000002</c:v>
                </c:pt>
                <c:pt idx="152">
                  <c:v>34.692</c:v>
                </c:pt>
                <c:pt idx="153">
                  <c:v>33.192</c:v>
                </c:pt>
                <c:pt idx="154">
                  <c:v>33.200000000000003</c:v>
                </c:pt>
                <c:pt idx="155">
                  <c:v>32.579000000000001</c:v>
                </c:pt>
                <c:pt idx="156">
                  <c:v>30.936</c:v>
                </c:pt>
                <c:pt idx="157">
                  <c:v>30.901</c:v>
                </c:pt>
                <c:pt idx="158">
                  <c:v>29.853000000000002</c:v>
                </c:pt>
                <c:pt idx="159">
                  <c:v>27.632999999999999</c:v>
                </c:pt>
                <c:pt idx="160">
                  <c:v>27.683</c:v>
                </c:pt>
                <c:pt idx="161">
                  <c:v>26.271999999999998</c:v>
                </c:pt>
                <c:pt idx="162">
                  <c:v>25.449000000000002</c:v>
                </c:pt>
                <c:pt idx="163">
                  <c:v>24.855</c:v>
                </c:pt>
                <c:pt idx="164">
                  <c:v>24.387</c:v>
                </c:pt>
                <c:pt idx="165">
                  <c:v>24.08</c:v>
                </c:pt>
                <c:pt idx="166">
                  <c:v>23.221</c:v>
                </c:pt>
                <c:pt idx="167">
                  <c:v>24.233000000000001</c:v>
                </c:pt>
                <c:pt idx="168">
                  <c:v>24.045999999999999</c:v>
                </c:pt>
                <c:pt idx="169">
                  <c:v>22.797000000000001</c:v>
                </c:pt>
                <c:pt idx="170">
                  <c:v>21.138000000000002</c:v>
                </c:pt>
                <c:pt idx="171">
                  <c:v>21.556000000000001</c:v>
                </c:pt>
                <c:pt idx="172">
                  <c:v>21.297999999999998</c:v>
                </c:pt>
                <c:pt idx="173">
                  <c:v>21.236999999999998</c:v>
                </c:pt>
                <c:pt idx="174">
                  <c:v>20.161000000000001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6-4ECB-A39E-FCE20F683831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0.0</c:formatCode>
                <c:ptCount val="175"/>
                <c:pt idx="0">
                  <c:v>5.3879999999999981</c:v>
                </c:pt>
                <c:pt idx="1">
                  <c:v>5.7299999999999969</c:v>
                </c:pt>
                <c:pt idx="2">
                  <c:v>9.9720000000000013</c:v>
                </c:pt>
                <c:pt idx="3">
                  <c:v>10.087000000000003</c:v>
                </c:pt>
                <c:pt idx="4">
                  <c:v>10.664000000000001</c:v>
                </c:pt>
                <c:pt idx="5">
                  <c:v>11.613</c:v>
                </c:pt>
                <c:pt idx="6">
                  <c:v>11.927</c:v>
                </c:pt>
                <c:pt idx="7">
                  <c:v>12.228000000000002</c:v>
                </c:pt>
                <c:pt idx="8">
                  <c:v>12.186</c:v>
                </c:pt>
                <c:pt idx="9">
                  <c:v>12.243000000000002</c:v>
                </c:pt>
                <c:pt idx="10">
                  <c:v>11.597000000000001</c:v>
                </c:pt>
                <c:pt idx="11">
                  <c:v>11.836000000000006</c:v>
                </c:pt>
                <c:pt idx="12">
                  <c:v>9.2689999999999984</c:v>
                </c:pt>
                <c:pt idx="13">
                  <c:v>8.8730000000000047</c:v>
                </c:pt>
                <c:pt idx="14">
                  <c:v>9.4149999999999991</c:v>
                </c:pt>
                <c:pt idx="15">
                  <c:v>9.1359999999999957</c:v>
                </c:pt>
                <c:pt idx="16">
                  <c:v>9.4679999999999964</c:v>
                </c:pt>
                <c:pt idx="17">
                  <c:v>8.6199999999999974</c:v>
                </c:pt>
                <c:pt idx="18">
                  <c:v>8.6760000000000019</c:v>
                </c:pt>
                <c:pt idx="19">
                  <c:v>8.9369999999999976</c:v>
                </c:pt>
                <c:pt idx="20">
                  <c:v>7.1159999999999997</c:v>
                </c:pt>
                <c:pt idx="21">
                  <c:v>4.9109999999999943</c:v>
                </c:pt>
                <c:pt idx="22">
                  <c:v>7.9840000000000018</c:v>
                </c:pt>
                <c:pt idx="23">
                  <c:v>7.1529999999999987</c:v>
                </c:pt>
                <c:pt idx="24">
                  <c:v>7.1199999999999974</c:v>
                </c:pt>
                <c:pt idx="25">
                  <c:v>6.7180000000000035</c:v>
                </c:pt>
                <c:pt idx="26">
                  <c:v>6.5459999999999994</c:v>
                </c:pt>
                <c:pt idx="27">
                  <c:v>6.5680000000000049</c:v>
                </c:pt>
                <c:pt idx="28">
                  <c:v>6.3719999999999999</c:v>
                </c:pt>
                <c:pt idx="29">
                  <c:v>6.1849999999999952</c:v>
                </c:pt>
                <c:pt idx="30">
                  <c:v>8.0300000000000011</c:v>
                </c:pt>
                <c:pt idx="31">
                  <c:v>7.9890000000000043</c:v>
                </c:pt>
                <c:pt idx="32">
                  <c:v>6.3740000000000023</c:v>
                </c:pt>
                <c:pt idx="33">
                  <c:v>6.0970000000000013</c:v>
                </c:pt>
                <c:pt idx="34">
                  <c:v>6.0990000000000038</c:v>
                </c:pt>
                <c:pt idx="35">
                  <c:v>6.1989999999999981</c:v>
                </c:pt>
                <c:pt idx="36">
                  <c:v>5.980000000000004</c:v>
                </c:pt>
                <c:pt idx="37">
                  <c:v>5.6999999999999957</c:v>
                </c:pt>
                <c:pt idx="38">
                  <c:v>5.7000000000000028</c:v>
                </c:pt>
                <c:pt idx="39">
                  <c:v>6.0720000000000027</c:v>
                </c:pt>
                <c:pt idx="40">
                  <c:v>6.6109999999999971</c:v>
                </c:pt>
                <c:pt idx="41">
                  <c:v>6.6779999999999973</c:v>
                </c:pt>
                <c:pt idx="42">
                  <c:v>6.9179999999999993</c:v>
                </c:pt>
                <c:pt idx="43">
                  <c:v>6.6240000000000023</c:v>
                </c:pt>
                <c:pt idx="44">
                  <c:v>6.6109999999999971</c:v>
                </c:pt>
                <c:pt idx="45">
                  <c:v>6.4790000000000063</c:v>
                </c:pt>
                <c:pt idx="46">
                  <c:v>6.3170000000000002</c:v>
                </c:pt>
                <c:pt idx="47">
                  <c:v>6.4799999999999969</c:v>
                </c:pt>
                <c:pt idx="48">
                  <c:v>6.2550000000000026</c:v>
                </c:pt>
                <c:pt idx="49">
                  <c:v>6.2040000000000006</c:v>
                </c:pt>
                <c:pt idx="50">
                  <c:v>6.4969999999999999</c:v>
                </c:pt>
                <c:pt idx="51">
                  <c:v>5.6479999999999961</c:v>
                </c:pt>
                <c:pt idx="52">
                  <c:v>4.1400000000000006</c:v>
                </c:pt>
                <c:pt idx="53">
                  <c:v>3.5739999999999981</c:v>
                </c:pt>
                <c:pt idx="54">
                  <c:v>2.7870000000000061</c:v>
                </c:pt>
                <c:pt idx="55">
                  <c:v>2.1709999999999994</c:v>
                </c:pt>
                <c:pt idx="56">
                  <c:v>1.5869999999999962</c:v>
                </c:pt>
                <c:pt idx="57">
                  <c:v>1.4260000000000019</c:v>
                </c:pt>
                <c:pt idx="58">
                  <c:v>1.1460000000000008</c:v>
                </c:pt>
                <c:pt idx="59">
                  <c:v>1.1720000000000041</c:v>
                </c:pt>
                <c:pt idx="60">
                  <c:v>0.50300000000000011</c:v>
                </c:pt>
                <c:pt idx="61">
                  <c:v>1.502999999999993</c:v>
                </c:pt>
                <c:pt idx="62">
                  <c:v>1.6240000000000023</c:v>
                </c:pt>
                <c:pt idx="63">
                  <c:v>2.0830000000000055</c:v>
                </c:pt>
                <c:pt idx="64">
                  <c:v>1.9899999999999949</c:v>
                </c:pt>
                <c:pt idx="65">
                  <c:v>2.107999999999997</c:v>
                </c:pt>
                <c:pt idx="66">
                  <c:v>2.1559999999999988</c:v>
                </c:pt>
                <c:pt idx="67">
                  <c:v>1.7569999999999979</c:v>
                </c:pt>
                <c:pt idx="68">
                  <c:v>1.2910000000000039</c:v>
                </c:pt>
                <c:pt idx="69">
                  <c:v>1.088000000000001</c:v>
                </c:pt>
                <c:pt idx="70">
                  <c:v>2.8350000000000009</c:v>
                </c:pt>
                <c:pt idx="71">
                  <c:v>1.9160000000000039</c:v>
                </c:pt>
                <c:pt idx="72">
                  <c:v>1.4370000000000047</c:v>
                </c:pt>
                <c:pt idx="73">
                  <c:v>2.1129999999999995</c:v>
                </c:pt>
                <c:pt idx="74">
                  <c:v>1.5689999999999955</c:v>
                </c:pt>
                <c:pt idx="75">
                  <c:v>1.7480000000000047</c:v>
                </c:pt>
                <c:pt idx="76">
                  <c:v>1.5519999999999996</c:v>
                </c:pt>
                <c:pt idx="77">
                  <c:v>2.5160000000000053</c:v>
                </c:pt>
                <c:pt idx="78">
                  <c:v>2.5200000000000031</c:v>
                </c:pt>
                <c:pt idx="79">
                  <c:v>3.2190000000000012</c:v>
                </c:pt>
                <c:pt idx="80">
                  <c:v>5.0150000000000006</c:v>
                </c:pt>
                <c:pt idx="81">
                  <c:v>5.0309999999999988</c:v>
                </c:pt>
                <c:pt idx="82">
                  <c:v>3.4279999999999973</c:v>
                </c:pt>
                <c:pt idx="83">
                  <c:v>3.2910000000000039</c:v>
                </c:pt>
                <c:pt idx="84">
                  <c:v>3.4229999999999947</c:v>
                </c:pt>
                <c:pt idx="85">
                  <c:v>3.3969999999999985</c:v>
                </c:pt>
                <c:pt idx="86">
                  <c:v>3.5130000000000052</c:v>
                </c:pt>
                <c:pt idx="87">
                  <c:v>3.2879999999999967</c:v>
                </c:pt>
                <c:pt idx="88">
                  <c:v>3.088000000000001</c:v>
                </c:pt>
                <c:pt idx="89">
                  <c:v>3.1709999999999994</c:v>
                </c:pt>
                <c:pt idx="90">
                  <c:v>2.8859999999999957</c:v>
                </c:pt>
                <c:pt idx="91">
                  <c:v>3.4980000000000047</c:v>
                </c:pt>
                <c:pt idx="92">
                  <c:v>3.6880000000000024</c:v>
                </c:pt>
                <c:pt idx="93">
                  <c:v>2.9480000000000004</c:v>
                </c:pt>
                <c:pt idx="94">
                  <c:v>2.730000000000004</c:v>
                </c:pt>
                <c:pt idx="95">
                  <c:v>2.1540000000000035</c:v>
                </c:pt>
                <c:pt idx="96">
                  <c:v>0.90800000000000125</c:v>
                </c:pt>
                <c:pt idx="97">
                  <c:v>1.1750000000000043</c:v>
                </c:pt>
                <c:pt idx="98">
                  <c:v>0.86899999999999977</c:v>
                </c:pt>
                <c:pt idx="99">
                  <c:v>0.35899999999999466</c:v>
                </c:pt>
                <c:pt idx="100">
                  <c:v>3.3599999999999994</c:v>
                </c:pt>
                <c:pt idx="101">
                  <c:v>3.5489999999999995</c:v>
                </c:pt>
                <c:pt idx="102">
                  <c:v>2.3810000000000002</c:v>
                </c:pt>
                <c:pt idx="103">
                  <c:v>2.3419999999999987</c:v>
                </c:pt>
                <c:pt idx="104">
                  <c:v>2.7149999999999963</c:v>
                </c:pt>
                <c:pt idx="105">
                  <c:v>2.5770000000000053</c:v>
                </c:pt>
                <c:pt idx="106">
                  <c:v>2.4819999999999993</c:v>
                </c:pt>
                <c:pt idx="107">
                  <c:v>2.4609999999999985</c:v>
                </c:pt>
                <c:pt idx="108">
                  <c:v>2.5560000000000045</c:v>
                </c:pt>
                <c:pt idx="109">
                  <c:v>3.642000000000003</c:v>
                </c:pt>
                <c:pt idx="110">
                  <c:v>2.2469999999999999</c:v>
                </c:pt>
                <c:pt idx="111">
                  <c:v>2.0020000000000024</c:v>
                </c:pt>
                <c:pt idx="112">
                  <c:v>1.2249999999999943</c:v>
                </c:pt>
                <c:pt idx="113">
                  <c:v>1.2789999999999964</c:v>
                </c:pt>
                <c:pt idx="114">
                  <c:v>0.80499999999999972</c:v>
                </c:pt>
                <c:pt idx="115">
                  <c:v>0.29400000000000404</c:v>
                </c:pt>
                <c:pt idx="116">
                  <c:v>0.10099999999999909</c:v>
                </c:pt>
                <c:pt idx="117">
                  <c:v>1.0849999999999937</c:v>
                </c:pt>
                <c:pt idx="118">
                  <c:v>0.92399999999999949</c:v>
                </c:pt>
                <c:pt idx="119">
                  <c:v>1.4209999999999994</c:v>
                </c:pt>
                <c:pt idx="120">
                  <c:v>1.8000000000000043</c:v>
                </c:pt>
                <c:pt idx="121">
                  <c:v>0.98699999999999477</c:v>
                </c:pt>
                <c:pt idx="122">
                  <c:v>2.0010000000000048</c:v>
                </c:pt>
                <c:pt idx="123">
                  <c:v>1.7620000000000005</c:v>
                </c:pt>
                <c:pt idx="124">
                  <c:v>1.7079999999999984</c:v>
                </c:pt>
                <c:pt idx="125">
                  <c:v>1.3249999999999957</c:v>
                </c:pt>
                <c:pt idx="126">
                  <c:v>1.1869999999999976</c:v>
                </c:pt>
                <c:pt idx="127">
                  <c:v>1.3870000000000005</c:v>
                </c:pt>
                <c:pt idx="128">
                  <c:v>1.7850000000000037</c:v>
                </c:pt>
                <c:pt idx="129">
                  <c:v>1.1019999999999968</c:v>
                </c:pt>
                <c:pt idx="130">
                  <c:v>1.1489999999999938</c:v>
                </c:pt>
                <c:pt idx="131">
                  <c:v>0.94299999999999784</c:v>
                </c:pt>
                <c:pt idx="132">
                  <c:v>0.10099999999999909</c:v>
                </c:pt>
                <c:pt idx="133">
                  <c:v>0.10699999999999932</c:v>
                </c:pt>
                <c:pt idx="134">
                  <c:v>0.38600000000000279</c:v>
                </c:pt>
                <c:pt idx="135">
                  <c:v>0.71999999999999886</c:v>
                </c:pt>
                <c:pt idx="136">
                  <c:v>1.0159999999999982</c:v>
                </c:pt>
                <c:pt idx="137">
                  <c:v>0.61599999999999966</c:v>
                </c:pt>
                <c:pt idx="138">
                  <c:v>0.37399999999999523</c:v>
                </c:pt>
                <c:pt idx="139">
                  <c:v>0.13400000000000034</c:v>
                </c:pt>
                <c:pt idx="140">
                  <c:v>2</c:v>
                </c:pt>
                <c:pt idx="141">
                  <c:v>2.171999999999997</c:v>
                </c:pt>
                <c:pt idx="142">
                  <c:v>1.9029999999999987</c:v>
                </c:pt>
                <c:pt idx="143">
                  <c:v>2.2259999999999991</c:v>
                </c:pt>
                <c:pt idx="144">
                  <c:v>6.2999999999999972</c:v>
                </c:pt>
                <c:pt idx="145">
                  <c:v>4.963000000000001</c:v>
                </c:pt>
                <c:pt idx="146">
                  <c:v>5.5930000000000035</c:v>
                </c:pt>
                <c:pt idx="147">
                  <c:v>7.8019999999999996</c:v>
                </c:pt>
                <c:pt idx="148">
                  <c:v>5.7079999999999984</c:v>
                </c:pt>
                <c:pt idx="149">
                  <c:v>5.9639999999999986</c:v>
                </c:pt>
                <c:pt idx="150">
                  <c:v>6.1069999999999993</c:v>
                </c:pt>
                <c:pt idx="151">
                  <c:v>5.4919999999999973</c:v>
                </c:pt>
                <c:pt idx="152">
                  <c:v>5.3350000000000009</c:v>
                </c:pt>
                <c:pt idx="153">
                  <c:v>4.1060000000000016</c:v>
                </c:pt>
                <c:pt idx="154">
                  <c:v>2.9259999999999948</c:v>
                </c:pt>
                <c:pt idx="155">
                  <c:v>3.2430000000000021</c:v>
                </c:pt>
                <c:pt idx="156">
                  <c:v>4.0150000000000006</c:v>
                </c:pt>
                <c:pt idx="157">
                  <c:v>4.16</c:v>
                </c:pt>
                <c:pt idx="158">
                  <c:v>3.6670000000000016</c:v>
                </c:pt>
                <c:pt idx="159">
                  <c:v>4.6699999999999982</c:v>
                </c:pt>
                <c:pt idx="160">
                  <c:v>4.3810000000000002</c:v>
                </c:pt>
                <c:pt idx="161">
                  <c:v>3.1800000000000033</c:v>
                </c:pt>
                <c:pt idx="162">
                  <c:v>2.7479999999999976</c:v>
                </c:pt>
                <c:pt idx="163">
                  <c:v>3.8369999999999997</c:v>
                </c:pt>
                <c:pt idx="164">
                  <c:v>3.4549999999999983</c:v>
                </c:pt>
                <c:pt idx="165">
                  <c:v>2.8060000000000009</c:v>
                </c:pt>
                <c:pt idx="166">
                  <c:v>3.1679999999999993</c:v>
                </c:pt>
                <c:pt idx="167">
                  <c:v>1.8990000000000009</c:v>
                </c:pt>
                <c:pt idx="168">
                  <c:v>2.0489999999999995</c:v>
                </c:pt>
                <c:pt idx="169">
                  <c:v>2.2319999999999993</c:v>
                </c:pt>
                <c:pt idx="170">
                  <c:v>2.7759999999999998</c:v>
                </c:pt>
                <c:pt idx="171">
                  <c:v>1.8009999999999984</c:v>
                </c:pt>
                <c:pt idx="172">
                  <c:v>1.4750000000000014</c:v>
                </c:pt>
                <c:pt idx="173">
                  <c:v>1.0010000000000012</c:v>
                </c:pt>
                <c:pt idx="174">
                  <c:v>4.1639999999999979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6-4ECB-A39E-FCE20F683831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6-4ECB-A39E-FCE20F683831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0.0</c:formatCode>
                <c:ptCount val="175"/>
                <c:pt idx="0">
                  <c:v>12.667999999999999</c:v>
                </c:pt>
                <c:pt idx="1">
                  <c:v>11.887</c:v>
                </c:pt>
                <c:pt idx="2">
                  <c:v>8.0759999999999934</c:v>
                </c:pt>
                <c:pt idx="3">
                  <c:v>7.2819999999999965</c:v>
                </c:pt>
                <c:pt idx="4">
                  <c:v>6.9499999999999957</c:v>
                </c:pt>
                <c:pt idx="5">
                  <c:v>5.8900000000000006</c:v>
                </c:pt>
                <c:pt idx="6">
                  <c:v>5.5779999999999959</c:v>
                </c:pt>
                <c:pt idx="7">
                  <c:v>5.3329999999999984</c:v>
                </c:pt>
                <c:pt idx="8">
                  <c:v>5.3419999999999987</c:v>
                </c:pt>
                <c:pt idx="9">
                  <c:v>5.1989999999999981</c:v>
                </c:pt>
                <c:pt idx="10">
                  <c:v>6.0079999999999956</c:v>
                </c:pt>
                <c:pt idx="11">
                  <c:v>6.2590000000000003</c:v>
                </c:pt>
                <c:pt idx="12">
                  <c:v>8.9420000000000002</c:v>
                </c:pt>
                <c:pt idx="13">
                  <c:v>9.0889999999999986</c:v>
                </c:pt>
                <c:pt idx="14">
                  <c:v>9.1890000000000001</c:v>
                </c:pt>
                <c:pt idx="15">
                  <c:v>9.2950000000000017</c:v>
                </c:pt>
                <c:pt idx="16">
                  <c:v>9.6970000000000027</c:v>
                </c:pt>
                <c:pt idx="17">
                  <c:v>9.5990000000000038</c:v>
                </c:pt>
                <c:pt idx="18">
                  <c:v>9.9229999999999947</c:v>
                </c:pt>
                <c:pt idx="19">
                  <c:v>9.7409999999999997</c:v>
                </c:pt>
                <c:pt idx="20">
                  <c:v>11.576000000000001</c:v>
                </c:pt>
                <c:pt idx="21">
                  <c:v>12.973000000000006</c:v>
                </c:pt>
                <c:pt idx="22">
                  <c:v>10.022999999999996</c:v>
                </c:pt>
                <c:pt idx="23">
                  <c:v>10.318999999999996</c:v>
                </c:pt>
                <c:pt idx="24">
                  <c:v>10.908000000000001</c:v>
                </c:pt>
                <c:pt idx="25">
                  <c:v>10.853000000000002</c:v>
                </c:pt>
                <c:pt idx="26">
                  <c:v>11.218999999999994</c:v>
                </c:pt>
                <c:pt idx="27">
                  <c:v>11.079000000000001</c:v>
                </c:pt>
                <c:pt idx="28">
                  <c:v>11.445</c:v>
                </c:pt>
                <c:pt idx="29">
                  <c:v>11.555</c:v>
                </c:pt>
                <c:pt idx="30">
                  <c:v>9.7160000000000082</c:v>
                </c:pt>
                <c:pt idx="31">
                  <c:v>9.8019999999999996</c:v>
                </c:pt>
                <c:pt idx="32">
                  <c:v>11.329000000000001</c:v>
                </c:pt>
                <c:pt idx="33">
                  <c:v>11.530000000000001</c:v>
                </c:pt>
                <c:pt idx="34">
                  <c:v>11.864000000000004</c:v>
                </c:pt>
                <c:pt idx="35">
                  <c:v>12.007000000000005</c:v>
                </c:pt>
                <c:pt idx="36">
                  <c:v>11.989999999999995</c:v>
                </c:pt>
                <c:pt idx="37">
                  <c:v>11.815000000000005</c:v>
                </c:pt>
                <c:pt idx="38">
                  <c:v>11.798000000000002</c:v>
                </c:pt>
                <c:pt idx="39">
                  <c:v>11.630999999999993</c:v>
                </c:pt>
                <c:pt idx="40">
                  <c:v>11.683000000000007</c:v>
                </c:pt>
                <c:pt idx="41">
                  <c:v>11.602000000000004</c:v>
                </c:pt>
                <c:pt idx="42">
                  <c:v>11.583000000000006</c:v>
                </c:pt>
                <c:pt idx="43">
                  <c:v>11.913999999999994</c:v>
                </c:pt>
                <c:pt idx="44">
                  <c:v>12.268000000000001</c:v>
                </c:pt>
                <c:pt idx="45">
                  <c:v>12.086999999999996</c:v>
                </c:pt>
                <c:pt idx="46">
                  <c:v>12.172999999999995</c:v>
                </c:pt>
                <c:pt idx="47">
                  <c:v>12.064999999999998</c:v>
                </c:pt>
                <c:pt idx="48">
                  <c:v>12.424000000000007</c:v>
                </c:pt>
                <c:pt idx="49">
                  <c:v>12.147000000000006</c:v>
                </c:pt>
                <c:pt idx="50">
                  <c:v>12.105999999999995</c:v>
                </c:pt>
                <c:pt idx="51">
                  <c:v>12.224000000000004</c:v>
                </c:pt>
                <c:pt idx="52">
                  <c:v>12.117999999999995</c:v>
                </c:pt>
                <c:pt idx="53">
                  <c:v>11.731000000000002</c:v>
                </c:pt>
                <c:pt idx="54">
                  <c:v>11.764000000000003</c:v>
                </c:pt>
                <c:pt idx="55">
                  <c:v>11.429000000000002</c:v>
                </c:pt>
                <c:pt idx="56">
                  <c:v>11.390999999999998</c:v>
                </c:pt>
                <c:pt idx="57">
                  <c:v>11.198999999999998</c:v>
                </c:pt>
                <c:pt idx="58">
                  <c:v>11.459000000000003</c:v>
                </c:pt>
                <c:pt idx="59">
                  <c:v>11.436999999999998</c:v>
                </c:pt>
                <c:pt idx="60">
                  <c:v>11.216000000000001</c:v>
                </c:pt>
                <c:pt idx="61">
                  <c:v>11.512999999999998</c:v>
                </c:pt>
                <c:pt idx="62">
                  <c:v>11.791000000000004</c:v>
                </c:pt>
                <c:pt idx="63">
                  <c:v>11.948999999999998</c:v>
                </c:pt>
                <c:pt idx="64">
                  <c:v>12.061999999999998</c:v>
                </c:pt>
                <c:pt idx="65">
                  <c:v>11.674000000000007</c:v>
                </c:pt>
                <c:pt idx="66">
                  <c:v>11.538000000000004</c:v>
                </c:pt>
                <c:pt idx="67">
                  <c:v>10.992999999999995</c:v>
                </c:pt>
                <c:pt idx="68">
                  <c:v>9.9560000000000031</c:v>
                </c:pt>
                <c:pt idx="69">
                  <c:v>9.3419999999999987</c:v>
                </c:pt>
                <c:pt idx="70">
                  <c:v>8.6580000000000013</c:v>
                </c:pt>
                <c:pt idx="71">
                  <c:v>10.396999999999998</c:v>
                </c:pt>
                <c:pt idx="72">
                  <c:v>10.661999999999999</c:v>
                </c:pt>
                <c:pt idx="73">
                  <c:v>9.8160000000000025</c:v>
                </c:pt>
                <c:pt idx="74">
                  <c:v>9.9669999999999987</c:v>
                </c:pt>
                <c:pt idx="75">
                  <c:v>10.232999999999997</c:v>
                </c:pt>
                <c:pt idx="76">
                  <c:v>10.883000000000003</c:v>
                </c:pt>
                <c:pt idx="77">
                  <c:v>10.045999999999999</c:v>
                </c:pt>
                <c:pt idx="78">
                  <c:v>10.213000000000001</c:v>
                </c:pt>
                <c:pt idx="79">
                  <c:v>9.902000000000001</c:v>
                </c:pt>
                <c:pt idx="80">
                  <c:v>9.8909999999999982</c:v>
                </c:pt>
                <c:pt idx="81">
                  <c:v>11.164000000000001</c:v>
                </c:pt>
                <c:pt idx="82">
                  <c:v>13.039000000000001</c:v>
                </c:pt>
                <c:pt idx="83">
                  <c:v>13.04</c:v>
                </c:pt>
                <c:pt idx="84">
                  <c:v>13.21</c:v>
                </c:pt>
                <c:pt idx="85">
                  <c:v>13.280999999999999</c:v>
                </c:pt>
                <c:pt idx="86">
                  <c:v>13.198</c:v>
                </c:pt>
                <c:pt idx="87">
                  <c:v>12.997</c:v>
                </c:pt>
                <c:pt idx="88">
                  <c:v>13.548999999999999</c:v>
                </c:pt>
                <c:pt idx="89">
                  <c:v>13.134</c:v>
                </c:pt>
                <c:pt idx="90">
                  <c:v>13.687000000000005</c:v>
                </c:pt>
                <c:pt idx="91">
                  <c:v>11.405999999999999</c:v>
                </c:pt>
                <c:pt idx="92">
                  <c:v>9.2029999999999959</c:v>
                </c:pt>
                <c:pt idx="93">
                  <c:v>9.4939999999999998</c:v>
                </c:pt>
                <c:pt idx="94">
                  <c:v>9.3780000000000001</c:v>
                </c:pt>
                <c:pt idx="95">
                  <c:v>9.1269999999999953</c:v>
                </c:pt>
                <c:pt idx="96">
                  <c:v>10.295000000000002</c:v>
                </c:pt>
                <c:pt idx="97">
                  <c:v>9.6049999999999969</c:v>
                </c:pt>
                <c:pt idx="98">
                  <c:v>9.5600000000000023</c:v>
                </c:pt>
                <c:pt idx="99">
                  <c:v>10.380000000000003</c:v>
                </c:pt>
                <c:pt idx="100">
                  <c:v>8.0649999999999977</c:v>
                </c:pt>
                <c:pt idx="101">
                  <c:v>8.3659999999999997</c:v>
                </c:pt>
                <c:pt idx="102">
                  <c:v>10.157999999999994</c:v>
                </c:pt>
                <c:pt idx="103">
                  <c:v>10.673000000000002</c:v>
                </c:pt>
                <c:pt idx="104">
                  <c:v>10.783999999999999</c:v>
                </c:pt>
                <c:pt idx="105">
                  <c:v>11.266999999999996</c:v>
                </c:pt>
                <c:pt idx="106">
                  <c:v>11.731000000000002</c:v>
                </c:pt>
                <c:pt idx="107">
                  <c:v>12.195999999999998</c:v>
                </c:pt>
                <c:pt idx="108">
                  <c:v>12.521000000000001</c:v>
                </c:pt>
                <c:pt idx="109">
                  <c:v>12.458999999999996</c:v>
                </c:pt>
                <c:pt idx="110">
                  <c:v>13.442</c:v>
                </c:pt>
                <c:pt idx="111">
                  <c:v>13.967999999999996</c:v>
                </c:pt>
                <c:pt idx="112">
                  <c:v>14.064</c:v>
                </c:pt>
                <c:pt idx="113">
                  <c:v>14.303000000000004</c:v>
                </c:pt>
                <c:pt idx="114">
                  <c:v>14.818999999999996</c:v>
                </c:pt>
                <c:pt idx="115">
                  <c:v>15.388999999999996</c:v>
                </c:pt>
                <c:pt idx="116">
                  <c:v>15.633000000000003</c:v>
                </c:pt>
                <c:pt idx="117">
                  <c:v>15.780000000000001</c:v>
                </c:pt>
                <c:pt idx="118">
                  <c:v>15.929000000000002</c:v>
                </c:pt>
                <c:pt idx="119">
                  <c:v>13.835999999999999</c:v>
                </c:pt>
                <c:pt idx="120">
                  <c:v>13.798999999999999</c:v>
                </c:pt>
                <c:pt idx="121">
                  <c:v>14.649000000000001</c:v>
                </c:pt>
                <c:pt idx="122">
                  <c:v>13.507999999999996</c:v>
                </c:pt>
                <c:pt idx="123">
                  <c:v>13.951000000000001</c:v>
                </c:pt>
                <c:pt idx="124">
                  <c:v>14.432000000000002</c:v>
                </c:pt>
                <c:pt idx="125">
                  <c:v>15.363</c:v>
                </c:pt>
                <c:pt idx="126">
                  <c:v>15.666000000000004</c:v>
                </c:pt>
                <c:pt idx="127">
                  <c:v>15.267000000000003</c:v>
                </c:pt>
                <c:pt idx="128">
                  <c:v>15.052999999999997</c:v>
                </c:pt>
                <c:pt idx="129">
                  <c:v>15.700000000000003</c:v>
                </c:pt>
                <c:pt idx="130">
                  <c:v>16.416000000000004</c:v>
                </c:pt>
                <c:pt idx="131">
                  <c:v>16.295999999999999</c:v>
                </c:pt>
                <c:pt idx="132">
                  <c:v>17.463000000000001</c:v>
                </c:pt>
                <c:pt idx="133">
                  <c:v>17.405000000000001</c:v>
                </c:pt>
                <c:pt idx="134">
                  <c:v>16.86</c:v>
                </c:pt>
                <c:pt idx="135">
                  <c:v>16.806999999999995</c:v>
                </c:pt>
                <c:pt idx="136">
                  <c:v>16.332000000000001</c:v>
                </c:pt>
                <c:pt idx="137">
                  <c:v>16.625</c:v>
                </c:pt>
                <c:pt idx="138">
                  <c:v>16.664000000000001</c:v>
                </c:pt>
                <c:pt idx="139">
                  <c:v>16.326000000000001</c:v>
                </c:pt>
                <c:pt idx="140">
                  <c:v>14.140999999999998</c:v>
                </c:pt>
                <c:pt idx="141">
                  <c:v>12.700000000000003</c:v>
                </c:pt>
                <c:pt idx="142">
                  <c:v>11.285000000000004</c:v>
                </c:pt>
                <c:pt idx="143">
                  <c:v>9.6910000000000025</c:v>
                </c:pt>
                <c:pt idx="144">
                  <c:v>4.7999999999999972</c:v>
                </c:pt>
                <c:pt idx="145">
                  <c:v>5.6660000000000039</c:v>
                </c:pt>
                <c:pt idx="146">
                  <c:v>5.0589999999999975</c:v>
                </c:pt>
                <c:pt idx="147">
                  <c:v>1.6219999999999999</c:v>
                </c:pt>
                <c:pt idx="148">
                  <c:v>3.8359999999999985</c:v>
                </c:pt>
                <c:pt idx="149">
                  <c:v>3.4200000000000017</c:v>
                </c:pt>
                <c:pt idx="150">
                  <c:v>2.9019999999999939</c:v>
                </c:pt>
                <c:pt idx="151">
                  <c:v>2.615000000000002</c:v>
                </c:pt>
                <c:pt idx="152">
                  <c:v>2.8269999999999982</c:v>
                </c:pt>
                <c:pt idx="153">
                  <c:v>4.5009999999999977</c:v>
                </c:pt>
                <c:pt idx="154">
                  <c:v>3.5160000000000053</c:v>
                </c:pt>
                <c:pt idx="155">
                  <c:v>2.3810000000000002</c:v>
                </c:pt>
                <c:pt idx="156">
                  <c:v>3.1599999999999966</c:v>
                </c:pt>
                <c:pt idx="157">
                  <c:v>3.0189999999999984</c:v>
                </c:pt>
                <c:pt idx="158">
                  <c:v>2.6239999999999952</c:v>
                </c:pt>
                <c:pt idx="159">
                  <c:v>0.87700000000000244</c:v>
                </c:pt>
                <c:pt idx="160">
                  <c:v>0.65699999999999648</c:v>
                </c:pt>
                <c:pt idx="161">
                  <c:v>3.9589999999999996</c:v>
                </c:pt>
                <c:pt idx="162">
                  <c:v>3.7010000000000005</c:v>
                </c:pt>
                <c:pt idx="163">
                  <c:v>1.0399999999999991</c:v>
                </c:pt>
                <c:pt idx="164">
                  <c:v>1.3510000000000026</c:v>
                </c:pt>
                <c:pt idx="165">
                  <c:v>1.7020000000000017</c:v>
                </c:pt>
                <c:pt idx="166">
                  <c:v>1.5549999999999997</c:v>
                </c:pt>
                <c:pt idx="167">
                  <c:v>2.8609999999999971</c:v>
                </c:pt>
                <c:pt idx="168">
                  <c:v>3.2830000000000013</c:v>
                </c:pt>
                <c:pt idx="169">
                  <c:v>2.9869999999999983</c:v>
                </c:pt>
                <c:pt idx="170">
                  <c:v>2.2369999999999983</c:v>
                </c:pt>
                <c:pt idx="171">
                  <c:v>3.6810000000000009</c:v>
                </c:pt>
                <c:pt idx="172">
                  <c:v>3.3279999999999994</c:v>
                </c:pt>
                <c:pt idx="173">
                  <c:v>4.4149999999999991</c:v>
                </c:pt>
                <c:pt idx="174">
                  <c:v>0.65300000000000225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C6-4ECB-A39E-FCE20F683831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data_ghg_incLUC!$Q$3:$Q$177</c:f>
              <c:numCache>
                <c:formatCode>0.0</c:formatCode>
                <c:ptCount val="175"/>
                <c:pt idx="0">
                  <c:v>1.6009999999999991</c:v>
                </c:pt>
                <c:pt idx="1">
                  <c:v>2.5289999999999964</c:v>
                </c:pt>
                <c:pt idx="2">
                  <c:v>5.6300000000000026</c:v>
                </c:pt>
                <c:pt idx="3">
                  <c:v>6.4699999999999989</c:v>
                </c:pt>
                <c:pt idx="4">
                  <c:v>6.7450000000000045</c:v>
                </c:pt>
                <c:pt idx="5">
                  <c:v>7.9050000000000011</c:v>
                </c:pt>
                <c:pt idx="6">
                  <c:v>8.1540000000000035</c:v>
                </c:pt>
                <c:pt idx="7">
                  <c:v>8.392000000000003</c:v>
                </c:pt>
                <c:pt idx="8">
                  <c:v>8.3879999999999981</c:v>
                </c:pt>
                <c:pt idx="9">
                  <c:v>8.4490000000000052</c:v>
                </c:pt>
                <c:pt idx="10">
                  <c:v>7.5459999999999994</c:v>
                </c:pt>
                <c:pt idx="11">
                  <c:v>7.4849999999999994</c:v>
                </c:pt>
                <c:pt idx="12">
                  <c:v>4.9269999999999996</c:v>
                </c:pt>
                <c:pt idx="13">
                  <c:v>4.8160000000000025</c:v>
                </c:pt>
                <c:pt idx="14">
                  <c:v>4.6999999999999957</c:v>
                </c:pt>
                <c:pt idx="15">
                  <c:v>4.5929999999999964</c:v>
                </c:pt>
                <c:pt idx="16">
                  <c:v>4.2310000000000016</c:v>
                </c:pt>
                <c:pt idx="17">
                  <c:v>4.330999999999996</c:v>
                </c:pt>
                <c:pt idx="18">
                  <c:v>4.0640000000000001</c:v>
                </c:pt>
                <c:pt idx="19">
                  <c:v>4.2439999999999998</c:v>
                </c:pt>
                <c:pt idx="20">
                  <c:v>2.4660000000000011</c:v>
                </c:pt>
                <c:pt idx="21">
                  <c:v>0.64999999999999147</c:v>
                </c:pt>
                <c:pt idx="22">
                  <c:v>2.5960000000000036</c:v>
                </c:pt>
                <c:pt idx="23">
                  <c:v>2.1610000000000014</c:v>
                </c:pt>
                <c:pt idx="24">
                  <c:v>1.7450000000000045</c:v>
                </c:pt>
                <c:pt idx="25">
                  <c:v>1.6389999999999958</c:v>
                </c:pt>
                <c:pt idx="26">
                  <c:v>1.4579999999999984</c:v>
                </c:pt>
                <c:pt idx="27">
                  <c:v>1.5219999999999914</c:v>
                </c:pt>
                <c:pt idx="28">
                  <c:v>1.2090000000000032</c:v>
                </c:pt>
                <c:pt idx="29">
                  <c:v>1</c:v>
                </c:pt>
                <c:pt idx="30">
                  <c:v>2.6099999999999994</c:v>
                </c:pt>
                <c:pt idx="31">
                  <c:v>2.2319999999999993</c:v>
                </c:pt>
                <c:pt idx="32">
                  <c:v>1.0160000000000053</c:v>
                </c:pt>
                <c:pt idx="33">
                  <c:v>0.78000000000000114</c:v>
                </c:pt>
                <c:pt idx="34">
                  <c:v>0.46299999999999386</c:v>
                </c:pt>
                <c:pt idx="35">
                  <c:v>0.37999999999999545</c:v>
                </c:pt>
                <c:pt idx="36">
                  <c:v>0.42499999999999716</c:v>
                </c:pt>
                <c:pt idx="37">
                  <c:v>0.57999999999999829</c:v>
                </c:pt>
                <c:pt idx="38">
                  <c:v>0.50399999999999068</c:v>
                </c:pt>
                <c:pt idx="39">
                  <c:v>0.84199999999999875</c:v>
                </c:pt>
                <c:pt idx="40">
                  <c:v>0.72599999999999909</c:v>
                </c:pt>
                <c:pt idx="41">
                  <c:v>0.88700000000000045</c:v>
                </c:pt>
                <c:pt idx="42">
                  <c:v>0.82099999999999795</c:v>
                </c:pt>
                <c:pt idx="43">
                  <c:v>0.7190000000000083</c:v>
                </c:pt>
                <c:pt idx="44">
                  <c:v>0.19599999999999795</c:v>
                </c:pt>
                <c:pt idx="45">
                  <c:v>0.38700000000000045</c:v>
                </c:pt>
                <c:pt idx="46">
                  <c:v>0.31300000000000239</c:v>
                </c:pt>
                <c:pt idx="47">
                  <c:v>0.46800000000000352</c:v>
                </c:pt>
                <c:pt idx="48">
                  <c:v>0.16999999999998749</c:v>
                </c:pt>
                <c:pt idx="49">
                  <c:v>0.33299999999999841</c:v>
                </c:pt>
                <c:pt idx="50">
                  <c:v>0.37000000000000455</c:v>
                </c:pt>
                <c:pt idx="51">
                  <c:v>1.1559999999999917</c:v>
                </c:pt>
                <c:pt idx="52">
                  <c:v>2.6950000000000074</c:v>
                </c:pt>
                <c:pt idx="53">
                  <c:v>3.6039999999999992</c:v>
                </c:pt>
                <c:pt idx="54">
                  <c:v>4.5049999999999955</c:v>
                </c:pt>
                <c:pt idx="55">
                  <c:v>5.5380000000000038</c:v>
                </c:pt>
                <c:pt idx="56">
                  <c:v>6.1880000000000024</c:v>
                </c:pt>
                <c:pt idx="57">
                  <c:v>6.3670000000000044</c:v>
                </c:pt>
                <c:pt idx="58">
                  <c:v>6.8969999999999985</c:v>
                </c:pt>
                <c:pt idx="59">
                  <c:v>6.9359999999999999</c:v>
                </c:pt>
                <c:pt idx="60">
                  <c:v>4.9990000000000023</c:v>
                </c:pt>
                <c:pt idx="61">
                  <c:v>2.8940000000000055</c:v>
                </c:pt>
                <c:pt idx="62">
                  <c:v>2.3089999999999975</c:v>
                </c:pt>
                <c:pt idx="63">
                  <c:v>0.71399999999999864</c:v>
                </c:pt>
                <c:pt idx="64">
                  <c:v>0.23700000000000898</c:v>
                </c:pt>
                <c:pt idx="65">
                  <c:v>0.39199999999999591</c:v>
                </c:pt>
                <c:pt idx="66">
                  <c:v>0.43200000000000216</c:v>
                </c:pt>
                <c:pt idx="67">
                  <c:v>0.76400000000001</c:v>
                </c:pt>
                <c:pt idx="68">
                  <c:v>0.82099999999999795</c:v>
                </c:pt>
                <c:pt idx="69">
                  <c:v>0.71699999999999875</c:v>
                </c:pt>
                <c:pt idx="70">
                  <c:v>1.6469999999999914</c:v>
                </c:pt>
                <c:pt idx="71">
                  <c:v>0.36299999999999955</c:v>
                </c:pt>
                <c:pt idx="72">
                  <c:v>8.2000000000000739E-2</c:v>
                </c:pt>
                <c:pt idx="73">
                  <c:v>0.23899999999999721</c:v>
                </c:pt>
                <c:pt idx="74">
                  <c:v>0.28800000000000381</c:v>
                </c:pt>
                <c:pt idx="75">
                  <c:v>6.7000000000000171E-2</c:v>
                </c:pt>
                <c:pt idx="76">
                  <c:v>9.9000000000003752E-2</c:v>
                </c:pt>
                <c:pt idx="77">
                  <c:v>0.7879999999999967</c:v>
                </c:pt>
                <c:pt idx="78">
                  <c:v>0.85699999999999932</c:v>
                </c:pt>
                <c:pt idx="79">
                  <c:v>1.0459999999999923</c:v>
                </c:pt>
                <c:pt idx="80">
                  <c:v>1.3990000000000009</c:v>
                </c:pt>
                <c:pt idx="81">
                  <c:v>0.92499999999999716</c:v>
                </c:pt>
                <c:pt idx="82">
                  <c:v>0.60200000000000387</c:v>
                </c:pt>
                <c:pt idx="83">
                  <c:v>0.66199999999999903</c:v>
                </c:pt>
                <c:pt idx="84">
                  <c:v>0.45000000000000284</c:v>
                </c:pt>
                <c:pt idx="85">
                  <c:v>0.87300000000000466</c:v>
                </c:pt>
                <c:pt idx="86">
                  <c:v>1.0359999999999943</c:v>
                </c:pt>
                <c:pt idx="87">
                  <c:v>1.2390000000000043</c:v>
                </c:pt>
                <c:pt idx="88">
                  <c:v>1.6689999999999969</c:v>
                </c:pt>
                <c:pt idx="89">
                  <c:v>1.6670000000000016</c:v>
                </c:pt>
                <c:pt idx="90">
                  <c:v>0.77199999999999847</c:v>
                </c:pt>
                <c:pt idx="91">
                  <c:v>1.902000000000001</c:v>
                </c:pt>
                <c:pt idx="92">
                  <c:v>2.8480000000000061</c:v>
                </c:pt>
                <c:pt idx="93">
                  <c:v>2.9959999999999951</c:v>
                </c:pt>
                <c:pt idx="94">
                  <c:v>2.5640000000000001</c:v>
                </c:pt>
                <c:pt idx="95">
                  <c:v>1.911999999999999</c:v>
                </c:pt>
                <c:pt idx="96">
                  <c:v>0.80399999999999494</c:v>
                </c:pt>
                <c:pt idx="97">
                  <c:v>1.4299999999999997</c:v>
                </c:pt>
                <c:pt idx="98">
                  <c:v>1.4669999999999987</c:v>
                </c:pt>
                <c:pt idx="99">
                  <c:v>1.4579999999999984</c:v>
                </c:pt>
                <c:pt idx="100">
                  <c:v>3.8590000000000018</c:v>
                </c:pt>
                <c:pt idx="101">
                  <c:v>5.3810000000000002</c:v>
                </c:pt>
                <c:pt idx="102">
                  <c:v>4.3710000000000022</c:v>
                </c:pt>
                <c:pt idx="103">
                  <c:v>4.57</c:v>
                </c:pt>
                <c:pt idx="104">
                  <c:v>5.1240000000000023</c:v>
                </c:pt>
                <c:pt idx="105">
                  <c:v>5.0240000000000009</c:v>
                </c:pt>
                <c:pt idx="106">
                  <c:v>4.9969999999999999</c:v>
                </c:pt>
                <c:pt idx="107">
                  <c:v>5.3089999999999975</c:v>
                </c:pt>
                <c:pt idx="108">
                  <c:v>5.4450000000000003</c:v>
                </c:pt>
                <c:pt idx="109">
                  <c:v>4.6480000000000032</c:v>
                </c:pt>
                <c:pt idx="110">
                  <c:v>3.671999999999997</c:v>
                </c:pt>
                <c:pt idx="111">
                  <c:v>3.1380000000000052</c:v>
                </c:pt>
                <c:pt idx="112">
                  <c:v>3.2469999999999999</c:v>
                </c:pt>
                <c:pt idx="113">
                  <c:v>3.1129999999999995</c:v>
                </c:pt>
                <c:pt idx="114">
                  <c:v>2.6900000000000048</c:v>
                </c:pt>
                <c:pt idx="115">
                  <c:v>2.0770000000000053</c:v>
                </c:pt>
                <c:pt idx="116">
                  <c:v>1.6489999999999938</c:v>
                </c:pt>
                <c:pt idx="117">
                  <c:v>0.46000000000000085</c:v>
                </c:pt>
                <c:pt idx="118">
                  <c:v>0.32699999999999818</c:v>
                </c:pt>
                <c:pt idx="119">
                  <c:v>3.0360000000000014</c:v>
                </c:pt>
                <c:pt idx="120">
                  <c:v>2.6169999999999973</c:v>
                </c:pt>
                <c:pt idx="121">
                  <c:v>2.0990000000000038</c:v>
                </c:pt>
                <c:pt idx="122">
                  <c:v>3.3019999999999996</c:v>
                </c:pt>
                <c:pt idx="123">
                  <c:v>2.7169999999999987</c:v>
                </c:pt>
                <c:pt idx="124">
                  <c:v>2.5579999999999998</c:v>
                </c:pt>
                <c:pt idx="125">
                  <c:v>2.1610000000000014</c:v>
                </c:pt>
                <c:pt idx="126">
                  <c:v>1.713000000000001</c:v>
                </c:pt>
                <c:pt idx="127">
                  <c:v>2.1739999999999995</c:v>
                </c:pt>
                <c:pt idx="128">
                  <c:v>2.4179999999999993</c:v>
                </c:pt>
                <c:pt idx="129">
                  <c:v>1.5309999999999988</c:v>
                </c:pt>
                <c:pt idx="130">
                  <c:v>1.3519999999999968</c:v>
                </c:pt>
                <c:pt idx="131">
                  <c:v>1.3260000000000005</c:v>
                </c:pt>
                <c:pt idx="132">
                  <c:v>0.29800000000000182</c:v>
                </c:pt>
                <c:pt idx="133">
                  <c:v>0.25600000000000023</c:v>
                </c:pt>
                <c:pt idx="134">
                  <c:v>0.39300000000000068</c:v>
                </c:pt>
                <c:pt idx="135">
                  <c:v>0.76500000000000057</c:v>
                </c:pt>
                <c:pt idx="136">
                  <c:v>1.2269999999999968</c:v>
                </c:pt>
                <c:pt idx="137">
                  <c:v>0.68699999999999761</c:v>
                </c:pt>
                <c:pt idx="138">
                  <c:v>0.22100000000000364</c:v>
                </c:pt>
                <c:pt idx="139">
                  <c:v>2.4999999999998579E-2</c:v>
                </c:pt>
                <c:pt idx="140">
                  <c:v>0.49099999999999966</c:v>
                </c:pt>
                <c:pt idx="141">
                  <c:v>0.91199999999999903</c:v>
                </c:pt>
                <c:pt idx="142">
                  <c:v>0.5589999999999975</c:v>
                </c:pt>
                <c:pt idx="143">
                  <c:v>0.79599999999999937</c:v>
                </c:pt>
                <c:pt idx="144">
                  <c:v>3.9140000000000015</c:v>
                </c:pt>
                <c:pt idx="145">
                  <c:v>2.107999999999997</c:v>
                </c:pt>
                <c:pt idx="146">
                  <c:v>3.2660000000000053</c:v>
                </c:pt>
                <c:pt idx="147">
                  <c:v>5.5159999999999982</c:v>
                </c:pt>
                <c:pt idx="148">
                  <c:v>3.7379999999999995</c:v>
                </c:pt>
                <c:pt idx="149">
                  <c:v>2.7659999999999982</c:v>
                </c:pt>
                <c:pt idx="150">
                  <c:v>3.5280000000000058</c:v>
                </c:pt>
                <c:pt idx="151">
                  <c:v>3.6210000000000022</c:v>
                </c:pt>
                <c:pt idx="152">
                  <c:v>3.222999999999999</c:v>
                </c:pt>
                <c:pt idx="153">
                  <c:v>1.6929999999999978</c:v>
                </c:pt>
                <c:pt idx="154">
                  <c:v>2.0959999999999965</c:v>
                </c:pt>
                <c:pt idx="155">
                  <c:v>3.1059999999999945</c:v>
                </c:pt>
                <c:pt idx="156">
                  <c:v>2.1550000000000011</c:v>
                </c:pt>
                <c:pt idx="157">
                  <c:v>2.2450000000000045</c:v>
                </c:pt>
                <c:pt idx="158">
                  <c:v>2.8180000000000049</c:v>
                </c:pt>
                <c:pt idx="159">
                  <c:v>3.8350000000000009</c:v>
                </c:pt>
                <c:pt idx="160">
                  <c:v>4.2560000000000002</c:v>
                </c:pt>
                <c:pt idx="161">
                  <c:v>1.8440000000000012</c:v>
                </c:pt>
                <c:pt idx="162">
                  <c:v>2.9349999999999987</c:v>
                </c:pt>
                <c:pt idx="163">
                  <c:v>4.2220000000000013</c:v>
                </c:pt>
                <c:pt idx="164">
                  <c:v>4.16</c:v>
                </c:pt>
                <c:pt idx="165">
                  <c:v>4.3429999999999964</c:v>
                </c:pt>
                <c:pt idx="166">
                  <c:v>5.4980000000000011</c:v>
                </c:pt>
                <c:pt idx="167">
                  <c:v>4.227999999999998</c:v>
                </c:pt>
                <c:pt idx="168">
                  <c:v>3.5330000000000013</c:v>
                </c:pt>
                <c:pt idx="169">
                  <c:v>3.8420000000000023</c:v>
                </c:pt>
                <c:pt idx="170">
                  <c:v>4.5249999999999986</c:v>
                </c:pt>
                <c:pt idx="171">
                  <c:v>3.9589999999999996</c:v>
                </c:pt>
                <c:pt idx="172">
                  <c:v>4.1690000000000005</c:v>
                </c:pt>
                <c:pt idx="173">
                  <c:v>2.7060000000000031</c:v>
                </c:pt>
                <c:pt idx="174">
                  <c:v>7.2509999999999977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6-4ECB-A39E-FCE20F68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0.0</c:formatCode>
                <c:ptCount val="175"/>
                <c:pt idx="0">
                  <c:v>36.118000000000002</c:v>
                </c:pt>
                <c:pt idx="1">
                  <c:v>36.279000000000003</c:v>
                </c:pt>
                <c:pt idx="2">
                  <c:v>36.048000000000002</c:v>
                </c:pt>
                <c:pt idx="3">
                  <c:v>36.9</c:v>
                </c:pt>
                <c:pt idx="4">
                  <c:v>37.71</c:v>
                </c:pt>
                <c:pt idx="5">
                  <c:v>37.610999999999997</c:v>
                </c:pt>
                <c:pt idx="6">
                  <c:v>37.923000000000002</c:v>
                </c:pt>
                <c:pt idx="7">
                  <c:v>37.997</c:v>
                </c:pt>
                <c:pt idx="8">
                  <c:v>38.378</c:v>
                </c:pt>
                <c:pt idx="9">
                  <c:v>38.863</c:v>
                </c:pt>
                <c:pt idx="10">
                  <c:v>40.182000000000002</c:v>
                </c:pt>
                <c:pt idx="11">
                  <c:v>40.095999999999997</c:v>
                </c:pt>
                <c:pt idx="12">
                  <c:v>40.817</c:v>
                </c:pt>
                <c:pt idx="13">
                  <c:v>41.436999999999998</c:v>
                </c:pt>
                <c:pt idx="14">
                  <c:v>41.207000000000001</c:v>
                </c:pt>
                <c:pt idx="15">
                  <c:v>41.728000000000002</c:v>
                </c:pt>
                <c:pt idx="16">
                  <c:v>41.533000000000001</c:v>
                </c:pt>
                <c:pt idx="17">
                  <c:v>42.655000000000001</c:v>
                </c:pt>
                <c:pt idx="18">
                  <c:v>42.658000000000001</c:v>
                </c:pt>
                <c:pt idx="19">
                  <c:v>42.682000000000002</c:v>
                </c:pt>
                <c:pt idx="20">
                  <c:v>44.509</c:v>
                </c:pt>
                <c:pt idx="21">
                  <c:v>46.197000000000003</c:v>
                </c:pt>
                <c:pt idx="22">
                  <c:v>46.567</c:v>
                </c:pt>
                <c:pt idx="23">
                  <c:v>47.795000000000002</c:v>
                </c:pt>
                <c:pt idx="24">
                  <c:v>47.395000000000003</c:v>
                </c:pt>
                <c:pt idx="25">
                  <c:v>48.390999999999998</c:v>
                </c:pt>
                <c:pt idx="26">
                  <c:v>48.505000000000003</c:v>
                </c:pt>
                <c:pt idx="27">
                  <c:v>48.710999999999999</c:v>
                </c:pt>
                <c:pt idx="28">
                  <c:v>48.902999999999999</c:v>
                </c:pt>
                <c:pt idx="29">
                  <c:v>49.575000000000003</c:v>
                </c:pt>
                <c:pt idx="30">
                  <c:v>48.662999999999997</c:v>
                </c:pt>
                <c:pt idx="31">
                  <c:v>47.771999999999998</c:v>
                </c:pt>
                <c:pt idx="32">
                  <c:v>47.790999999999997</c:v>
                </c:pt>
                <c:pt idx="33">
                  <c:v>48.112000000000002</c:v>
                </c:pt>
                <c:pt idx="34">
                  <c:v>47.811999999999998</c:v>
                </c:pt>
                <c:pt idx="35">
                  <c:v>47.405000000000001</c:v>
                </c:pt>
                <c:pt idx="36">
                  <c:v>47.484999999999999</c:v>
                </c:pt>
                <c:pt idx="37">
                  <c:v>47.896000000000001</c:v>
                </c:pt>
                <c:pt idx="38">
                  <c:v>48.561999999999998</c:v>
                </c:pt>
                <c:pt idx="39">
                  <c:v>47.829000000000001</c:v>
                </c:pt>
                <c:pt idx="40">
                  <c:v>47.841000000000001</c:v>
                </c:pt>
                <c:pt idx="41">
                  <c:v>47.988</c:v>
                </c:pt>
                <c:pt idx="42">
                  <c:v>48.06</c:v>
                </c:pt>
                <c:pt idx="43">
                  <c:v>47.948999999999998</c:v>
                </c:pt>
                <c:pt idx="44">
                  <c:v>47.82</c:v>
                </c:pt>
                <c:pt idx="45">
                  <c:v>48.287999999999997</c:v>
                </c:pt>
                <c:pt idx="46">
                  <c:v>48.576999999999998</c:v>
                </c:pt>
                <c:pt idx="47">
                  <c:v>48.651000000000003</c:v>
                </c:pt>
                <c:pt idx="48">
                  <c:v>49.101999999999997</c:v>
                </c:pt>
                <c:pt idx="49">
                  <c:v>49.951000000000001</c:v>
                </c:pt>
                <c:pt idx="50">
                  <c:v>50.081000000000003</c:v>
                </c:pt>
                <c:pt idx="51">
                  <c:v>49.209000000000003</c:v>
                </c:pt>
                <c:pt idx="52">
                  <c:v>49.347999999999999</c:v>
                </c:pt>
                <c:pt idx="53">
                  <c:v>50.02</c:v>
                </c:pt>
                <c:pt idx="54">
                  <c:v>49.723999999999997</c:v>
                </c:pt>
                <c:pt idx="55">
                  <c:v>50.338999999999999</c:v>
                </c:pt>
                <c:pt idx="56">
                  <c:v>50.206000000000003</c:v>
                </c:pt>
                <c:pt idx="57">
                  <c:v>51.616</c:v>
                </c:pt>
                <c:pt idx="58">
                  <c:v>50.625999999999998</c:v>
                </c:pt>
                <c:pt idx="59">
                  <c:v>50.826999999999998</c:v>
                </c:pt>
                <c:pt idx="60">
                  <c:v>52.042000000000002</c:v>
                </c:pt>
                <c:pt idx="61">
                  <c:v>52.093000000000004</c:v>
                </c:pt>
                <c:pt idx="62">
                  <c:v>52.44</c:v>
                </c:pt>
                <c:pt idx="63">
                  <c:v>53.482999999999997</c:v>
                </c:pt>
                <c:pt idx="64">
                  <c:v>52.304000000000002</c:v>
                </c:pt>
                <c:pt idx="65">
                  <c:v>52.112000000000002</c:v>
                </c:pt>
                <c:pt idx="66">
                  <c:v>52.826999999999998</c:v>
                </c:pt>
                <c:pt idx="67">
                  <c:v>53.6</c:v>
                </c:pt>
                <c:pt idx="68">
                  <c:v>54.533999999999999</c:v>
                </c:pt>
                <c:pt idx="69">
                  <c:v>52.987000000000002</c:v>
                </c:pt>
                <c:pt idx="70">
                  <c:v>52.469000000000001</c:v>
                </c:pt>
                <c:pt idx="71">
                  <c:v>49.36</c:v>
                </c:pt>
                <c:pt idx="72">
                  <c:v>49.838999999999999</c:v>
                </c:pt>
                <c:pt idx="73">
                  <c:v>51.070999999999998</c:v>
                </c:pt>
                <c:pt idx="74">
                  <c:v>50.889000000000003</c:v>
                </c:pt>
                <c:pt idx="75">
                  <c:v>50.518999999999998</c:v>
                </c:pt>
                <c:pt idx="76">
                  <c:v>49.613999999999997</c:v>
                </c:pt>
                <c:pt idx="77">
                  <c:v>50.412999999999997</c:v>
                </c:pt>
                <c:pt idx="78">
                  <c:v>49.725999999999999</c:v>
                </c:pt>
                <c:pt idx="79">
                  <c:v>50.213000000000001</c:v>
                </c:pt>
                <c:pt idx="80">
                  <c:v>47.533999999999999</c:v>
                </c:pt>
                <c:pt idx="81">
                  <c:v>44.808</c:v>
                </c:pt>
                <c:pt idx="82">
                  <c:v>42.244</c:v>
                </c:pt>
                <c:pt idx="83">
                  <c:v>42.600999999999999</c:v>
                </c:pt>
                <c:pt idx="84">
                  <c:v>42.953000000000003</c:v>
                </c:pt>
                <c:pt idx="85">
                  <c:v>42.994</c:v>
                </c:pt>
                <c:pt idx="86">
                  <c:v>43.555999999999997</c:v>
                </c:pt>
                <c:pt idx="87">
                  <c:v>44.121000000000002</c:v>
                </c:pt>
                <c:pt idx="88">
                  <c:v>42.302</c:v>
                </c:pt>
                <c:pt idx="89">
                  <c:v>42.994999999999997</c:v>
                </c:pt>
                <c:pt idx="90">
                  <c:v>42.725000000000001</c:v>
                </c:pt>
                <c:pt idx="91">
                  <c:v>43.180999999999997</c:v>
                </c:pt>
                <c:pt idx="92">
                  <c:v>44.390999999999998</c:v>
                </c:pt>
                <c:pt idx="93">
                  <c:v>44.42</c:v>
                </c:pt>
                <c:pt idx="94">
                  <c:v>44.174999999999997</c:v>
                </c:pt>
                <c:pt idx="95">
                  <c:v>41.780999999999999</c:v>
                </c:pt>
                <c:pt idx="96">
                  <c:v>42.106999999999999</c:v>
                </c:pt>
                <c:pt idx="97">
                  <c:v>43.610999999999997</c:v>
                </c:pt>
                <c:pt idx="98">
                  <c:v>44.533999999999999</c:v>
                </c:pt>
                <c:pt idx="99">
                  <c:v>42.831000000000003</c:v>
                </c:pt>
                <c:pt idx="100">
                  <c:v>41.698</c:v>
                </c:pt>
                <c:pt idx="101">
                  <c:v>40.817</c:v>
                </c:pt>
                <c:pt idx="102">
                  <c:v>40.243000000000002</c:v>
                </c:pt>
                <c:pt idx="103">
                  <c:v>39.942</c:v>
                </c:pt>
                <c:pt idx="104">
                  <c:v>38.511000000000003</c:v>
                </c:pt>
                <c:pt idx="105">
                  <c:v>38.793999999999997</c:v>
                </c:pt>
                <c:pt idx="106">
                  <c:v>39.021999999999998</c:v>
                </c:pt>
                <c:pt idx="107">
                  <c:v>38.200000000000003</c:v>
                </c:pt>
                <c:pt idx="108">
                  <c:v>36.973999999999997</c:v>
                </c:pt>
                <c:pt idx="109">
                  <c:v>35.530999999999999</c:v>
                </c:pt>
                <c:pt idx="110">
                  <c:v>37.359000000000002</c:v>
                </c:pt>
                <c:pt idx="111">
                  <c:v>37.460999999999999</c:v>
                </c:pt>
                <c:pt idx="112">
                  <c:v>39.093000000000004</c:v>
                </c:pt>
                <c:pt idx="113">
                  <c:v>39.46</c:v>
                </c:pt>
                <c:pt idx="114">
                  <c:v>40.237000000000002</c:v>
                </c:pt>
                <c:pt idx="115">
                  <c:v>40.747999999999998</c:v>
                </c:pt>
                <c:pt idx="116">
                  <c:v>41.213000000000001</c:v>
                </c:pt>
                <c:pt idx="117">
                  <c:v>43.043999999999997</c:v>
                </c:pt>
                <c:pt idx="118">
                  <c:v>43.734999999999999</c:v>
                </c:pt>
                <c:pt idx="119">
                  <c:v>41.905999999999999</c:v>
                </c:pt>
                <c:pt idx="120">
                  <c:v>41.680999999999997</c:v>
                </c:pt>
                <c:pt idx="121">
                  <c:v>42.124000000000002</c:v>
                </c:pt>
                <c:pt idx="122">
                  <c:v>41.482999999999997</c:v>
                </c:pt>
                <c:pt idx="123">
                  <c:v>41.731999999999999</c:v>
                </c:pt>
                <c:pt idx="124">
                  <c:v>40.896999999999998</c:v>
                </c:pt>
                <c:pt idx="125">
                  <c:v>39.804000000000002</c:v>
                </c:pt>
                <c:pt idx="126">
                  <c:v>40.201000000000001</c:v>
                </c:pt>
                <c:pt idx="127">
                  <c:v>39.491</c:v>
                </c:pt>
                <c:pt idx="128">
                  <c:v>38.915999999999997</c:v>
                </c:pt>
                <c:pt idx="129">
                  <c:v>39.758000000000003</c:v>
                </c:pt>
                <c:pt idx="130">
                  <c:v>38.950000000000003</c:v>
                </c:pt>
                <c:pt idx="131">
                  <c:v>38.573</c:v>
                </c:pt>
                <c:pt idx="132">
                  <c:v>37.485999999999997</c:v>
                </c:pt>
                <c:pt idx="133">
                  <c:v>36.793999999999997</c:v>
                </c:pt>
                <c:pt idx="134">
                  <c:v>36.085999999999999</c:v>
                </c:pt>
                <c:pt idx="135">
                  <c:v>35.069000000000003</c:v>
                </c:pt>
                <c:pt idx="136">
                  <c:v>34.219000000000001</c:v>
                </c:pt>
                <c:pt idx="137">
                  <c:v>34.563000000000002</c:v>
                </c:pt>
                <c:pt idx="138">
                  <c:v>34.880000000000003</c:v>
                </c:pt>
                <c:pt idx="139">
                  <c:v>35.207999999999998</c:v>
                </c:pt>
                <c:pt idx="140">
                  <c:v>36.118000000000002</c:v>
                </c:pt>
                <c:pt idx="141">
                  <c:v>35.615000000000002</c:v>
                </c:pt>
                <c:pt idx="142">
                  <c:v>36.11</c:v>
                </c:pt>
                <c:pt idx="143">
                  <c:v>36.137999999999998</c:v>
                </c:pt>
                <c:pt idx="144">
                  <c:v>35.374000000000002</c:v>
                </c:pt>
                <c:pt idx="145">
                  <c:v>35.555999999999997</c:v>
                </c:pt>
                <c:pt idx="146">
                  <c:v>35.357999999999997</c:v>
                </c:pt>
                <c:pt idx="147">
                  <c:v>33.869</c:v>
                </c:pt>
                <c:pt idx="148">
                  <c:v>35.252000000000002</c:v>
                </c:pt>
                <c:pt idx="149">
                  <c:v>35.228000000000002</c:v>
                </c:pt>
                <c:pt idx="150">
                  <c:v>35.779000000000003</c:v>
                </c:pt>
                <c:pt idx="151">
                  <c:v>35.612000000000002</c:v>
                </c:pt>
                <c:pt idx="152">
                  <c:v>34.692</c:v>
                </c:pt>
                <c:pt idx="153">
                  <c:v>33.192</c:v>
                </c:pt>
                <c:pt idx="154">
                  <c:v>33.200000000000003</c:v>
                </c:pt>
                <c:pt idx="155">
                  <c:v>32.71</c:v>
                </c:pt>
                <c:pt idx="156">
                  <c:v>30.936</c:v>
                </c:pt>
                <c:pt idx="157">
                  <c:v>30.901</c:v>
                </c:pt>
                <c:pt idx="158">
                  <c:v>29.853000000000002</c:v>
                </c:pt>
                <c:pt idx="159">
                  <c:v>27.632999999999999</c:v>
                </c:pt>
                <c:pt idx="160">
                  <c:v>27.724</c:v>
                </c:pt>
                <c:pt idx="161">
                  <c:v>26.271999999999998</c:v>
                </c:pt>
                <c:pt idx="162">
                  <c:v>25.449000000000002</c:v>
                </c:pt>
                <c:pt idx="163">
                  <c:v>25.402999999999999</c:v>
                </c:pt>
                <c:pt idx="164">
                  <c:v>25.004000000000001</c:v>
                </c:pt>
                <c:pt idx="165">
                  <c:v>24.536999999999999</c:v>
                </c:pt>
                <c:pt idx="166">
                  <c:v>24.785</c:v>
                </c:pt>
                <c:pt idx="167">
                  <c:v>24.58</c:v>
                </c:pt>
                <c:pt idx="168">
                  <c:v>24.401</c:v>
                </c:pt>
                <c:pt idx="169">
                  <c:v>23.571000000000002</c:v>
                </c:pt>
                <c:pt idx="170">
                  <c:v>22.427</c:v>
                </c:pt>
                <c:pt idx="171">
                  <c:v>22.664000000000001</c:v>
                </c:pt>
                <c:pt idx="172">
                  <c:v>22.128</c:v>
                </c:pt>
                <c:pt idx="173">
                  <c:v>21.236999999999998</c:v>
                </c:pt>
                <c:pt idx="174">
                  <c:v>20.895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C6-4ECB-A39E-FCE20F683831}"/>
            </c:ext>
          </c:extLst>
        </c:ser>
        <c:ser>
          <c:idx val="6"/>
          <c:order val="6"/>
          <c:tx>
            <c:strRef>
              <c:f>data_ghg_incLUC!$J$2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data_ghg_incLUC!$J$3:$J$177</c:f>
              <c:numCache>
                <c:formatCode>0.0</c:formatCode>
                <c:ptCount val="175"/>
                <c:pt idx="0">
                  <c:v>41.506</c:v>
                </c:pt>
                <c:pt idx="1">
                  <c:v>42.009</c:v>
                </c:pt>
                <c:pt idx="2">
                  <c:v>46.02</c:v>
                </c:pt>
                <c:pt idx="3">
                  <c:v>46.987000000000002</c:v>
                </c:pt>
                <c:pt idx="4">
                  <c:v>48.374000000000002</c:v>
                </c:pt>
                <c:pt idx="5">
                  <c:v>49.223999999999997</c:v>
                </c:pt>
                <c:pt idx="6">
                  <c:v>49.85</c:v>
                </c:pt>
                <c:pt idx="7">
                  <c:v>50.225000000000001</c:v>
                </c:pt>
                <c:pt idx="8">
                  <c:v>50.564</c:v>
                </c:pt>
                <c:pt idx="9">
                  <c:v>51.106000000000002</c:v>
                </c:pt>
                <c:pt idx="10">
                  <c:v>51.779000000000003</c:v>
                </c:pt>
                <c:pt idx="11">
                  <c:v>51.932000000000002</c:v>
                </c:pt>
                <c:pt idx="12">
                  <c:v>50.085999999999999</c:v>
                </c:pt>
                <c:pt idx="13">
                  <c:v>50.31</c:v>
                </c:pt>
                <c:pt idx="14">
                  <c:v>50.622</c:v>
                </c:pt>
                <c:pt idx="15">
                  <c:v>50.863999999999997</c:v>
                </c:pt>
                <c:pt idx="16">
                  <c:v>51.000999999999998</c:v>
                </c:pt>
                <c:pt idx="17">
                  <c:v>51.274999999999999</c:v>
                </c:pt>
                <c:pt idx="18">
                  <c:v>51.334000000000003</c:v>
                </c:pt>
                <c:pt idx="19">
                  <c:v>51.619</c:v>
                </c:pt>
                <c:pt idx="20">
                  <c:v>51.625</c:v>
                </c:pt>
                <c:pt idx="21">
                  <c:v>51.107999999999997</c:v>
                </c:pt>
                <c:pt idx="22">
                  <c:v>54.551000000000002</c:v>
                </c:pt>
                <c:pt idx="23">
                  <c:v>54.948</c:v>
                </c:pt>
                <c:pt idx="24">
                  <c:v>54.515000000000001</c:v>
                </c:pt>
                <c:pt idx="25">
                  <c:v>55.109000000000002</c:v>
                </c:pt>
                <c:pt idx="26">
                  <c:v>55.051000000000002</c:v>
                </c:pt>
                <c:pt idx="27">
                  <c:v>55.279000000000003</c:v>
                </c:pt>
                <c:pt idx="28">
                  <c:v>55.274999999999999</c:v>
                </c:pt>
                <c:pt idx="29">
                  <c:v>55.76</c:v>
                </c:pt>
                <c:pt idx="30">
                  <c:v>56.692999999999998</c:v>
                </c:pt>
                <c:pt idx="31">
                  <c:v>55.761000000000003</c:v>
                </c:pt>
                <c:pt idx="32">
                  <c:v>54.164999999999999</c:v>
                </c:pt>
                <c:pt idx="33">
                  <c:v>54.209000000000003</c:v>
                </c:pt>
                <c:pt idx="34">
                  <c:v>53.911000000000001</c:v>
                </c:pt>
                <c:pt idx="35">
                  <c:v>53.603999999999999</c:v>
                </c:pt>
                <c:pt idx="36">
                  <c:v>53.465000000000003</c:v>
                </c:pt>
                <c:pt idx="37">
                  <c:v>53.595999999999997</c:v>
                </c:pt>
                <c:pt idx="38">
                  <c:v>54.262</c:v>
                </c:pt>
                <c:pt idx="39">
                  <c:v>53.901000000000003</c:v>
                </c:pt>
                <c:pt idx="40">
                  <c:v>54.451999999999998</c:v>
                </c:pt>
                <c:pt idx="41">
                  <c:v>54.665999999999997</c:v>
                </c:pt>
                <c:pt idx="42">
                  <c:v>54.978000000000002</c:v>
                </c:pt>
                <c:pt idx="43">
                  <c:v>54.573</c:v>
                </c:pt>
                <c:pt idx="44">
                  <c:v>54.430999999999997</c:v>
                </c:pt>
                <c:pt idx="45">
                  <c:v>54.767000000000003</c:v>
                </c:pt>
                <c:pt idx="46">
                  <c:v>54.893999999999998</c:v>
                </c:pt>
                <c:pt idx="47">
                  <c:v>55.131</c:v>
                </c:pt>
                <c:pt idx="48">
                  <c:v>55.356999999999999</c:v>
                </c:pt>
                <c:pt idx="49">
                  <c:v>56.155000000000001</c:v>
                </c:pt>
                <c:pt idx="50">
                  <c:v>56.578000000000003</c:v>
                </c:pt>
                <c:pt idx="51">
                  <c:v>54.856999999999999</c:v>
                </c:pt>
                <c:pt idx="52">
                  <c:v>53.488</c:v>
                </c:pt>
                <c:pt idx="53">
                  <c:v>53.594000000000001</c:v>
                </c:pt>
                <c:pt idx="54">
                  <c:v>52.511000000000003</c:v>
                </c:pt>
                <c:pt idx="55">
                  <c:v>52.51</c:v>
                </c:pt>
                <c:pt idx="56">
                  <c:v>51.792999999999999</c:v>
                </c:pt>
                <c:pt idx="57">
                  <c:v>53.042000000000002</c:v>
                </c:pt>
                <c:pt idx="58">
                  <c:v>51.771999999999998</c:v>
                </c:pt>
                <c:pt idx="59">
                  <c:v>51.999000000000002</c:v>
                </c:pt>
                <c:pt idx="60">
                  <c:v>52.545000000000002</c:v>
                </c:pt>
                <c:pt idx="61">
                  <c:v>53.595999999999997</c:v>
                </c:pt>
                <c:pt idx="62">
                  <c:v>54.064</c:v>
                </c:pt>
                <c:pt idx="63">
                  <c:v>55.566000000000003</c:v>
                </c:pt>
                <c:pt idx="64">
                  <c:v>54.293999999999997</c:v>
                </c:pt>
                <c:pt idx="65">
                  <c:v>54.22</c:v>
                </c:pt>
                <c:pt idx="66">
                  <c:v>54.982999999999997</c:v>
                </c:pt>
                <c:pt idx="67">
                  <c:v>55.356999999999999</c:v>
                </c:pt>
                <c:pt idx="68">
                  <c:v>55.825000000000003</c:v>
                </c:pt>
                <c:pt idx="69">
                  <c:v>54.075000000000003</c:v>
                </c:pt>
                <c:pt idx="70">
                  <c:v>55.304000000000002</c:v>
                </c:pt>
                <c:pt idx="71">
                  <c:v>51.276000000000003</c:v>
                </c:pt>
                <c:pt idx="72">
                  <c:v>51.276000000000003</c:v>
                </c:pt>
                <c:pt idx="73">
                  <c:v>53.183999999999997</c:v>
                </c:pt>
                <c:pt idx="74">
                  <c:v>52.457999999999998</c:v>
                </c:pt>
                <c:pt idx="75">
                  <c:v>52.267000000000003</c:v>
                </c:pt>
                <c:pt idx="76">
                  <c:v>51.165999999999997</c:v>
                </c:pt>
                <c:pt idx="77">
                  <c:v>52.929000000000002</c:v>
                </c:pt>
                <c:pt idx="78">
                  <c:v>52.246000000000002</c:v>
                </c:pt>
                <c:pt idx="79">
                  <c:v>53.432000000000002</c:v>
                </c:pt>
                <c:pt idx="80">
                  <c:v>52.548999999999999</c:v>
                </c:pt>
                <c:pt idx="81">
                  <c:v>49.838999999999999</c:v>
                </c:pt>
                <c:pt idx="82">
                  <c:v>45.671999999999997</c:v>
                </c:pt>
                <c:pt idx="83">
                  <c:v>45.892000000000003</c:v>
                </c:pt>
                <c:pt idx="84">
                  <c:v>46.375999999999998</c:v>
                </c:pt>
                <c:pt idx="85">
                  <c:v>46.390999999999998</c:v>
                </c:pt>
                <c:pt idx="86">
                  <c:v>47.069000000000003</c:v>
                </c:pt>
                <c:pt idx="87">
                  <c:v>47.408999999999999</c:v>
                </c:pt>
                <c:pt idx="88">
                  <c:v>45.39</c:v>
                </c:pt>
                <c:pt idx="89">
                  <c:v>46.165999999999997</c:v>
                </c:pt>
                <c:pt idx="90">
                  <c:v>45.610999999999997</c:v>
                </c:pt>
                <c:pt idx="91">
                  <c:v>46.679000000000002</c:v>
                </c:pt>
                <c:pt idx="92">
                  <c:v>48.079000000000001</c:v>
                </c:pt>
                <c:pt idx="93">
                  <c:v>47.368000000000002</c:v>
                </c:pt>
                <c:pt idx="94">
                  <c:v>46.905000000000001</c:v>
                </c:pt>
                <c:pt idx="95">
                  <c:v>43.935000000000002</c:v>
                </c:pt>
                <c:pt idx="96">
                  <c:v>43.015000000000001</c:v>
                </c:pt>
                <c:pt idx="97">
                  <c:v>44.786000000000001</c:v>
                </c:pt>
                <c:pt idx="98">
                  <c:v>45.402999999999999</c:v>
                </c:pt>
                <c:pt idx="99">
                  <c:v>43.19</c:v>
                </c:pt>
                <c:pt idx="100">
                  <c:v>45.058</c:v>
                </c:pt>
                <c:pt idx="101">
                  <c:v>44.366</c:v>
                </c:pt>
                <c:pt idx="102">
                  <c:v>42.624000000000002</c:v>
                </c:pt>
                <c:pt idx="103">
                  <c:v>42.283999999999999</c:v>
                </c:pt>
                <c:pt idx="104">
                  <c:v>41.225999999999999</c:v>
                </c:pt>
                <c:pt idx="105">
                  <c:v>41.371000000000002</c:v>
                </c:pt>
                <c:pt idx="106">
                  <c:v>41.503999999999998</c:v>
                </c:pt>
                <c:pt idx="107">
                  <c:v>40.661000000000001</c:v>
                </c:pt>
                <c:pt idx="108">
                  <c:v>39.53</c:v>
                </c:pt>
                <c:pt idx="109">
                  <c:v>39.173000000000002</c:v>
                </c:pt>
                <c:pt idx="110">
                  <c:v>39.606000000000002</c:v>
                </c:pt>
                <c:pt idx="111">
                  <c:v>39.463000000000001</c:v>
                </c:pt>
                <c:pt idx="112">
                  <c:v>40.317999999999998</c:v>
                </c:pt>
                <c:pt idx="113">
                  <c:v>40.738999999999997</c:v>
                </c:pt>
                <c:pt idx="114">
                  <c:v>41.042000000000002</c:v>
                </c:pt>
                <c:pt idx="115">
                  <c:v>41.042000000000002</c:v>
                </c:pt>
                <c:pt idx="116">
                  <c:v>41.314</c:v>
                </c:pt>
                <c:pt idx="117">
                  <c:v>41.959000000000003</c:v>
                </c:pt>
                <c:pt idx="118">
                  <c:v>42.811</c:v>
                </c:pt>
                <c:pt idx="119">
                  <c:v>43.326999999999998</c:v>
                </c:pt>
                <c:pt idx="120">
                  <c:v>43.481000000000002</c:v>
                </c:pt>
                <c:pt idx="121">
                  <c:v>43.110999999999997</c:v>
                </c:pt>
                <c:pt idx="122">
                  <c:v>43.484000000000002</c:v>
                </c:pt>
                <c:pt idx="123">
                  <c:v>43.494</c:v>
                </c:pt>
                <c:pt idx="124">
                  <c:v>42.604999999999997</c:v>
                </c:pt>
                <c:pt idx="125">
                  <c:v>41.128999999999998</c:v>
                </c:pt>
                <c:pt idx="126">
                  <c:v>41.387999999999998</c:v>
                </c:pt>
                <c:pt idx="127">
                  <c:v>40.878</c:v>
                </c:pt>
                <c:pt idx="128">
                  <c:v>40.701000000000001</c:v>
                </c:pt>
                <c:pt idx="129">
                  <c:v>40.86</c:v>
                </c:pt>
                <c:pt idx="130">
                  <c:v>40.098999999999997</c:v>
                </c:pt>
                <c:pt idx="131">
                  <c:v>39.515999999999998</c:v>
                </c:pt>
                <c:pt idx="132">
                  <c:v>37.384999999999998</c:v>
                </c:pt>
                <c:pt idx="133">
                  <c:v>36.686999999999998</c:v>
                </c:pt>
                <c:pt idx="134">
                  <c:v>36.472000000000001</c:v>
                </c:pt>
                <c:pt idx="135">
                  <c:v>35.789000000000001</c:v>
                </c:pt>
                <c:pt idx="136">
                  <c:v>35.234999999999999</c:v>
                </c:pt>
                <c:pt idx="137">
                  <c:v>35.179000000000002</c:v>
                </c:pt>
                <c:pt idx="138">
                  <c:v>35.253999999999998</c:v>
                </c:pt>
                <c:pt idx="139">
                  <c:v>35.341999999999999</c:v>
                </c:pt>
                <c:pt idx="140">
                  <c:v>37.823</c:v>
                </c:pt>
                <c:pt idx="141">
                  <c:v>37.326999999999998</c:v>
                </c:pt>
                <c:pt idx="142">
                  <c:v>38.012999999999998</c:v>
                </c:pt>
                <c:pt idx="143">
                  <c:v>38.06</c:v>
                </c:pt>
                <c:pt idx="144">
                  <c:v>41.673999999999999</c:v>
                </c:pt>
                <c:pt idx="145">
                  <c:v>40.518999999999998</c:v>
                </c:pt>
                <c:pt idx="146">
                  <c:v>40.951000000000001</c:v>
                </c:pt>
                <c:pt idx="147">
                  <c:v>41.670999999999999</c:v>
                </c:pt>
                <c:pt idx="148">
                  <c:v>40.96</c:v>
                </c:pt>
                <c:pt idx="149">
                  <c:v>41.192</c:v>
                </c:pt>
                <c:pt idx="150">
                  <c:v>41.886000000000003</c:v>
                </c:pt>
                <c:pt idx="151">
                  <c:v>41.103999999999999</c:v>
                </c:pt>
                <c:pt idx="152">
                  <c:v>40.027000000000001</c:v>
                </c:pt>
                <c:pt idx="153">
                  <c:v>37.298000000000002</c:v>
                </c:pt>
                <c:pt idx="154">
                  <c:v>36.125999999999998</c:v>
                </c:pt>
                <c:pt idx="155">
                  <c:v>35.822000000000003</c:v>
                </c:pt>
                <c:pt idx="156">
                  <c:v>34.951000000000001</c:v>
                </c:pt>
                <c:pt idx="157">
                  <c:v>35.061</c:v>
                </c:pt>
                <c:pt idx="158">
                  <c:v>33.520000000000003</c:v>
                </c:pt>
                <c:pt idx="159">
                  <c:v>32.302999999999997</c:v>
                </c:pt>
                <c:pt idx="160">
                  <c:v>32.064</c:v>
                </c:pt>
                <c:pt idx="161">
                  <c:v>29.452000000000002</c:v>
                </c:pt>
                <c:pt idx="162">
                  <c:v>28.196999999999999</c:v>
                </c:pt>
                <c:pt idx="163">
                  <c:v>28.692</c:v>
                </c:pt>
                <c:pt idx="164">
                  <c:v>27.841999999999999</c:v>
                </c:pt>
                <c:pt idx="165">
                  <c:v>26.885999999999999</c:v>
                </c:pt>
                <c:pt idx="166">
                  <c:v>26.388999999999999</c:v>
                </c:pt>
                <c:pt idx="167">
                  <c:v>26.132000000000001</c:v>
                </c:pt>
                <c:pt idx="168">
                  <c:v>26.094999999999999</c:v>
                </c:pt>
                <c:pt idx="169">
                  <c:v>25.029</c:v>
                </c:pt>
                <c:pt idx="170">
                  <c:v>23.914000000000001</c:v>
                </c:pt>
                <c:pt idx="171">
                  <c:v>23.356999999999999</c:v>
                </c:pt>
                <c:pt idx="172">
                  <c:v>22.773</c:v>
                </c:pt>
                <c:pt idx="173">
                  <c:v>21.692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9C6-4ECB-A39E-FCE20F683831}"/>
            </c:ext>
          </c:extLst>
        </c:ser>
        <c:ser>
          <c:idx val="7"/>
          <c:order val="7"/>
          <c:tx>
            <c:strRef>
              <c:f>data_ghg_incLUC!$K$2</c:f>
              <c:strCache>
                <c:ptCount val="1"/>
                <c:pt idx="0">
                  <c:v>pct_annex2_EDGAR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data_ghg_incLUC!$K$3:$K$177</c:f>
              <c:numCache>
                <c:formatCode>0.0</c:formatCode>
                <c:ptCount val="175"/>
                <c:pt idx="140">
                  <c:v>38.118000000000002</c:v>
                </c:pt>
                <c:pt idx="141">
                  <c:v>37.786999999999999</c:v>
                </c:pt>
                <c:pt idx="142">
                  <c:v>37.704999999999998</c:v>
                </c:pt>
                <c:pt idx="143">
                  <c:v>38.363999999999997</c:v>
                </c:pt>
                <c:pt idx="144">
                  <c:v>38.478999999999999</c:v>
                </c:pt>
                <c:pt idx="145">
                  <c:v>37.941000000000003</c:v>
                </c:pt>
                <c:pt idx="146">
                  <c:v>37.631</c:v>
                </c:pt>
                <c:pt idx="147">
                  <c:v>38.731000000000002</c:v>
                </c:pt>
                <c:pt idx="148">
                  <c:v>38.834000000000003</c:v>
                </c:pt>
                <c:pt idx="149">
                  <c:v>37.973999999999997</c:v>
                </c:pt>
                <c:pt idx="150">
                  <c:v>37.268999999999998</c:v>
                </c:pt>
                <c:pt idx="151">
                  <c:v>37.295000000000002</c:v>
                </c:pt>
                <c:pt idx="152">
                  <c:v>37.154000000000003</c:v>
                </c:pt>
                <c:pt idx="153">
                  <c:v>35.256</c:v>
                </c:pt>
                <c:pt idx="154">
                  <c:v>33.911000000000001</c:v>
                </c:pt>
                <c:pt idx="155">
                  <c:v>32.579000000000001</c:v>
                </c:pt>
                <c:pt idx="156">
                  <c:v>32.404000000000003</c:v>
                </c:pt>
                <c:pt idx="157">
                  <c:v>32.317999999999998</c:v>
                </c:pt>
                <c:pt idx="158">
                  <c:v>30.166</c:v>
                </c:pt>
                <c:pt idx="159">
                  <c:v>28.216000000000001</c:v>
                </c:pt>
                <c:pt idx="160">
                  <c:v>27.683</c:v>
                </c:pt>
                <c:pt idx="161">
                  <c:v>28.152000000000001</c:v>
                </c:pt>
                <c:pt idx="162">
                  <c:v>26.774999999999999</c:v>
                </c:pt>
                <c:pt idx="163">
                  <c:v>24.855</c:v>
                </c:pt>
                <c:pt idx="164">
                  <c:v>24.387</c:v>
                </c:pt>
                <c:pt idx="165">
                  <c:v>24.08</c:v>
                </c:pt>
                <c:pt idx="166">
                  <c:v>23.221</c:v>
                </c:pt>
                <c:pt idx="167">
                  <c:v>24.233000000000001</c:v>
                </c:pt>
                <c:pt idx="168">
                  <c:v>24.045999999999999</c:v>
                </c:pt>
                <c:pt idx="169">
                  <c:v>22.797000000000001</c:v>
                </c:pt>
                <c:pt idx="170">
                  <c:v>21.138000000000002</c:v>
                </c:pt>
                <c:pt idx="171">
                  <c:v>21.556000000000001</c:v>
                </c:pt>
                <c:pt idx="172">
                  <c:v>21.297999999999998</c:v>
                </c:pt>
                <c:pt idx="173">
                  <c:v>22.238</c:v>
                </c:pt>
                <c:pt idx="174">
                  <c:v>20.161000000000001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9C6-4ECB-A39E-FCE20F683831}"/>
            </c:ext>
          </c:extLst>
        </c:ser>
        <c:ser>
          <c:idx val="8"/>
          <c:order val="8"/>
          <c:tx>
            <c:strRef>
              <c:f>data_ghg_incLUC!$L$2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9C6-4ECB-A39E-FCE20F683831}"/>
            </c:ext>
          </c:extLst>
        </c:ser>
        <c:ser>
          <c:idx val="9"/>
          <c:order val="9"/>
          <c:tx>
            <c:strRef>
              <c:f>data_ghg_incLUC!$M$2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data_ghg_incLUC!$M$3:$M$177</c:f>
              <c:numCache>
                <c:formatCode>0.0</c:formatCode>
                <c:ptCount val="175"/>
                <c:pt idx="0">
                  <c:v>54.173999999999999</c:v>
                </c:pt>
                <c:pt idx="1">
                  <c:v>53.896000000000001</c:v>
                </c:pt>
                <c:pt idx="2">
                  <c:v>54.095999999999997</c:v>
                </c:pt>
                <c:pt idx="3">
                  <c:v>54.268999999999998</c:v>
                </c:pt>
                <c:pt idx="4">
                  <c:v>55.323999999999998</c:v>
                </c:pt>
                <c:pt idx="5">
                  <c:v>55.113999999999997</c:v>
                </c:pt>
                <c:pt idx="6">
                  <c:v>55.427999999999997</c:v>
                </c:pt>
                <c:pt idx="7">
                  <c:v>55.558</c:v>
                </c:pt>
                <c:pt idx="8">
                  <c:v>55.905999999999999</c:v>
                </c:pt>
                <c:pt idx="9">
                  <c:v>56.305</c:v>
                </c:pt>
                <c:pt idx="10">
                  <c:v>57.786999999999999</c:v>
                </c:pt>
                <c:pt idx="11">
                  <c:v>58.191000000000003</c:v>
                </c:pt>
                <c:pt idx="12">
                  <c:v>59.027999999999999</c:v>
                </c:pt>
                <c:pt idx="13">
                  <c:v>59.399000000000001</c:v>
                </c:pt>
                <c:pt idx="14">
                  <c:v>59.811</c:v>
                </c:pt>
                <c:pt idx="15">
                  <c:v>60.158999999999999</c:v>
                </c:pt>
                <c:pt idx="16">
                  <c:v>60.698</c:v>
                </c:pt>
                <c:pt idx="17">
                  <c:v>60.874000000000002</c:v>
                </c:pt>
                <c:pt idx="18">
                  <c:v>61.256999999999998</c:v>
                </c:pt>
                <c:pt idx="19">
                  <c:v>61.36</c:v>
                </c:pt>
                <c:pt idx="20">
                  <c:v>63.201000000000001</c:v>
                </c:pt>
                <c:pt idx="21">
                  <c:v>64.081000000000003</c:v>
                </c:pt>
                <c:pt idx="22">
                  <c:v>64.573999999999998</c:v>
                </c:pt>
                <c:pt idx="23">
                  <c:v>65.266999999999996</c:v>
                </c:pt>
                <c:pt idx="24">
                  <c:v>65.423000000000002</c:v>
                </c:pt>
                <c:pt idx="25">
                  <c:v>65.962000000000003</c:v>
                </c:pt>
                <c:pt idx="26">
                  <c:v>66.27</c:v>
                </c:pt>
                <c:pt idx="27">
                  <c:v>66.358000000000004</c:v>
                </c:pt>
                <c:pt idx="28">
                  <c:v>66.72</c:v>
                </c:pt>
                <c:pt idx="29">
                  <c:v>67.314999999999998</c:v>
                </c:pt>
                <c:pt idx="30">
                  <c:v>66.409000000000006</c:v>
                </c:pt>
                <c:pt idx="31">
                  <c:v>65.563000000000002</c:v>
                </c:pt>
                <c:pt idx="32">
                  <c:v>65.494</c:v>
                </c:pt>
                <c:pt idx="33">
                  <c:v>65.739000000000004</c:v>
                </c:pt>
                <c:pt idx="34">
                  <c:v>65.775000000000006</c:v>
                </c:pt>
                <c:pt idx="35">
                  <c:v>65.611000000000004</c:v>
                </c:pt>
                <c:pt idx="36">
                  <c:v>65.454999999999998</c:v>
                </c:pt>
                <c:pt idx="37">
                  <c:v>65.411000000000001</c:v>
                </c:pt>
                <c:pt idx="38">
                  <c:v>66.06</c:v>
                </c:pt>
                <c:pt idx="39">
                  <c:v>65.531999999999996</c:v>
                </c:pt>
                <c:pt idx="40">
                  <c:v>66.135000000000005</c:v>
                </c:pt>
                <c:pt idx="41">
                  <c:v>66.268000000000001</c:v>
                </c:pt>
                <c:pt idx="42">
                  <c:v>66.561000000000007</c:v>
                </c:pt>
                <c:pt idx="43">
                  <c:v>66.486999999999995</c:v>
                </c:pt>
                <c:pt idx="44">
                  <c:v>66.698999999999998</c:v>
                </c:pt>
                <c:pt idx="45">
                  <c:v>66.853999999999999</c:v>
                </c:pt>
                <c:pt idx="46">
                  <c:v>67.066999999999993</c:v>
                </c:pt>
                <c:pt idx="47">
                  <c:v>67.195999999999998</c:v>
                </c:pt>
                <c:pt idx="48">
                  <c:v>67.781000000000006</c:v>
                </c:pt>
                <c:pt idx="49">
                  <c:v>68.302000000000007</c:v>
                </c:pt>
                <c:pt idx="50">
                  <c:v>68.683999999999997</c:v>
                </c:pt>
                <c:pt idx="51">
                  <c:v>68.236999999999995</c:v>
                </c:pt>
                <c:pt idx="52">
                  <c:v>68.301000000000002</c:v>
                </c:pt>
                <c:pt idx="53">
                  <c:v>68.929000000000002</c:v>
                </c:pt>
                <c:pt idx="54">
                  <c:v>68.78</c:v>
                </c:pt>
                <c:pt idx="55">
                  <c:v>69.477000000000004</c:v>
                </c:pt>
                <c:pt idx="56">
                  <c:v>69.372</c:v>
                </c:pt>
                <c:pt idx="57">
                  <c:v>70.608000000000004</c:v>
                </c:pt>
                <c:pt idx="58">
                  <c:v>70.128</c:v>
                </c:pt>
                <c:pt idx="59">
                  <c:v>70.372</c:v>
                </c:pt>
                <c:pt idx="60">
                  <c:v>68.760000000000005</c:v>
                </c:pt>
                <c:pt idx="61">
                  <c:v>68.003</c:v>
                </c:pt>
                <c:pt idx="62">
                  <c:v>68.164000000000001</c:v>
                </c:pt>
                <c:pt idx="63">
                  <c:v>68.228999999999999</c:v>
                </c:pt>
                <c:pt idx="64">
                  <c:v>66.593000000000004</c:v>
                </c:pt>
                <c:pt idx="65">
                  <c:v>65.894000000000005</c:v>
                </c:pt>
                <c:pt idx="66">
                  <c:v>66.521000000000001</c:v>
                </c:pt>
                <c:pt idx="67">
                  <c:v>66.349999999999994</c:v>
                </c:pt>
                <c:pt idx="68">
                  <c:v>65.781000000000006</c:v>
                </c:pt>
                <c:pt idx="69">
                  <c:v>63.417000000000002</c:v>
                </c:pt>
                <c:pt idx="70">
                  <c:v>63.962000000000003</c:v>
                </c:pt>
                <c:pt idx="71">
                  <c:v>61.673000000000002</c:v>
                </c:pt>
                <c:pt idx="72">
                  <c:v>62.02</c:v>
                </c:pt>
                <c:pt idx="73">
                  <c:v>63</c:v>
                </c:pt>
                <c:pt idx="74">
                  <c:v>62.424999999999997</c:v>
                </c:pt>
                <c:pt idx="75">
                  <c:v>62.567</c:v>
                </c:pt>
                <c:pt idx="76">
                  <c:v>62.148000000000003</c:v>
                </c:pt>
                <c:pt idx="77">
                  <c:v>62.975000000000001</c:v>
                </c:pt>
                <c:pt idx="78">
                  <c:v>62.459000000000003</c:v>
                </c:pt>
                <c:pt idx="79">
                  <c:v>63.334000000000003</c:v>
                </c:pt>
                <c:pt idx="80">
                  <c:v>62.44</c:v>
                </c:pt>
                <c:pt idx="81">
                  <c:v>61.003</c:v>
                </c:pt>
                <c:pt idx="82">
                  <c:v>59.313000000000002</c:v>
                </c:pt>
                <c:pt idx="83">
                  <c:v>59.594000000000001</c:v>
                </c:pt>
                <c:pt idx="84">
                  <c:v>60.036000000000001</c:v>
                </c:pt>
                <c:pt idx="85">
                  <c:v>60.545000000000002</c:v>
                </c:pt>
                <c:pt idx="86">
                  <c:v>61.302999999999997</c:v>
                </c:pt>
                <c:pt idx="87">
                  <c:v>61.645000000000003</c:v>
                </c:pt>
                <c:pt idx="88">
                  <c:v>60.607999999999997</c:v>
                </c:pt>
                <c:pt idx="89">
                  <c:v>60.966999999999999</c:v>
                </c:pt>
                <c:pt idx="90">
                  <c:v>59.298000000000002</c:v>
                </c:pt>
                <c:pt idx="91">
                  <c:v>58.085000000000001</c:v>
                </c:pt>
                <c:pt idx="92">
                  <c:v>57.281999999999996</c:v>
                </c:pt>
                <c:pt idx="93">
                  <c:v>56.862000000000002</c:v>
                </c:pt>
                <c:pt idx="94">
                  <c:v>56.283000000000001</c:v>
                </c:pt>
                <c:pt idx="95">
                  <c:v>53.061999999999998</c:v>
                </c:pt>
                <c:pt idx="96">
                  <c:v>53.31</c:v>
                </c:pt>
                <c:pt idx="97">
                  <c:v>54.390999999999998</c:v>
                </c:pt>
                <c:pt idx="98">
                  <c:v>54.963000000000001</c:v>
                </c:pt>
                <c:pt idx="99">
                  <c:v>53.57</c:v>
                </c:pt>
                <c:pt idx="100">
                  <c:v>53.122999999999998</c:v>
                </c:pt>
                <c:pt idx="101">
                  <c:v>52.731999999999999</c:v>
                </c:pt>
                <c:pt idx="102">
                  <c:v>52.781999999999996</c:v>
                </c:pt>
                <c:pt idx="103">
                  <c:v>52.957000000000001</c:v>
                </c:pt>
                <c:pt idx="104">
                  <c:v>52.01</c:v>
                </c:pt>
                <c:pt idx="105">
                  <c:v>52.637999999999998</c:v>
                </c:pt>
                <c:pt idx="106">
                  <c:v>53.234999999999999</c:v>
                </c:pt>
                <c:pt idx="107">
                  <c:v>52.856999999999999</c:v>
                </c:pt>
                <c:pt idx="108">
                  <c:v>52.051000000000002</c:v>
                </c:pt>
                <c:pt idx="109">
                  <c:v>51.631999999999998</c:v>
                </c:pt>
                <c:pt idx="110">
                  <c:v>53.048000000000002</c:v>
                </c:pt>
                <c:pt idx="111">
                  <c:v>53.430999999999997</c:v>
                </c:pt>
                <c:pt idx="112">
                  <c:v>54.381999999999998</c:v>
                </c:pt>
                <c:pt idx="113">
                  <c:v>55.042000000000002</c:v>
                </c:pt>
                <c:pt idx="114">
                  <c:v>55.860999999999997</c:v>
                </c:pt>
                <c:pt idx="115">
                  <c:v>56.430999999999997</c:v>
                </c:pt>
                <c:pt idx="116">
                  <c:v>56.947000000000003</c:v>
                </c:pt>
                <c:pt idx="117">
                  <c:v>58.823999999999998</c:v>
                </c:pt>
                <c:pt idx="118">
                  <c:v>59.664000000000001</c:v>
                </c:pt>
                <c:pt idx="119">
                  <c:v>57.162999999999997</c:v>
                </c:pt>
                <c:pt idx="120">
                  <c:v>57.28</c:v>
                </c:pt>
                <c:pt idx="121">
                  <c:v>57.76</c:v>
                </c:pt>
                <c:pt idx="122">
                  <c:v>56.991999999999997</c:v>
                </c:pt>
                <c:pt idx="123">
                  <c:v>57.445</c:v>
                </c:pt>
                <c:pt idx="124">
                  <c:v>57.036999999999999</c:v>
                </c:pt>
                <c:pt idx="125">
                  <c:v>56.491999999999997</c:v>
                </c:pt>
                <c:pt idx="126">
                  <c:v>57.054000000000002</c:v>
                </c:pt>
                <c:pt idx="127">
                  <c:v>56.145000000000003</c:v>
                </c:pt>
                <c:pt idx="128">
                  <c:v>55.753999999999998</c:v>
                </c:pt>
                <c:pt idx="129">
                  <c:v>56.56</c:v>
                </c:pt>
                <c:pt idx="130">
                  <c:v>56.515000000000001</c:v>
                </c:pt>
                <c:pt idx="131">
                  <c:v>55.811999999999998</c:v>
                </c:pt>
                <c:pt idx="132">
                  <c:v>55.247</c:v>
                </c:pt>
                <c:pt idx="133">
                  <c:v>54.454999999999998</c:v>
                </c:pt>
                <c:pt idx="134">
                  <c:v>53.332000000000001</c:v>
                </c:pt>
                <c:pt idx="135">
                  <c:v>52.595999999999997</c:v>
                </c:pt>
                <c:pt idx="136">
                  <c:v>51.567</c:v>
                </c:pt>
                <c:pt idx="137">
                  <c:v>51.804000000000002</c:v>
                </c:pt>
                <c:pt idx="138">
                  <c:v>51.917999999999999</c:v>
                </c:pt>
                <c:pt idx="139">
                  <c:v>51.692999999999998</c:v>
                </c:pt>
                <c:pt idx="140">
                  <c:v>52.475000000000001</c:v>
                </c:pt>
                <c:pt idx="141">
                  <c:v>50.890999999999998</c:v>
                </c:pt>
                <c:pt idx="142">
                  <c:v>49.640999999999998</c:v>
                </c:pt>
                <c:pt idx="143">
                  <c:v>48.850999999999999</c:v>
                </c:pt>
                <c:pt idx="144">
                  <c:v>46.473999999999997</c:v>
                </c:pt>
                <c:pt idx="145">
                  <c:v>46.185000000000002</c:v>
                </c:pt>
                <c:pt idx="146">
                  <c:v>46.508000000000003</c:v>
                </c:pt>
                <c:pt idx="147">
                  <c:v>43.292999999999999</c:v>
                </c:pt>
                <c:pt idx="148">
                  <c:v>44.808999999999997</c:v>
                </c:pt>
                <c:pt idx="149">
                  <c:v>44.612000000000002</c:v>
                </c:pt>
                <c:pt idx="150">
                  <c:v>44.787999999999997</c:v>
                </c:pt>
                <c:pt idx="151">
                  <c:v>44.823999999999998</c:v>
                </c:pt>
                <c:pt idx="152">
                  <c:v>43.462000000000003</c:v>
                </c:pt>
                <c:pt idx="153">
                  <c:v>41.805999999999997</c:v>
                </c:pt>
                <c:pt idx="154">
                  <c:v>41.738</c:v>
                </c:pt>
                <c:pt idx="155">
                  <c:v>41.308999999999997</c:v>
                </c:pt>
                <c:pt idx="156">
                  <c:v>39.572000000000003</c:v>
                </c:pt>
                <c:pt idx="157">
                  <c:v>39.75</c:v>
                </c:pt>
                <c:pt idx="158">
                  <c:v>38.402999999999999</c:v>
                </c:pt>
                <c:pt idx="159">
                  <c:v>36.131</c:v>
                </c:pt>
                <c:pt idx="160">
                  <c:v>36.435000000000002</c:v>
                </c:pt>
                <c:pt idx="161">
                  <c:v>34.5</c:v>
                </c:pt>
                <c:pt idx="162">
                  <c:v>34.063000000000002</c:v>
                </c:pt>
                <c:pt idx="163">
                  <c:v>33.646000000000001</c:v>
                </c:pt>
                <c:pt idx="164">
                  <c:v>32.890999999999998</c:v>
                </c:pt>
                <c:pt idx="165">
                  <c:v>32.930999999999997</c:v>
                </c:pt>
                <c:pt idx="166">
                  <c:v>33.442</c:v>
                </c:pt>
                <c:pt idx="167">
                  <c:v>33.220999999999997</c:v>
                </c:pt>
                <c:pt idx="168">
                  <c:v>32.911000000000001</c:v>
                </c:pt>
                <c:pt idx="169">
                  <c:v>31.858000000000001</c:v>
                </c:pt>
                <c:pt idx="170">
                  <c:v>30.675999999999998</c:v>
                </c:pt>
                <c:pt idx="171">
                  <c:v>30.997</c:v>
                </c:pt>
                <c:pt idx="172">
                  <c:v>30.27</c:v>
                </c:pt>
                <c:pt idx="173">
                  <c:v>29.359000000000002</c:v>
                </c:pt>
                <c:pt idx="174">
                  <c:v>29.056999999999999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9C6-4ECB-A39E-FCE20F683831}"/>
            </c:ext>
          </c:extLst>
        </c:ser>
        <c:ser>
          <c:idx val="10"/>
          <c:order val="10"/>
          <c:tx>
            <c:strRef>
              <c:f>data_ghg_incLUC!$N$2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data_ghg_incLUC!$N$3:$N$177</c:f>
              <c:numCache>
                <c:formatCode>0.0</c:formatCode>
                <c:ptCount val="175"/>
                <c:pt idx="0">
                  <c:v>55.774999999999999</c:v>
                </c:pt>
                <c:pt idx="1">
                  <c:v>56.424999999999997</c:v>
                </c:pt>
                <c:pt idx="2">
                  <c:v>59.725999999999999</c:v>
                </c:pt>
                <c:pt idx="3">
                  <c:v>60.738999999999997</c:v>
                </c:pt>
                <c:pt idx="4">
                  <c:v>62.069000000000003</c:v>
                </c:pt>
                <c:pt idx="5">
                  <c:v>63.018999999999998</c:v>
                </c:pt>
                <c:pt idx="6">
                  <c:v>63.582000000000001</c:v>
                </c:pt>
                <c:pt idx="7">
                  <c:v>63.95</c:v>
                </c:pt>
                <c:pt idx="8">
                  <c:v>64.293999999999997</c:v>
                </c:pt>
                <c:pt idx="9">
                  <c:v>64.754000000000005</c:v>
                </c:pt>
                <c:pt idx="10">
                  <c:v>65.332999999999998</c:v>
                </c:pt>
                <c:pt idx="11">
                  <c:v>65.676000000000002</c:v>
                </c:pt>
                <c:pt idx="12">
                  <c:v>63.954999999999998</c:v>
                </c:pt>
                <c:pt idx="13">
                  <c:v>64.215000000000003</c:v>
                </c:pt>
                <c:pt idx="14">
                  <c:v>64.510999999999996</c:v>
                </c:pt>
                <c:pt idx="15">
                  <c:v>64.751999999999995</c:v>
                </c:pt>
                <c:pt idx="16">
                  <c:v>64.929000000000002</c:v>
                </c:pt>
                <c:pt idx="17">
                  <c:v>65.204999999999998</c:v>
                </c:pt>
                <c:pt idx="18">
                  <c:v>65.320999999999998</c:v>
                </c:pt>
                <c:pt idx="19">
                  <c:v>65.603999999999999</c:v>
                </c:pt>
                <c:pt idx="20">
                  <c:v>65.667000000000002</c:v>
                </c:pt>
                <c:pt idx="21">
                  <c:v>64.730999999999995</c:v>
                </c:pt>
                <c:pt idx="22">
                  <c:v>67.17</c:v>
                </c:pt>
                <c:pt idx="23">
                  <c:v>67.427999999999997</c:v>
                </c:pt>
                <c:pt idx="24">
                  <c:v>67.168000000000006</c:v>
                </c:pt>
                <c:pt idx="25">
                  <c:v>67.600999999999999</c:v>
                </c:pt>
                <c:pt idx="26">
                  <c:v>67.727999999999994</c:v>
                </c:pt>
                <c:pt idx="27">
                  <c:v>67.88</c:v>
                </c:pt>
                <c:pt idx="28">
                  <c:v>67.929000000000002</c:v>
                </c:pt>
                <c:pt idx="29">
                  <c:v>68.314999999999998</c:v>
                </c:pt>
                <c:pt idx="30">
                  <c:v>69.019000000000005</c:v>
                </c:pt>
                <c:pt idx="31">
                  <c:v>67.795000000000002</c:v>
                </c:pt>
                <c:pt idx="32">
                  <c:v>66.510000000000005</c:v>
                </c:pt>
                <c:pt idx="33">
                  <c:v>66.519000000000005</c:v>
                </c:pt>
                <c:pt idx="34">
                  <c:v>66.238</c:v>
                </c:pt>
                <c:pt idx="35">
                  <c:v>65.991</c:v>
                </c:pt>
                <c:pt idx="36">
                  <c:v>65.88</c:v>
                </c:pt>
                <c:pt idx="37">
                  <c:v>65.991</c:v>
                </c:pt>
                <c:pt idx="38">
                  <c:v>66.563999999999993</c:v>
                </c:pt>
                <c:pt idx="39">
                  <c:v>66.373999999999995</c:v>
                </c:pt>
                <c:pt idx="40">
                  <c:v>66.861000000000004</c:v>
                </c:pt>
                <c:pt idx="41">
                  <c:v>67.155000000000001</c:v>
                </c:pt>
                <c:pt idx="42">
                  <c:v>67.382000000000005</c:v>
                </c:pt>
                <c:pt idx="43">
                  <c:v>67.206000000000003</c:v>
                </c:pt>
                <c:pt idx="44">
                  <c:v>66.894999999999996</c:v>
                </c:pt>
                <c:pt idx="45">
                  <c:v>67.241</c:v>
                </c:pt>
                <c:pt idx="46">
                  <c:v>67.38</c:v>
                </c:pt>
                <c:pt idx="47">
                  <c:v>67.664000000000001</c:v>
                </c:pt>
                <c:pt idx="48">
                  <c:v>67.950999999999993</c:v>
                </c:pt>
                <c:pt idx="49">
                  <c:v>68.635000000000005</c:v>
                </c:pt>
                <c:pt idx="50">
                  <c:v>69.054000000000002</c:v>
                </c:pt>
                <c:pt idx="51">
                  <c:v>67.081000000000003</c:v>
                </c:pt>
                <c:pt idx="52">
                  <c:v>65.605999999999995</c:v>
                </c:pt>
                <c:pt idx="53">
                  <c:v>65.325000000000003</c:v>
                </c:pt>
                <c:pt idx="54">
                  <c:v>64.275000000000006</c:v>
                </c:pt>
                <c:pt idx="55">
                  <c:v>63.939</c:v>
                </c:pt>
                <c:pt idx="56">
                  <c:v>63.183999999999997</c:v>
                </c:pt>
                <c:pt idx="57">
                  <c:v>64.241</c:v>
                </c:pt>
                <c:pt idx="58">
                  <c:v>63.231000000000002</c:v>
                </c:pt>
                <c:pt idx="59">
                  <c:v>63.436</c:v>
                </c:pt>
                <c:pt idx="60">
                  <c:v>63.761000000000003</c:v>
                </c:pt>
                <c:pt idx="61">
                  <c:v>65.108999999999995</c:v>
                </c:pt>
                <c:pt idx="62">
                  <c:v>65.855000000000004</c:v>
                </c:pt>
                <c:pt idx="63">
                  <c:v>67.515000000000001</c:v>
                </c:pt>
                <c:pt idx="64">
                  <c:v>66.355999999999995</c:v>
                </c:pt>
                <c:pt idx="65">
                  <c:v>66.286000000000001</c:v>
                </c:pt>
                <c:pt idx="66">
                  <c:v>66.953000000000003</c:v>
                </c:pt>
                <c:pt idx="67">
                  <c:v>67.114000000000004</c:v>
                </c:pt>
                <c:pt idx="68">
                  <c:v>66.602000000000004</c:v>
                </c:pt>
                <c:pt idx="69">
                  <c:v>64.134</c:v>
                </c:pt>
                <c:pt idx="70">
                  <c:v>65.608999999999995</c:v>
                </c:pt>
                <c:pt idx="71">
                  <c:v>62.036000000000001</c:v>
                </c:pt>
                <c:pt idx="72">
                  <c:v>61.938000000000002</c:v>
                </c:pt>
                <c:pt idx="73">
                  <c:v>63.238999999999997</c:v>
                </c:pt>
                <c:pt idx="74">
                  <c:v>62.713000000000001</c:v>
                </c:pt>
                <c:pt idx="75">
                  <c:v>62.5</c:v>
                </c:pt>
                <c:pt idx="76">
                  <c:v>62.048999999999999</c:v>
                </c:pt>
                <c:pt idx="77">
                  <c:v>63.762999999999998</c:v>
                </c:pt>
                <c:pt idx="78">
                  <c:v>63.316000000000003</c:v>
                </c:pt>
                <c:pt idx="79">
                  <c:v>64.38</c:v>
                </c:pt>
                <c:pt idx="80">
                  <c:v>63.838999999999999</c:v>
                </c:pt>
                <c:pt idx="81">
                  <c:v>61.927999999999997</c:v>
                </c:pt>
                <c:pt idx="82">
                  <c:v>58.710999999999999</c:v>
                </c:pt>
                <c:pt idx="83">
                  <c:v>58.932000000000002</c:v>
                </c:pt>
                <c:pt idx="84">
                  <c:v>59.585999999999999</c:v>
                </c:pt>
                <c:pt idx="85">
                  <c:v>59.671999999999997</c:v>
                </c:pt>
                <c:pt idx="86">
                  <c:v>60.267000000000003</c:v>
                </c:pt>
                <c:pt idx="87">
                  <c:v>60.405999999999999</c:v>
                </c:pt>
                <c:pt idx="88">
                  <c:v>58.939</c:v>
                </c:pt>
                <c:pt idx="89">
                  <c:v>59.3</c:v>
                </c:pt>
                <c:pt idx="90">
                  <c:v>60.07</c:v>
                </c:pt>
                <c:pt idx="91">
                  <c:v>59.987000000000002</c:v>
                </c:pt>
                <c:pt idx="92">
                  <c:v>60.13</c:v>
                </c:pt>
                <c:pt idx="93">
                  <c:v>59.857999999999997</c:v>
                </c:pt>
                <c:pt idx="94">
                  <c:v>58.847000000000001</c:v>
                </c:pt>
                <c:pt idx="95">
                  <c:v>54.973999999999997</c:v>
                </c:pt>
                <c:pt idx="96">
                  <c:v>54.113999999999997</c:v>
                </c:pt>
                <c:pt idx="97">
                  <c:v>55.820999999999998</c:v>
                </c:pt>
                <c:pt idx="98">
                  <c:v>56.43</c:v>
                </c:pt>
                <c:pt idx="99">
                  <c:v>55.027999999999999</c:v>
                </c:pt>
                <c:pt idx="100">
                  <c:v>56.981999999999999</c:v>
                </c:pt>
                <c:pt idx="101">
                  <c:v>58.113</c:v>
                </c:pt>
                <c:pt idx="102">
                  <c:v>57.152999999999999</c:v>
                </c:pt>
                <c:pt idx="103">
                  <c:v>57.527000000000001</c:v>
                </c:pt>
                <c:pt idx="104">
                  <c:v>57.134</c:v>
                </c:pt>
                <c:pt idx="105">
                  <c:v>57.661999999999999</c:v>
                </c:pt>
                <c:pt idx="106">
                  <c:v>58.231999999999999</c:v>
                </c:pt>
                <c:pt idx="107">
                  <c:v>58.165999999999997</c:v>
                </c:pt>
                <c:pt idx="108">
                  <c:v>57.496000000000002</c:v>
                </c:pt>
                <c:pt idx="109">
                  <c:v>56.28</c:v>
                </c:pt>
                <c:pt idx="110">
                  <c:v>56.72</c:v>
                </c:pt>
                <c:pt idx="111">
                  <c:v>56.569000000000003</c:v>
                </c:pt>
                <c:pt idx="112">
                  <c:v>57.628999999999998</c:v>
                </c:pt>
                <c:pt idx="113">
                  <c:v>58.155000000000001</c:v>
                </c:pt>
                <c:pt idx="114">
                  <c:v>58.551000000000002</c:v>
                </c:pt>
                <c:pt idx="115">
                  <c:v>58.508000000000003</c:v>
                </c:pt>
                <c:pt idx="116">
                  <c:v>58.595999999999997</c:v>
                </c:pt>
                <c:pt idx="117">
                  <c:v>59.283999999999999</c:v>
                </c:pt>
                <c:pt idx="118">
                  <c:v>59.991</c:v>
                </c:pt>
                <c:pt idx="119">
                  <c:v>60.198999999999998</c:v>
                </c:pt>
                <c:pt idx="120">
                  <c:v>59.896999999999998</c:v>
                </c:pt>
                <c:pt idx="121">
                  <c:v>59.859000000000002</c:v>
                </c:pt>
                <c:pt idx="122">
                  <c:v>60.293999999999997</c:v>
                </c:pt>
                <c:pt idx="123">
                  <c:v>60.161999999999999</c:v>
                </c:pt>
                <c:pt idx="124">
                  <c:v>59.594999999999999</c:v>
                </c:pt>
                <c:pt idx="125">
                  <c:v>58.652999999999999</c:v>
                </c:pt>
                <c:pt idx="126">
                  <c:v>58.767000000000003</c:v>
                </c:pt>
                <c:pt idx="127">
                  <c:v>58.319000000000003</c:v>
                </c:pt>
                <c:pt idx="128">
                  <c:v>58.171999999999997</c:v>
                </c:pt>
                <c:pt idx="129">
                  <c:v>58.091000000000001</c:v>
                </c:pt>
                <c:pt idx="130">
                  <c:v>57.866999999999997</c:v>
                </c:pt>
                <c:pt idx="131">
                  <c:v>57.137999999999998</c:v>
                </c:pt>
                <c:pt idx="132">
                  <c:v>54.948999999999998</c:v>
                </c:pt>
                <c:pt idx="133">
                  <c:v>54.198999999999998</c:v>
                </c:pt>
                <c:pt idx="134">
                  <c:v>53.725000000000001</c:v>
                </c:pt>
                <c:pt idx="135">
                  <c:v>53.360999999999997</c:v>
                </c:pt>
                <c:pt idx="136">
                  <c:v>52.793999999999997</c:v>
                </c:pt>
                <c:pt idx="137">
                  <c:v>52.491</c:v>
                </c:pt>
                <c:pt idx="138">
                  <c:v>52.139000000000003</c:v>
                </c:pt>
                <c:pt idx="139">
                  <c:v>51.667999999999999</c:v>
                </c:pt>
                <c:pt idx="140">
                  <c:v>52.75</c:v>
                </c:pt>
                <c:pt idx="141">
                  <c:v>50.487000000000002</c:v>
                </c:pt>
                <c:pt idx="142">
                  <c:v>49.298000000000002</c:v>
                </c:pt>
                <c:pt idx="143">
                  <c:v>48.055</c:v>
                </c:pt>
                <c:pt idx="144">
                  <c:v>50.387999999999998</c:v>
                </c:pt>
                <c:pt idx="145">
                  <c:v>48.292999999999999</c:v>
                </c:pt>
                <c:pt idx="146">
                  <c:v>49.276000000000003</c:v>
                </c:pt>
                <c:pt idx="147">
                  <c:v>48.808999999999997</c:v>
                </c:pt>
                <c:pt idx="148">
                  <c:v>48.533999999999999</c:v>
                </c:pt>
                <c:pt idx="149">
                  <c:v>47.378</c:v>
                </c:pt>
                <c:pt idx="150">
                  <c:v>48.316000000000003</c:v>
                </c:pt>
                <c:pt idx="151">
                  <c:v>47.34</c:v>
                </c:pt>
                <c:pt idx="152">
                  <c:v>46.076999999999998</c:v>
                </c:pt>
                <c:pt idx="153">
                  <c:v>43.491999999999997</c:v>
                </c:pt>
                <c:pt idx="154">
                  <c:v>41.058</c:v>
                </c:pt>
                <c:pt idx="155">
                  <c:v>40.976999999999997</c:v>
                </c:pt>
                <c:pt idx="156">
                  <c:v>40.265999999999998</c:v>
                </c:pt>
                <c:pt idx="157">
                  <c:v>40.325000000000003</c:v>
                </c:pt>
                <c:pt idx="158">
                  <c:v>38.962000000000003</c:v>
                </c:pt>
                <c:pt idx="159">
                  <c:v>37.015000000000001</c:v>
                </c:pt>
                <c:pt idx="160">
                  <c:v>36.976999999999997</c:v>
                </c:pt>
                <c:pt idx="161">
                  <c:v>35.255000000000003</c:v>
                </c:pt>
                <c:pt idx="162">
                  <c:v>34.832999999999998</c:v>
                </c:pt>
                <c:pt idx="163">
                  <c:v>33.954000000000001</c:v>
                </c:pt>
                <c:pt idx="164">
                  <c:v>33.353000000000002</c:v>
                </c:pt>
                <c:pt idx="165">
                  <c:v>32.283999999999999</c:v>
                </c:pt>
                <c:pt idx="166">
                  <c:v>32.253</c:v>
                </c:pt>
                <c:pt idx="167">
                  <c:v>31.817</c:v>
                </c:pt>
                <c:pt idx="168">
                  <c:v>32.18</c:v>
                </c:pt>
                <c:pt idx="169">
                  <c:v>31.181999999999999</c:v>
                </c:pt>
                <c:pt idx="170">
                  <c:v>29.655000000000001</c:v>
                </c:pt>
                <c:pt idx="171">
                  <c:v>29.86</c:v>
                </c:pt>
                <c:pt idx="172">
                  <c:v>27.812999999999999</c:v>
                </c:pt>
                <c:pt idx="173">
                  <c:v>26.652999999999999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9C6-4ECB-A39E-FCE20F683831}"/>
            </c:ext>
          </c:extLst>
        </c:ser>
        <c:ser>
          <c:idx val="11"/>
          <c:order val="11"/>
          <c:tx>
            <c:strRef>
              <c:f>data_ghg_incLUC!$O$2</c:f>
              <c:strCache>
                <c:ptCount val="1"/>
                <c:pt idx="0">
                  <c:v>pct_annex1_EDGAR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data_ghg_incLUC!$O$3:$O$177</c:f>
              <c:numCache>
                <c:formatCode>0.0</c:formatCode>
                <c:ptCount val="175"/>
                <c:pt idx="140">
                  <c:v>52.259</c:v>
                </c:pt>
                <c:pt idx="141">
                  <c:v>51.399000000000001</c:v>
                </c:pt>
                <c:pt idx="142">
                  <c:v>49.856999999999999</c:v>
                </c:pt>
                <c:pt idx="143">
                  <c:v>48.529000000000003</c:v>
                </c:pt>
                <c:pt idx="144">
                  <c:v>48.142000000000003</c:v>
                </c:pt>
                <c:pt idx="145">
                  <c:v>47.164000000000001</c:v>
                </c:pt>
                <c:pt idx="146">
                  <c:v>46.01</c:v>
                </c:pt>
                <c:pt idx="147">
                  <c:v>46.481999999999999</c:v>
                </c:pt>
                <c:pt idx="148">
                  <c:v>44.795999999999999</c:v>
                </c:pt>
                <c:pt idx="149">
                  <c:v>45.186</c:v>
                </c:pt>
                <c:pt idx="150">
                  <c:v>45.027000000000001</c:v>
                </c:pt>
                <c:pt idx="151">
                  <c:v>43.719000000000001</c:v>
                </c:pt>
                <c:pt idx="152">
                  <c:v>42.853999999999999</c:v>
                </c:pt>
                <c:pt idx="153">
                  <c:v>41.798999999999999</c:v>
                </c:pt>
                <c:pt idx="154">
                  <c:v>39.642000000000003</c:v>
                </c:pt>
                <c:pt idx="155">
                  <c:v>38.203000000000003</c:v>
                </c:pt>
                <c:pt idx="156">
                  <c:v>38.110999999999997</c:v>
                </c:pt>
                <c:pt idx="157">
                  <c:v>38.08</c:v>
                </c:pt>
                <c:pt idx="158">
                  <c:v>36.143999999999998</c:v>
                </c:pt>
                <c:pt idx="159">
                  <c:v>33.18</c:v>
                </c:pt>
                <c:pt idx="160">
                  <c:v>32.720999999999997</c:v>
                </c:pt>
                <c:pt idx="161">
                  <c:v>33.411000000000001</c:v>
                </c:pt>
                <c:pt idx="162">
                  <c:v>31.898</c:v>
                </c:pt>
                <c:pt idx="163">
                  <c:v>29.731999999999999</c:v>
                </c:pt>
                <c:pt idx="164">
                  <c:v>29.193000000000001</c:v>
                </c:pt>
                <c:pt idx="165">
                  <c:v>28.588000000000001</c:v>
                </c:pt>
                <c:pt idx="166">
                  <c:v>27.943999999999999</c:v>
                </c:pt>
                <c:pt idx="167">
                  <c:v>28.992999999999999</c:v>
                </c:pt>
                <c:pt idx="168">
                  <c:v>29.378</c:v>
                </c:pt>
                <c:pt idx="169">
                  <c:v>28.015999999999998</c:v>
                </c:pt>
                <c:pt idx="170">
                  <c:v>26.151</c:v>
                </c:pt>
                <c:pt idx="171">
                  <c:v>27.038</c:v>
                </c:pt>
                <c:pt idx="172">
                  <c:v>26.100999999999999</c:v>
                </c:pt>
                <c:pt idx="173">
                  <c:v>26.856999999999999</c:v>
                </c:pt>
                <c:pt idx="174">
                  <c:v>24.978000000000002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9C6-4ECB-A39E-FCE20F683831}"/>
            </c:ext>
          </c:extLst>
        </c:ser>
        <c:ser>
          <c:idx val="12"/>
          <c:order val="12"/>
          <c:tx>
            <c:strRef>
              <c:f>data_ghg_incLUC!$P$2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C6-4ECB-A39E-FCE20F68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Annual GHG emissions excluding LULUCF, share of world total, 1850-2024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0.0</c:formatCode>
                <c:ptCount val="175"/>
                <c:pt idx="0">
                  <c:v>38.923999999999999</c:v>
                </c:pt>
                <c:pt idx="1">
                  <c:v>39.033000000000001</c:v>
                </c:pt>
                <c:pt idx="2">
                  <c:v>39.44</c:v>
                </c:pt>
                <c:pt idx="3">
                  <c:v>39.939</c:v>
                </c:pt>
                <c:pt idx="4">
                  <c:v>41.607999999999997</c:v>
                </c:pt>
                <c:pt idx="5">
                  <c:v>41.802999999999997</c:v>
                </c:pt>
                <c:pt idx="6">
                  <c:v>42.521000000000001</c:v>
                </c:pt>
                <c:pt idx="7">
                  <c:v>42.636000000000003</c:v>
                </c:pt>
                <c:pt idx="8">
                  <c:v>42.725999999999999</c:v>
                </c:pt>
                <c:pt idx="9">
                  <c:v>43.427999999999997</c:v>
                </c:pt>
                <c:pt idx="10">
                  <c:v>44.500999999999998</c:v>
                </c:pt>
                <c:pt idx="11">
                  <c:v>45.063000000000002</c:v>
                </c:pt>
                <c:pt idx="12">
                  <c:v>45.155999999999999</c:v>
                </c:pt>
                <c:pt idx="13">
                  <c:v>45.792999999999999</c:v>
                </c:pt>
                <c:pt idx="14">
                  <c:v>46.652999999999999</c:v>
                </c:pt>
                <c:pt idx="15">
                  <c:v>47.335999999999999</c:v>
                </c:pt>
                <c:pt idx="16">
                  <c:v>47.64</c:v>
                </c:pt>
                <c:pt idx="17">
                  <c:v>48.424999999999997</c:v>
                </c:pt>
                <c:pt idx="18">
                  <c:v>48.673000000000002</c:v>
                </c:pt>
                <c:pt idx="19">
                  <c:v>49.384999999999998</c:v>
                </c:pt>
                <c:pt idx="20">
                  <c:v>49.515999999999998</c:v>
                </c:pt>
                <c:pt idx="21">
                  <c:v>50.082999999999998</c:v>
                </c:pt>
                <c:pt idx="22">
                  <c:v>51.488</c:v>
                </c:pt>
                <c:pt idx="23">
                  <c:v>52.276000000000003</c:v>
                </c:pt>
                <c:pt idx="24">
                  <c:v>50.966000000000001</c:v>
                </c:pt>
                <c:pt idx="25">
                  <c:v>52.143000000000001</c:v>
                </c:pt>
                <c:pt idx="26">
                  <c:v>51.835000000000001</c:v>
                </c:pt>
                <c:pt idx="27">
                  <c:v>52.078000000000003</c:v>
                </c:pt>
                <c:pt idx="28">
                  <c:v>51.831000000000003</c:v>
                </c:pt>
                <c:pt idx="29">
                  <c:v>52.72</c:v>
                </c:pt>
                <c:pt idx="30">
                  <c:v>54.576000000000001</c:v>
                </c:pt>
                <c:pt idx="31">
                  <c:v>54.878</c:v>
                </c:pt>
                <c:pt idx="32">
                  <c:v>55.573</c:v>
                </c:pt>
                <c:pt idx="33">
                  <c:v>56.216000000000001</c:v>
                </c:pt>
                <c:pt idx="34">
                  <c:v>56.124000000000002</c:v>
                </c:pt>
                <c:pt idx="35">
                  <c:v>55.939</c:v>
                </c:pt>
                <c:pt idx="36">
                  <c:v>55.945999999999998</c:v>
                </c:pt>
                <c:pt idx="37">
                  <c:v>56.503</c:v>
                </c:pt>
                <c:pt idx="38">
                  <c:v>57.944000000000003</c:v>
                </c:pt>
                <c:pt idx="39">
                  <c:v>57.524999999999999</c:v>
                </c:pt>
                <c:pt idx="40">
                  <c:v>58.664999999999999</c:v>
                </c:pt>
                <c:pt idx="41">
                  <c:v>59.109000000000002</c:v>
                </c:pt>
                <c:pt idx="42">
                  <c:v>59.076999999999998</c:v>
                </c:pt>
                <c:pt idx="43">
                  <c:v>58.326999999999998</c:v>
                </c:pt>
                <c:pt idx="44">
                  <c:v>58.805999999999997</c:v>
                </c:pt>
                <c:pt idx="45">
                  <c:v>59.335999999999999</c:v>
                </c:pt>
                <c:pt idx="46">
                  <c:v>59.598999999999997</c:v>
                </c:pt>
                <c:pt idx="47">
                  <c:v>59.981999999999999</c:v>
                </c:pt>
                <c:pt idx="48">
                  <c:v>60.396000000000001</c:v>
                </c:pt>
                <c:pt idx="49">
                  <c:v>61.673000000000002</c:v>
                </c:pt>
                <c:pt idx="50">
                  <c:v>62.344000000000001</c:v>
                </c:pt>
                <c:pt idx="51">
                  <c:v>62.383000000000003</c:v>
                </c:pt>
                <c:pt idx="52">
                  <c:v>62.774999999999999</c:v>
                </c:pt>
                <c:pt idx="53">
                  <c:v>64.194000000000003</c:v>
                </c:pt>
                <c:pt idx="54">
                  <c:v>63.890999999999998</c:v>
                </c:pt>
                <c:pt idx="55">
                  <c:v>65.021000000000001</c:v>
                </c:pt>
                <c:pt idx="56">
                  <c:v>64.94</c:v>
                </c:pt>
                <c:pt idx="57">
                  <c:v>66.730999999999995</c:v>
                </c:pt>
                <c:pt idx="58">
                  <c:v>65.400999999999996</c:v>
                </c:pt>
                <c:pt idx="59">
                  <c:v>65.894000000000005</c:v>
                </c:pt>
                <c:pt idx="60">
                  <c:v>66.753</c:v>
                </c:pt>
                <c:pt idx="61">
                  <c:v>66.441999999999993</c:v>
                </c:pt>
                <c:pt idx="62">
                  <c:v>66.98</c:v>
                </c:pt>
                <c:pt idx="63">
                  <c:v>67.855000000000004</c:v>
                </c:pt>
                <c:pt idx="64">
                  <c:v>66.399000000000001</c:v>
                </c:pt>
                <c:pt idx="65">
                  <c:v>66.102000000000004</c:v>
                </c:pt>
                <c:pt idx="66">
                  <c:v>66.903000000000006</c:v>
                </c:pt>
                <c:pt idx="67">
                  <c:v>67.396000000000001</c:v>
                </c:pt>
                <c:pt idx="68">
                  <c:v>68.468999999999994</c:v>
                </c:pt>
                <c:pt idx="69">
                  <c:v>67.11</c:v>
                </c:pt>
                <c:pt idx="70">
                  <c:v>68.105999999999995</c:v>
                </c:pt>
                <c:pt idx="71">
                  <c:v>64.775999999999996</c:v>
                </c:pt>
                <c:pt idx="72">
                  <c:v>65.602000000000004</c:v>
                </c:pt>
                <c:pt idx="73">
                  <c:v>67.992999999999995</c:v>
                </c:pt>
                <c:pt idx="74">
                  <c:v>67.388000000000005</c:v>
                </c:pt>
                <c:pt idx="75">
                  <c:v>67.528000000000006</c:v>
                </c:pt>
                <c:pt idx="76">
                  <c:v>66.42</c:v>
                </c:pt>
                <c:pt idx="77">
                  <c:v>67.424000000000007</c:v>
                </c:pt>
                <c:pt idx="78">
                  <c:v>66.563000000000002</c:v>
                </c:pt>
                <c:pt idx="79">
                  <c:v>67.207999999999998</c:v>
                </c:pt>
                <c:pt idx="80">
                  <c:v>64.893000000000001</c:v>
                </c:pt>
                <c:pt idx="81">
                  <c:v>62.015999999999998</c:v>
                </c:pt>
                <c:pt idx="82">
                  <c:v>59.347999999999999</c:v>
                </c:pt>
                <c:pt idx="83">
                  <c:v>59.679000000000002</c:v>
                </c:pt>
                <c:pt idx="84">
                  <c:v>59.863</c:v>
                </c:pt>
                <c:pt idx="85">
                  <c:v>59.616</c:v>
                </c:pt>
                <c:pt idx="86">
                  <c:v>60.491999999999997</c:v>
                </c:pt>
                <c:pt idx="87">
                  <c:v>61.17</c:v>
                </c:pt>
                <c:pt idx="88">
                  <c:v>58.863999999999997</c:v>
                </c:pt>
                <c:pt idx="89">
                  <c:v>59.67</c:v>
                </c:pt>
                <c:pt idx="90">
                  <c:v>58.59</c:v>
                </c:pt>
                <c:pt idx="91">
                  <c:v>59.625999999999998</c:v>
                </c:pt>
                <c:pt idx="92">
                  <c:v>61.374000000000002</c:v>
                </c:pt>
                <c:pt idx="93">
                  <c:v>60.496000000000002</c:v>
                </c:pt>
                <c:pt idx="94">
                  <c:v>60.109000000000002</c:v>
                </c:pt>
                <c:pt idx="95">
                  <c:v>57.718000000000004</c:v>
                </c:pt>
                <c:pt idx="96">
                  <c:v>57.207000000000001</c:v>
                </c:pt>
                <c:pt idx="97">
                  <c:v>58.75</c:v>
                </c:pt>
                <c:pt idx="98">
                  <c:v>59.598999999999997</c:v>
                </c:pt>
                <c:pt idx="99">
                  <c:v>57.066000000000003</c:v>
                </c:pt>
                <c:pt idx="100">
                  <c:v>59.167999999999999</c:v>
                </c:pt>
                <c:pt idx="101">
                  <c:v>59.296999999999997</c:v>
                </c:pt>
                <c:pt idx="102">
                  <c:v>58.158000000000001</c:v>
                </c:pt>
                <c:pt idx="103">
                  <c:v>57.826000000000001</c:v>
                </c:pt>
                <c:pt idx="104">
                  <c:v>56.585999999999999</c:v>
                </c:pt>
                <c:pt idx="105">
                  <c:v>56.552</c:v>
                </c:pt>
                <c:pt idx="106">
                  <c:v>56.475000000000001</c:v>
                </c:pt>
                <c:pt idx="107">
                  <c:v>55.268000000000001</c:v>
                </c:pt>
                <c:pt idx="108">
                  <c:v>52.96</c:v>
                </c:pt>
                <c:pt idx="109">
                  <c:v>51.646999999999998</c:v>
                </c:pt>
                <c:pt idx="110">
                  <c:v>51.661000000000001</c:v>
                </c:pt>
                <c:pt idx="111">
                  <c:v>52.439</c:v>
                </c:pt>
                <c:pt idx="112">
                  <c:v>53.097000000000001</c:v>
                </c:pt>
                <c:pt idx="113">
                  <c:v>53.329000000000001</c:v>
                </c:pt>
                <c:pt idx="114">
                  <c:v>53.4</c:v>
                </c:pt>
                <c:pt idx="115">
                  <c:v>53.146000000000001</c:v>
                </c:pt>
                <c:pt idx="116">
                  <c:v>52.642000000000003</c:v>
                </c:pt>
                <c:pt idx="117">
                  <c:v>53.192999999999998</c:v>
                </c:pt>
                <c:pt idx="118">
                  <c:v>53.27</c:v>
                </c:pt>
                <c:pt idx="119">
                  <c:v>53.241</c:v>
                </c:pt>
                <c:pt idx="120">
                  <c:v>52.622999999999998</c:v>
                </c:pt>
                <c:pt idx="121">
                  <c:v>52.018999999999998</c:v>
                </c:pt>
                <c:pt idx="122">
                  <c:v>51.935000000000002</c:v>
                </c:pt>
                <c:pt idx="123">
                  <c:v>51.694000000000003</c:v>
                </c:pt>
                <c:pt idx="124">
                  <c:v>50.515000000000001</c:v>
                </c:pt>
                <c:pt idx="125">
                  <c:v>48.625999999999998</c:v>
                </c:pt>
                <c:pt idx="126">
                  <c:v>48.767000000000003</c:v>
                </c:pt>
                <c:pt idx="127">
                  <c:v>48.14</c:v>
                </c:pt>
                <c:pt idx="128">
                  <c:v>47.165999999999997</c:v>
                </c:pt>
                <c:pt idx="129">
                  <c:v>47.003</c:v>
                </c:pt>
                <c:pt idx="130">
                  <c:v>46.006999999999998</c:v>
                </c:pt>
                <c:pt idx="131">
                  <c:v>45.749000000000002</c:v>
                </c:pt>
                <c:pt idx="132">
                  <c:v>44.326000000000001</c:v>
                </c:pt>
                <c:pt idx="133">
                  <c:v>43.649000000000001</c:v>
                </c:pt>
                <c:pt idx="134">
                  <c:v>43.573</c:v>
                </c:pt>
                <c:pt idx="135">
                  <c:v>43.01</c:v>
                </c:pt>
                <c:pt idx="136">
                  <c:v>42.292999999999999</c:v>
                </c:pt>
                <c:pt idx="137">
                  <c:v>42.069000000000003</c:v>
                </c:pt>
                <c:pt idx="138">
                  <c:v>41.927999999999997</c:v>
                </c:pt>
                <c:pt idx="139">
                  <c:v>41.69</c:v>
                </c:pt>
                <c:pt idx="140">
                  <c:v>40.384</c:v>
                </c:pt>
                <c:pt idx="141">
                  <c:v>40.25</c:v>
                </c:pt>
                <c:pt idx="142">
                  <c:v>40.497999999999998</c:v>
                </c:pt>
                <c:pt idx="143">
                  <c:v>40.408999999999999</c:v>
                </c:pt>
                <c:pt idx="144">
                  <c:v>40.738</c:v>
                </c:pt>
                <c:pt idx="145">
                  <c:v>40.259</c:v>
                </c:pt>
                <c:pt idx="146">
                  <c:v>40.502000000000002</c:v>
                </c:pt>
                <c:pt idx="147">
                  <c:v>40.707000000000001</c:v>
                </c:pt>
                <c:pt idx="148">
                  <c:v>40.677</c:v>
                </c:pt>
                <c:pt idx="149">
                  <c:v>40.557000000000002</c:v>
                </c:pt>
                <c:pt idx="150">
                  <c:v>40.290999999999997</c:v>
                </c:pt>
                <c:pt idx="151">
                  <c:v>39.795000000000002</c:v>
                </c:pt>
                <c:pt idx="152">
                  <c:v>38.945</c:v>
                </c:pt>
                <c:pt idx="153">
                  <c:v>37.777999999999999</c:v>
                </c:pt>
                <c:pt idx="154">
                  <c:v>36.686999999999998</c:v>
                </c:pt>
                <c:pt idx="155">
                  <c:v>35.487000000000002</c:v>
                </c:pt>
                <c:pt idx="156">
                  <c:v>34.295000000000002</c:v>
                </c:pt>
                <c:pt idx="157">
                  <c:v>33.524999999999999</c:v>
                </c:pt>
                <c:pt idx="158">
                  <c:v>32.32</c:v>
                </c:pt>
                <c:pt idx="159">
                  <c:v>30.771000000000001</c:v>
                </c:pt>
                <c:pt idx="160">
                  <c:v>30.26</c:v>
                </c:pt>
                <c:pt idx="161">
                  <c:v>28.942</c:v>
                </c:pt>
                <c:pt idx="162">
                  <c:v>28.073</c:v>
                </c:pt>
                <c:pt idx="163">
                  <c:v>27.788</c:v>
                </c:pt>
                <c:pt idx="164">
                  <c:v>27.225999999999999</c:v>
                </c:pt>
                <c:pt idx="165">
                  <c:v>27.009</c:v>
                </c:pt>
                <c:pt idx="166">
                  <c:v>26.564</c:v>
                </c:pt>
                <c:pt idx="167">
                  <c:v>26.036000000000001</c:v>
                </c:pt>
                <c:pt idx="168">
                  <c:v>25.611000000000001</c:v>
                </c:pt>
                <c:pt idx="169">
                  <c:v>24.867999999999999</c:v>
                </c:pt>
                <c:pt idx="170">
                  <c:v>23.545000000000002</c:v>
                </c:pt>
                <c:pt idx="171">
                  <c:v>23.468</c:v>
                </c:pt>
                <c:pt idx="172">
                  <c:v>23.234000000000002</c:v>
                </c:pt>
                <c:pt idx="173">
                  <c:v>22.091999999999999</c:v>
                </c:pt>
                <c:pt idx="174">
                  <c:v>21.73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C-4B39-A964-6C8B97A210D4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data_ghg_excLUC!$F$3:$F$177</c:f>
              <c:numCache>
                <c:formatCode>0.0</c:formatCode>
                <c:ptCount val="175"/>
                <c:pt idx="0">
                  <c:v>12.605000000000004</c:v>
                </c:pt>
                <c:pt idx="1">
                  <c:v>12.707999999999998</c:v>
                </c:pt>
                <c:pt idx="2">
                  <c:v>12.761000000000003</c:v>
                </c:pt>
                <c:pt idx="3">
                  <c:v>12.761000000000003</c:v>
                </c:pt>
                <c:pt idx="4">
                  <c:v>12.527000000000001</c:v>
                </c:pt>
                <c:pt idx="5">
                  <c:v>12.622</c:v>
                </c:pt>
                <c:pt idx="6">
                  <c:v>12.586999999999996</c:v>
                </c:pt>
                <c:pt idx="7">
                  <c:v>12.669999999999995</c:v>
                </c:pt>
                <c:pt idx="8">
                  <c:v>12.774000000000001</c:v>
                </c:pt>
                <c:pt idx="9">
                  <c:v>12.678000000000004</c:v>
                </c:pt>
                <c:pt idx="10">
                  <c:v>12.554000000000002</c:v>
                </c:pt>
                <c:pt idx="11">
                  <c:v>12.530000000000001</c:v>
                </c:pt>
                <c:pt idx="12">
                  <c:v>12.645000000000003</c:v>
                </c:pt>
                <c:pt idx="13">
                  <c:v>12.616999999999997</c:v>
                </c:pt>
                <c:pt idx="14">
                  <c:v>12.548999999999999</c:v>
                </c:pt>
                <c:pt idx="15">
                  <c:v>12.521999999999998</c:v>
                </c:pt>
                <c:pt idx="16">
                  <c:v>12.594000000000001</c:v>
                </c:pt>
                <c:pt idx="17">
                  <c:v>12.551000000000002</c:v>
                </c:pt>
                <c:pt idx="18">
                  <c:v>12.613999999999997</c:v>
                </c:pt>
                <c:pt idx="19">
                  <c:v>12.565000000000005</c:v>
                </c:pt>
                <c:pt idx="20">
                  <c:v>12.635000000000005</c:v>
                </c:pt>
                <c:pt idx="21">
                  <c:v>12.709000000000003</c:v>
                </c:pt>
                <c:pt idx="22">
                  <c:v>12.496000000000002</c:v>
                </c:pt>
                <c:pt idx="23">
                  <c:v>12.41899999999999</c:v>
                </c:pt>
                <c:pt idx="24">
                  <c:v>12.938000000000002</c:v>
                </c:pt>
                <c:pt idx="25">
                  <c:v>12.719999999999999</c:v>
                </c:pt>
                <c:pt idx="26">
                  <c:v>13.184000000000005</c:v>
                </c:pt>
                <c:pt idx="27">
                  <c:v>13.158999999999992</c:v>
                </c:pt>
                <c:pt idx="28">
                  <c:v>13.409999999999997</c:v>
                </c:pt>
                <c:pt idx="29">
                  <c:v>13.317999999999998</c:v>
                </c:pt>
                <c:pt idx="30">
                  <c:v>12.922000000000004</c:v>
                </c:pt>
                <c:pt idx="31">
                  <c:v>12.906999999999996</c:v>
                </c:pt>
                <c:pt idx="32">
                  <c:v>12.773999999999994</c:v>
                </c:pt>
                <c:pt idx="33">
                  <c:v>12.776999999999994</c:v>
                </c:pt>
                <c:pt idx="34">
                  <c:v>12.881999999999998</c:v>
                </c:pt>
                <c:pt idx="35">
                  <c:v>13.056999999999995</c:v>
                </c:pt>
                <c:pt idx="36">
                  <c:v>13.11</c:v>
                </c:pt>
                <c:pt idx="37">
                  <c:v>13.009</c:v>
                </c:pt>
                <c:pt idx="38">
                  <c:v>12.750999999999991</c:v>
                </c:pt>
                <c:pt idx="39">
                  <c:v>13.021000000000008</c:v>
                </c:pt>
                <c:pt idx="40">
                  <c:v>12.827000000000005</c:v>
                </c:pt>
                <c:pt idx="41">
                  <c:v>12.872999999999998</c:v>
                </c:pt>
                <c:pt idx="42">
                  <c:v>12.864000000000004</c:v>
                </c:pt>
                <c:pt idx="43">
                  <c:v>13.266000000000005</c:v>
                </c:pt>
                <c:pt idx="44">
                  <c:v>13.141000000000005</c:v>
                </c:pt>
                <c:pt idx="45">
                  <c:v>13.165000000000006</c:v>
                </c:pt>
                <c:pt idx="46">
                  <c:v>13.170000000000009</c:v>
                </c:pt>
                <c:pt idx="47">
                  <c:v>13.251000000000005</c:v>
                </c:pt>
                <c:pt idx="48">
                  <c:v>13.332999999999998</c:v>
                </c:pt>
                <c:pt idx="49">
                  <c:v>13.091999999999999</c:v>
                </c:pt>
                <c:pt idx="50">
                  <c:v>13.056000000000004</c:v>
                </c:pt>
                <c:pt idx="51">
                  <c:v>13.122999999999998</c:v>
                </c:pt>
                <c:pt idx="52">
                  <c:v>12.893000000000008</c:v>
                </c:pt>
                <c:pt idx="53">
                  <c:v>12.388999999999996</c:v>
                </c:pt>
                <c:pt idx="54">
                  <c:v>12.610999999999997</c:v>
                </c:pt>
                <c:pt idx="55">
                  <c:v>12.159999999999997</c:v>
                </c:pt>
                <c:pt idx="56">
                  <c:v>12.259</c:v>
                </c:pt>
                <c:pt idx="57">
                  <c:v>11.891000000000005</c:v>
                </c:pt>
                <c:pt idx="58">
                  <c:v>12.067999999999998</c:v>
                </c:pt>
                <c:pt idx="59">
                  <c:v>11.893999999999991</c:v>
                </c:pt>
                <c:pt idx="60">
                  <c:v>11.780000000000001</c:v>
                </c:pt>
                <c:pt idx="61">
                  <c:v>11.736000000000004</c:v>
                </c:pt>
                <c:pt idx="62">
                  <c:v>11.345999999999989</c:v>
                </c:pt>
                <c:pt idx="63">
                  <c:v>10.900999999999996</c:v>
                </c:pt>
                <c:pt idx="64">
                  <c:v>11.560000000000002</c:v>
                </c:pt>
                <c:pt idx="65">
                  <c:v>11.701999999999998</c:v>
                </c:pt>
                <c:pt idx="66">
                  <c:v>11.477999999999994</c:v>
                </c:pt>
                <c:pt idx="67">
                  <c:v>11.173000000000002</c:v>
                </c:pt>
                <c:pt idx="68">
                  <c:v>9.652000000000001</c:v>
                </c:pt>
                <c:pt idx="69">
                  <c:v>8.4060000000000059</c:v>
                </c:pt>
                <c:pt idx="70">
                  <c:v>8.8680000000000092</c:v>
                </c:pt>
                <c:pt idx="71">
                  <c:v>9.6920000000000073</c:v>
                </c:pt>
                <c:pt idx="72">
                  <c:v>9.4500000000000028</c:v>
                </c:pt>
                <c:pt idx="73">
                  <c:v>8.6069999999999993</c:v>
                </c:pt>
                <c:pt idx="74">
                  <c:v>8.8789999999999907</c:v>
                </c:pt>
                <c:pt idx="75">
                  <c:v>8.8069999999999879</c:v>
                </c:pt>
                <c:pt idx="76">
                  <c:v>9.4279999999999973</c:v>
                </c:pt>
                <c:pt idx="77">
                  <c:v>9.546999999999997</c:v>
                </c:pt>
                <c:pt idx="78">
                  <c:v>9.8509999999999991</c:v>
                </c:pt>
                <c:pt idx="79">
                  <c:v>9.8520000000000039</c:v>
                </c:pt>
                <c:pt idx="80">
                  <c:v>10.744</c:v>
                </c:pt>
                <c:pt idx="81">
                  <c:v>11.829000000000001</c:v>
                </c:pt>
                <c:pt idx="82">
                  <c:v>11.817000000000007</c:v>
                </c:pt>
                <c:pt idx="83">
                  <c:v>11.584999999999994</c:v>
                </c:pt>
                <c:pt idx="84">
                  <c:v>11.009</c:v>
                </c:pt>
                <c:pt idx="85">
                  <c:v>10.638999999999996</c:v>
                </c:pt>
                <c:pt idx="86">
                  <c:v>10.324000000000005</c:v>
                </c:pt>
                <c:pt idx="87">
                  <c:v>10.128</c:v>
                </c:pt>
                <c:pt idx="88">
                  <c:v>10.092000000000006</c:v>
                </c:pt>
                <c:pt idx="89">
                  <c:v>10</c:v>
                </c:pt>
                <c:pt idx="90">
                  <c:v>9.0939999999999941</c:v>
                </c:pt>
                <c:pt idx="91">
                  <c:v>9.5399999999999991</c:v>
                </c:pt>
                <c:pt idx="92">
                  <c:v>10.606999999999992</c:v>
                </c:pt>
                <c:pt idx="93">
                  <c:v>11.303999999999995</c:v>
                </c:pt>
                <c:pt idx="94">
                  <c:v>10.436</c:v>
                </c:pt>
                <c:pt idx="95">
                  <c:v>11.799999999999997</c:v>
                </c:pt>
                <c:pt idx="96">
                  <c:v>11.324999999999996</c:v>
                </c:pt>
                <c:pt idx="97">
                  <c:v>10.602999999999994</c:v>
                </c:pt>
                <c:pt idx="98">
                  <c:v>10.598000000000006</c:v>
                </c:pt>
                <c:pt idx="99">
                  <c:v>10.448999999999998</c:v>
                </c:pt>
                <c:pt idx="100">
                  <c:v>9.1639999999999944</c:v>
                </c:pt>
                <c:pt idx="101">
                  <c:v>8.9009999999999962</c:v>
                </c:pt>
                <c:pt idx="102">
                  <c:v>8.5439999999999969</c:v>
                </c:pt>
                <c:pt idx="103">
                  <c:v>8.4349999999999952</c:v>
                </c:pt>
                <c:pt idx="104">
                  <c:v>8.0169999999999959</c:v>
                </c:pt>
                <c:pt idx="105">
                  <c:v>7.3819999999999979</c:v>
                </c:pt>
                <c:pt idx="106">
                  <c:v>7.1229999999999976</c:v>
                </c:pt>
                <c:pt idx="107">
                  <c:v>6.7190000000000012</c:v>
                </c:pt>
                <c:pt idx="108">
                  <c:v>6.019999999999996</c:v>
                </c:pt>
                <c:pt idx="109">
                  <c:v>5.3860000000000028</c:v>
                </c:pt>
                <c:pt idx="110">
                  <c:v>5.3239999999999981</c:v>
                </c:pt>
                <c:pt idx="111">
                  <c:v>5.5949999999999989</c:v>
                </c:pt>
                <c:pt idx="112">
                  <c:v>5.7179999999999964</c:v>
                </c:pt>
                <c:pt idx="113">
                  <c:v>5.4320000000000022</c:v>
                </c:pt>
                <c:pt idx="114">
                  <c:v>5.3180000000000049</c:v>
                </c:pt>
                <c:pt idx="115">
                  <c:v>4.9969999999999999</c:v>
                </c:pt>
                <c:pt idx="116">
                  <c:v>4.9549999999999983</c:v>
                </c:pt>
                <c:pt idx="117">
                  <c:v>4.8880000000000052</c:v>
                </c:pt>
                <c:pt idx="118">
                  <c:v>4.9689999999999941</c:v>
                </c:pt>
                <c:pt idx="119">
                  <c:v>4.6330000000000027</c:v>
                </c:pt>
                <c:pt idx="120">
                  <c:v>4.5050000000000026</c:v>
                </c:pt>
                <c:pt idx="121">
                  <c:v>3.9950000000000045</c:v>
                </c:pt>
                <c:pt idx="122">
                  <c:v>3.8780000000000001</c:v>
                </c:pt>
                <c:pt idx="123">
                  <c:v>3.6969999999999956</c:v>
                </c:pt>
                <c:pt idx="124">
                  <c:v>3.6099999999999994</c:v>
                </c:pt>
                <c:pt idx="125">
                  <c:v>3.4560000000000031</c:v>
                </c:pt>
                <c:pt idx="126">
                  <c:v>3.2479999999999976</c:v>
                </c:pt>
                <c:pt idx="127">
                  <c:v>3.0259999999999962</c:v>
                </c:pt>
                <c:pt idx="128">
                  <c:v>3.3460000000000036</c:v>
                </c:pt>
                <c:pt idx="129">
                  <c:v>3.3560000000000016</c:v>
                </c:pt>
                <c:pt idx="130">
                  <c:v>3.3830000000000027</c:v>
                </c:pt>
                <c:pt idx="131">
                  <c:v>3.2560000000000002</c:v>
                </c:pt>
                <c:pt idx="132">
                  <c:v>3.0039999999999978</c:v>
                </c:pt>
                <c:pt idx="133">
                  <c:v>2.9589999999999961</c:v>
                </c:pt>
                <c:pt idx="134">
                  <c:v>2.6859999999999999</c:v>
                </c:pt>
                <c:pt idx="135">
                  <c:v>2.1260000000000048</c:v>
                </c:pt>
                <c:pt idx="136">
                  <c:v>2.0549999999999997</c:v>
                </c:pt>
                <c:pt idx="137">
                  <c:v>2.1809999999999974</c:v>
                </c:pt>
                <c:pt idx="138">
                  <c:v>1.9650000000000034</c:v>
                </c:pt>
                <c:pt idx="139">
                  <c:v>2.4000000000000057</c:v>
                </c:pt>
                <c:pt idx="140">
                  <c:v>4.5409999999999968</c:v>
                </c:pt>
                <c:pt idx="141">
                  <c:v>3.8939999999999984</c:v>
                </c:pt>
                <c:pt idx="142">
                  <c:v>4.9909999999999997</c:v>
                </c:pt>
                <c:pt idx="143">
                  <c:v>4.804000000000002</c:v>
                </c:pt>
                <c:pt idx="144">
                  <c:v>4.6390000000000029</c:v>
                </c:pt>
                <c:pt idx="145">
                  <c:v>4.5869999999999962</c:v>
                </c:pt>
                <c:pt idx="146">
                  <c:v>4.1509999999999962</c:v>
                </c:pt>
                <c:pt idx="147">
                  <c:v>3.7759999999999962</c:v>
                </c:pt>
                <c:pt idx="148">
                  <c:v>4.277000000000001</c:v>
                </c:pt>
                <c:pt idx="149">
                  <c:v>3.9089999999999989</c:v>
                </c:pt>
                <c:pt idx="150">
                  <c:v>3.9760000000000062</c:v>
                </c:pt>
                <c:pt idx="151">
                  <c:v>3.8599999999999994</c:v>
                </c:pt>
                <c:pt idx="152">
                  <c:v>4.1899999999999977</c:v>
                </c:pt>
                <c:pt idx="153">
                  <c:v>3.7090000000000032</c:v>
                </c:pt>
                <c:pt idx="154">
                  <c:v>3.8539999999999992</c:v>
                </c:pt>
                <c:pt idx="155">
                  <c:v>3.7849999999999966</c:v>
                </c:pt>
                <c:pt idx="156">
                  <c:v>3.492999999999995</c:v>
                </c:pt>
                <c:pt idx="157">
                  <c:v>3.5290000000000035</c:v>
                </c:pt>
                <c:pt idx="158">
                  <c:v>3.1280000000000001</c:v>
                </c:pt>
                <c:pt idx="159">
                  <c:v>2.7860000000000014</c:v>
                </c:pt>
                <c:pt idx="160">
                  <c:v>2.4659999999999975</c:v>
                </c:pt>
                <c:pt idx="161">
                  <c:v>2.0850000000000009</c:v>
                </c:pt>
                <c:pt idx="162">
                  <c:v>1.995000000000001</c:v>
                </c:pt>
                <c:pt idx="163">
                  <c:v>2.2740000000000009</c:v>
                </c:pt>
                <c:pt idx="164">
                  <c:v>2.2630000000000017</c:v>
                </c:pt>
                <c:pt idx="165">
                  <c:v>2.1069999999999993</c:v>
                </c:pt>
                <c:pt idx="166">
                  <c:v>2.0120000000000005</c:v>
                </c:pt>
                <c:pt idx="167">
                  <c:v>1.9589999999999996</c:v>
                </c:pt>
                <c:pt idx="168">
                  <c:v>1.9959999999999987</c:v>
                </c:pt>
                <c:pt idx="169">
                  <c:v>1.8140000000000001</c:v>
                </c:pt>
                <c:pt idx="170">
                  <c:v>1.6849999999999987</c:v>
                </c:pt>
                <c:pt idx="171">
                  <c:v>1.9239999999999995</c:v>
                </c:pt>
                <c:pt idx="172">
                  <c:v>1.5839999999999996</c:v>
                </c:pt>
                <c:pt idx="173">
                  <c:v>1.5620000000000012</c:v>
                </c:pt>
                <c:pt idx="174">
                  <c:v>2.5949999999999989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C-4B39-A964-6C8B97A210D4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data_ghg_excLUC!$G$3:$G$177</c:f>
              <c:numCache>
                <c:formatCode>0.0</c:formatCode>
                <c:ptCount val="175"/>
                <c:pt idx="0">
                  <c:v>3.4779999999999944</c:v>
                </c:pt>
                <c:pt idx="1">
                  <c:v>3.2909999999999968</c:v>
                </c:pt>
                <c:pt idx="2">
                  <c:v>3.3560000000000016</c:v>
                </c:pt>
                <c:pt idx="3">
                  <c:v>3.5679999999999978</c:v>
                </c:pt>
                <c:pt idx="4">
                  <c:v>4.6540000000000035</c:v>
                </c:pt>
                <c:pt idx="5">
                  <c:v>4.4960000000000022</c:v>
                </c:pt>
                <c:pt idx="6">
                  <c:v>4.7550000000000026</c:v>
                </c:pt>
                <c:pt idx="7">
                  <c:v>4.6099999999999994</c:v>
                </c:pt>
                <c:pt idx="8">
                  <c:v>4.3789999999999978</c:v>
                </c:pt>
                <c:pt idx="9">
                  <c:v>4.7890000000000015</c:v>
                </c:pt>
                <c:pt idx="10">
                  <c:v>5.2710000000000008</c:v>
                </c:pt>
                <c:pt idx="11">
                  <c:v>5.3769999999999953</c:v>
                </c:pt>
                <c:pt idx="12">
                  <c:v>5.1659999999999968</c:v>
                </c:pt>
                <c:pt idx="13">
                  <c:v>5.2560000000000002</c:v>
                </c:pt>
                <c:pt idx="14">
                  <c:v>5.4620000000000033</c:v>
                </c:pt>
                <c:pt idx="15">
                  <c:v>5.5489999999999995</c:v>
                </c:pt>
                <c:pt idx="16">
                  <c:v>5.4070000000000036</c:v>
                </c:pt>
                <c:pt idx="17">
                  <c:v>5.5160000000000053</c:v>
                </c:pt>
                <c:pt idx="18">
                  <c:v>5.3800000000000026</c:v>
                </c:pt>
                <c:pt idx="19">
                  <c:v>5.4869999999999948</c:v>
                </c:pt>
                <c:pt idx="20">
                  <c:v>5.2779999999999987</c:v>
                </c:pt>
                <c:pt idx="21">
                  <c:v>5.0870000000000033</c:v>
                </c:pt>
                <c:pt idx="22">
                  <c:v>5.3440000000000012</c:v>
                </c:pt>
                <c:pt idx="23">
                  <c:v>5.3970000000000056</c:v>
                </c:pt>
                <c:pt idx="24">
                  <c:v>4.573999999999991</c:v>
                </c:pt>
                <c:pt idx="25">
                  <c:v>4.8619999999999948</c:v>
                </c:pt>
                <c:pt idx="26">
                  <c:v>4.0449999999999875</c:v>
                </c:pt>
                <c:pt idx="27">
                  <c:v>4.0870000000000033</c:v>
                </c:pt>
                <c:pt idx="28">
                  <c:v>3.5499999999999972</c:v>
                </c:pt>
                <c:pt idx="29">
                  <c:v>3.6110000000000042</c:v>
                </c:pt>
                <c:pt idx="30">
                  <c:v>3.9689999999999941</c:v>
                </c:pt>
                <c:pt idx="31">
                  <c:v>4.0280000000000058</c:v>
                </c:pt>
                <c:pt idx="32">
                  <c:v>4.1170000000000044</c:v>
                </c:pt>
                <c:pt idx="33">
                  <c:v>3.9510000000000076</c:v>
                </c:pt>
                <c:pt idx="34">
                  <c:v>3.7540000000000049</c:v>
                </c:pt>
                <c:pt idx="35">
                  <c:v>3.460000000000008</c:v>
                </c:pt>
                <c:pt idx="36">
                  <c:v>3.3930000000000007</c:v>
                </c:pt>
                <c:pt idx="37">
                  <c:v>3.4380000000000024</c:v>
                </c:pt>
                <c:pt idx="38">
                  <c:v>3.4810000000000088</c:v>
                </c:pt>
                <c:pt idx="39">
                  <c:v>3.0229999999999961</c:v>
                </c:pt>
                <c:pt idx="40">
                  <c:v>3.1089999999999947</c:v>
                </c:pt>
                <c:pt idx="41">
                  <c:v>2.8160000000000025</c:v>
                </c:pt>
                <c:pt idx="42">
                  <c:v>2.7849999999999966</c:v>
                </c:pt>
                <c:pt idx="43">
                  <c:v>2.152000000000001</c:v>
                </c:pt>
                <c:pt idx="44">
                  <c:v>2.164999999999992</c:v>
                </c:pt>
                <c:pt idx="45">
                  <c:v>1.875</c:v>
                </c:pt>
                <c:pt idx="46">
                  <c:v>1.722999999999999</c:v>
                </c:pt>
                <c:pt idx="47">
                  <c:v>1.3870000000000005</c:v>
                </c:pt>
                <c:pt idx="48">
                  <c:v>0.98799999999999955</c:v>
                </c:pt>
                <c:pt idx="49">
                  <c:v>0.93200000000000216</c:v>
                </c:pt>
                <c:pt idx="50">
                  <c:v>0.73599999999999</c:v>
                </c:pt>
                <c:pt idx="51">
                  <c:v>0.53700000000000614</c:v>
                </c:pt>
                <c:pt idx="52">
                  <c:v>0.79199999999998738</c:v>
                </c:pt>
                <c:pt idx="53">
                  <c:v>1.0880000000000081</c:v>
                </c:pt>
                <c:pt idx="54">
                  <c:v>0.73700000000000898</c:v>
                </c:pt>
                <c:pt idx="55">
                  <c:v>1.0550000000000068</c:v>
                </c:pt>
                <c:pt idx="56">
                  <c:v>0.79900000000000659</c:v>
                </c:pt>
                <c:pt idx="57">
                  <c:v>0.14300000000000068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0.12800000000000011</c:v>
                </c:pt>
                <c:pt idx="66">
                  <c:v>0</c:v>
                </c:pt>
                <c:pt idx="67">
                  <c:v>0.28199999999999648</c:v>
                </c:pt>
                <c:pt idx="68">
                  <c:v>2.3689999999999998</c:v>
                </c:pt>
                <c:pt idx="69">
                  <c:v>4.7740000000000009</c:v>
                </c:pt>
                <c:pt idx="70">
                  <c:v>3.0969999999999942</c:v>
                </c:pt>
                <c:pt idx="71">
                  <c:v>2.6400000000000006</c:v>
                </c:pt>
                <c:pt idx="72">
                  <c:v>2.8029999999999973</c:v>
                </c:pt>
                <c:pt idx="73">
                  <c:v>3.3860000000000099</c:v>
                </c:pt>
                <c:pt idx="74">
                  <c:v>3.0200000000000102</c:v>
                </c:pt>
                <c:pt idx="75">
                  <c:v>3.1290000000000049</c:v>
                </c:pt>
                <c:pt idx="76">
                  <c:v>2.6219999999999999</c:v>
                </c:pt>
                <c:pt idx="77">
                  <c:v>2.0859999999999985</c:v>
                </c:pt>
                <c:pt idx="78">
                  <c:v>1.9230000000000018</c:v>
                </c:pt>
                <c:pt idx="79">
                  <c:v>1.6280000000000001</c:v>
                </c:pt>
                <c:pt idx="80">
                  <c:v>0.99500000000000455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5C-4B39-A964-6C8B97A210D4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data_ghg_excLUC!$H$3:$H$177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0.29700000000001125</c:v>
                </c:pt>
                <c:pt idx="59">
                  <c:v>0.42700000000000671</c:v>
                </c:pt>
                <c:pt idx="60">
                  <c:v>0.15999999999999659</c:v>
                </c:pt>
                <c:pt idx="61">
                  <c:v>0.23799999999999955</c:v>
                </c:pt>
                <c:pt idx="62">
                  <c:v>0.78100000000000591</c:v>
                </c:pt>
                <c:pt idx="63">
                  <c:v>0.95600000000000307</c:v>
                </c:pt>
                <c:pt idx="64">
                  <c:v>0.29800000000000182</c:v>
                </c:pt>
                <c:pt idx="65">
                  <c:v>0</c:v>
                </c:pt>
                <c:pt idx="66">
                  <c:v>4.6999999999997044E-2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0.18500000000000227</c:v>
                </c:pt>
                <c:pt idx="82">
                  <c:v>0.97999999999998977</c:v>
                </c:pt>
                <c:pt idx="83">
                  <c:v>1.1710000000000065</c:v>
                </c:pt>
                <c:pt idx="84">
                  <c:v>2.019999999999996</c:v>
                </c:pt>
                <c:pt idx="85">
                  <c:v>2.5810000000000031</c:v>
                </c:pt>
                <c:pt idx="86">
                  <c:v>2.9209999999999923</c:v>
                </c:pt>
                <c:pt idx="87">
                  <c:v>2.7879999999999967</c:v>
                </c:pt>
                <c:pt idx="88">
                  <c:v>3.742999999999995</c:v>
                </c:pt>
                <c:pt idx="89">
                  <c:v>3.3179999999999978</c:v>
                </c:pt>
                <c:pt idx="90">
                  <c:v>6.1440000000000055</c:v>
                </c:pt>
                <c:pt idx="91">
                  <c:v>4.6380000000000052</c:v>
                </c:pt>
                <c:pt idx="92">
                  <c:v>2.2070000000000078</c:v>
                </c:pt>
                <c:pt idx="93">
                  <c:v>2.3250000000000028</c:v>
                </c:pt>
                <c:pt idx="94">
                  <c:v>2.7150000000000034</c:v>
                </c:pt>
                <c:pt idx="95">
                  <c:v>0.47799999999999443</c:v>
                </c:pt>
                <c:pt idx="96">
                  <c:v>1.4950000000000045</c:v>
                </c:pt>
                <c:pt idx="97">
                  <c:v>2.2700000000000102</c:v>
                </c:pt>
                <c:pt idx="98">
                  <c:v>2.340999999999994</c:v>
                </c:pt>
                <c:pt idx="99">
                  <c:v>3.7900000000000063</c:v>
                </c:pt>
                <c:pt idx="100">
                  <c:v>5.1780000000000115</c:v>
                </c:pt>
                <c:pt idx="101">
                  <c:v>5.554000000000002</c:v>
                </c:pt>
                <c:pt idx="102">
                  <c:v>6.5090000000000003</c:v>
                </c:pt>
                <c:pt idx="103">
                  <c:v>7.0190000000000055</c:v>
                </c:pt>
                <c:pt idx="104">
                  <c:v>8.0889999999999986</c:v>
                </c:pt>
                <c:pt idx="105">
                  <c:v>8.9480000000000075</c:v>
                </c:pt>
                <c:pt idx="106">
                  <c:v>9.5400000000000063</c:v>
                </c:pt>
                <c:pt idx="107">
                  <c:v>10.645999999999994</c:v>
                </c:pt>
                <c:pt idx="108">
                  <c:v>11.729999999999997</c:v>
                </c:pt>
                <c:pt idx="109">
                  <c:v>12.298999999999992</c:v>
                </c:pt>
                <c:pt idx="110">
                  <c:v>12.254999999999995</c:v>
                </c:pt>
                <c:pt idx="111">
                  <c:v>12.442</c:v>
                </c:pt>
                <c:pt idx="112">
                  <c:v>12.638000000000005</c:v>
                </c:pt>
                <c:pt idx="113">
                  <c:v>13.149999999999999</c:v>
                </c:pt>
                <c:pt idx="114">
                  <c:v>13.453000000000003</c:v>
                </c:pt>
                <c:pt idx="115">
                  <c:v>13.807000000000002</c:v>
                </c:pt>
                <c:pt idx="116">
                  <c:v>13.866999999999997</c:v>
                </c:pt>
                <c:pt idx="117">
                  <c:v>14.180999999999997</c:v>
                </c:pt>
                <c:pt idx="118">
                  <c:v>13.827000000000005</c:v>
                </c:pt>
                <c:pt idx="119">
                  <c:v>13.871000000000002</c:v>
                </c:pt>
                <c:pt idx="120">
                  <c:v>12.016999999999996</c:v>
                </c:pt>
                <c:pt idx="121">
                  <c:v>12.689</c:v>
                </c:pt>
                <c:pt idx="122">
                  <c:v>12.849000000000004</c:v>
                </c:pt>
                <c:pt idx="123">
                  <c:v>13.050999999999995</c:v>
                </c:pt>
                <c:pt idx="124">
                  <c:v>13.718999999999994</c:v>
                </c:pt>
                <c:pt idx="125">
                  <c:v>14.645999999999994</c:v>
                </c:pt>
                <c:pt idx="126">
                  <c:v>14.715999999999994</c:v>
                </c:pt>
                <c:pt idx="127">
                  <c:v>14.960000000000008</c:v>
                </c:pt>
                <c:pt idx="128">
                  <c:v>15.114999999999995</c:v>
                </c:pt>
                <c:pt idx="129">
                  <c:v>14.911999999999999</c:v>
                </c:pt>
                <c:pt idx="130">
                  <c:v>15.412999999999997</c:v>
                </c:pt>
                <c:pt idx="131">
                  <c:v>15.603999999999992</c:v>
                </c:pt>
                <c:pt idx="132">
                  <c:v>16.207999999999998</c:v>
                </c:pt>
                <c:pt idx="133">
                  <c:v>16.295000000000002</c:v>
                </c:pt>
                <c:pt idx="134">
                  <c:v>16.317</c:v>
                </c:pt>
                <c:pt idx="135">
                  <c:v>17.148999999999994</c:v>
                </c:pt>
                <c:pt idx="136">
                  <c:v>17.219000000000001</c:v>
                </c:pt>
                <c:pt idx="137">
                  <c:v>16.887999999999998</c:v>
                </c:pt>
                <c:pt idx="138">
                  <c:v>16.670000000000002</c:v>
                </c:pt>
                <c:pt idx="139">
                  <c:v>15.798999999999999</c:v>
                </c:pt>
                <c:pt idx="140">
                  <c:v>13.979000000000006</c:v>
                </c:pt>
                <c:pt idx="141">
                  <c:v>13.803000000000004</c:v>
                </c:pt>
                <c:pt idx="142">
                  <c:v>11.313000000000002</c:v>
                </c:pt>
                <c:pt idx="143">
                  <c:v>10.338000000000001</c:v>
                </c:pt>
                <c:pt idx="144">
                  <c:v>9.1559999999999988</c:v>
                </c:pt>
                <c:pt idx="145">
                  <c:v>8.5600000000000023</c:v>
                </c:pt>
                <c:pt idx="146">
                  <c:v>8.4939999999999998</c:v>
                </c:pt>
                <c:pt idx="147">
                  <c:v>8.203000000000003</c:v>
                </c:pt>
                <c:pt idx="148">
                  <c:v>7.365000000000002</c:v>
                </c:pt>
                <c:pt idx="149">
                  <c:v>7.6129999999999995</c:v>
                </c:pt>
                <c:pt idx="150">
                  <c:v>7.4539999999999935</c:v>
                </c:pt>
                <c:pt idx="151">
                  <c:v>7.4420000000000002</c:v>
                </c:pt>
                <c:pt idx="152">
                  <c:v>6.9430000000000049</c:v>
                </c:pt>
                <c:pt idx="153">
                  <c:v>7.4140000000000015</c:v>
                </c:pt>
                <c:pt idx="154">
                  <c:v>6.7950000000000017</c:v>
                </c:pt>
                <c:pt idx="155">
                  <c:v>6.6230000000000047</c:v>
                </c:pt>
                <c:pt idx="156">
                  <c:v>6.845000000000006</c:v>
                </c:pt>
                <c:pt idx="157">
                  <c:v>6.6289999999999978</c:v>
                </c:pt>
                <c:pt idx="158">
                  <c:v>6.8339999999999961</c:v>
                </c:pt>
                <c:pt idx="159">
                  <c:v>6.6419999999999959</c:v>
                </c:pt>
                <c:pt idx="160">
                  <c:v>6.820999999999998</c:v>
                </c:pt>
                <c:pt idx="161">
                  <c:v>7.1739999999999995</c:v>
                </c:pt>
                <c:pt idx="162">
                  <c:v>7.1119999999999983</c:v>
                </c:pt>
                <c:pt idx="163">
                  <c:v>6.4939999999999962</c:v>
                </c:pt>
                <c:pt idx="164">
                  <c:v>6.3289999999999971</c:v>
                </c:pt>
                <c:pt idx="165">
                  <c:v>6.4680000000000035</c:v>
                </c:pt>
                <c:pt idx="166">
                  <c:v>6.6039999999999992</c:v>
                </c:pt>
                <c:pt idx="167">
                  <c:v>6.7240000000000002</c:v>
                </c:pt>
                <c:pt idx="168">
                  <c:v>6.713000000000001</c:v>
                </c:pt>
                <c:pt idx="169">
                  <c:v>6.7880000000000003</c:v>
                </c:pt>
                <c:pt idx="170">
                  <c:v>6.9130000000000003</c:v>
                </c:pt>
                <c:pt idx="171">
                  <c:v>6.8099999999999987</c:v>
                </c:pt>
                <c:pt idx="172">
                  <c:v>6.7299999999999969</c:v>
                </c:pt>
                <c:pt idx="173">
                  <c:v>6.6080000000000005</c:v>
                </c:pt>
                <c:pt idx="174">
                  <c:v>5.5809999999999995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5C-4B39-A964-6C8B97A210D4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data_ghg_excLUC!$Q$3:$Q$177</c:f>
              <c:numCache>
                <c:formatCode>0.0</c:formatCode>
                <c:ptCount val="175"/>
                <c:pt idx="0">
                  <c:v>11.196000000000005</c:v>
                </c:pt>
                <c:pt idx="1">
                  <c:v>11.329999999999998</c:v>
                </c:pt>
                <c:pt idx="2">
                  <c:v>11.364999999999995</c:v>
                </c:pt>
                <c:pt idx="3">
                  <c:v>11.290999999999997</c:v>
                </c:pt>
                <c:pt idx="4">
                  <c:v>10.778999999999996</c:v>
                </c:pt>
                <c:pt idx="5">
                  <c:v>10.937999999999995</c:v>
                </c:pt>
                <c:pt idx="6">
                  <c:v>10.778000000000006</c:v>
                </c:pt>
                <c:pt idx="7">
                  <c:v>10.874000000000009</c:v>
                </c:pt>
                <c:pt idx="8">
                  <c:v>11.062999999999995</c:v>
                </c:pt>
                <c:pt idx="9">
                  <c:v>10.826000000000001</c:v>
                </c:pt>
                <c:pt idx="10">
                  <c:v>10.567</c:v>
                </c:pt>
                <c:pt idx="11">
                  <c:v>10.531999999999996</c:v>
                </c:pt>
                <c:pt idx="12">
                  <c:v>10.742000000000004</c:v>
                </c:pt>
                <c:pt idx="13">
                  <c:v>10.701000000000008</c:v>
                </c:pt>
                <c:pt idx="14">
                  <c:v>10.587000000000003</c:v>
                </c:pt>
                <c:pt idx="15">
                  <c:v>10.558000000000007</c:v>
                </c:pt>
                <c:pt idx="16">
                  <c:v>10.680999999999997</c:v>
                </c:pt>
                <c:pt idx="17">
                  <c:v>10.649000000000001</c:v>
                </c:pt>
                <c:pt idx="18">
                  <c:v>10.763000000000005</c:v>
                </c:pt>
                <c:pt idx="19">
                  <c:v>10.697000000000003</c:v>
                </c:pt>
                <c:pt idx="20">
                  <c:v>10.822999999999993</c:v>
                </c:pt>
                <c:pt idx="21">
                  <c:v>10.965999999999994</c:v>
                </c:pt>
                <c:pt idx="22">
                  <c:v>10.622</c:v>
                </c:pt>
                <c:pt idx="23">
                  <c:v>10.480999999999995</c:v>
                </c:pt>
                <c:pt idx="24">
                  <c:v>11.237000000000009</c:v>
                </c:pt>
                <c:pt idx="25">
                  <c:v>10.87700000000001</c:v>
                </c:pt>
                <c:pt idx="26">
                  <c:v>11.619000000000014</c:v>
                </c:pt>
                <c:pt idx="27">
                  <c:v>11.525000000000006</c:v>
                </c:pt>
                <c:pt idx="28">
                  <c:v>11.885000000000005</c:v>
                </c:pt>
                <c:pt idx="29">
                  <c:v>11.736000000000004</c:v>
                </c:pt>
                <c:pt idx="30">
                  <c:v>11.165000000000006</c:v>
                </c:pt>
                <c:pt idx="31">
                  <c:v>11.108000000000004</c:v>
                </c:pt>
                <c:pt idx="32">
                  <c:v>10.927000000000007</c:v>
                </c:pt>
                <c:pt idx="33">
                  <c:v>10.978999999999999</c:v>
                </c:pt>
                <c:pt idx="34">
                  <c:v>11.137999999999991</c:v>
                </c:pt>
                <c:pt idx="35">
                  <c:v>11.415999999999997</c:v>
                </c:pt>
                <c:pt idx="36">
                  <c:v>11.488</c:v>
                </c:pt>
                <c:pt idx="37">
                  <c:v>11.349000000000004</c:v>
                </c:pt>
                <c:pt idx="38">
                  <c:v>11.021999999999991</c:v>
                </c:pt>
                <c:pt idx="39">
                  <c:v>11.436999999999998</c:v>
                </c:pt>
                <c:pt idx="40">
                  <c:v>11.200000000000003</c:v>
                </c:pt>
                <c:pt idx="41">
                  <c:v>11.310000000000002</c:v>
                </c:pt>
                <c:pt idx="42">
                  <c:v>11.281999999999996</c:v>
                </c:pt>
                <c:pt idx="43">
                  <c:v>11.899000000000001</c:v>
                </c:pt>
                <c:pt idx="44">
                  <c:v>11.719999999999999</c:v>
                </c:pt>
                <c:pt idx="45">
                  <c:v>11.807999999999993</c:v>
                </c:pt>
                <c:pt idx="46">
                  <c:v>11.830999999999989</c:v>
                </c:pt>
                <c:pt idx="47">
                  <c:v>11.99199999999999</c:v>
                </c:pt>
                <c:pt idx="48">
                  <c:v>12.162000000000006</c:v>
                </c:pt>
                <c:pt idx="49">
                  <c:v>11.876999999999995</c:v>
                </c:pt>
                <c:pt idx="50">
                  <c:v>11.89</c:v>
                </c:pt>
                <c:pt idx="51">
                  <c:v>11.968999999999994</c:v>
                </c:pt>
                <c:pt idx="52">
                  <c:v>11.597000000000008</c:v>
                </c:pt>
                <c:pt idx="53">
                  <c:v>10.922999999999988</c:v>
                </c:pt>
                <c:pt idx="54">
                  <c:v>11.197000000000003</c:v>
                </c:pt>
                <c:pt idx="55">
                  <c:v>10.581999999999994</c:v>
                </c:pt>
                <c:pt idx="56">
                  <c:v>10.792999999999992</c:v>
                </c:pt>
                <c:pt idx="57">
                  <c:v>10.344999999999999</c:v>
                </c:pt>
                <c:pt idx="58">
                  <c:v>10.646000000000001</c:v>
                </c:pt>
                <c:pt idx="59">
                  <c:v>10.429999999999993</c:v>
                </c:pt>
                <c:pt idx="60">
                  <c:v>10.204999999999998</c:v>
                </c:pt>
                <c:pt idx="61">
                  <c:v>10.260000000000005</c:v>
                </c:pt>
                <c:pt idx="62">
                  <c:v>10.007000000000005</c:v>
                </c:pt>
                <c:pt idx="63">
                  <c:v>9.5750000000000028</c:v>
                </c:pt>
                <c:pt idx="64">
                  <c:v>10.114999999999995</c:v>
                </c:pt>
                <c:pt idx="65">
                  <c:v>10.194999999999993</c:v>
                </c:pt>
                <c:pt idx="66">
                  <c:v>9.9690000000000083</c:v>
                </c:pt>
                <c:pt idx="67">
                  <c:v>9.5450000000000017</c:v>
                </c:pt>
                <c:pt idx="68">
                  <c:v>7.5240000000000009</c:v>
                </c:pt>
                <c:pt idx="69">
                  <c:v>5.5</c:v>
                </c:pt>
                <c:pt idx="70">
                  <c:v>6.4900000000000091</c:v>
                </c:pt>
                <c:pt idx="71">
                  <c:v>7.3190000000000026</c:v>
                </c:pt>
                <c:pt idx="72">
                  <c:v>7.0889999999999986</c:v>
                </c:pt>
                <c:pt idx="73">
                  <c:v>6.1599999999999966</c:v>
                </c:pt>
                <c:pt idx="74">
                  <c:v>6.4949999999999903</c:v>
                </c:pt>
                <c:pt idx="75">
                  <c:v>6.4210000000000065</c:v>
                </c:pt>
                <c:pt idx="76">
                  <c:v>7.2040000000000077</c:v>
                </c:pt>
                <c:pt idx="77">
                  <c:v>7.480000000000004</c:v>
                </c:pt>
                <c:pt idx="78">
                  <c:v>7.8930000000000007</c:v>
                </c:pt>
                <c:pt idx="79">
                  <c:v>8.0319999999999965</c:v>
                </c:pt>
                <c:pt idx="80">
                  <c:v>9.0959999999999894</c:v>
                </c:pt>
                <c:pt idx="81">
                  <c:v>10.477000000000004</c:v>
                </c:pt>
                <c:pt idx="82">
                  <c:v>10.664000000000001</c:v>
                </c:pt>
                <c:pt idx="83">
                  <c:v>10.486000000000004</c:v>
                </c:pt>
                <c:pt idx="84">
                  <c:v>10.132000000000005</c:v>
                </c:pt>
                <c:pt idx="85">
                  <c:v>9.9150000000000063</c:v>
                </c:pt>
                <c:pt idx="86">
                  <c:v>9.7420000000000044</c:v>
                </c:pt>
                <c:pt idx="87">
                  <c:v>9.5559999999999974</c:v>
                </c:pt>
                <c:pt idx="88">
                  <c:v>9.8719999999999999</c:v>
                </c:pt>
                <c:pt idx="89">
                  <c:v>9.7169999999999987</c:v>
                </c:pt>
                <c:pt idx="90">
                  <c:v>9.3979999999999961</c:v>
                </c:pt>
                <c:pt idx="91">
                  <c:v>9.5589999999999975</c:v>
                </c:pt>
                <c:pt idx="92">
                  <c:v>9.5169999999999959</c:v>
                </c:pt>
                <c:pt idx="93">
                  <c:v>9.8239999999999981</c:v>
                </c:pt>
                <c:pt idx="94">
                  <c:v>10.330999999999989</c:v>
                </c:pt>
                <c:pt idx="95">
                  <c:v>11.460000000000008</c:v>
                </c:pt>
                <c:pt idx="96">
                  <c:v>11.483999999999995</c:v>
                </c:pt>
                <c:pt idx="97">
                  <c:v>10.762</c:v>
                </c:pt>
                <c:pt idx="98">
                  <c:v>10.799999999999997</c:v>
                </c:pt>
                <c:pt idx="99">
                  <c:v>11.285999999999987</c:v>
                </c:pt>
                <c:pt idx="100">
                  <c:v>9.5789999999999935</c:v>
                </c:pt>
                <c:pt idx="101">
                  <c:v>9.3389999999999986</c:v>
                </c:pt>
                <c:pt idx="102">
                  <c:v>9.1340000000000003</c:v>
                </c:pt>
                <c:pt idx="103">
                  <c:v>9.132000000000005</c:v>
                </c:pt>
                <c:pt idx="104">
                  <c:v>8.9050000000000011</c:v>
                </c:pt>
                <c:pt idx="105">
                  <c:v>8.1619999999999919</c:v>
                </c:pt>
                <c:pt idx="106">
                  <c:v>7.9279999999999973</c:v>
                </c:pt>
                <c:pt idx="107">
                  <c:v>7.666000000000011</c:v>
                </c:pt>
                <c:pt idx="108">
                  <c:v>7.0180000000000007</c:v>
                </c:pt>
                <c:pt idx="109">
                  <c:v>6.304000000000002</c:v>
                </c:pt>
                <c:pt idx="110">
                  <c:v>6.1380000000000052</c:v>
                </c:pt>
                <c:pt idx="111">
                  <c:v>6.5349999999999966</c:v>
                </c:pt>
                <c:pt idx="112">
                  <c:v>6.7039999999999935</c:v>
                </c:pt>
                <c:pt idx="113">
                  <c:v>6.4369999999999976</c:v>
                </c:pt>
                <c:pt idx="114">
                  <c:v>6.3249999999999886</c:v>
                </c:pt>
                <c:pt idx="115">
                  <c:v>5.9050000000000011</c:v>
                </c:pt>
                <c:pt idx="116">
                  <c:v>5.6670000000000016</c:v>
                </c:pt>
                <c:pt idx="117">
                  <c:v>5.5120000000000005</c:v>
                </c:pt>
                <c:pt idx="118">
                  <c:v>5.5529999999999973</c:v>
                </c:pt>
                <c:pt idx="119">
                  <c:v>5.0899999999999892</c:v>
                </c:pt>
                <c:pt idx="120">
                  <c:v>6.5720000000000027</c:v>
                </c:pt>
                <c:pt idx="121">
                  <c:v>6.1809999999999974</c:v>
                </c:pt>
                <c:pt idx="122">
                  <c:v>6.0849999999999937</c:v>
                </c:pt>
                <c:pt idx="123">
                  <c:v>5.7330000000000041</c:v>
                </c:pt>
                <c:pt idx="124">
                  <c:v>5.75</c:v>
                </c:pt>
                <c:pt idx="125">
                  <c:v>5.7650000000000006</c:v>
                </c:pt>
                <c:pt idx="126">
                  <c:v>5.6020000000000039</c:v>
                </c:pt>
                <c:pt idx="127">
                  <c:v>5.5139999999999958</c:v>
                </c:pt>
                <c:pt idx="128">
                  <c:v>5.3860000000000099</c:v>
                </c:pt>
                <c:pt idx="129">
                  <c:v>5.215999999999994</c:v>
                </c:pt>
                <c:pt idx="130">
                  <c:v>5.4690000000000083</c:v>
                </c:pt>
                <c:pt idx="131">
                  <c:v>5.3599999999999994</c:v>
                </c:pt>
                <c:pt idx="132">
                  <c:v>5.2550000000000097</c:v>
                </c:pt>
                <c:pt idx="133">
                  <c:v>5.2239999999999966</c:v>
                </c:pt>
                <c:pt idx="134">
                  <c:v>4.8249999999999957</c:v>
                </c:pt>
                <c:pt idx="135">
                  <c:v>4.4489999999999981</c:v>
                </c:pt>
                <c:pt idx="136">
                  <c:v>4.2320000000000064</c:v>
                </c:pt>
                <c:pt idx="137">
                  <c:v>4.1499999999999986</c:v>
                </c:pt>
                <c:pt idx="138">
                  <c:v>3.7950000000000017</c:v>
                </c:pt>
                <c:pt idx="139">
                  <c:v>3.9439999999999955</c:v>
                </c:pt>
                <c:pt idx="140">
                  <c:v>5.5919999999999916</c:v>
                </c:pt>
                <c:pt idx="141">
                  <c:v>4.2359999999999971</c:v>
                </c:pt>
                <c:pt idx="142">
                  <c:v>4.9369999999999976</c:v>
                </c:pt>
                <c:pt idx="143">
                  <c:v>4.8819999999999979</c:v>
                </c:pt>
                <c:pt idx="144">
                  <c:v>4.4969999999999999</c:v>
                </c:pt>
                <c:pt idx="145">
                  <c:v>4.6310000000000002</c:v>
                </c:pt>
                <c:pt idx="146">
                  <c:v>4.2220000000000013</c:v>
                </c:pt>
                <c:pt idx="147">
                  <c:v>3.9799999999999969</c:v>
                </c:pt>
                <c:pt idx="148">
                  <c:v>4.5820000000000007</c:v>
                </c:pt>
                <c:pt idx="149">
                  <c:v>3.9799999999999969</c:v>
                </c:pt>
                <c:pt idx="150">
                  <c:v>3.8290000000000006</c:v>
                </c:pt>
                <c:pt idx="151">
                  <c:v>3.9819999999999993</c:v>
                </c:pt>
                <c:pt idx="152">
                  <c:v>4.2269999999999968</c:v>
                </c:pt>
                <c:pt idx="153">
                  <c:v>3.5289999999999964</c:v>
                </c:pt>
                <c:pt idx="154">
                  <c:v>3.919000000000004</c:v>
                </c:pt>
                <c:pt idx="155">
                  <c:v>3.9159999999999968</c:v>
                </c:pt>
                <c:pt idx="156">
                  <c:v>3.7539999999999978</c:v>
                </c:pt>
                <c:pt idx="157">
                  <c:v>3.8780000000000001</c:v>
                </c:pt>
                <c:pt idx="158">
                  <c:v>3.4980000000000047</c:v>
                </c:pt>
                <c:pt idx="159">
                  <c:v>3.2040000000000006</c:v>
                </c:pt>
                <c:pt idx="160">
                  <c:v>2.9480000000000004</c:v>
                </c:pt>
                <c:pt idx="161">
                  <c:v>2.5600000000000023</c:v>
                </c:pt>
                <c:pt idx="162">
                  <c:v>2.5120000000000005</c:v>
                </c:pt>
                <c:pt idx="163">
                  <c:v>2.7929999999999993</c:v>
                </c:pt>
                <c:pt idx="164">
                  <c:v>2.7880000000000038</c:v>
                </c:pt>
                <c:pt idx="165">
                  <c:v>2.6389999999999958</c:v>
                </c:pt>
                <c:pt idx="166">
                  <c:v>2.6319999999999979</c:v>
                </c:pt>
                <c:pt idx="167">
                  <c:v>2.5689999999999955</c:v>
                </c:pt>
                <c:pt idx="168">
                  <c:v>2.5559999999999974</c:v>
                </c:pt>
                <c:pt idx="169">
                  <c:v>2.2650000000000006</c:v>
                </c:pt>
                <c:pt idx="170">
                  <c:v>2.1820000000000022</c:v>
                </c:pt>
                <c:pt idx="171">
                  <c:v>2.286999999999999</c:v>
                </c:pt>
                <c:pt idx="172">
                  <c:v>1.9430000000000014</c:v>
                </c:pt>
                <c:pt idx="173">
                  <c:v>2.0110000000000028</c:v>
                </c:pt>
                <c:pt idx="174">
                  <c:v>2.3230000000000004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5C-4B39-A964-6C8B97A2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data_ghg_excLUC!$I$3:$I$177</c:f>
              <c:numCache>
                <c:formatCode>0.0</c:formatCode>
                <c:ptCount val="175"/>
                <c:pt idx="0">
                  <c:v>55.006999999999998</c:v>
                </c:pt>
                <c:pt idx="1">
                  <c:v>55.031999999999996</c:v>
                </c:pt>
                <c:pt idx="2">
                  <c:v>55.557000000000002</c:v>
                </c:pt>
                <c:pt idx="3">
                  <c:v>56.268000000000001</c:v>
                </c:pt>
                <c:pt idx="4">
                  <c:v>58.789000000000001</c:v>
                </c:pt>
                <c:pt idx="5">
                  <c:v>58.920999999999999</c:v>
                </c:pt>
                <c:pt idx="6">
                  <c:v>59.863</c:v>
                </c:pt>
                <c:pt idx="7">
                  <c:v>59.915999999999997</c:v>
                </c:pt>
                <c:pt idx="8">
                  <c:v>59.878999999999998</c:v>
                </c:pt>
                <c:pt idx="9">
                  <c:v>60.895000000000003</c:v>
                </c:pt>
                <c:pt idx="10">
                  <c:v>62.326000000000001</c:v>
                </c:pt>
                <c:pt idx="11">
                  <c:v>62.97</c:v>
                </c:pt>
                <c:pt idx="12">
                  <c:v>62.966999999999999</c:v>
                </c:pt>
                <c:pt idx="13">
                  <c:v>63.665999999999997</c:v>
                </c:pt>
                <c:pt idx="14">
                  <c:v>64.664000000000001</c:v>
                </c:pt>
                <c:pt idx="15">
                  <c:v>65.406999999999996</c:v>
                </c:pt>
                <c:pt idx="16">
                  <c:v>65.641000000000005</c:v>
                </c:pt>
                <c:pt idx="17">
                  <c:v>66.492000000000004</c:v>
                </c:pt>
                <c:pt idx="18">
                  <c:v>66.667000000000002</c:v>
                </c:pt>
                <c:pt idx="19">
                  <c:v>67.436999999999998</c:v>
                </c:pt>
                <c:pt idx="20">
                  <c:v>67.429000000000002</c:v>
                </c:pt>
                <c:pt idx="21">
                  <c:v>67.879000000000005</c:v>
                </c:pt>
                <c:pt idx="22">
                  <c:v>69.328000000000003</c:v>
                </c:pt>
                <c:pt idx="23">
                  <c:v>70.091999999999999</c:v>
                </c:pt>
                <c:pt idx="24">
                  <c:v>68.477999999999994</c:v>
                </c:pt>
                <c:pt idx="25">
                  <c:v>69.724999999999994</c:v>
                </c:pt>
                <c:pt idx="26">
                  <c:v>69.063999999999993</c:v>
                </c:pt>
                <c:pt idx="27">
                  <c:v>69.323999999999998</c:v>
                </c:pt>
                <c:pt idx="28">
                  <c:v>68.790999999999997</c:v>
                </c:pt>
                <c:pt idx="29">
                  <c:v>69.649000000000001</c:v>
                </c:pt>
                <c:pt idx="30">
                  <c:v>71.466999999999999</c:v>
                </c:pt>
                <c:pt idx="31">
                  <c:v>71.813000000000002</c:v>
                </c:pt>
                <c:pt idx="32">
                  <c:v>72.463999999999999</c:v>
                </c:pt>
                <c:pt idx="33">
                  <c:v>72.944000000000003</c:v>
                </c:pt>
                <c:pt idx="34">
                  <c:v>72.760000000000005</c:v>
                </c:pt>
                <c:pt idx="35">
                  <c:v>72.456000000000003</c:v>
                </c:pt>
                <c:pt idx="36">
                  <c:v>72.448999999999998</c:v>
                </c:pt>
                <c:pt idx="37">
                  <c:v>72.95</c:v>
                </c:pt>
                <c:pt idx="38">
                  <c:v>74.176000000000002</c:v>
                </c:pt>
                <c:pt idx="39">
                  <c:v>73.569000000000003</c:v>
                </c:pt>
                <c:pt idx="40">
                  <c:v>74.600999999999999</c:v>
                </c:pt>
                <c:pt idx="41">
                  <c:v>74.798000000000002</c:v>
                </c:pt>
                <c:pt idx="42">
                  <c:v>74.725999999999999</c:v>
                </c:pt>
                <c:pt idx="43">
                  <c:v>73.745000000000005</c:v>
                </c:pt>
                <c:pt idx="44">
                  <c:v>74.111999999999995</c:v>
                </c:pt>
                <c:pt idx="45">
                  <c:v>74.376000000000005</c:v>
                </c:pt>
                <c:pt idx="46">
                  <c:v>74.492000000000004</c:v>
                </c:pt>
                <c:pt idx="47">
                  <c:v>74.62</c:v>
                </c:pt>
                <c:pt idx="48">
                  <c:v>74.716999999999999</c:v>
                </c:pt>
                <c:pt idx="49">
                  <c:v>75.697000000000003</c:v>
                </c:pt>
                <c:pt idx="50">
                  <c:v>76.135999999999996</c:v>
                </c:pt>
                <c:pt idx="51">
                  <c:v>76.043000000000006</c:v>
                </c:pt>
                <c:pt idx="52">
                  <c:v>76.459999999999994</c:v>
                </c:pt>
                <c:pt idx="53">
                  <c:v>77.671000000000006</c:v>
                </c:pt>
                <c:pt idx="54">
                  <c:v>77.239000000000004</c:v>
                </c:pt>
                <c:pt idx="55">
                  <c:v>78.236000000000004</c:v>
                </c:pt>
                <c:pt idx="56">
                  <c:v>77.998000000000005</c:v>
                </c:pt>
                <c:pt idx="57">
                  <c:v>78.765000000000001</c:v>
                </c:pt>
                <c:pt idx="58">
                  <c:v>77.468999999999994</c:v>
                </c:pt>
                <c:pt idx="59">
                  <c:v>77.787999999999997</c:v>
                </c:pt>
                <c:pt idx="60">
                  <c:v>78.533000000000001</c:v>
                </c:pt>
                <c:pt idx="61">
                  <c:v>78.177999999999997</c:v>
                </c:pt>
                <c:pt idx="62">
                  <c:v>78.325999999999993</c:v>
                </c:pt>
                <c:pt idx="63">
                  <c:v>78.756</c:v>
                </c:pt>
                <c:pt idx="64">
                  <c:v>77.959000000000003</c:v>
                </c:pt>
                <c:pt idx="65">
                  <c:v>77.932000000000002</c:v>
                </c:pt>
                <c:pt idx="66">
                  <c:v>78.381</c:v>
                </c:pt>
                <c:pt idx="67">
                  <c:v>78.850999999999999</c:v>
                </c:pt>
                <c:pt idx="68">
                  <c:v>80.489999999999995</c:v>
                </c:pt>
                <c:pt idx="69">
                  <c:v>80.290000000000006</c:v>
                </c:pt>
                <c:pt idx="70">
                  <c:v>80.070999999999998</c:v>
                </c:pt>
                <c:pt idx="71">
                  <c:v>77.108000000000004</c:v>
                </c:pt>
                <c:pt idx="72">
                  <c:v>77.855000000000004</c:v>
                </c:pt>
                <c:pt idx="73">
                  <c:v>79.986000000000004</c:v>
                </c:pt>
                <c:pt idx="74">
                  <c:v>79.287000000000006</c:v>
                </c:pt>
                <c:pt idx="75">
                  <c:v>79.463999999999999</c:v>
                </c:pt>
                <c:pt idx="76">
                  <c:v>78.47</c:v>
                </c:pt>
                <c:pt idx="77">
                  <c:v>79.057000000000002</c:v>
                </c:pt>
                <c:pt idx="78">
                  <c:v>78.337000000000003</c:v>
                </c:pt>
                <c:pt idx="79">
                  <c:v>78.688000000000002</c:v>
                </c:pt>
                <c:pt idx="80">
                  <c:v>76.632000000000005</c:v>
                </c:pt>
                <c:pt idx="81">
                  <c:v>73.844999999999999</c:v>
                </c:pt>
                <c:pt idx="82">
                  <c:v>71.165000000000006</c:v>
                </c:pt>
                <c:pt idx="83">
                  <c:v>71.263999999999996</c:v>
                </c:pt>
                <c:pt idx="84">
                  <c:v>70.872</c:v>
                </c:pt>
                <c:pt idx="85">
                  <c:v>70.254999999999995</c:v>
                </c:pt>
                <c:pt idx="86">
                  <c:v>70.816000000000003</c:v>
                </c:pt>
                <c:pt idx="87">
                  <c:v>71.298000000000002</c:v>
                </c:pt>
                <c:pt idx="88">
                  <c:v>68.956000000000003</c:v>
                </c:pt>
                <c:pt idx="89">
                  <c:v>69.67</c:v>
                </c:pt>
                <c:pt idx="90">
                  <c:v>67.683999999999997</c:v>
                </c:pt>
                <c:pt idx="91">
                  <c:v>69.165999999999997</c:v>
                </c:pt>
                <c:pt idx="92">
                  <c:v>71.980999999999995</c:v>
                </c:pt>
                <c:pt idx="93">
                  <c:v>71.8</c:v>
                </c:pt>
                <c:pt idx="94">
                  <c:v>70.545000000000002</c:v>
                </c:pt>
                <c:pt idx="95">
                  <c:v>69.518000000000001</c:v>
                </c:pt>
                <c:pt idx="96">
                  <c:v>68.531999999999996</c:v>
                </c:pt>
                <c:pt idx="97">
                  <c:v>69.352999999999994</c:v>
                </c:pt>
                <c:pt idx="98">
                  <c:v>70.197000000000003</c:v>
                </c:pt>
                <c:pt idx="99">
                  <c:v>67.515000000000001</c:v>
                </c:pt>
                <c:pt idx="100">
                  <c:v>68.331999999999994</c:v>
                </c:pt>
                <c:pt idx="101">
                  <c:v>68.197999999999993</c:v>
                </c:pt>
                <c:pt idx="102">
                  <c:v>66.701999999999998</c:v>
                </c:pt>
                <c:pt idx="103">
                  <c:v>66.260999999999996</c:v>
                </c:pt>
                <c:pt idx="104">
                  <c:v>64.602999999999994</c:v>
                </c:pt>
                <c:pt idx="105">
                  <c:v>63.933999999999997</c:v>
                </c:pt>
                <c:pt idx="106">
                  <c:v>63.597999999999999</c:v>
                </c:pt>
                <c:pt idx="107">
                  <c:v>61.987000000000002</c:v>
                </c:pt>
                <c:pt idx="108">
                  <c:v>58.98</c:v>
                </c:pt>
                <c:pt idx="109">
                  <c:v>57.033000000000001</c:v>
                </c:pt>
                <c:pt idx="110">
                  <c:v>56.984999999999999</c:v>
                </c:pt>
                <c:pt idx="111">
                  <c:v>58.033999999999999</c:v>
                </c:pt>
                <c:pt idx="112">
                  <c:v>58.814999999999998</c:v>
                </c:pt>
                <c:pt idx="113">
                  <c:v>58.761000000000003</c:v>
                </c:pt>
                <c:pt idx="114">
                  <c:v>58.718000000000004</c:v>
                </c:pt>
                <c:pt idx="115">
                  <c:v>58.143000000000001</c:v>
                </c:pt>
                <c:pt idx="116">
                  <c:v>57.597000000000001</c:v>
                </c:pt>
                <c:pt idx="117">
                  <c:v>58.081000000000003</c:v>
                </c:pt>
                <c:pt idx="118">
                  <c:v>58.238999999999997</c:v>
                </c:pt>
                <c:pt idx="119">
                  <c:v>57.874000000000002</c:v>
                </c:pt>
                <c:pt idx="120">
                  <c:v>57.128</c:v>
                </c:pt>
                <c:pt idx="121">
                  <c:v>56.014000000000003</c:v>
                </c:pt>
                <c:pt idx="122">
                  <c:v>55.813000000000002</c:v>
                </c:pt>
                <c:pt idx="123">
                  <c:v>55.390999999999998</c:v>
                </c:pt>
                <c:pt idx="124">
                  <c:v>54.125</c:v>
                </c:pt>
                <c:pt idx="125">
                  <c:v>52.082000000000001</c:v>
                </c:pt>
                <c:pt idx="126">
                  <c:v>52.015000000000001</c:v>
                </c:pt>
                <c:pt idx="127">
                  <c:v>51.165999999999997</c:v>
                </c:pt>
                <c:pt idx="128">
                  <c:v>50.512</c:v>
                </c:pt>
                <c:pt idx="129">
                  <c:v>50.359000000000002</c:v>
                </c:pt>
                <c:pt idx="130">
                  <c:v>49.39</c:v>
                </c:pt>
                <c:pt idx="131">
                  <c:v>49.005000000000003</c:v>
                </c:pt>
                <c:pt idx="132">
                  <c:v>47.33</c:v>
                </c:pt>
                <c:pt idx="133">
                  <c:v>46.607999999999997</c:v>
                </c:pt>
                <c:pt idx="134">
                  <c:v>46.259</c:v>
                </c:pt>
                <c:pt idx="135">
                  <c:v>45.136000000000003</c:v>
                </c:pt>
                <c:pt idx="136">
                  <c:v>44.347999999999999</c:v>
                </c:pt>
                <c:pt idx="137">
                  <c:v>44.25</c:v>
                </c:pt>
                <c:pt idx="138">
                  <c:v>43.893000000000001</c:v>
                </c:pt>
                <c:pt idx="139">
                  <c:v>44.09</c:v>
                </c:pt>
                <c:pt idx="140">
                  <c:v>44.924999999999997</c:v>
                </c:pt>
                <c:pt idx="141">
                  <c:v>44.143999999999998</c:v>
                </c:pt>
                <c:pt idx="142">
                  <c:v>45.488999999999997</c:v>
                </c:pt>
                <c:pt idx="143">
                  <c:v>45.213000000000001</c:v>
                </c:pt>
                <c:pt idx="144">
                  <c:v>45.377000000000002</c:v>
                </c:pt>
                <c:pt idx="145">
                  <c:v>44.845999999999997</c:v>
                </c:pt>
                <c:pt idx="146">
                  <c:v>44.652999999999999</c:v>
                </c:pt>
                <c:pt idx="147">
                  <c:v>44.482999999999997</c:v>
                </c:pt>
                <c:pt idx="148">
                  <c:v>44.954000000000001</c:v>
                </c:pt>
                <c:pt idx="149">
                  <c:v>44.466000000000001</c:v>
                </c:pt>
                <c:pt idx="150">
                  <c:v>44.267000000000003</c:v>
                </c:pt>
                <c:pt idx="151">
                  <c:v>43.655000000000001</c:v>
                </c:pt>
                <c:pt idx="152">
                  <c:v>43.134999999999998</c:v>
                </c:pt>
                <c:pt idx="153">
                  <c:v>41.487000000000002</c:v>
                </c:pt>
                <c:pt idx="154">
                  <c:v>40.540999999999997</c:v>
                </c:pt>
                <c:pt idx="155">
                  <c:v>39.271999999999998</c:v>
                </c:pt>
                <c:pt idx="156">
                  <c:v>37.787999999999997</c:v>
                </c:pt>
                <c:pt idx="157">
                  <c:v>37.054000000000002</c:v>
                </c:pt>
                <c:pt idx="158">
                  <c:v>35.448</c:v>
                </c:pt>
                <c:pt idx="159">
                  <c:v>33.557000000000002</c:v>
                </c:pt>
                <c:pt idx="160">
                  <c:v>32.725999999999999</c:v>
                </c:pt>
                <c:pt idx="161">
                  <c:v>31.027000000000001</c:v>
                </c:pt>
                <c:pt idx="162">
                  <c:v>30.068000000000001</c:v>
                </c:pt>
                <c:pt idx="163">
                  <c:v>30.062000000000001</c:v>
                </c:pt>
                <c:pt idx="164">
                  <c:v>29.489000000000001</c:v>
                </c:pt>
                <c:pt idx="165">
                  <c:v>29.116</c:v>
                </c:pt>
                <c:pt idx="166">
                  <c:v>28.576000000000001</c:v>
                </c:pt>
                <c:pt idx="167">
                  <c:v>27.995000000000001</c:v>
                </c:pt>
                <c:pt idx="168">
                  <c:v>27.606999999999999</c:v>
                </c:pt>
                <c:pt idx="169">
                  <c:v>26.681999999999999</c:v>
                </c:pt>
                <c:pt idx="170">
                  <c:v>25.23</c:v>
                </c:pt>
                <c:pt idx="171">
                  <c:v>25.391999999999999</c:v>
                </c:pt>
                <c:pt idx="172">
                  <c:v>24.818000000000001</c:v>
                </c:pt>
                <c:pt idx="173">
                  <c:v>23.654</c:v>
                </c:pt>
                <c:pt idx="174">
                  <c:v>23.206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5C-4B39-A964-6C8B97A210D4}"/>
            </c:ext>
          </c:extLst>
        </c:ser>
        <c:ser>
          <c:idx val="6"/>
          <c:order val="6"/>
          <c:tx>
            <c:strRef>
              <c:f>data_ghg_excLUC!$J$2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data_ghg_excLUC!$J$3:$J$177</c:f>
              <c:numCache>
                <c:formatCode>0.0</c:formatCode>
                <c:ptCount val="175"/>
                <c:pt idx="0">
                  <c:v>38.923999999999999</c:v>
                </c:pt>
                <c:pt idx="1">
                  <c:v>39.033000000000001</c:v>
                </c:pt>
                <c:pt idx="2">
                  <c:v>39.44</c:v>
                </c:pt>
                <c:pt idx="3">
                  <c:v>39.939</c:v>
                </c:pt>
                <c:pt idx="4">
                  <c:v>41.607999999999997</c:v>
                </c:pt>
                <c:pt idx="5">
                  <c:v>41.802999999999997</c:v>
                </c:pt>
                <c:pt idx="6">
                  <c:v>42.521000000000001</c:v>
                </c:pt>
                <c:pt idx="7">
                  <c:v>42.636000000000003</c:v>
                </c:pt>
                <c:pt idx="8">
                  <c:v>42.725999999999999</c:v>
                </c:pt>
                <c:pt idx="9">
                  <c:v>43.427999999999997</c:v>
                </c:pt>
                <c:pt idx="10">
                  <c:v>44.500999999999998</c:v>
                </c:pt>
                <c:pt idx="11">
                  <c:v>45.063000000000002</c:v>
                </c:pt>
                <c:pt idx="12">
                  <c:v>45.155999999999999</c:v>
                </c:pt>
                <c:pt idx="13">
                  <c:v>45.792999999999999</c:v>
                </c:pt>
                <c:pt idx="14">
                  <c:v>46.652999999999999</c:v>
                </c:pt>
                <c:pt idx="15">
                  <c:v>47.335999999999999</c:v>
                </c:pt>
                <c:pt idx="16">
                  <c:v>47.64</c:v>
                </c:pt>
                <c:pt idx="17">
                  <c:v>48.424999999999997</c:v>
                </c:pt>
                <c:pt idx="18">
                  <c:v>48.673000000000002</c:v>
                </c:pt>
                <c:pt idx="19">
                  <c:v>49.384999999999998</c:v>
                </c:pt>
                <c:pt idx="20">
                  <c:v>49.515999999999998</c:v>
                </c:pt>
                <c:pt idx="21">
                  <c:v>50.082999999999998</c:v>
                </c:pt>
                <c:pt idx="22">
                  <c:v>51.488</c:v>
                </c:pt>
                <c:pt idx="23">
                  <c:v>52.276000000000003</c:v>
                </c:pt>
                <c:pt idx="24">
                  <c:v>50.966000000000001</c:v>
                </c:pt>
                <c:pt idx="25">
                  <c:v>52.143000000000001</c:v>
                </c:pt>
                <c:pt idx="26">
                  <c:v>51.835000000000001</c:v>
                </c:pt>
                <c:pt idx="27">
                  <c:v>52.078000000000003</c:v>
                </c:pt>
                <c:pt idx="28">
                  <c:v>51.831000000000003</c:v>
                </c:pt>
                <c:pt idx="29">
                  <c:v>52.72</c:v>
                </c:pt>
                <c:pt idx="30">
                  <c:v>54.576000000000001</c:v>
                </c:pt>
                <c:pt idx="31">
                  <c:v>54.878</c:v>
                </c:pt>
                <c:pt idx="32">
                  <c:v>55.573</c:v>
                </c:pt>
                <c:pt idx="33">
                  <c:v>56.216000000000001</c:v>
                </c:pt>
                <c:pt idx="34">
                  <c:v>56.124000000000002</c:v>
                </c:pt>
                <c:pt idx="35">
                  <c:v>55.939</c:v>
                </c:pt>
                <c:pt idx="36">
                  <c:v>55.945999999999998</c:v>
                </c:pt>
                <c:pt idx="37">
                  <c:v>56.503</c:v>
                </c:pt>
                <c:pt idx="38">
                  <c:v>57.944000000000003</c:v>
                </c:pt>
                <c:pt idx="39">
                  <c:v>57.524999999999999</c:v>
                </c:pt>
                <c:pt idx="40">
                  <c:v>58.664999999999999</c:v>
                </c:pt>
                <c:pt idx="41">
                  <c:v>59.109000000000002</c:v>
                </c:pt>
                <c:pt idx="42">
                  <c:v>59.076999999999998</c:v>
                </c:pt>
                <c:pt idx="43">
                  <c:v>58.326999999999998</c:v>
                </c:pt>
                <c:pt idx="44">
                  <c:v>58.805999999999997</c:v>
                </c:pt>
                <c:pt idx="45">
                  <c:v>59.335999999999999</c:v>
                </c:pt>
                <c:pt idx="46">
                  <c:v>59.598999999999997</c:v>
                </c:pt>
                <c:pt idx="47">
                  <c:v>59.981999999999999</c:v>
                </c:pt>
                <c:pt idx="48">
                  <c:v>60.396000000000001</c:v>
                </c:pt>
                <c:pt idx="49">
                  <c:v>61.673000000000002</c:v>
                </c:pt>
                <c:pt idx="50">
                  <c:v>62.344000000000001</c:v>
                </c:pt>
                <c:pt idx="51">
                  <c:v>62.383000000000003</c:v>
                </c:pt>
                <c:pt idx="52">
                  <c:v>62.774999999999999</c:v>
                </c:pt>
                <c:pt idx="53">
                  <c:v>64.194000000000003</c:v>
                </c:pt>
                <c:pt idx="54">
                  <c:v>63.890999999999998</c:v>
                </c:pt>
                <c:pt idx="55">
                  <c:v>65.021000000000001</c:v>
                </c:pt>
                <c:pt idx="56">
                  <c:v>64.94</c:v>
                </c:pt>
                <c:pt idx="57">
                  <c:v>66.730999999999995</c:v>
                </c:pt>
                <c:pt idx="58">
                  <c:v>65.400999999999996</c:v>
                </c:pt>
                <c:pt idx="59">
                  <c:v>65.894000000000005</c:v>
                </c:pt>
                <c:pt idx="60">
                  <c:v>66.753</c:v>
                </c:pt>
                <c:pt idx="61">
                  <c:v>66.441999999999993</c:v>
                </c:pt>
                <c:pt idx="62">
                  <c:v>66.98</c:v>
                </c:pt>
                <c:pt idx="63">
                  <c:v>67.855000000000004</c:v>
                </c:pt>
                <c:pt idx="64">
                  <c:v>66.399000000000001</c:v>
                </c:pt>
                <c:pt idx="65">
                  <c:v>66.102000000000004</c:v>
                </c:pt>
                <c:pt idx="66">
                  <c:v>66.903000000000006</c:v>
                </c:pt>
                <c:pt idx="67">
                  <c:v>67.396000000000001</c:v>
                </c:pt>
                <c:pt idx="68">
                  <c:v>68.468999999999994</c:v>
                </c:pt>
                <c:pt idx="69">
                  <c:v>67.11</c:v>
                </c:pt>
                <c:pt idx="70">
                  <c:v>68.105999999999995</c:v>
                </c:pt>
                <c:pt idx="71">
                  <c:v>64.775999999999996</c:v>
                </c:pt>
                <c:pt idx="72">
                  <c:v>65.602000000000004</c:v>
                </c:pt>
                <c:pt idx="73">
                  <c:v>67.992999999999995</c:v>
                </c:pt>
                <c:pt idx="74">
                  <c:v>67.388000000000005</c:v>
                </c:pt>
                <c:pt idx="75">
                  <c:v>67.528000000000006</c:v>
                </c:pt>
                <c:pt idx="76">
                  <c:v>66.42</c:v>
                </c:pt>
                <c:pt idx="77">
                  <c:v>67.424000000000007</c:v>
                </c:pt>
                <c:pt idx="78">
                  <c:v>66.563000000000002</c:v>
                </c:pt>
                <c:pt idx="79">
                  <c:v>67.207999999999998</c:v>
                </c:pt>
                <c:pt idx="80">
                  <c:v>64.893000000000001</c:v>
                </c:pt>
                <c:pt idx="81">
                  <c:v>62.015999999999998</c:v>
                </c:pt>
                <c:pt idx="82">
                  <c:v>59.347999999999999</c:v>
                </c:pt>
                <c:pt idx="83">
                  <c:v>59.679000000000002</c:v>
                </c:pt>
                <c:pt idx="84">
                  <c:v>59.863</c:v>
                </c:pt>
                <c:pt idx="85">
                  <c:v>59.616</c:v>
                </c:pt>
                <c:pt idx="86">
                  <c:v>60.491999999999997</c:v>
                </c:pt>
                <c:pt idx="87">
                  <c:v>61.17</c:v>
                </c:pt>
                <c:pt idx="88">
                  <c:v>58.863999999999997</c:v>
                </c:pt>
                <c:pt idx="89">
                  <c:v>59.67</c:v>
                </c:pt>
                <c:pt idx="90">
                  <c:v>58.59</c:v>
                </c:pt>
                <c:pt idx="91">
                  <c:v>59.625999999999998</c:v>
                </c:pt>
                <c:pt idx="92">
                  <c:v>61.374000000000002</c:v>
                </c:pt>
                <c:pt idx="93">
                  <c:v>60.496000000000002</c:v>
                </c:pt>
                <c:pt idx="94">
                  <c:v>60.109000000000002</c:v>
                </c:pt>
                <c:pt idx="95">
                  <c:v>57.718000000000004</c:v>
                </c:pt>
                <c:pt idx="96">
                  <c:v>57.207000000000001</c:v>
                </c:pt>
                <c:pt idx="97">
                  <c:v>58.75</c:v>
                </c:pt>
                <c:pt idx="98">
                  <c:v>59.598999999999997</c:v>
                </c:pt>
                <c:pt idx="99">
                  <c:v>57.066000000000003</c:v>
                </c:pt>
                <c:pt idx="100">
                  <c:v>59.167999999999999</c:v>
                </c:pt>
                <c:pt idx="101">
                  <c:v>59.296999999999997</c:v>
                </c:pt>
                <c:pt idx="102">
                  <c:v>58.158000000000001</c:v>
                </c:pt>
                <c:pt idx="103">
                  <c:v>57.826000000000001</c:v>
                </c:pt>
                <c:pt idx="104">
                  <c:v>56.585999999999999</c:v>
                </c:pt>
                <c:pt idx="105">
                  <c:v>56.552</c:v>
                </c:pt>
                <c:pt idx="106">
                  <c:v>56.475000000000001</c:v>
                </c:pt>
                <c:pt idx="107">
                  <c:v>55.268000000000001</c:v>
                </c:pt>
                <c:pt idx="108">
                  <c:v>52.96</c:v>
                </c:pt>
                <c:pt idx="109">
                  <c:v>51.646999999999998</c:v>
                </c:pt>
                <c:pt idx="110">
                  <c:v>51.661000000000001</c:v>
                </c:pt>
                <c:pt idx="111">
                  <c:v>52.439</c:v>
                </c:pt>
                <c:pt idx="112">
                  <c:v>53.097000000000001</c:v>
                </c:pt>
                <c:pt idx="113">
                  <c:v>53.329000000000001</c:v>
                </c:pt>
                <c:pt idx="114">
                  <c:v>53.4</c:v>
                </c:pt>
                <c:pt idx="115">
                  <c:v>53.146000000000001</c:v>
                </c:pt>
                <c:pt idx="116">
                  <c:v>52.642000000000003</c:v>
                </c:pt>
                <c:pt idx="117">
                  <c:v>53.192999999999998</c:v>
                </c:pt>
                <c:pt idx="118">
                  <c:v>53.27</c:v>
                </c:pt>
                <c:pt idx="119">
                  <c:v>53.241</c:v>
                </c:pt>
                <c:pt idx="120">
                  <c:v>52.622999999999998</c:v>
                </c:pt>
                <c:pt idx="121">
                  <c:v>52.03</c:v>
                </c:pt>
                <c:pt idx="122">
                  <c:v>52.030999999999999</c:v>
                </c:pt>
                <c:pt idx="123">
                  <c:v>51.88</c:v>
                </c:pt>
                <c:pt idx="124">
                  <c:v>50.929000000000002</c:v>
                </c:pt>
                <c:pt idx="125">
                  <c:v>48.972999999999999</c:v>
                </c:pt>
                <c:pt idx="126">
                  <c:v>49.165999999999997</c:v>
                </c:pt>
                <c:pt idx="127">
                  <c:v>48.393999999999998</c:v>
                </c:pt>
                <c:pt idx="128">
                  <c:v>47.917999999999999</c:v>
                </c:pt>
                <c:pt idx="129">
                  <c:v>47.777999999999999</c:v>
                </c:pt>
                <c:pt idx="130">
                  <c:v>46.753999999999998</c:v>
                </c:pt>
                <c:pt idx="131">
                  <c:v>46.274000000000001</c:v>
                </c:pt>
                <c:pt idx="132">
                  <c:v>44.683999999999997</c:v>
                </c:pt>
                <c:pt idx="133">
                  <c:v>44.058</c:v>
                </c:pt>
                <c:pt idx="134">
                  <c:v>43.914999999999999</c:v>
                </c:pt>
                <c:pt idx="135">
                  <c:v>43.01</c:v>
                </c:pt>
                <c:pt idx="136">
                  <c:v>42.292999999999999</c:v>
                </c:pt>
                <c:pt idx="137">
                  <c:v>42.103999999999999</c:v>
                </c:pt>
                <c:pt idx="138">
                  <c:v>41.981999999999999</c:v>
                </c:pt>
                <c:pt idx="139">
                  <c:v>42.003999999999998</c:v>
                </c:pt>
                <c:pt idx="140">
                  <c:v>42.277000000000001</c:v>
                </c:pt>
                <c:pt idx="141">
                  <c:v>41.892000000000003</c:v>
                </c:pt>
                <c:pt idx="142">
                  <c:v>42.863</c:v>
                </c:pt>
                <c:pt idx="143">
                  <c:v>42.774999999999999</c:v>
                </c:pt>
                <c:pt idx="144">
                  <c:v>43.106999999999999</c:v>
                </c:pt>
                <c:pt idx="145">
                  <c:v>42.654000000000003</c:v>
                </c:pt>
                <c:pt idx="146">
                  <c:v>42.491</c:v>
                </c:pt>
                <c:pt idx="147">
                  <c:v>42.256999999999998</c:v>
                </c:pt>
                <c:pt idx="148">
                  <c:v>42.438000000000002</c:v>
                </c:pt>
                <c:pt idx="149">
                  <c:v>41.798999999999999</c:v>
                </c:pt>
                <c:pt idx="150">
                  <c:v>41.646999999999998</c:v>
                </c:pt>
                <c:pt idx="151">
                  <c:v>41.009</c:v>
                </c:pt>
                <c:pt idx="152">
                  <c:v>40.381</c:v>
                </c:pt>
                <c:pt idx="153">
                  <c:v>38.987000000000002</c:v>
                </c:pt>
                <c:pt idx="154">
                  <c:v>37.979999999999997</c:v>
                </c:pt>
                <c:pt idx="155">
                  <c:v>36.747999999999998</c:v>
                </c:pt>
                <c:pt idx="156">
                  <c:v>35.564</c:v>
                </c:pt>
                <c:pt idx="157">
                  <c:v>35.005000000000003</c:v>
                </c:pt>
                <c:pt idx="158">
                  <c:v>33.692</c:v>
                </c:pt>
                <c:pt idx="159">
                  <c:v>32.036000000000001</c:v>
                </c:pt>
                <c:pt idx="160">
                  <c:v>31.527000000000001</c:v>
                </c:pt>
                <c:pt idx="161">
                  <c:v>29.984000000000002</c:v>
                </c:pt>
                <c:pt idx="162">
                  <c:v>29.100999999999999</c:v>
                </c:pt>
                <c:pt idx="163">
                  <c:v>29.097000000000001</c:v>
                </c:pt>
                <c:pt idx="164">
                  <c:v>28.47</c:v>
                </c:pt>
                <c:pt idx="165">
                  <c:v>27.936</c:v>
                </c:pt>
                <c:pt idx="166">
                  <c:v>27.297999999999998</c:v>
                </c:pt>
                <c:pt idx="167">
                  <c:v>26.683</c:v>
                </c:pt>
                <c:pt idx="168">
                  <c:v>26.437000000000001</c:v>
                </c:pt>
                <c:pt idx="169">
                  <c:v>25.693000000000001</c:v>
                </c:pt>
                <c:pt idx="170">
                  <c:v>24.324000000000002</c:v>
                </c:pt>
                <c:pt idx="171">
                  <c:v>24.364000000000001</c:v>
                </c:pt>
                <c:pt idx="172">
                  <c:v>24.015999999999998</c:v>
                </c:pt>
                <c:pt idx="173">
                  <c:v>22.922000000000001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5C-4B39-A964-6C8B97A210D4}"/>
            </c:ext>
          </c:extLst>
        </c:ser>
        <c:ser>
          <c:idx val="7"/>
          <c:order val="7"/>
          <c:tx>
            <c:strRef>
              <c:f>data_ghg_excLUC!$K$2</c:f>
              <c:strCache>
                <c:ptCount val="1"/>
                <c:pt idx="0">
                  <c:v>pct_annex2_EDGAR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data_ghg_excLUC!$K$3:$K$177</c:f>
              <c:numCache>
                <c:formatCode>0.0</c:formatCode>
                <c:ptCount val="175"/>
                <c:pt idx="120">
                  <c:v>52.628</c:v>
                </c:pt>
                <c:pt idx="121">
                  <c:v>52.018999999999998</c:v>
                </c:pt>
                <c:pt idx="122">
                  <c:v>51.935000000000002</c:v>
                </c:pt>
                <c:pt idx="123">
                  <c:v>51.694000000000003</c:v>
                </c:pt>
                <c:pt idx="124">
                  <c:v>50.515000000000001</c:v>
                </c:pt>
                <c:pt idx="125">
                  <c:v>48.625999999999998</c:v>
                </c:pt>
                <c:pt idx="126">
                  <c:v>48.767000000000003</c:v>
                </c:pt>
                <c:pt idx="127">
                  <c:v>48.14</c:v>
                </c:pt>
                <c:pt idx="128">
                  <c:v>47.165999999999997</c:v>
                </c:pt>
                <c:pt idx="129">
                  <c:v>47.003</c:v>
                </c:pt>
                <c:pt idx="130">
                  <c:v>46.006999999999998</c:v>
                </c:pt>
                <c:pt idx="131">
                  <c:v>45.749000000000002</c:v>
                </c:pt>
                <c:pt idx="132">
                  <c:v>44.326000000000001</c:v>
                </c:pt>
                <c:pt idx="133">
                  <c:v>43.649000000000001</c:v>
                </c:pt>
                <c:pt idx="134">
                  <c:v>43.573</c:v>
                </c:pt>
                <c:pt idx="135">
                  <c:v>43.276000000000003</c:v>
                </c:pt>
                <c:pt idx="136">
                  <c:v>42.463000000000001</c:v>
                </c:pt>
                <c:pt idx="137">
                  <c:v>42.069000000000003</c:v>
                </c:pt>
                <c:pt idx="138">
                  <c:v>41.927999999999997</c:v>
                </c:pt>
                <c:pt idx="139">
                  <c:v>41.69</c:v>
                </c:pt>
                <c:pt idx="140">
                  <c:v>41.095999999999997</c:v>
                </c:pt>
                <c:pt idx="141">
                  <c:v>41.03</c:v>
                </c:pt>
                <c:pt idx="142">
                  <c:v>41.213999999999999</c:v>
                </c:pt>
                <c:pt idx="143">
                  <c:v>41.277999999999999</c:v>
                </c:pt>
                <c:pt idx="144">
                  <c:v>41.512999999999998</c:v>
                </c:pt>
                <c:pt idx="145">
                  <c:v>40.991999999999997</c:v>
                </c:pt>
                <c:pt idx="146">
                  <c:v>41.19</c:v>
                </c:pt>
                <c:pt idx="147">
                  <c:v>41.387</c:v>
                </c:pt>
                <c:pt idx="148">
                  <c:v>41.399000000000001</c:v>
                </c:pt>
                <c:pt idx="149">
                  <c:v>41.216000000000001</c:v>
                </c:pt>
                <c:pt idx="150">
                  <c:v>40.835000000000001</c:v>
                </c:pt>
                <c:pt idx="151">
                  <c:v>40.304000000000002</c:v>
                </c:pt>
                <c:pt idx="152">
                  <c:v>39.488</c:v>
                </c:pt>
                <c:pt idx="153">
                  <c:v>38.31</c:v>
                </c:pt>
                <c:pt idx="154">
                  <c:v>37.116999999999997</c:v>
                </c:pt>
                <c:pt idx="155">
                  <c:v>35.947000000000003</c:v>
                </c:pt>
                <c:pt idx="156">
                  <c:v>34.549999999999997</c:v>
                </c:pt>
                <c:pt idx="157">
                  <c:v>33.789000000000001</c:v>
                </c:pt>
                <c:pt idx="158">
                  <c:v>32.643999999999998</c:v>
                </c:pt>
                <c:pt idx="159">
                  <c:v>30.974</c:v>
                </c:pt>
                <c:pt idx="160">
                  <c:v>30.483000000000001</c:v>
                </c:pt>
                <c:pt idx="161">
                  <c:v>28.942</c:v>
                </c:pt>
                <c:pt idx="162">
                  <c:v>28.073</c:v>
                </c:pt>
                <c:pt idx="163">
                  <c:v>27.788</c:v>
                </c:pt>
                <c:pt idx="164">
                  <c:v>27.225999999999999</c:v>
                </c:pt>
                <c:pt idx="165">
                  <c:v>27.009</c:v>
                </c:pt>
                <c:pt idx="166">
                  <c:v>26.564</c:v>
                </c:pt>
                <c:pt idx="167">
                  <c:v>26.036000000000001</c:v>
                </c:pt>
                <c:pt idx="168">
                  <c:v>25.611000000000001</c:v>
                </c:pt>
                <c:pt idx="169">
                  <c:v>24.867999999999999</c:v>
                </c:pt>
                <c:pt idx="170">
                  <c:v>23.545000000000002</c:v>
                </c:pt>
                <c:pt idx="171">
                  <c:v>23.468</c:v>
                </c:pt>
                <c:pt idx="172">
                  <c:v>23.234000000000002</c:v>
                </c:pt>
                <c:pt idx="173">
                  <c:v>22.091999999999999</c:v>
                </c:pt>
                <c:pt idx="174">
                  <c:v>21.73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5C-4B39-A964-6C8B97A210D4}"/>
            </c:ext>
          </c:extLst>
        </c:ser>
        <c:ser>
          <c:idx val="8"/>
          <c:order val="8"/>
          <c:tx>
            <c:strRef>
              <c:f>data_ghg_excLUC!$L$2</c:f>
              <c:strCache>
                <c:ptCount val="1"/>
                <c:pt idx="0">
                  <c:v>pct_annex2_ClimateWatch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data_ghg_excLUC!$L$3:$L$177</c:f>
              <c:numCache>
                <c:formatCode>0.0</c:formatCode>
                <c:ptCount val="175"/>
                <c:pt idx="140">
                  <c:v>40.384</c:v>
                </c:pt>
                <c:pt idx="141">
                  <c:v>40.25</c:v>
                </c:pt>
                <c:pt idx="142">
                  <c:v>40.497999999999998</c:v>
                </c:pt>
                <c:pt idx="143">
                  <c:v>40.408999999999999</c:v>
                </c:pt>
                <c:pt idx="144">
                  <c:v>40.738</c:v>
                </c:pt>
                <c:pt idx="145">
                  <c:v>40.259</c:v>
                </c:pt>
                <c:pt idx="146">
                  <c:v>40.502000000000002</c:v>
                </c:pt>
                <c:pt idx="147">
                  <c:v>40.707000000000001</c:v>
                </c:pt>
                <c:pt idx="148">
                  <c:v>40.677</c:v>
                </c:pt>
                <c:pt idx="149">
                  <c:v>40.557000000000002</c:v>
                </c:pt>
                <c:pt idx="150">
                  <c:v>40.290999999999997</c:v>
                </c:pt>
                <c:pt idx="151">
                  <c:v>39.795000000000002</c:v>
                </c:pt>
                <c:pt idx="152">
                  <c:v>38.945</c:v>
                </c:pt>
                <c:pt idx="153">
                  <c:v>37.777999999999999</c:v>
                </c:pt>
                <c:pt idx="154">
                  <c:v>36.686999999999998</c:v>
                </c:pt>
                <c:pt idx="155">
                  <c:v>35.487000000000002</c:v>
                </c:pt>
                <c:pt idx="156">
                  <c:v>34.295000000000002</c:v>
                </c:pt>
                <c:pt idx="157">
                  <c:v>33.524999999999999</c:v>
                </c:pt>
                <c:pt idx="158">
                  <c:v>32.32</c:v>
                </c:pt>
                <c:pt idx="159">
                  <c:v>30.771000000000001</c:v>
                </c:pt>
                <c:pt idx="160">
                  <c:v>30.26</c:v>
                </c:pt>
                <c:pt idx="161">
                  <c:v>28.998000000000001</c:v>
                </c:pt>
                <c:pt idx="162">
                  <c:v>28.238</c:v>
                </c:pt>
                <c:pt idx="163">
                  <c:v>27.844000000000001</c:v>
                </c:pt>
                <c:pt idx="164">
                  <c:v>27.404</c:v>
                </c:pt>
                <c:pt idx="165">
                  <c:v>27.271999999999998</c:v>
                </c:pt>
                <c:pt idx="166">
                  <c:v>26.808</c:v>
                </c:pt>
                <c:pt idx="167">
                  <c:v>26.358000000000001</c:v>
                </c:pt>
                <c:pt idx="168">
                  <c:v>26.113</c:v>
                </c:pt>
                <c:pt idx="169">
                  <c:v>25.356000000000002</c:v>
                </c:pt>
                <c:pt idx="170">
                  <c:v>23.978000000000002</c:v>
                </c:pt>
                <c:pt idx="171">
                  <c:v>23.869</c:v>
                </c:pt>
                <c:pt idx="172">
                  <c:v>23.678999999999998</c:v>
                </c:pt>
                <c:pt idx="173">
                  <c:v>22.638999999999999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5C-4B39-A964-6C8B97A210D4}"/>
            </c:ext>
          </c:extLst>
        </c:ser>
        <c:ser>
          <c:idx val="9"/>
          <c:order val="9"/>
          <c:tx>
            <c:strRef>
              <c:f>data_ghg_excLUC!$M$2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data_ghg_excLUC!$M$3:$M$177</c:f>
              <c:numCache>
                <c:formatCode>0.0</c:formatCode>
                <c:ptCount val="175"/>
                <c:pt idx="0">
                  <c:v>66.203000000000003</c:v>
                </c:pt>
                <c:pt idx="1">
                  <c:v>66.361999999999995</c:v>
                </c:pt>
                <c:pt idx="2">
                  <c:v>66.921999999999997</c:v>
                </c:pt>
                <c:pt idx="3">
                  <c:v>67.558999999999997</c:v>
                </c:pt>
                <c:pt idx="4">
                  <c:v>69.567999999999998</c:v>
                </c:pt>
                <c:pt idx="5">
                  <c:v>69.858999999999995</c:v>
                </c:pt>
                <c:pt idx="6">
                  <c:v>70.641000000000005</c:v>
                </c:pt>
                <c:pt idx="7">
                  <c:v>70.790000000000006</c:v>
                </c:pt>
                <c:pt idx="8">
                  <c:v>70.941999999999993</c:v>
                </c:pt>
                <c:pt idx="9">
                  <c:v>71.721000000000004</c:v>
                </c:pt>
                <c:pt idx="10">
                  <c:v>72.893000000000001</c:v>
                </c:pt>
                <c:pt idx="11">
                  <c:v>73.501999999999995</c:v>
                </c:pt>
                <c:pt idx="12">
                  <c:v>73.709000000000003</c:v>
                </c:pt>
                <c:pt idx="13">
                  <c:v>74.367000000000004</c:v>
                </c:pt>
                <c:pt idx="14">
                  <c:v>75.251000000000005</c:v>
                </c:pt>
                <c:pt idx="15">
                  <c:v>75.965000000000003</c:v>
                </c:pt>
                <c:pt idx="16">
                  <c:v>76.322000000000003</c:v>
                </c:pt>
                <c:pt idx="17">
                  <c:v>77.141000000000005</c:v>
                </c:pt>
                <c:pt idx="18">
                  <c:v>77.430000000000007</c:v>
                </c:pt>
                <c:pt idx="19">
                  <c:v>78.134</c:v>
                </c:pt>
                <c:pt idx="20">
                  <c:v>78.251999999999995</c:v>
                </c:pt>
                <c:pt idx="21">
                  <c:v>78.844999999999999</c:v>
                </c:pt>
                <c:pt idx="22">
                  <c:v>79.95</c:v>
                </c:pt>
                <c:pt idx="23">
                  <c:v>80.572999999999993</c:v>
                </c:pt>
                <c:pt idx="24">
                  <c:v>79.715000000000003</c:v>
                </c:pt>
                <c:pt idx="25">
                  <c:v>80.602000000000004</c:v>
                </c:pt>
                <c:pt idx="26">
                  <c:v>80.683000000000007</c:v>
                </c:pt>
                <c:pt idx="27">
                  <c:v>80.849000000000004</c:v>
                </c:pt>
                <c:pt idx="28">
                  <c:v>80.676000000000002</c:v>
                </c:pt>
                <c:pt idx="29">
                  <c:v>81.385000000000005</c:v>
                </c:pt>
                <c:pt idx="30">
                  <c:v>82.632000000000005</c:v>
                </c:pt>
                <c:pt idx="31">
                  <c:v>82.921000000000006</c:v>
                </c:pt>
                <c:pt idx="32">
                  <c:v>83.391000000000005</c:v>
                </c:pt>
                <c:pt idx="33">
                  <c:v>83.923000000000002</c:v>
                </c:pt>
                <c:pt idx="34">
                  <c:v>83.897999999999996</c:v>
                </c:pt>
                <c:pt idx="35">
                  <c:v>83.872</c:v>
                </c:pt>
                <c:pt idx="36">
                  <c:v>83.936999999999998</c:v>
                </c:pt>
                <c:pt idx="37">
                  <c:v>84.299000000000007</c:v>
                </c:pt>
                <c:pt idx="38">
                  <c:v>85.197999999999993</c:v>
                </c:pt>
                <c:pt idx="39">
                  <c:v>85.006</c:v>
                </c:pt>
                <c:pt idx="40">
                  <c:v>85.801000000000002</c:v>
                </c:pt>
                <c:pt idx="41">
                  <c:v>86.108000000000004</c:v>
                </c:pt>
                <c:pt idx="42">
                  <c:v>86.007999999999996</c:v>
                </c:pt>
                <c:pt idx="43">
                  <c:v>85.644000000000005</c:v>
                </c:pt>
                <c:pt idx="44">
                  <c:v>85.831999999999994</c:v>
                </c:pt>
                <c:pt idx="45">
                  <c:v>86.183999999999997</c:v>
                </c:pt>
                <c:pt idx="46">
                  <c:v>86.322999999999993</c:v>
                </c:pt>
                <c:pt idx="47">
                  <c:v>86.611999999999995</c:v>
                </c:pt>
                <c:pt idx="48">
                  <c:v>86.879000000000005</c:v>
                </c:pt>
                <c:pt idx="49">
                  <c:v>87.573999999999998</c:v>
                </c:pt>
                <c:pt idx="50">
                  <c:v>88.025999999999996</c:v>
                </c:pt>
                <c:pt idx="51">
                  <c:v>88.012</c:v>
                </c:pt>
                <c:pt idx="52">
                  <c:v>88.057000000000002</c:v>
                </c:pt>
                <c:pt idx="53">
                  <c:v>88.593999999999994</c:v>
                </c:pt>
                <c:pt idx="54">
                  <c:v>88.436000000000007</c:v>
                </c:pt>
                <c:pt idx="55">
                  <c:v>88.817999999999998</c:v>
                </c:pt>
                <c:pt idx="56">
                  <c:v>88.790999999999997</c:v>
                </c:pt>
                <c:pt idx="57">
                  <c:v>89.11</c:v>
                </c:pt>
                <c:pt idx="58">
                  <c:v>88.412000000000006</c:v>
                </c:pt>
                <c:pt idx="59">
                  <c:v>88.644999999999996</c:v>
                </c:pt>
                <c:pt idx="60">
                  <c:v>88.897999999999996</c:v>
                </c:pt>
                <c:pt idx="61">
                  <c:v>88.676000000000002</c:v>
                </c:pt>
                <c:pt idx="62">
                  <c:v>89.114000000000004</c:v>
                </c:pt>
                <c:pt idx="63">
                  <c:v>89.287000000000006</c:v>
                </c:pt>
                <c:pt idx="64">
                  <c:v>88.372</c:v>
                </c:pt>
                <c:pt idx="65">
                  <c:v>88.126999999999995</c:v>
                </c:pt>
                <c:pt idx="66">
                  <c:v>88.397000000000006</c:v>
                </c:pt>
                <c:pt idx="67">
                  <c:v>88.396000000000001</c:v>
                </c:pt>
                <c:pt idx="68">
                  <c:v>88.013999999999996</c:v>
                </c:pt>
                <c:pt idx="69">
                  <c:v>85.79</c:v>
                </c:pt>
                <c:pt idx="70">
                  <c:v>86.561000000000007</c:v>
                </c:pt>
                <c:pt idx="71">
                  <c:v>84.427000000000007</c:v>
                </c:pt>
                <c:pt idx="72">
                  <c:v>84.944000000000003</c:v>
                </c:pt>
                <c:pt idx="73">
                  <c:v>86.146000000000001</c:v>
                </c:pt>
                <c:pt idx="74">
                  <c:v>85.781999999999996</c:v>
                </c:pt>
                <c:pt idx="75">
                  <c:v>85.885000000000005</c:v>
                </c:pt>
                <c:pt idx="76">
                  <c:v>85.674000000000007</c:v>
                </c:pt>
                <c:pt idx="77">
                  <c:v>86.537000000000006</c:v>
                </c:pt>
                <c:pt idx="78">
                  <c:v>86.23</c:v>
                </c:pt>
                <c:pt idx="79">
                  <c:v>86.72</c:v>
                </c:pt>
                <c:pt idx="80">
                  <c:v>85.727999999999994</c:v>
                </c:pt>
                <c:pt idx="81">
                  <c:v>84.507000000000005</c:v>
                </c:pt>
                <c:pt idx="82">
                  <c:v>82.808999999999997</c:v>
                </c:pt>
                <c:pt idx="83">
                  <c:v>82.921000000000006</c:v>
                </c:pt>
                <c:pt idx="84">
                  <c:v>83.024000000000001</c:v>
                </c:pt>
                <c:pt idx="85">
                  <c:v>82.751000000000005</c:v>
                </c:pt>
                <c:pt idx="86">
                  <c:v>83.478999999999999</c:v>
                </c:pt>
                <c:pt idx="87">
                  <c:v>83.641999999999996</c:v>
                </c:pt>
                <c:pt idx="88">
                  <c:v>82.570999999999998</c:v>
                </c:pt>
                <c:pt idx="89">
                  <c:v>82.704999999999998</c:v>
                </c:pt>
                <c:pt idx="90">
                  <c:v>83.225999999999999</c:v>
                </c:pt>
                <c:pt idx="91">
                  <c:v>83.363</c:v>
                </c:pt>
                <c:pt idx="92">
                  <c:v>83.704999999999998</c:v>
                </c:pt>
                <c:pt idx="93">
                  <c:v>83.948999999999998</c:v>
                </c:pt>
                <c:pt idx="94">
                  <c:v>83.590999999999994</c:v>
                </c:pt>
                <c:pt idx="95">
                  <c:v>81.456000000000003</c:v>
                </c:pt>
                <c:pt idx="96">
                  <c:v>81.510999999999996</c:v>
                </c:pt>
                <c:pt idx="97">
                  <c:v>82.385000000000005</c:v>
                </c:pt>
                <c:pt idx="98">
                  <c:v>83.337999999999994</c:v>
                </c:pt>
                <c:pt idx="99">
                  <c:v>82.590999999999994</c:v>
                </c:pt>
                <c:pt idx="100">
                  <c:v>83.088999999999999</c:v>
                </c:pt>
                <c:pt idx="101">
                  <c:v>83.090999999999994</c:v>
                </c:pt>
                <c:pt idx="102">
                  <c:v>82.344999999999999</c:v>
                </c:pt>
                <c:pt idx="103">
                  <c:v>82.412000000000006</c:v>
                </c:pt>
                <c:pt idx="104">
                  <c:v>81.596999999999994</c:v>
                </c:pt>
                <c:pt idx="105">
                  <c:v>81.043999999999997</c:v>
                </c:pt>
                <c:pt idx="106">
                  <c:v>81.066000000000003</c:v>
                </c:pt>
                <c:pt idx="107">
                  <c:v>80.299000000000007</c:v>
                </c:pt>
                <c:pt idx="108">
                  <c:v>77.727999999999994</c:v>
                </c:pt>
                <c:pt idx="109">
                  <c:v>75.635999999999996</c:v>
                </c:pt>
                <c:pt idx="110">
                  <c:v>75.378</c:v>
                </c:pt>
                <c:pt idx="111">
                  <c:v>77.010999999999996</c:v>
                </c:pt>
                <c:pt idx="112">
                  <c:v>78.156999999999996</c:v>
                </c:pt>
                <c:pt idx="113">
                  <c:v>78.347999999999999</c:v>
                </c:pt>
                <c:pt idx="114">
                  <c:v>78.495999999999995</c:v>
                </c:pt>
                <c:pt idx="115">
                  <c:v>77.855000000000004</c:v>
                </c:pt>
                <c:pt idx="116">
                  <c:v>77.131</c:v>
                </c:pt>
                <c:pt idx="117">
                  <c:v>77.774000000000001</c:v>
                </c:pt>
                <c:pt idx="118">
                  <c:v>77.619</c:v>
                </c:pt>
                <c:pt idx="119">
                  <c:v>76.834999999999994</c:v>
                </c:pt>
                <c:pt idx="120">
                  <c:v>75.716999999999999</c:v>
                </c:pt>
                <c:pt idx="121">
                  <c:v>74.884</c:v>
                </c:pt>
                <c:pt idx="122">
                  <c:v>74.747</c:v>
                </c:pt>
                <c:pt idx="123">
                  <c:v>74.174999999999997</c:v>
                </c:pt>
                <c:pt idx="124">
                  <c:v>73.593999999999994</c:v>
                </c:pt>
                <c:pt idx="125">
                  <c:v>72.492999999999995</c:v>
                </c:pt>
                <c:pt idx="126">
                  <c:v>72.332999999999998</c:v>
                </c:pt>
                <c:pt idx="127">
                  <c:v>71.64</c:v>
                </c:pt>
                <c:pt idx="128">
                  <c:v>71.013000000000005</c:v>
                </c:pt>
                <c:pt idx="129">
                  <c:v>70.486999999999995</c:v>
                </c:pt>
                <c:pt idx="130">
                  <c:v>70.272000000000006</c:v>
                </c:pt>
                <c:pt idx="131">
                  <c:v>69.968999999999994</c:v>
                </c:pt>
                <c:pt idx="132">
                  <c:v>68.793000000000006</c:v>
                </c:pt>
                <c:pt idx="133">
                  <c:v>68.126999999999995</c:v>
                </c:pt>
                <c:pt idx="134">
                  <c:v>67.400999999999996</c:v>
                </c:pt>
                <c:pt idx="135">
                  <c:v>66.733999999999995</c:v>
                </c:pt>
                <c:pt idx="136">
                  <c:v>65.799000000000007</c:v>
                </c:pt>
                <c:pt idx="137">
                  <c:v>65.287999999999997</c:v>
                </c:pt>
                <c:pt idx="138">
                  <c:v>64.358000000000004</c:v>
                </c:pt>
                <c:pt idx="139">
                  <c:v>63.832999999999998</c:v>
                </c:pt>
                <c:pt idx="140">
                  <c:v>64.495999999999995</c:v>
                </c:pt>
                <c:pt idx="141">
                  <c:v>62.183</c:v>
                </c:pt>
                <c:pt idx="142">
                  <c:v>61.738999999999997</c:v>
                </c:pt>
                <c:pt idx="143">
                  <c:v>60.433</c:v>
                </c:pt>
                <c:pt idx="144">
                  <c:v>59.03</c:v>
                </c:pt>
                <c:pt idx="145">
                  <c:v>58.036999999999999</c:v>
                </c:pt>
                <c:pt idx="146">
                  <c:v>57.369</c:v>
                </c:pt>
                <c:pt idx="147">
                  <c:v>56.665999999999997</c:v>
                </c:pt>
                <c:pt idx="148">
                  <c:v>56.901000000000003</c:v>
                </c:pt>
                <c:pt idx="149">
                  <c:v>56.058999999999997</c:v>
                </c:pt>
                <c:pt idx="150">
                  <c:v>55.55</c:v>
                </c:pt>
                <c:pt idx="151">
                  <c:v>55.079000000000001</c:v>
                </c:pt>
                <c:pt idx="152">
                  <c:v>54.305</c:v>
                </c:pt>
                <c:pt idx="153">
                  <c:v>52.43</c:v>
                </c:pt>
                <c:pt idx="154">
                  <c:v>51.255000000000003</c:v>
                </c:pt>
                <c:pt idx="155">
                  <c:v>49.811</c:v>
                </c:pt>
                <c:pt idx="156">
                  <c:v>48.387</c:v>
                </c:pt>
                <c:pt idx="157">
                  <c:v>47.561</c:v>
                </c:pt>
                <c:pt idx="158">
                  <c:v>45.78</c:v>
                </c:pt>
                <c:pt idx="159">
                  <c:v>43.402999999999999</c:v>
                </c:pt>
                <c:pt idx="160">
                  <c:v>42.494999999999997</c:v>
                </c:pt>
                <c:pt idx="161">
                  <c:v>40.761000000000003</c:v>
                </c:pt>
                <c:pt idx="162">
                  <c:v>39.692</c:v>
                </c:pt>
                <c:pt idx="163">
                  <c:v>39.348999999999997</c:v>
                </c:pt>
                <c:pt idx="164">
                  <c:v>38.606000000000002</c:v>
                </c:pt>
                <c:pt idx="165">
                  <c:v>38.222999999999999</c:v>
                </c:pt>
                <c:pt idx="166">
                  <c:v>37.811999999999998</c:v>
                </c:pt>
                <c:pt idx="167">
                  <c:v>37.287999999999997</c:v>
                </c:pt>
                <c:pt idx="168">
                  <c:v>36.875999999999998</c:v>
                </c:pt>
                <c:pt idx="169">
                  <c:v>35.734999999999999</c:v>
                </c:pt>
                <c:pt idx="170">
                  <c:v>34.325000000000003</c:v>
                </c:pt>
                <c:pt idx="171">
                  <c:v>34.488999999999997</c:v>
                </c:pt>
                <c:pt idx="172">
                  <c:v>33.491</c:v>
                </c:pt>
                <c:pt idx="173">
                  <c:v>32.273000000000003</c:v>
                </c:pt>
                <c:pt idx="174">
                  <c:v>31.882999999999999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5C-4B39-A964-6C8B97A210D4}"/>
            </c:ext>
          </c:extLst>
        </c:ser>
        <c:ser>
          <c:idx val="10"/>
          <c:order val="10"/>
          <c:tx>
            <c:strRef>
              <c:f>data_ghg_excLUC!$N$2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data_ghg_excLUC!$N$3:$N$177</c:f>
              <c:numCache>
                <c:formatCode>0.0</c:formatCode>
                <c:ptCount val="175"/>
                <c:pt idx="0">
                  <c:v>51.529000000000003</c:v>
                </c:pt>
                <c:pt idx="1">
                  <c:v>51.741</c:v>
                </c:pt>
                <c:pt idx="2">
                  <c:v>52.201000000000001</c:v>
                </c:pt>
                <c:pt idx="3">
                  <c:v>52.7</c:v>
                </c:pt>
                <c:pt idx="4">
                  <c:v>54.134999999999998</c:v>
                </c:pt>
                <c:pt idx="5">
                  <c:v>54.424999999999997</c:v>
                </c:pt>
                <c:pt idx="6">
                  <c:v>55.107999999999997</c:v>
                </c:pt>
                <c:pt idx="7">
                  <c:v>55.305999999999997</c:v>
                </c:pt>
                <c:pt idx="8">
                  <c:v>55.5</c:v>
                </c:pt>
                <c:pt idx="9">
                  <c:v>56.106000000000002</c:v>
                </c:pt>
                <c:pt idx="10">
                  <c:v>57.055</c:v>
                </c:pt>
                <c:pt idx="11">
                  <c:v>57.593000000000004</c:v>
                </c:pt>
                <c:pt idx="12">
                  <c:v>57.801000000000002</c:v>
                </c:pt>
                <c:pt idx="13">
                  <c:v>58.41</c:v>
                </c:pt>
                <c:pt idx="14">
                  <c:v>59.201999999999998</c:v>
                </c:pt>
                <c:pt idx="15">
                  <c:v>59.857999999999997</c:v>
                </c:pt>
                <c:pt idx="16">
                  <c:v>60.234000000000002</c:v>
                </c:pt>
                <c:pt idx="17">
                  <c:v>60.975999999999999</c:v>
                </c:pt>
                <c:pt idx="18">
                  <c:v>61.286999999999999</c:v>
                </c:pt>
                <c:pt idx="19">
                  <c:v>61.95</c:v>
                </c:pt>
                <c:pt idx="20">
                  <c:v>62.151000000000003</c:v>
                </c:pt>
                <c:pt idx="21">
                  <c:v>62.792000000000002</c:v>
                </c:pt>
                <c:pt idx="22">
                  <c:v>63.984000000000002</c:v>
                </c:pt>
                <c:pt idx="23">
                  <c:v>64.694999999999993</c:v>
                </c:pt>
                <c:pt idx="24">
                  <c:v>63.904000000000003</c:v>
                </c:pt>
                <c:pt idx="25">
                  <c:v>64.863</c:v>
                </c:pt>
                <c:pt idx="26">
                  <c:v>65.019000000000005</c:v>
                </c:pt>
                <c:pt idx="27">
                  <c:v>65.236999999999995</c:v>
                </c:pt>
                <c:pt idx="28">
                  <c:v>65.241</c:v>
                </c:pt>
                <c:pt idx="29">
                  <c:v>66.037999999999997</c:v>
                </c:pt>
                <c:pt idx="30">
                  <c:v>67.498000000000005</c:v>
                </c:pt>
                <c:pt idx="31">
                  <c:v>67.784999999999997</c:v>
                </c:pt>
                <c:pt idx="32">
                  <c:v>68.346999999999994</c:v>
                </c:pt>
                <c:pt idx="33">
                  <c:v>68.992999999999995</c:v>
                </c:pt>
                <c:pt idx="34">
                  <c:v>69.006</c:v>
                </c:pt>
                <c:pt idx="35">
                  <c:v>68.995999999999995</c:v>
                </c:pt>
                <c:pt idx="36">
                  <c:v>69.055999999999997</c:v>
                </c:pt>
                <c:pt idx="37">
                  <c:v>69.512</c:v>
                </c:pt>
                <c:pt idx="38">
                  <c:v>70.694999999999993</c:v>
                </c:pt>
                <c:pt idx="39">
                  <c:v>70.546000000000006</c:v>
                </c:pt>
                <c:pt idx="40">
                  <c:v>71.492000000000004</c:v>
                </c:pt>
                <c:pt idx="41">
                  <c:v>71.981999999999999</c:v>
                </c:pt>
                <c:pt idx="42">
                  <c:v>71.941000000000003</c:v>
                </c:pt>
                <c:pt idx="43">
                  <c:v>71.593000000000004</c:v>
                </c:pt>
                <c:pt idx="44">
                  <c:v>71.947000000000003</c:v>
                </c:pt>
                <c:pt idx="45">
                  <c:v>72.501000000000005</c:v>
                </c:pt>
                <c:pt idx="46">
                  <c:v>72.769000000000005</c:v>
                </c:pt>
                <c:pt idx="47">
                  <c:v>73.233000000000004</c:v>
                </c:pt>
                <c:pt idx="48">
                  <c:v>73.728999999999999</c:v>
                </c:pt>
                <c:pt idx="49">
                  <c:v>74.765000000000001</c:v>
                </c:pt>
                <c:pt idx="50">
                  <c:v>75.400000000000006</c:v>
                </c:pt>
                <c:pt idx="51">
                  <c:v>75.506</c:v>
                </c:pt>
                <c:pt idx="52">
                  <c:v>75.668000000000006</c:v>
                </c:pt>
                <c:pt idx="53">
                  <c:v>76.582999999999998</c:v>
                </c:pt>
                <c:pt idx="54">
                  <c:v>76.501999999999995</c:v>
                </c:pt>
                <c:pt idx="55">
                  <c:v>77.180999999999997</c:v>
                </c:pt>
                <c:pt idx="56">
                  <c:v>77.198999999999998</c:v>
                </c:pt>
                <c:pt idx="57">
                  <c:v>78.622</c:v>
                </c:pt>
                <c:pt idx="58">
                  <c:v>77.766000000000005</c:v>
                </c:pt>
                <c:pt idx="59">
                  <c:v>78.215000000000003</c:v>
                </c:pt>
                <c:pt idx="60">
                  <c:v>78.692999999999998</c:v>
                </c:pt>
                <c:pt idx="61">
                  <c:v>78.415999999999997</c:v>
                </c:pt>
                <c:pt idx="62">
                  <c:v>79.106999999999999</c:v>
                </c:pt>
                <c:pt idx="63">
                  <c:v>79.712000000000003</c:v>
                </c:pt>
                <c:pt idx="64">
                  <c:v>78.257000000000005</c:v>
                </c:pt>
                <c:pt idx="65">
                  <c:v>77.804000000000002</c:v>
                </c:pt>
                <c:pt idx="66">
                  <c:v>78.427999999999997</c:v>
                </c:pt>
                <c:pt idx="67">
                  <c:v>78.569000000000003</c:v>
                </c:pt>
                <c:pt idx="68">
                  <c:v>78.120999999999995</c:v>
                </c:pt>
                <c:pt idx="69">
                  <c:v>75.516000000000005</c:v>
                </c:pt>
                <c:pt idx="70">
                  <c:v>76.974000000000004</c:v>
                </c:pt>
                <c:pt idx="71">
                  <c:v>74.468000000000004</c:v>
                </c:pt>
                <c:pt idx="72">
                  <c:v>75.052000000000007</c:v>
                </c:pt>
                <c:pt idx="73">
                  <c:v>76.599999999999994</c:v>
                </c:pt>
                <c:pt idx="74">
                  <c:v>76.266999999999996</c:v>
                </c:pt>
                <c:pt idx="75">
                  <c:v>76.334999999999994</c:v>
                </c:pt>
                <c:pt idx="76">
                  <c:v>75.847999999999999</c:v>
                </c:pt>
                <c:pt idx="77">
                  <c:v>76.971000000000004</c:v>
                </c:pt>
                <c:pt idx="78">
                  <c:v>76.414000000000001</c:v>
                </c:pt>
                <c:pt idx="79">
                  <c:v>77.06</c:v>
                </c:pt>
                <c:pt idx="80">
                  <c:v>75.637</c:v>
                </c:pt>
                <c:pt idx="81">
                  <c:v>74.03</c:v>
                </c:pt>
                <c:pt idx="82">
                  <c:v>72.144999999999996</c:v>
                </c:pt>
                <c:pt idx="83">
                  <c:v>72.435000000000002</c:v>
                </c:pt>
                <c:pt idx="84">
                  <c:v>72.891999999999996</c:v>
                </c:pt>
                <c:pt idx="85">
                  <c:v>72.835999999999999</c:v>
                </c:pt>
                <c:pt idx="86">
                  <c:v>73.736999999999995</c:v>
                </c:pt>
                <c:pt idx="87">
                  <c:v>74.085999999999999</c:v>
                </c:pt>
                <c:pt idx="88">
                  <c:v>72.698999999999998</c:v>
                </c:pt>
                <c:pt idx="89">
                  <c:v>72.988</c:v>
                </c:pt>
                <c:pt idx="90">
                  <c:v>73.828000000000003</c:v>
                </c:pt>
                <c:pt idx="91">
                  <c:v>73.804000000000002</c:v>
                </c:pt>
                <c:pt idx="92">
                  <c:v>74.188000000000002</c:v>
                </c:pt>
                <c:pt idx="93">
                  <c:v>74.125</c:v>
                </c:pt>
                <c:pt idx="94">
                  <c:v>73.260000000000005</c:v>
                </c:pt>
                <c:pt idx="95">
                  <c:v>69.995999999999995</c:v>
                </c:pt>
                <c:pt idx="96">
                  <c:v>70.027000000000001</c:v>
                </c:pt>
                <c:pt idx="97">
                  <c:v>71.623000000000005</c:v>
                </c:pt>
                <c:pt idx="98">
                  <c:v>72.537999999999997</c:v>
                </c:pt>
                <c:pt idx="99">
                  <c:v>71.305000000000007</c:v>
                </c:pt>
                <c:pt idx="100">
                  <c:v>73.510000000000005</c:v>
                </c:pt>
                <c:pt idx="101">
                  <c:v>73.751999999999995</c:v>
                </c:pt>
                <c:pt idx="102">
                  <c:v>73.210999999999999</c:v>
                </c:pt>
                <c:pt idx="103">
                  <c:v>73.28</c:v>
                </c:pt>
                <c:pt idx="104">
                  <c:v>72.691999999999993</c:v>
                </c:pt>
                <c:pt idx="105">
                  <c:v>72.882000000000005</c:v>
                </c:pt>
                <c:pt idx="106">
                  <c:v>73.138000000000005</c:v>
                </c:pt>
                <c:pt idx="107">
                  <c:v>72.632999999999996</c:v>
                </c:pt>
                <c:pt idx="108">
                  <c:v>70.709999999999994</c:v>
                </c:pt>
                <c:pt idx="109">
                  <c:v>69.331999999999994</c:v>
                </c:pt>
                <c:pt idx="110">
                  <c:v>69.239999999999995</c:v>
                </c:pt>
                <c:pt idx="111">
                  <c:v>70.475999999999999</c:v>
                </c:pt>
                <c:pt idx="112">
                  <c:v>71.453000000000003</c:v>
                </c:pt>
                <c:pt idx="113">
                  <c:v>71.911000000000001</c:v>
                </c:pt>
                <c:pt idx="114">
                  <c:v>72.171000000000006</c:v>
                </c:pt>
                <c:pt idx="115">
                  <c:v>71.95</c:v>
                </c:pt>
                <c:pt idx="116">
                  <c:v>71.463999999999999</c:v>
                </c:pt>
                <c:pt idx="117">
                  <c:v>72.262</c:v>
                </c:pt>
                <c:pt idx="118">
                  <c:v>72.066000000000003</c:v>
                </c:pt>
                <c:pt idx="119">
                  <c:v>71.745000000000005</c:v>
                </c:pt>
                <c:pt idx="120">
                  <c:v>70.864000000000004</c:v>
                </c:pt>
                <c:pt idx="121">
                  <c:v>70.478999999999999</c:v>
                </c:pt>
                <c:pt idx="122">
                  <c:v>70.646000000000001</c:v>
                </c:pt>
                <c:pt idx="123">
                  <c:v>70.418000000000006</c:v>
                </c:pt>
                <c:pt idx="124">
                  <c:v>69.974000000000004</c:v>
                </c:pt>
                <c:pt idx="125">
                  <c:v>68.718999999999994</c:v>
                </c:pt>
                <c:pt idx="126">
                  <c:v>68.869</c:v>
                </c:pt>
                <c:pt idx="127">
                  <c:v>68.218000000000004</c:v>
                </c:pt>
                <c:pt idx="128">
                  <c:v>67.790000000000006</c:v>
                </c:pt>
                <c:pt idx="129">
                  <c:v>67.328000000000003</c:v>
                </c:pt>
                <c:pt idx="130">
                  <c:v>66.91</c:v>
                </c:pt>
                <c:pt idx="131">
                  <c:v>66.436999999999998</c:v>
                </c:pt>
                <c:pt idx="132">
                  <c:v>65.296999999999997</c:v>
                </c:pt>
                <c:pt idx="133">
                  <c:v>64.721999999999994</c:v>
                </c:pt>
                <c:pt idx="134">
                  <c:v>64.3</c:v>
                </c:pt>
                <c:pt idx="135">
                  <c:v>63.764000000000003</c:v>
                </c:pt>
                <c:pt idx="136">
                  <c:v>63.027999999999999</c:v>
                </c:pt>
                <c:pt idx="137">
                  <c:v>62.482999999999997</c:v>
                </c:pt>
                <c:pt idx="138">
                  <c:v>61.91</c:v>
                </c:pt>
                <c:pt idx="139">
                  <c:v>61.283999999999999</c:v>
                </c:pt>
                <c:pt idx="140">
                  <c:v>60.826999999999998</c:v>
                </c:pt>
                <c:pt idx="141">
                  <c:v>59.18</c:v>
                </c:pt>
                <c:pt idx="142">
                  <c:v>58.453000000000003</c:v>
                </c:pt>
                <c:pt idx="143">
                  <c:v>57.436</c:v>
                </c:pt>
                <c:pt idx="144">
                  <c:v>56.372999999999998</c:v>
                </c:pt>
                <c:pt idx="145">
                  <c:v>55.353000000000002</c:v>
                </c:pt>
                <c:pt idx="146">
                  <c:v>54.692</c:v>
                </c:pt>
                <c:pt idx="147">
                  <c:v>53.932000000000002</c:v>
                </c:pt>
                <c:pt idx="148">
                  <c:v>53.777000000000001</c:v>
                </c:pt>
                <c:pt idx="149">
                  <c:v>52.774000000000001</c:v>
                </c:pt>
                <c:pt idx="150">
                  <c:v>52.283999999999999</c:v>
                </c:pt>
                <c:pt idx="151">
                  <c:v>51.682000000000002</c:v>
                </c:pt>
                <c:pt idx="152">
                  <c:v>50.712000000000003</c:v>
                </c:pt>
                <c:pt idx="153">
                  <c:v>49.124000000000002</c:v>
                </c:pt>
                <c:pt idx="154">
                  <c:v>47.856000000000002</c:v>
                </c:pt>
                <c:pt idx="155">
                  <c:v>46.405999999999999</c:v>
                </c:pt>
                <c:pt idx="156">
                  <c:v>45.265999999999998</c:v>
                </c:pt>
                <c:pt idx="157">
                  <c:v>44.601999999999997</c:v>
                </c:pt>
                <c:pt idx="158">
                  <c:v>43.155000000000001</c:v>
                </c:pt>
                <c:pt idx="159">
                  <c:v>40.966000000000001</c:v>
                </c:pt>
                <c:pt idx="160">
                  <c:v>40.423999999999999</c:v>
                </c:pt>
                <c:pt idx="161">
                  <c:v>38.843000000000004</c:v>
                </c:pt>
                <c:pt idx="162">
                  <c:v>37.847999999999999</c:v>
                </c:pt>
                <c:pt idx="163">
                  <c:v>37.515000000000001</c:v>
                </c:pt>
                <c:pt idx="164">
                  <c:v>36.69</c:v>
                </c:pt>
                <c:pt idx="165">
                  <c:v>36.026000000000003</c:v>
                </c:pt>
                <c:pt idx="166">
                  <c:v>35.448</c:v>
                </c:pt>
                <c:pt idx="167">
                  <c:v>34.838999999999999</c:v>
                </c:pt>
                <c:pt idx="168">
                  <c:v>34.610999999999997</c:v>
                </c:pt>
                <c:pt idx="169">
                  <c:v>33.715000000000003</c:v>
                </c:pt>
                <c:pt idx="170">
                  <c:v>32.347000000000001</c:v>
                </c:pt>
                <c:pt idx="171">
                  <c:v>32.392000000000003</c:v>
                </c:pt>
                <c:pt idx="172">
                  <c:v>31.699000000000002</c:v>
                </c:pt>
                <c:pt idx="173">
                  <c:v>30.459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5C-4B39-A964-6C8B97A210D4}"/>
            </c:ext>
          </c:extLst>
        </c:ser>
        <c:ser>
          <c:idx val="11"/>
          <c:order val="11"/>
          <c:tx>
            <c:strRef>
              <c:f>data_ghg_excLUC!$O$2</c:f>
              <c:strCache>
                <c:ptCount val="1"/>
                <c:pt idx="0">
                  <c:v>pct_annex1_EDGAR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data_ghg_excLUC!$O$3:$O$177</c:f>
              <c:numCache>
                <c:formatCode>0.0</c:formatCode>
                <c:ptCount val="175"/>
                <c:pt idx="120">
                  <c:v>69.144999999999996</c:v>
                </c:pt>
                <c:pt idx="121">
                  <c:v>68.703000000000003</c:v>
                </c:pt>
                <c:pt idx="122">
                  <c:v>68.662000000000006</c:v>
                </c:pt>
                <c:pt idx="123">
                  <c:v>68.441999999999993</c:v>
                </c:pt>
                <c:pt idx="124">
                  <c:v>67.843999999999994</c:v>
                </c:pt>
                <c:pt idx="125">
                  <c:v>66.727999999999994</c:v>
                </c:pt>
                <c:pt idx="126">
                  <c:v>66.730999999999995</c:v>
                </c:pt>
                <c:pt idx="127">
                  <c:v>66.126000000000005</c:v>
                </c:pt>
                <c:pt idx="128">
                  <c:v>65.626999999999995</c:v>
                </c:pt>
                <c:pt idx="129">
                  <c:v>65.271000000000001</c:v>
                </c:pt>
                <c:pt idx="130">
                  <c:v>64.802999999999997</c:v>
                </c:pt>
                <c:pt idx="131">
                  <c:v>64.608999999999995</c:v>
                </c:pt>
                <c:pt idx="132">
                  <c:v>63.537999999999997</c:v>
                </c:pt>
                <c:pt idx="133">
                  <c:v>62.902999999999999</c:v>
                </c:pt>
                <c:pt idx="134">
                  <c:v>62.576000000000001</c:v>
                </c:pt>
                <c:pt idx="135">
                  <c:v>62.284999999999997</c:v>
                </c:pt>
                <c:pt idx="136">
                  <c:v>61.567</c:v>
                </c:pt>
                <c:pt idx="137">
                  <c:v>61.137999999999998</c:v>
                </c:pt>
                <c:pt idx="138">
                  <c:v>60.563000000000002</c:v>
                </c:pt>
                <c:pt idx="139">
                  <c:v>59.889000000000003</c:v>
                </c:pt>
                <c:pt idx="140">
                  <c:v>59.5</c:v>
                </c:pt>
                <c:pt idx="141">
                  <c:v>58.584000000000003</c:v>
                </c:pt>
                <c:pt idx="142">
                  <c:v>57.466000000000001</c:v>
                </c:pt>
                <c:pt idx="143">
                  <c:v>56.313000000000002</c:v>
                </c:pt>
                <c:pt idx="144">
                  <c:v>55.146000000000001</c:v>
                </c:pt>
                <c:pt idx="145">
                  <c:v>54.055999999999997</c:v>
                </c:pt>
                <c:pt idx="146">
                  <c:v>53.722000000000001</c:v>
                </c:pt>
                <c:pt idx="147">
                  <c:v>53.247999999999998</c:v>
                </c:pt>
                <c:pt idx="148">
                  <c:v>52.92</c:v>
                </c:pt>
                <c:pt idx="149">
                  <c:v>52.658999999999999</c:v>
                </c:pt>
                <c:pt idx="150">
                  <c:v>52.106000000000002</c:v>
                </c:pt>
                <c:pt idx="151">
                  <c:v>51.441000000000003</c:v>
                </c:pt>
                <c:pt idx="152">
                  <c:v>50.462000000000003</c:v>
                </c:pt>
                <c:pt idx="153">
                  <c:v>49.232999999999997</c:v>
                </c:pt>
                <c:pt idx="154">
                  <c:v>47.613</c:v>
                </c:pt>
                <c:pt idx="155">
                  <c:v>46.116</c:v>
                </c:pt>
                <c:pt idx="156">
                  <c:v>44.673999999999999</c:v>
                </c:pt>
                <c:pt idx="157">
                  <c:v>43.76</c:v>
                </c:pt>
                <c:pt idx="158">
                  <c:v>42.445999999999998</c:v>
                </c:pt>
                <c:pt idx="159">
                  <c:v>40.262999999999998</c:v>
                </c:pt>
                <c:pt idx="160">
                  <c:v>39.706000000000003</c:v>
                </c:pt>
                <c:pt idx="161">
                  <c:v>38.201000000000001</c:v>
                </c:pt>
                <c:pt idx="162">
                  <c:v>37.18</c:v>
                </c:pt>
                <c:pt idx="163">
                  <c:v>36.555999999999997</c:v>
                </c:pt>
                <c:pt idx="164">
                  <c:v>35.817999999999998</c:v>
                </c:pt>
                <c:pt idx="165">
                  <c:v>35.584000000000003</c:v>
                </c:pt>
                <c:pt idx="166">
                  <c:v>35.18</c:v>
                </c:pt>
                <c:pt idx="167">
                  <c:v>34.719000000000001</c:v>
                </c:pt>
                <c:pt idx="168">
                  <c:v>34.32</c:v>
                </c:pt>
                <c:pt idx="169">
                  <c:v>33.47</c:v>
                </c:pt>
                <c:pt idx="170">
                  <c:v>32.143000000000001</c:v>
                </c:pt>
                <c:pt idx="171">
                  <c:v>32.201999999999998</c:v>
                </c:pt>
                <c:pt idx="172">
                  <c:v>31.547999999999998</c:v>
                </c:pt>
                <c:pt idx="173">
                  <c:v>30.262</c:v>
                </c:pt>
                <c:pt idx="174">
                  <c:v>29.905999999999999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5C-4B39-A964-6C8B97A210D4}"/>
            </c:ext>
          </c:extLst>
        </c:ser>
        <c:ser>
          <c:idx val="12"/>
          <c:order val="12"/>
          <c:tx>
            <c:strRef>
              <c:f>data_ghg_excLUC!$P$2</c:f>
              <c:strCache>
                <c:ptCount val="1"/>
                <c:pt idx="0">
                  <c:v>pct_annex1_ClimateWatch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data_ghg_excLUC!$P$3:$P$177</c:f>
              <c:numCache>
                <c:formatCode>0.0</c:formatCode>
                <c:ptCount val="175"/>
                <c:pt idx="140">
                  <c:v>58.904000000000003</c:v>
                </c:pt>
                <c:pt idx="141">
                  <c:v>57.947000000000003</c:v>
                </c:pt>
                <c:pt idx="142">
                  <c:v>56.802</c:v>
                </c:pt>
                <c:pt idx="143">
                  <c:v>55.551000000000002</c:v>
                </c:pt>
                <c:pt idx="144">
                  <c:v>54.533000000000001</c:v>
                </c:pt>
                <c:pt idx="145">
                  <c:v>53.405999999999999</c:v>
                </c:pt>
                <c:pt idx="146">
                  <c:v>53.146999999999998</c:v>
                </c:pt>
                <c:pt idx="147">
                  <c:v>52.686</c:v>
                </c:pt>
                <c:pt idx="148">
                  <c:v>52.319000000000003</c:v>
                </c:pt>
                <c:pt idx="149">
                  <c:v>52.079000000000001</c:v>
                </c:pt>
                <c:pt idx="150">
                  <c:v>51.720999999999997</c:v>
                </c:pt>
                <c:pt idx="151">
                  <c:v>51.097000000000001</c:v>
                </c:pt>
                <c:pt idx="152">
                  <c:v>50.078000000000003</c:v>
                </c:pt>
                <c:pt idx="153">
                  <c:v>48.901000000000003</c:v>
                </c:pt>
                <c:pt idx="154">
                  <c:v>47.335999999999999</c:v>
                </c:pt>
                <c:pt idx="155">
                  <c:v>45.895000000000003</c:v>
                </c:pt>
                <c:pt idx="156">
                  <c:v>44.633000000000003</c:v>
                </c:pt>
                <c:pt idx="157">
                  <c:v>43.683</c:v>
                </c:pt>
                <c:pt idx="158">
                  <c:v>42.281999999999996</c:v>
                </c:pt>
                <c:pt idx="159">
                  <c:v>40.198999999999998</c:v>
                </c:pt>
                <c:pt idx="160">
                  <c:v>39.546999999999997</c:v>
                </c:pt>
                <c:pt idx="161">
                  <c:v>38.32</c:v>
                </c:pt>
                <c:pt idx="162">
                  <c:v>37.353000000000002</c:v>
                </c:pt>
                <c:pt idx="163">
                  <c:v>36.622999999999998</c:v>
                </c:pt>
                <c:pt idx="164">
                  <c:v>35.99</c:v>
                </c:pt>
                <c:pt idx="165">
                  <c:v>35.715000000000003</c:v>
                </c:pt>
                <c:pt idx="166">
                  <c:v>35.326000000000001</c:v>
                </c:pt>
                <c:pt idx="167">
                  <c:v>34.914999999999999</c:v>
                </c:pt>
                <c:pt idx="168">
                  <c:v>34.725000000000001</c:v>
                </c:pt>
                <c:pt idx="169">
                  <c:v>33.819000000000003</c:v>
                </c:pt>
                <c:pt idx="170">
                  <c:v>32.432000000000002</c:v>
                </c:pt>
                <c:pt idx="171">
                  <c:v>32.503</c:v>
                </c:pt>
                <c:pt idx="172">
                  <c:v>31.96</c:v>
                </c:pt>
                <c:pt idx="173">
                  <c:v>30.77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5C-4B39-A964-6C8B97A2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Annual CO</a:t>
            </a:r>
            <a:r>
              <a:rPr lang="en-US" baseline="-25000"/>
              <a:t>2</a:t>
            </a:r>
            <a:r>
              <a:rPr lang="en-US"/>
              <a:t> emissions including LULUCF, share of world total, 1850-2024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0.0</c:formatCode>
                <c:ptCount val="175"/>
                <c:pt idx="0">
                  <c:v>35.536000000000001</c:v>
                </c:pt>
                <c:pt idx="1">
                  <c:v>35.619</c:v>
                </c:pt>
                <c:pt idx="2">
                  <c:v>35.264000000000003</c:v>
                </c:pt>
                <c:pt idx="3">
                  <c:v>36.100999999999999</c:v>
                </c:pt>
                <c:pt idx="4">
                  <c:v>36.94</c:v>
                </c:pt>
                <c:pt idx="5">
                  <c:v>36.764000000000003</c:v>
                </c:pt>
                <c:pt idx="6">
                  <c:v>37.067</c:v>
                </c:pt>
                <c:pt idx="7">
                  <c:v>37.204000000000001</c:v>
                </c:pt>
                <c:pt idx="8">
                  <c:v>37.631</c:v>
                </c:pt>
                <c:pt idx="9">
                  <c:v>38.124000000000002</c:v>
                </c:pt>
                <c:pt idx="10">
                  <c:v>40.396999999999998</c:v>
                </c:pt>
                <c:pt idx="11">
                  <c:v>40.640999999999998</c:v>
                </c:pt>
                <c:pt idx="12">
                  <c:v>41.938000000000002</c:v>
                </c:pt>
                <c:pt idx="13">
                  <c:v>42.908000000000001</c:v>
                </c:pt>
                <c:pt idx="14">
                  <c:v>42.61</c:v>
                </c:pt>
                <c:pt idx="15">
                  <c:v>43.389000000000003</c:v>
                </c:pt>
                <c:pt idx="16">
                  <c:v>43.152000000000001</c:v>
                </c:pt>
                <c:pt idx="17">
                  <c:v>44.636000000000003</c:v>
                </c:pt>
                <c:pt idx="18">
                  <c:v>44.674999999999997</c:v>
                </c:pt>
                <c:pt idx="19">
                  <c:v>44.634</c:v>
                </c:pt>
                <c:pt idx="20">
                  <c:v>47.566000000000003</c:v>
                </c:pt>
                <c:pt idx="21">
                  <c:v>49.723999999999997</c:v>
                </c:pt>
                <c:pt idx="22">
                  <c:v>49.966000000000001</c:v>
                </c:pt>
                <c:pt idx="23">
                  <c:v>51.424999999999997</c:v>
                </c:pt>
                <c:pt idx="24">
                  <c:v>51.067</c:v>
                </c:pt>
                <c:pt idx="25">
                  <c:v>52.271000000000001</c:v>
                </c:pt>
                <c:pt idx="26">
                  <c:v>52.506</c:v>
                </c:pt>
                <c:pt idx="27">
                  <c:v>52.704000000000001</c:v>
                </c:pt>
                <c:pt idx="28">
                  <c:v>52.963999999999999</c:v>
                </c:pt>
                <c:pt idx="29">
                  <c:v>53.776000000000003</c:v>
                </c:pt>
                <c:pt idx="30">
                  <c:v>51.543999999999997</c:v>
                </c:pt>
                <c:pt idx="31">
                  <c:v>50.209000000000003</c:v>
                </c:pt>
                <c:pt idx="32">
                  <c:v>49.930999999999997</c:v>
                </c:pt>
                <c:pt idx="33">
                  <c:v>50.104999999999997</c:v>
                </c:pt>
                <c:pt idx="34">
                  <c:v>49.643999999999998</c:v>
                </c:pt>
                <c:pt idx="35">
                  <c:v>49.146999999999998</c:v>
                </c:pt>
                <c:pt idx="36">
                  <c:v>49.207999999999998</c:v>
                </c:pt>
                <c:pt idx="37">
                  <c:v>49.634</c:v>
                </c:pt>
                <c:pt idx="38">
                  <c:v>50.378999999999998</c:v>
                </c:pt>
                <c:pt idx="39">
                  <c:v>49.497999999999998</c:v>
                </c:pt>
                <c:pt idx="40">
                  <c:v>49.363999999999997</c:v>
                </c:pt>
                <c:pt idx="41">
                  <c:v>49.472000000000001</c:v>
                </c:pt>
                <c:pt idx="42">
                  <c:v>49.636000000000003</c:v>
                </c:pt>
                <c:pt idx="43">
                  <c:v>49.697000000000003</c:v>
                </c:pt>
                <c:pt idx="44">
                  <c:v>49.514000000000003</c:v>
                </c:pt>
                <c:pt idx="45">
                  <c:v>50.082999999999998</c:v>
                </c:pt>
                <c:pt idx="46">
                  <c:v>50.518999999999998</c:v>
                </c:pt>
                <c:pt idx="47">
                  <c:v>50.579000000000001</c:v>
                </c:pt>
                <c:pt idx="48">
                  <c:v>51.168999999999997</c:v>
                </c:pt>
                <c:pt idx="49">
                  <c:v>52.137999999999998</c:v>
                </c:pt>
                <c:pt idx="50">
                  <c:v>51.793999999999997</c:v>
                </c:pt>
                <c:pt idx="51">
                  <c:v>50.518999999999998</c:v>
                </c:pt>
                <c:pt idx="52">
                  <c:v>50.506999999999998</c:v>
                </c:pt>
                <c:pt idx="53">
                  <c:v>51.110999999999997</c:v>
                </c:pt>
                <c:pt idx="54">
                  <c:v>50.795999999999999</c:v>
                </c:pt>
                <c:pt idx="55">
                  <c:v>51.344999999999999</c:v>
                </c:pt>
                <c:pt idx="56">
                  <c:v>51.151000000000003</c:v>
                </c:pt>
                <c:pt idx="57">
                  <c:v>52.642000000000003</c:v>
                </c:pt>
                <c:pt idx="58">
                  <c:v>51.689</c:v>
                </c:pt>
                <c:pt idx="59">
                  <c:v>51.927999999999997</c:v>
                </c:pt>
                <c:pt idx="60">
                  <c:v>53.735999999999997</c:v>
                </c:pt>
                <c:pt idx="61">
                  <c:v>54.046999999999997</c:v>
                </c:pt>
                <c:pt idx="62">
                  <c:v>54.654000000000003</c:v>
                </c:pt>
                <c:pt idx="63">
                  <c:v>55.99</c:v>
                </c:pt>
                <c:pt idx="64">
                  <c:v>55.034999999999997</c:v>
                </c:pt>
                <c:pt idx="65">
                  <c:v>55.110999999999997</c:v>
                </c:pt>
                <c:pt idx="66">
                  <c:v>56.103000000000002</c:v>
                </c:pt>
                <c:pt idx="67">
                  <c:v>57.234000000000002</c:v>
                </c:pt>
                <c:pt idx="68">
                  <c:v>58.505000000000003</c:v>
                </c:pt>
                <c:pt idx="69">
                  <c:v>57.182000000000002</c:v>
                </c:pt>
                <c:pt idx="70">
                  <c:v>54.771000000000001</c:v>
                </c:pt>
                <c:pt idx="71">
                  <c:v>51.046999999999997</c:v>
                </c:pt>
                <c:pt idx="72">
                  <c:v>51.220999999999997</c:v>
                </c:pt>
                <c:pt idx="73">
                  <c:v>52.158999999999999</c:v>
                </c:pt>
                <c:pt idx="74">
                  <c:v>51.878999999999998</c:v>
                </c:pt>
                <c:pt idx="75">
                  <c:v>51.378</c:v>
                </c:pt>
                <c:pt idx="76">
                  <c:v>50.368000000000002</c:v>
                </c:pt>
                <c:pt idx="77">
                  <c:v>51.122</c:v>
                </c:pt>
                <c:pt idx="78">
                  <c:v>50.344999999999999</c:v>
                </c:pt>
                <c:pt idx="79">
                  <c:v>50.805</c:v>
                </c:pt>
                <c:pt idx="80">
                  <c:v>47.213000000000001</c:v>
                </c:pt>
                <c:pt idx="81">
                  <c:v>43.904000000000003</c:v>
                </c:pt>
                <c:pt idx="82">
                  <c:v>40.927</c:v>
                </c:pt>
                <c:pt idx="83">
                  <c:v>41.222000000000001</c:v>
                </c:pt>
                <c:pt idx="84">
                  <c:v>41.564</c:v>
                </c:pt>
                <c:pt idx="85">
                  <c:v>41.573</c:v>
                </c:pt>
                <c:pt idx="86">
                  <c:v>42.179000000000002</c:v>
                </c:pt>
                <c:pt idx="87">
                  <c:v>42.768999999999998</c:v>
                </c:pt>
                <c:pt idx="88">
                  <c:v>40.776000000000003</c:v>
                </c:pt>
                <c:pt idx="89">
                  <c:v>41.56</c:v>
                </c:pt>
                <c:pt idx="90">
                  <c:v>41.201000000000001</c:v>
                </c:pt>
                <c:pt idx="91">
                  <c:v>41.744</c:v>
                </c:pt>
                <c:pt idx="92">
                  <c:v>43.143000000000001</c:v>
                </c:pt>
                <c:pt idx="93">
                  <c:v>43.320999999999998</c:v>
                </c:pt>
                <c:pt idx="94">
                  <c:v>43.241</c:v>
                </c:pt>
                <c:pt idx="95">
                  <c:v>40.518000000000001</c:v>
                </c:pt>
                <c:pt idx="96">
                  <c:v>41.271999999999998</c:v>
                </c:pt>
                <c:pt idx="97">
                  <c:v>43.081000000000003</c:v>
                </c:pt>
                <c:pt idx="98">
                  <c:v>44.244</c:v>
                </c:pt>
                <c:pt idx="99">
                  <c:v>42.305999999999997</c:v>
                </c:pt>
                <c:pt idx="100">
                  <c:v>39.899000000000001</c:v>
                </c:pt>
                <c:pt idx="101">
                  <c:v>38.531999999999996</c:v>
                </c:pt>
                <c:pt idx="102">
                  <c:v>37.968000000000004</c:v>
                </c:pt>
                <c:pt idx="103">
                  <c:v>37.595999999999997</c:v>
                </c:pt>
                <c:pt idx="104">
                  <c:v>35.686</c:v>
                </c:pt>
                <c:pt idx="105">
                  <c:v>36.234999999999999</c:v>
                </c:pt>
                <c:pt idx="106">
                  <c:v>36.581000000000003</c:v>
                </c:pt>
                <c:pt idx="107">
                  <c:v>35.738</c:v>
                </c:pt>
                <c:pt idx="108">
                  <c:v>34.479999999999997</c:v>
                </c:pt>
                <c:pt idx="109">
                  <c:v>32.722000000000001</c:v>
                </c:pt>
                <c:pt idx="110">
                  <c:v>35.92</c:v>
                </c:pt>
                <c:pt idx="111">
                  <c:v>35.677</c:v>
                </c:pt>
                <c:pt idx="112">
                  <c:v>37.877000000000002</c:v>
                </c:pt>
                <c:pt idx="113">
                  <c:v>38.472000000000001</c:v>
                </c:pt>
                <c:pt idx="114">
                  <c:v>39.951999999999998</c:v>
                </c:pt>
                <c:pt idx="115">
                  <c:v>40.838000000000001</c:v>
                </c:pt>
                <c:pt idx="116">
                  <c:v>41.881999999999998</c:v>
                </c:pt>
                <c:pt idx="117">
                  <c:v>43.436</c:v>
                </c:pt>
                <c:pt idx="118">
                  <c:v>44.531999999999996</c:v>
                </c:pt>
                <c:pt idx="119">
                  <c:v>42.356999999999999</c:v>
                </c:pt>
                <c:pt idx="120">
                  <c:v>42.756999999999998</c:v>
                </c:pt>
                <c:pt idx="121">
                  <c:v>43.143000000000001</c:v>
                </c:pt>
                <c:pt idx="122">
                  <c:v>41.69</c:v>
                </c:pt>
                <c:pt idx="123">
                  <c:v>42.527000000000001</c:v>
                </c:pt>
                <c:pt idx="124">
                  <c:v>41.606999999999999</c:v>
                </c:pt>
                <c:pt idx="125">
                  <c:v>40.646000000000001</c:v>
                </c:pt>
                <c:pt idx="126">
                  <c:v>41.429000000000002</c:v>
                </c:pt>
                <c:pt idx="127">
                  <c:v>40.590000000000003</c:v>
                </c:pt>
                <c:pt idx="128">
                  <c:v>40.033999999999999</c:v>
                </c:pt>
                <c:pt idx="129">
                  <c:v>41.738999999999997</c:v>
                </c:pt>
                <c:pt idx="130">
                  <c:v>40.563000000000002</c:v>
                </c:pt>
                <c:pt idx="131">
                  <c:v>40.093000000000004</c:v>
                </c:pt>
                <c:pt idx="132">
                  <c:v>38.466999999999999</c:v>
                </c:pt>
                <c:pt idx="133">
                  <c:v>37.710999999999999</c:v>
                </c:pt>
                <c:pt idx="134">
                  <c:v>37.191000000000003</c:v>
                </c:pt>
                <c:pt idx="135">
                  <c:v>35.822000000000003</c:v>
                </c:pt>
                <c:pt idx="136">
                  <c:v>34.771999999999998</c:v>
                </c:pt>
                <c:pt idx="137">
                  <c:v>35.771000000000001</c:v>
                </c:pt>
                <c:pt idx="138">
                  <c:v>36.392000000000003</c:v>
                </c:pt>
                <c:pt idx="139">
                  <c:v>36.694000000000003</c:v>
                </c:pt>
                <c:pt idx="140">
                  <c:v>38.500999999999998</c:v>
                </c:pt>
                <c:pt idx="141">
                  <c:v>37.798999999999999</c:v>
                </c:pt>
                <c:pt idx="142">
                  <c:v>38.497</c:v>
                </c:pt>
                <c:pt idx="143">
                  <c:v>38.784999999999997</c:v>
                </c:pt>
                <c:pt idx="144">
                  <c:v>37.484000000000002</c:v>
                </c:pt>
                <c:pt idx="145">
                  <c:v>38.218000000000004</c:v>
                </c:pt>
                <c:pt idx="146">
                  <c:v>38.085000000000001</c:v>
                </c:pt>
                <c:pt idx="147">
                  <c:v>36.061</c:v>
                </c:pt>
                <c:pt idx="148">
                  <c:v>37.965000000000003</c:v>
                </c:pt>
                <c:pt idx="149">
                  <c:v>38.067</c:v>
                </c:pt>
                <c:pt idx="150">
                  <c:v>38.993000000000002</c:v>
                </c:pt>
                <c:pt idx="151">
                  <c:v>39.01</c:v>
                </c:pt>
                <c:pt idx="152">
                  <c:v>37.664000000000001</c:v>
                </c:pt>
                <c:pt idx="153">
                  <c:v>35.869</c:v>
                </c:pt>
                <c:pt idx="154">
                  <c:v>36.107999999999997</c:v>
                </c:pt>
                <c:pt idx="155">
                  <c:v>35.856999999999999</c:v>
                </c:pt>
                <c:pt idx="156">
                  <c:v>33.302999999999997</c:v>
                </c:pt>
                <c:pt idx="157">
                  <c:v>33.424999999999997</c:v>
                </c:pt>
                <c:pt idx="158">
                  <c:v>32.343000000000004</c:v>
                </c:pt>
                <c:pt idx="159">
                  <c:v>29.331</c:v>
                </c:pt>
                <c:pt idx="160">
                  <c:v>29.626000000000001</c:v>
                </c:pt>
                <c:pt idx="161">
                  <c:v>27.988</c:v>
                </c:pt>
                <c:pt idx="162">
                  <c:v>26.895</c:v>
                </c:pt>
                <c:pt idx="163">
                  <c:v>26.943000000000001</c:v>
                </c:pt>
                <c:pt idx="164">
                  <c:v>26.366</c:v>
                </c:pt>
                <c:pt idx="165">
                  <c:v>25.86</c:v>
                </c:pt>
                <c:pt idx="166">
                  <c:v>26.355</c:v>
                </c:pt>
                <c:pt idx="167">
                  <c:v>26.062000000000001</c:v>
                </c:pt>
                <c:pt idx="168">
                  <c:v>25.782</c:v>
                </c:pt>
                <c:pt idx="169">
                  <c:v>24.831</c:v>
                </c:pt>
                <c:pt idx="170">
                  <c:v>23.585999999999999</c:v>
                </c:pt>
                <c:pt idx="171">
                  <c:v>23.85</c:v>
                </c:pt>
                <c:pt idx="172">
                  <c:v>23.244</c:v>
                </c:pt>
                <c:pt idx="173">
                  <c:v>22.125</c:v>
                </c:pt>
                <c:pt idx="174">
                  <c:v>21.805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C-4D8F-9239-F44FCA6224F2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data_co2_incLUC!$F$3:$F$177</c:f>
              <c:numCache>
                <c:formatCode>0.0</c:formatCode>
                <c:ptCount val="175"/>
                <c:pt idx="0">
                  <c:v>9.3870000000000005</c:v>
                </c:pt>
                <c:pt idx="1">
                  <c:v>9.5760000000000005</c:v>
                </c:pt>
                <c:pt idx="2">
                  <c:v>16.299999999999997</c:v>
                </c:pt>
                <c:pt idx="3">
                  <c:v>17.114000000000004</c:v>
                </c:pt>
                <c:pt idx="4">
                  <c:v>18.481999999999999</c:v>
                </c:pt>
                <c:pt idx="5">
                  <c:v>20.163999999999994</c:v>
                </c:pt>
                <c:pt idx="6">
                  <c:v>20.71</c:v>
                </c:pt>
                <c:pt idx="7">
                  <c:v>20.719000000000001</c:v>
                </c:pt>
                <c:pt idx="8">
                  <c:v>20.613999999999997</c:v>
                </c:pt>
                <c:pt idx="9">
                  <c:v>20.446999999999996</c:v>
                </c:pt>
                <c:pt idx="10">
                  <c:v>20.210999999999999</c:v>
                </c:pt>
                <c:pt idx="11">
                  <c:v>20.021000000000001</c:v>
                </c:pt>
                <c:pt idx="12">
                  <c:v>16.241</c:v>
                </c:pt>
                <c:pt idx="13">
                  <c:v>15.585000000000001</c:v>
                </c:pt>
                <c:pt idx="14">
                  <c:v>16.271999999999998</c:v>
                </c:pt>
                <c:pt idx="15">
                  <c:v>15.785999999999994</c:v>
                </c:pt>
                <c:pt idx="16">
                  <c:v>16.182000000000002</c:v>
                </c:pt>
                <c:pt idx="17">
                  <c:v>15.087999999999994</c:v>
                </c:pt>
                <c:pt idx="18">
                  <c:v>15.145000000000003</c:v>
                </c:pt>
                <c:pt idx="19">
                  <c:v>15.567</c:v>
                </c:pt>
                <c:pt idx="20">
                  <c:v>12.689</c:v>
                </c:pt>
                <c:pt idx="21">
                  <c:v>9.2980000000000018</c:v>
                </c:pt>
                <c:pt idx="22">
                  <c:v>13.656999999999996</c:v>
                </c:pt>
                <c:pt idx="23">
                  <c:v>12.616</c:v>
                </c:pt>
                <c:pt idx="24">
                  <c:v>12.481000000000002</c:v>
                </c:pt>
                <c:pt idx="25">
                  <c:v>12.004000000000005</c:v>
                </c:pt>
                <c:pt idx="26">
                  <c:v>11.671000000000006</c:v>
                </c:pt>
                <c:pt idx="27">
                  <c:v>11.792999999999999</c:v>
                </c:pt>
                <c:pt idx="28">
                  <c:v>11.546999999999997</c:v>
                </c:pt>
                <c:pt idx="29">
                  <c:v>11.317999999999991</c:v>
                </c:pt>
                <c:pt idx="30">
                  <c:v>14.649000000000001</c:v>
                </c:pt>
                <c:pt idx="31">
                  <c:v>14.144999999999996</c:v>
                </c:pt>
                <c:pt idx="32">
                  <c:v>12.189</c:v>
                </c:pt>
                <c:pt idx="33">
                  <c:v>11.948</c:v>
                </c:pt>
                <c:pt idx="34">
                  <c:v>11.995000000000005</c:v>
                </c:pt>
                <c:pt idx="35">
                  <c:v>12.082000000000001</c:v>
                </c:pt>
                <c:pt idx="36">
                  <c:v>11.849000000000004</c:v>
                </c:pt>
                <c:pt idx="37">
                  <c:v>11.579000000000001</c:v>
                </c:pt>
                <c:pt idx="38">
                  <c:v>11.635000000000005</c:v>
                </c:pt>
                <c:pt idx="39">
                  <c:v>12.069000000000003</c:v>
                </c:pt>
                <c:pt idx="40">
                  <c:v>12.880000000000003</c:v>
                </c:pt>
                <c:pt idx="41">
                  <c:v>13.061</c:v>
                </c:pt>
                <c:pt idx="42">
                  <c:v>13.351999999999997</c:v>
                </c:pt>
                <c:pt idx="43">
                  <c:v>12.854999999999997</c:v>
                </c:pt>
                <c:pt idx="44">
                  <c:v>12.583999999999996</c:v>
                </c:pt>
                <c:pt idx="45">
                  <c:v>12.398000000000003</c:v>
                </c:pt>
                <c:pt idx="46">
                  <c:v>12.102000000000004</c:v>
                </c:pt>
                <c:pt idx="47">
                  <c:v>12.299999999999997</c:v>
                </c:pt>
                <c:pt idx="48">
                  <c:v>11.941000000000003</c:v>
                </c:pt>
                <c:pt idx="49">
                  <c:v>11.874000000000002</c:v>
                </c:pt>
                <c:pt idx="50">
                  <c:v>12.709000000000003</c:v>
                </c:pt>
                <c:pt idx="51">
                  <c:v>11.010000000000005</c:v>
                </c:pt>
                <c:pt idx="52">
                  <c:v>9.1350000000000051</c:v>
                </c:pt>
                <c:pt idx="53">
                  <c:v>9.1910000000000025</c:v>
                </c:pt>
                <c:pt idx="54">
                  <c:v>8.7310000000000016</c:v>
                </c:pt>
                <c:pt idx="55">
                  <c:v>9.0410000000000039</c:v>
                </c:pt>
                <c:pt idx="56">
                  <c:v>8.93</c:v>
                </c:pt>
                <c:pt idx="57">
                  <c:v>8.875</c:v>
                </c:pt>
                <c:pt idx="58">
                  <c:v>8.5020000000000024</c:v>
                </c:pt>
                <c:pt idx="59">
                  <c:v>8.152000000000001</c:v>
                </c:pt>
                <c:pt idx="60">
                  <c:v>7.4640000000000057</c:v>
                </c:pt>
                <c:pt idx="61">
                  <c:v>6.7120000000000033</c:v>
                </c:pt>
                <c:pt idx="62">
                  <c:v>6.1019999999999968</c:v>
                </c:pt>
                <c:pt idx="63">
                  <c:v>5.4789999999999992</c:v>
                </c:pt>
                <c:pt idx="64">
                  <c:v>5.3030000000000044</c:v>
                </c:pt>
                <c:pt idx="65">
                  <c:v>5.3540000000000063</c:v>
                </c:pt>
                <c:pt idx="66">
                  <c:v>5.1890000000000001</c:v>
                </c:pt>
                <c:pt idx="67">
                  <c:v>4.4339999999999975</c:v>
                </c:pt>
                <c:pt idx="68">
                  <c:v>3.8699999999999974</c:v>
                </c:pt>
                <c:pt idx="69">
                  <c:v>3.4259999999999948</c:v>
                </c:pt>
                <c:pt idx="70">
                  <c:v>6.9200000000000017</c:v>
                </c:pt>
                <c:pt idx="71">
                  <c:v>5.6140000000000043</c:v>
                </c:pt>
                <c:pt idx="72">
                  <c:v>5.6880000000000024</c:v>
                </c:pt>
                <c:pt idx="73">
                  <c:v>6.5080000000000027</c:v>
                </c:pt>
                <c:pt idx="74">
                  <c:v>6.4560000000000031</c:v>
                </c:pt>
                <c:pt idx="75">
                  <c:v>6.4690000000000012</c:v>
                </c:pt>
                <c:pt idx="76">
                  <c:v>6.705999999999996</c:v>
                </c:pt>
                <c:pt idx="77">
                  <c:v>7.2650000000000006</c:v>
                </c:pt>
                <c:pt idx="78">
                  <c:v>7.2730000000000032</c:v>
                </c:pt>
                <c:pt idx="79">
                  <c:v>8.2079999999999984</c:v>
                </c:pt>
                <c:pt idx="80">
                  <c:v>10.972999999999999</c:v>
                </c:pt>
                <c:pt idx="81">
                  <c:v>11.162999999999997</c:v>
                </c:pt>
                <c:pt idx="82">
                  <c:v>9.0039999999999978</c:v>
                </c:pt>
                <c:pt idx="83">
                  <c:v>9.2890000000000015</c:v>
                </c:pt>
                <c:pt idx="84">
                  <c:v>9.4840000000000018</c:v>
                </c:pt>
                <c:pt idx="85">
                  <c:v>9.7629999999999981</c:v>
                </c:pt>
                <c:pt idx="86">
                  <c:v>9.7040000000000006</c:v>
                </c:pt>
                <c:pt idx="87">
                  <c:v>9.8840000000000003</c:v>
                </c:pt>
                <c:pt idx="88">
                  <c:v>9.8879999999999981</c:v>
                </c:pt>
                <c:pt idx="89">
                  <c:v>10.056999999999995</c:v>
                </c:pt>
                <c:pt idx="90">
                  <c:v>9.8939999999999984</c:v>
                </c:pt>
                <c:pt idx="91">
                  <c:v>9.6499999999999986</c:v>
                </c:pt>
                <c:pt idx="92">
                  <c:v>10.061999999999998</c:v>
                </c:pt>
                <c:pt idx="93">
                  <c:v>9.4669999999999987</c:v>
                </c:pt>
                <c:pt idx="94">
                  <c:v>8.9819999999999993</c:v>
                </c:pt>
                <c:pt idx="95">
                  <c:v>8.7620000000000005</c:v>
                </c:pt>
                <c:pt idx="96">
                  <c:v>8.3230000000000004</c:v>
                </c:pt>
                <c:pt idx="97">
                  <c:v>7.8769999999999953</c:v>
                </c:pt>
                <c:pt idx="98">
                  <c:v>7.6139999999999972</c:v>
                </c:pt>
                <c:pt idx="99">
                  <c:v>7.382000000000005</c:v>
                </c:pt>
                <c:pt idx="100">
                  <c:v>8.7620000000000005</c:v>
                </c:pt>
                <c:pt idx="101">
                  <c:v>8.7910000000000039</c:v>
                </c:pt>
                <c:pt idx="102">
                  <c:v>8.4499999999999957</c:v>
                </c:pt>
                <c:pt idx="103">
                  <c:v>8.5620000000000047</c:v>
                </c:pt>
                <c:pt idx="104">
                  <c:v>8.8909999999999982</c:v>
                </c:pt>
                <c:pt idx="105">
                  <c:v>8.4320000000000022</c:v>
                </c:pt>
                <c:pt idx="106">
                  <c:v>8.1359999999999957</c:v>
                </c:pt>
                <c:pt idx="107">
                  <c:v>7.9399999999999977</c:v>
                </c:pt>
                <c:pt idx="108">
                  <c:v>7.1240000000000023</c:v>
                </c:pt>
                <c:pt idx="109">
                  <c:v>7.713000000000001</c:v>
                </c:pt>
                <c:pt idx="110">
                  <c:v>5.1689999999999969</c:v>
                </c:pt>
                <c:pt idx="111">
                  <c:v>5.982999999999997</c:v>
                </c:pt>
                <c:pt idx="112">
                  <c:v>5.3919999999999959</c:v>
                </c:pt>
                <c:pt idx="113">
                  <c:v>5.0459999999999994</c:v>
                </c:pt>
                <c:pt idx="114">
                  <c:v>4.1400000000000006</c:v>
                </c:pt>
                <c:pt idx="115">
                  <c:v>3.8819999999999979</c:v>
                </c:pt>
                <c:pt idx="116">
                  <c:v>3.5160000000000053</c:v>
                </c:pt>
                <c:pt idx="117">
                  <c:v>3.1929999999999978</c:v>
                </c:pt>
                <c:pt idx="118">
                  <c:v>2.6840000000000046</c:v>
                </c:pt>
                <c:pt idx="119">
                  <c:v>4.1370000000000005</c:v>
                </c:pt>
                <c:pt idx="120">
                  <c:v>3.0020000000000024</c:v>
                </c:pt>
                <c:pt idx="121">
                  <c:v>3.0499999999999972</c:v>
                </c:pt>
                <c:pt idx="122">
                  <c:v>4.5670000000000002</c:v>
                </c:pt>
                <c:pt idx="123">
                  <c:v>3.786999999999999</c:v>
                </c:pt>
                <c:pt idx="124">
                  <c:v>3.4919999999999973</c:v>
                </c:pt>
                <c:pt idx="125">
                  <c:v>2.8449999999999989</c:v>
                </c:pt>
                <c:pt idx="126">
                  <c:v>2.2929999999999993</c:v>
                </c:pt>
                <c:pt idx="127">
                  <c:v>2.5339999999999989</c:v>
                </c:pt>
                <c:pt idx="128">
                  <c:v>2.6180000000000021</c:v>
                </c:pt>
                <c:pt idx="129">
                  <c:v>1.5519999999999996</c:v>
                </c:pt>
                <c:pt idx="130">
                  <c:v>1.7819999999999965</c:v>
                </c:pt>
                <c:pt idx="131">
                  <c:v>1.6499999999999986</c:v>
                </c:pt>
                <c:pt idx="132">
                  <c:v>1.7800000000000011</c:v>
                </c:pt>
                <c:pt idx="133">
                  <c:v>1.6920000000000002</c:v>
                </c:pt>
                <c:pt idx="134">
                  <c:v>1.8840000000000003</c:v>
                </c:pt>
                <c:pt idx="135">
                  <c:v>1.820999999999998</c:v>
                </c:pt>
                <c:pt idx="136">
                  <c:v>2.1340000000000003</c:v>
                </c:pt>
                <c:pt idx="137">
                  <c:v>1.4909999999999997</c:v>
                </c:pt>
                <c:pt idx="138">
                  <c:v>1.0619999999999976</c:v>
                </c:pt>
                <c:pt idx="139">
                  <c:v>1.2189999999999941</c:v>
                </c:pt>
                <c:pt idx="140">
                  <c:v>2.1300000000000026</c:v>
                </c:pt>
                <c:pt idx="141">
                  <c:v>2.0619999999999976</c:v>
                </c:pt>
                <c:pt idx="142">
                  <c:v>2.3890000000000029</c:v>
                </c:pt>
                <c:pt idx="143">
                  <c:v>2.1180000000000021</c:v>
                </c:pt>
                <c:pt idx="144">
                  <c:v>8.9859999999999971</c:v>
                </c:pt>
                <c:pt idx="145">
                  <c:v>6.661999999999999</c:v>
                </c:pt>
                <c:pt idx="146">
                  <c:v>7.4969999999999999</c:v>
                </c:pt>
                <c:pt idx="147">
                  <c:v>9.2860000000000014</c:v>
                </c:pt>
                <c:pt idx="148">
                  <c:v>8.1009999999999991</c:v>
                </c:pt>
                <c:pt idx="149">
                  <c:v>8.7509999999999977</c:v>
                </c:pt>
                <c:pt idx="150">
                  <c:v>8.7899999999999991</c:v>
                </c:pt>
                <c:pt idx="151">
                  <c:v>8.0519999999999996</c:v>
                </c:pt>
                <c:pt idx="152">
                  <c:v>7.7239999999999966</c:v>
                </c:pt>
                <c:pt idx="153">
                  <c:v>5.7349999999999994</c:v>
                </c:pt>
                <c:pt idx="154">
                  <c:v>4.0110000000000028</c:v>
                </c:pt>
                <c:pt idx="155">
                  <c:v>4.0870000000000033</c:v>
                </c:pt>
                <c:pt idx="156">
                  <c:v>5.7460000000000022</c:v>
                </c:pt>
                <c:pt idx="157">
                  <c:v>5.6700000000000017</c:v>
                </c:pt>
                <c:pt idx="158">
                  <c:v>4.8169999999999931</c:v>
                </c:pt>
                <c:pt idx="159">
                  <c:v>6.4640000000000022</c:v>
                </c:pt>
                <c:pt idx="160">
                  <c:v>5.9559999999999995</c:v>
                </c:pt>
                <c:pt idx="161">
                  <c:v>3.9989999999999988</c:v>
                </c:pt>
                <c:pt idx="162">
                  <c:v>3.527000000000001</c:v>
                </c:pt>
                <c:pt idx="163">
                  <c:v>4.1069999999999993</c:v>
                </c:pt>
                <c:pt idx="164">
                  <c:v>3.625</c:v>
                </c:pt>
                <c:pt idx="165">
                  <c:v>2.8449999999999989</c:v>
                </c:pt>
                <c:pt idx="166">
                  <c:v>2.0060000000000002</c:v>
                </c:pt>
                <c:pt idx="167">
                  <c:v>2.0449999999999982</c:v>
                </c:pt>
                <c:pt idx="168">
                  <c:v>2.2809999999999988</c:v>
                </c:pt>
                <c:pt idx="169">
                  <c:v>1.9390000000000001</c:v>
                </c:pt>
                <c:pt idx="170">
                  <c:v>1.9140000000000015</c:v>
                </c:pt>
                <c:pt idx="171">
                  <c:v>0.99699999999999989</c:v>
                </c:pt>
                <c:pt idx="172">
                  <c:v>0.89000000000000057</c:v>
                </c:pt>
                <c:pt idx="173">
                  <c:v>0.63599999999999923</c:v>
                </c:pt>
                <c:pt idx="174">
                  <c:v>2.5199999999999996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C-4D8F-9239-F44FCA6224F2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6.3000000000002387E-2</c:v>
                </c:pt>
                <c:pt idx="7">
                  <c:v>0.49399999999999977</c:v>
                </c:pt>
                <c:pt idx="8">
                  <c:v>0.69700000000000273</c:v>
                </c:pt>
                <c:pt idx="9">
                  <c:v>1.1270000000000024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1.5429999999999993</c:v>
                </c:pt>
                <c:pt idx="148">
                  <c:v>0</c:v>
                </c:pt>
                <c:pt idx="149">
                  <c:v>0</c:v>
                </c:pt>
                <c:pt idx="150">
                  <c:v>0.26500000000000057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AC-4D8F-9239-F44FCA6224F2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data_co2_incLUC!$H$3:$H$177</c:f>
              <c:numCache>
                <c:formatCode>0.0</c:formatCode>
                <c:ptCount val="175"/>
                <c:pt idx="0">
                  <c:v>12.744</c:v>
                </c:pt>
                <c:pt idx="1">
                  <c:v>11.825000000000003</c:v>
                </c:pt>
                <c:pt idx="2">
                  <c:v>5.4209999999999994</c:v>
                </c:pt>
                <c:pt idx="3">
                  <c:v>3.6979999999999933</c:v>
                </c:pt>
                <c:pt idx="4">
                  <c:v>2.5410000000000039</c:v>
                </c:pt>
                <c:pt idx="5">
                  <c:v>0.61200000000000188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1.169000000000004</c:v>
                </c:pt>
                <c:pt idx="11">
                  <c:v>2.25</c:v>
                </c:pt>
                <c:pt idx="12">
                  <c:v>5.3649999999999949</c:v>
                </c:pt>
                <c:pt idx="13">
                  <c:v>5.4679999999999964</c:v>
                </c:pt>
                <c:pt idx="14">
                  <c:v>5.7520000000000024</c:v>
                </c:pt>
                <c:pt idx="15">
                  <c:v>5.8800000000000097</c:v>
                </c:pt>
                <c:pt idx="16">
                  <c:v>6.4869999999999948</c:v>
                </c:pt>
                <c:pt idx="17">
                  <c:v>6.3109999999999999</c:v>
                </c:pt>
                <c:pt idx="18">
                  <c:v>6.8669999999999973</c:v>
                </c:pt>
                <c:pt idx="19">
                  <c:v>6.5080000000000027</c:v>
                </c:pt>
                <c:pt idx="20">
                  <c:v>7.7550000000000026</c:v>
                </c:pt>
                <c:pt idx="21">
                  <c:v>9.8600000000000065</c:v>
                </c:pt>
                <c:pt idx="22">
                  <c:v>5.7689999999999984</c:v>
                </c:pt>
                <c:pt idx="23">
                  <c:v>6.2040000000000077</c:v>
                </c:pt>
                <c:pt idx="24">
                  <c:v>6.7630000000000052</c:v>
                </c:pt>
                <c:pt idx="25">
                  <c:v>6.6259999999999906</c:v>
                </c:pt>
                <c:pt idx="26">
                  <c:v>6.921999999999997</c:v>
                </c:pt>
                <c:pt idx="27">
                  <c:v>6.7009999999999934</c:v>
                </c:pt>
                <c:pt idx="28">
                  <c:v>7.0260000000000105</c:v>
                </c:pt>
                <c:pt idx="29">
                  <c:v>7.1330000000000098</c:v>
                </c:pt>
                <c:pt idx="30">
                  <c:v>5.7469999999999999</c:v>
                </c:pt>
                <c:pt idx="31">
                  <c:v>6.2420000000000044</c:v>
                </c:pt>
                <c:pt idx="32">
                  <c:v>8.4550000000000054</c:v>
                </c:pt>
                <c:pt idx="33">
                  <c:v>8.7560000000000002</c:v>
                </c:pt>
                <c:pt idx="34">
                  <c:v>9.2880000000000038</c:v>
                </c:pt>
                <c:pt idx="35">
                  <c:v>9.6239999999999952</c:v>
                </c:pt>
                <c:pt idx="36">
                  <c:v>9.4620000000000033</c:v>
                </c:pt>
                <c:pt idx="37">
                  <c:v>9.2289999999999921</c:v>
                </c:pt>
                <c:pt idx="38">
                  <c:v>9.073999999999991</c:v>
                </c:pt>
                <c:pt idx="39">
                  <c:v>8.8390000000000057</c:v>
                </c:pt>
                <c:pt idx="40">
                  <c:v>8.5499999999999972</c:v>
                </c:pt>
                <c:pt idx="41">
                  <c:v>8.4809999999999945</c:v>
                </c:pt>
                <c:pt idx="42">
                  <c:v>8.4789999999999992</c:v>
                </c:pt>
                <c:pt idx="43">
                  <c:v>8.5260000000000034</c:v>
                </c:pt>
                <c:pt idx="44">
                  <c:v>9.3050000000000068</c:v>
                </c:pt>
                <c:pt idx="45">
                  <c:v>8.9949999999999974</c:v>
                </c:pt>
                <c:pt idx="46">
                  <c:v>9.017000000000003</c:v>
                </c:pt>
                <c:pt idx="47">
                  <c:v>8.8530000000000015</c:v>
                </c:pt>
                <c:pt idx="48">
                  <c:v>9.1569999999999965</c:v>
                </c:pt>
                <c:pt idx="49">
                  <c:v>8.7740000000000009</c:v>
                </c:pt>
                <c:pt idx="50">
                  <c:v>8.644999999999996</c:v>
                </c:pt>
                <c:pt idx="51">
                  <c:v>10.744999999999997</c:v>
                </c:pt>
                <c:pt idx="52">
                  <c:v>10.372999999999998</c:v>
                </c:pt>
                <c:pt idx="53">
                  <c:v>8.9880000000000067</c:v>
                </c:pt>
                <c:pt idx="54">
                  <c:v>8.1809999999999974</c:v>
                </c:pt>
                <c:pt idx="55">
                  <c:v>6.6679999999999993</c:v>
                </c:pt>
                <c:pt idx="56">
                  <c:v>5.762999999999991</c:v>
                </c:pt>
                <c:pt idx="57">
                  <c:v>5.5320000000000036</c:v>
                </c:pt>
                <c:pt idx="58">
                  <c:v>5.6009999999999991</c:v>
                </c:pt>
                <c:pt idx="59">
                  <c:v>5.9099999999999966</c:v>
                </c:pt>
                <c:pt idx="60">
                  <c:v>5.1550000000000011</c:v>
                </c:pt>
                <c:pt idx="61">
                  <c:v>7.7079999999999984</c:v>
                </c:pt>
                <c:pt idx="62">
                  <c:v>8.8029999999999973</c:v>
                </c:pt>
                <c:pt idx="63">
                  <c:v>10.374999999999993</c:v>
                </c:pt>
                <c:pt idx="64">
                  <c:v>9.7719999999999985</c:v>
                </c:pt>
                <c:pt idx="65">
                  <c:v>8.8789999999999907</c:v>
                </c:pt>
                <c:pt idx="66">
                  <c:v>8.7909999999999968</c:v>
                </c:pt>
                <c:pt idx="67">
                  <c:v>7.9310000000000045</c:v>
                </c:pt>
                <c:pt idx="68">
                  <c:v>6.9519999999999982</c:v>
                </c:pt>
                <c:pt idx="69">
                  <c:v>5.93</c:v>
                </c:pt>
                <c:pt idx="70">
                  <c:v>4.4890000000000043</c:v>
                </c:pt>
                <c:pt idx="71">
                  <c:v>6.7890000000000015</c:v>
                </c:pt>
                <c:pt idx="72">
                  <c:v>6.5930000000000035</c:v>
                </c:pt>
                <c:pt idx="73">
                  <c:v>5.5999999999999943</c:v>
                </c:pt>
                <c:pt idx="74">
                  <c:v>5.2119999999999962</c:v>
                </c:pt>
                <c:pt idx="75">
                  <c:v>5.8429999999999964</c:v>
                </c:pt>
                <c:pt idx="76">
                  <c:v>6.1189999999999998</c:v>
                </c:pt>
                <c:pt idx="77">
                  <c:v>5.6039999999999992</c:v>
                </c:pt>
                <c:pt idx="78">
                  <c:v>5.786999999999999</c:v>
                </c:pt>
                <c:pt idx="79">
                  <c:v>5.2959999999999994</c:v>
                </c:pt>
                <c:pt idx="80">
                  <c:v>5.1659999999999968</c:v>
                </c:pt>
                <c:pt idx="81">
                  <c:v>6.6580000000000013</c:v>
                </c:pt>
                <c:pt idx="82">
                  <c:v>10.100000000000001</c:v>
                </c:pt>
                <c:pt idx="83">
                  <c:v>9.8239999999999981</c:v>
                </c:pt>
                <c:pt idx="84">
                  <c:v>9.8269999999999982</c:v>
                </c:pt>
                <c:pt idx="85">
                  <c:v>10.183</c:v>
                </c:pt>
                <c:pt idx="86">
                  <c:v>10.491999999999997</c:v>
                </c:pt>
                <c:pt idx="87">
                  <c:v>10.119</c:v>
                </c:pt>
                <c:pt idx="88">
                  <c:v>11.174999999999997</c:v>
                </c:pt>
                <c:pt idx="89">
                  <c:v>10.689</c:v>
                </c:pt>
                <c:pt idx="90">
                  <c:v>7.7629999999999981</c:v>
                </c:pt>
                <c:pt idx="91">
                  <c:v>5.527000000000001</c:v>
                </c:pt>
                <c:pt idx="92">
                  <c:v>2.4420000000000002</c:v>
                </c:pt>
                <c:pt idx="93">
                  <c:v>2.1450000000000031</c:v>
                </c:pt>
                <c:pt idx="94">
                  <c:v>1.911999999999999</c:v>
                </c:pt>
                <c:pt idx="95">
                  <c:v>0.94999999999999574</c:v>
                </c:pt>
                <c:pt idx="96">
                  <c:v>1.0459999999999994</c:v>
                </c:pt>
                <c:pt idx="97">
                  <c:v>0.80300000000000438</c:v>
                </c:pt>
                <c:pt idx="98">
                  <c:v>0.46500000000000341</c:v>
                </c:pt>
                <c:pt idx="99">
                  <c:v>0.74699999999999989</c:v>
                </c:pt>
                <c:pt idx="100">
                  <c:v>0.77400000000000091</c:v>
                </c:pt>
                <c:pt idx="101">
                  <c:v>1.5640000000000001</c:v>
                </c:pt>
                <c:pt idx="102">
                  <c:v>2.7580000000000027</c:v>
                </c:pt>
                <c:pt idx="103">
                  <c:v>3.4179999999999993</c:v>
                </c:pt>
                <c:pt idx="104">
                  <c:v>3.6510000000000034</c:v>
                </c:pt>
                <c:pt idx="105">
                  <c:v>4.6569999999999965</c:v>
                </c:pt>
                <c:pt idx="106">
                  <c:v>5.4560000000000031</c:v>
                </c:pt>
                <c:pt idx="107">
                  <c:v>6.213000000000001</c:v>
                </c:pt>
                <c:pt idx="108">
                  <c:v>7.5829999999999984</c:v>
                </c:pt>
                <c:pt idx="109">
                  <c:v>9.1920000000000002</c:v>
                </c:pt>
                <c:pt idx="110">
                  <c:v>10.688000000000002</c:v>
                </c:pt>
                <c:pt idx="111">
                  <c:v>10.293000000000006</c:v>
                </c:pt>
                <c:pt idx="112">
                  <c:v>9.7439999999999998</c:v>
                </c:pt>
                <c:pt idx="113">
                  <c:v>10.274999999999999</c:v>
                </c:pt>
                <c:pt idx="114">
                  <c:v>11.36</c:v>
                </c:pt>
                <c:pt idx="115">
                  <c:v>11.734000000000002</c:v>
                </c:pt>
                <c:pt idx="116">
                  <c:v>12.311</c:v>
                </c:pt>
                <c:pt idx="117">
                  <c:v>14.026000000000003</c:v>
                </c:pt>
                <c:pt idx="118">
                  <c:v>14.994</c:v>
                </c:pt>
                <c:pt idx="119">
                  <c:v>11.183999999999997</c:v>
                </c:pt>
                <c:pt idx="120">
                  <c:v>13.210999999999999</c:v>
                </c:pt>
                <c:pt idx="121">
                  <c:v>13.086000000000006</c:v>
                </c:pt>
                <c:pt idx="122">
                  <c:v>11.081000000000003</c:v>
                </c:pt>
                <c:pt idx="123">
                  <c:v>12.255000000000003</c:v>
                </c:pt>
                <c:pt idx="124">
                  <c:v>12.966000000000001</c:v>
                </c:pt>
                <c:pt idx="125">
                  <c:v>14.456000000000003</c:v>
                </c:pt>
                <c:pt idx="126">
                  <c:v>15.232999999999997</c:v>
                </c:pt>
                <c:pt idx="127">
                  <c:v>14.418999999999997</c:v>
                </c:pt>
                <c:pt idx="128">
                  <c:v>14.594999999999999</c:v>
                </c:pt>
                <c:pt idx="129">
                  <c:v>15.832000000000001</c:v>
                </c:pt>
                <c:pt idx="130">
                  <c:v>16.625999999999998</c:v>
                </c:pt>
                <c:pt idx="131">
                  <c:v>16.14</c:v>
                </c:pt>
                <c:pt idx="132">
                  <c:v>16.872999999999998</c:v>
                </c:pt>
                <c:pt idx="133">
                  <c:v>16.863</c:v>
                </c:pt>
                <c:pt idx="134">
                  <c:v>15.837999999999994</c:v>
                </c:pt>
                <c:pt idx="135">
                  <c:v>16.327999999999996</c:v>
                </c:pt>
                <c:pt idx="136">
                  <c:v>15.850000000000001</c:v>
                </c:pt>
                <c:pt idx="137">
                  <c:v>16.400999999999996</c:v>
                </c:pt>
                <c:pt idx="138">
                  <c:v>16.628999999999998</c:v>
                </c:pt>
                <c:pt idx="139">
                  <c:v>15.721000000000004</c:v>
                </c:pt>
                <c:pt idx="140">
                  <c:v>15.212000000000003</c:v>
                </c:pt>
                <c:pt idx="141">
                  <c:v>13.155000000000001</c:v>
                </c:pt>
                <c:pt idx="142">
                  <c:v>10.795999999999999</c:v>
                </c:pt>
                <c:pt idx="143">
                  <c:v>9.2250000000000014</c:v>
                </c:pt>
                <c:pt idx="144">
                  <c:v>2.1769999999999996</c:v>
                </c:pt>
                <c:pt idx="145">
                  <c:v>3.9359999999999999</c:v>
                </c:pt>
                <c:pt idx="146">
                  <c:v>4.0519999999999996</c:v>
                </c:pt>
                <c:pt idx="147">
                  <c:v>0</c:v>
                </c:pt>
                <c:pt idx="148">
                  <c:v>1.3979999999999961</c:v>
                </c:pt>
                <c:pt idx="149">
                  <c:v>0.5800000000000054</c:v>
                </c:pt>
                <c:pt idx="150">
                  <c:v>0</c:v>
                </c:pt>
                <c:pt idx="151">
                  <c:v>0.94500000000000028</c:v>
                </c:pt>
                <c:pt idx="152">
                  <c:v>0.65500000000000114</c:v>
                </c:pt>
                <c:pt idx="153">
                  <c:v>2.4759999999999991</c:v>
                </c:pt>
                <c:pt idx="154">
                  <c:v>3.5990000000000038</c:v>
                </c:pt>
                <c:pt idx="155">
                  <c:v>3.9269999999999996</c:v>
                </c:pt>
                <c:pt idx="156">
                  <c:v>2.6259999999999977</c:v>
                </c:pt>
                <c:pt idx="157">
                  <c:v>2.9980000000000047</c:v>
                </c:pt>
                <c:pt idx="158">
                  <c:v>3.4359999999999999</c:v>
                </c:pt>
                <c:pt idx="159">
                  <c:v>1.8879999999999981</c:v>
                </c:pt>
                <c:pt idx="160">
                  <c:v>2.6880000000000024</c:v>
                </c:pt>
                <c:pt idx="161">
                  <c:v>3.9319999999999986</c:v>
                </c:pt>
                <c:pt idx="162">
                  <c:v>4.9839999999999982</c:v>
                </c:pt>
                <c:pt idx="163">
                  <c:v>3.801999999999996</c:v>
                </c:pt>
                <c:pt idx="164">
                  <c:v>3.7999999999999972</c:v>
                </c:pt>
                <c:pt idx="165">
                  <c:v>4.9650000000000034</c:v>
                </c:pt>
                <c:pt idx="166">
                  <c:v>5.5470000000000006</c:v>
                </c:pt>
                <c:pt idx="167">
                  <c:v>5.3639999999999972</c:v>
                </c:pt>
                <c:pt idx="168">
                  <c:v>5.7639999999999993</c:v>
                </c:pt>
                <c:pt idx="169">
                  <c:v>5.8210000000000015</c:v>
                </c:pt>
                <c:pt idx="170">
                  <c:v>5.3419999999999987</c:v>
                </c:pt>
                <c:pt idx="171">
                  <c:v>6.3569999999999993</c:v>
                </c:pt>
                <c:pt idx="172">
                  <c:v>4.5620000000000012</c:v>
                </c:pt>
                <c:pt idx="173">
                  <c:v>4.4819999999999993</c:v>
                </c:pt>
                <c:pt idx="174">
                  <c:v>5.1410000000000018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AC-4D8F-9239-F44FCA6224F2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data_co2_incLUC!$Q$3:$Q$177</c:f>
              <c:numCache>
                <c:formatCode>0.0</c:formatCode>
                <c:ptCount val="175"/>
                <c:pt idx="0">
                  <c:v>2.0039999999999978</c:v>
                </c:pt>
                <c:pt idx="1">
                  <c:v>3.6899999999999977</c:v>
                </c:pt>
                <c:pt idx="2">
                  <c:v>9.0589999999999975</c:v>
                </c:pt>
                <c:pt idx="3">
                  <c:v>10.817000000000007</c:v>
                </c:pt>
                <c:pt idx="4">
                  <c:v>11.847000000000001</c:v>
                </c:pt>
                <c:pt idx="5">
                  <c:v>13.899999999999999</c:v>
                </c:pt>
                <c:pt idx="6">
                  <c:v>14.353999999999999</c:v>
                </c:pt>
                <c:pt idx="7">
                  <c:v>14.283000000000001</c:v>
                </c:pt>
                <c:pt idx="8">
                  <c:v>14.229999999999997</c:v>
                </c:pt>
                <c:pt idx="9">
                  <c:v>14.050000000000004</c:v>
                </c:pt>
                <c:pt idx="10">
                  <c:v>12.688999999999993</c:v>
                </c:pt>
                <c:pt idx="11">
                  <c:v>11.899999999999999</c:v>
                </c:pt>
                <c:pt idx="12">
                  <c:v>9.0060000000000002</c:v>
                </c:pt>
                <c:pt idx="13">
                  <c:v>8.9470000000000027</c:v>
                </c:pt>
                <c:pt idx="14">
                  <c:v>8.6089999999999947</c:v>
                </c:pt>
                <c:pt idx="15">
                  <c:v>8.4499999999999886</c:v>
                </c:pt>
                <c:pt idx="16">
                  <c:v>7.8840000000000003</c:v>
                </c:pt>
                <c:pt idx="17">
                  <c:v>8.0210000000000008</c:v>
                </c:pt>
                <c:pt idx="18">
                  <c:v>7.5289999999999964</c:v>
                </c:pt>
                <c:pt idx="19">
                  <c:v>7.86099999999999</c:v>
                </c:pt>
                <c:pt idx="20">
                  <c:v>6.6769999999999925</c:v>
                </c:pt>
                <c:pt idx="21">
                  <c:v>3.7839999999999918</c:v>
                </c:pt>
                <c:pt idx="22">
                  <c:v>6.1970000000000027</c:v>
                </c:pt>
                <c:pt idx="23">
                  <c:v>5.5150000000000006</c:v>
                </c:pt>
                <c:pt idx="24">
                  <c:v>5.1519999999999868</c:v>
                </c:pt>
                <c:pt idx="25">
                  <c:v>5.007000000000005</c:v>
                </c:pt>
                <c:pt idx="26">
                  <c:v>4.9380000000000024</c:v>
                </c:pt>
                <c:pt idx="27">
                  <c:v>4.9969999999999999</c:v>
                </c:pt>
                <c:pt idx="28">
                  <c:v>4.6979999999999933</c:v>
                </c:pt>
                <c:pt idx="29">
                  <c:v>4.4170000000000016</c:v>
                </c:pt>
                <c:pt idx="30">
                  <c:v>5.4549999999999983</c:v>
                </c:pt>
                <c:pt idx="31">
                  <c:v>4.5169999999999959</c:v>
                </c:pt>
                <c:pt idx="32">
                  <c:v>2.7389999999999901</c:v>
                </c:pt>
                <c:pt idx="33">
                  <c:v>2.3760000000000048</c:v>
                </c:pt>
                <c:pt idx="34">
                  <c:v>1.8289999999999935</c:v>
                </c:pt>
                <c:pt idx="35">
                  <c:v>1.5400000000000063</c:v>
                </c:pt>
                <c:pt idx="36">
                  <c:v>1.7199999999999989</c:v>
                </c:pt>
                <c:pt idx="37">
                  <c:v>1.9080000000000013</c:v>
                </c:pt>
                <c:pt idx="38">
                  <c:v>1.9430000000000121</c:v>
                </c:pt>
                <c:pt idx="39">
                  <c:v>2.4050000000000011</c:v>
                </c:pt>
                <c:pt idx="40">
                  <c:v>2.605000000000004</c:v>
                </c:pt>
                <c:pt idx="41">
                  <c:v>2.7690000000000055</c:v>
                </c:pt>
                <c:pt idx="42">
                  <c:v>2.6280000000000001</c:v>
                </c:pt>
                <c:pt idx="43">
                  <c:v>2.8580000000000041</c:v>
                </c:pt>
                <c:pt idx="44">
                  <c:v>1.8519999999999897</c:v>
                </c:pt>
                <c:pt idx="45">
                  <c:v>2.1530000000000058</c:v>
                </c:pt>
                <c:pt idx="46">
                  <c:v>2.1499999999999915</c:v>
                </c:pt>
                <c:pt idx="47">
                  <c:v>2.3659999999999997</c:v>
                </c:pt>
                <c:pt idx="48">
                  <c:v>2.1350000000000051</c:v>
                </c:pt>
                <c:pt idx="49">
                  <c:v>2.3689999999999998</c:v>
                </c:pt>
                <c:pt idx="50">
                  <c:v>2.4759999999999991</c:v>
                </c:pt>
                <c:pt idx="51">
                  <c:v>1.152000000000001</c:v>
                </c:pt>
                <c:pt idx="52">
                  <c:v>3.3289999999999935</c:v>
                </c:pt>
                <c:pt idx="53">
                  <c:v>4.7169999999999987</c:v>
                </c:pt>
                <c:pt idx="54">
                  <c:v>6.1929999999999978</c:v>
                </c:pt>
                <c:pt idx="55">
                  <c:v>7.5579999999999927</c:v>
                </c:pt>
                <c:pt idx="56">
                  <c:v>8.6150000000000091</c:v>
                </c:pt>
                <c:pt idx="57">
                  <c:v>8.6159999999999997</c:v>
                </c:pt>
                <c:pt idx="58">
                  <c:v>9.5930000000000035</c:v>
                </c:pt>
                <c:pt idx="59">
                  <c:v>9.6700000000000017</c:v>
                </c:pt>
                <c:pt idx="60">
                  <c:v>6.6869999999999976</c:v>
                </c:pt>
                <c:pt idx="61">
                  <c:v>3.4909999999999997</c:v>
                </c:pt>
                <c:pt idx="62">
                  <c:v>2.409000000000006</c:v>
                </c:pt>
                <c:pt idx="63">
                  <c:v>2.0000000000010232E-2</c:v>
                </c:pt>
                <c:pt idx="64">
                  <c:v>0.69899999999999807</c:v>
                </c:pt>
                <c:pt idx="65">
                  <c:v>1.6380000000000052</c:v>
                </c:pt>
                <c:pt idx="66">
                  <c:v>1.730000000000004</c:v>
                </c:pt>
                <c:pt idx="67">
                  <c:v>2.438999999999993</c:v>
                </c:pt>
                <c:pt idx="68">
                  <c:v>2.2690000000000055</c:v>
                </c:pt>
                <c:pt idx="69">
                  <c:v>2.2319999999999993</c:v>
                </c:pt>
                <c:pt idx="70">
                  <c:v>4.2319999999999993</c:v>
                </c:pt>
                <c:pt idx="71">
                  <c:v>2.4339999999999975</c:v>
                </c:pt>
                <c:pt idx="72">
                  <c:v>2.2119999999999962</c:v>
                </c:pt>
                <c:pt idx="73">
                  <c:v>2.8310000000000031</c:v>
                </c:pt>
                <c:pt idx="74">
                  <c:v>2.882000000000005</c:v>
                </c:pt>
                <c:pt idx="75">
                  <c:v>2.5109999999999957</c:v>
                </c:pt>
                <c:pt idx="76">
                  <c:v>2.6760000000000019</c:v>
                </c:pt>
                <c:pt idx="77">
                  <c:v>3.8430000000000035</c:v>
                </c:pt>
                <c:pt idx="78">
                  <c:v>3.9500000000000028</c:v>
                </c:pt>
                <c:pt idx="79">
                  <c:v>4.3119999999999976</c:v>
                </c:pt>
                <c:pt idx="80">
                  <c:v>4.7179999999999964</c:v>
                </c:pt>
                <c:pt idx="81">
                  <c:v>4.1139999999999972</c:v>
                </c:pt>
                <c:pt idx="82">
                  <c:v>2.1310000000000002</c:v>
                </c:pt>
                <c:pt idx="83">
                  <c:v>2.3269999999999982</c:v>
                </c:pt>
                <c:pt idx="84">
                  <c:v>2.2319999999999993</c:v>
                </c:pt>
                <c:pt idx="85">
                  <c:v>2.3190000000000026</c:v>
                </c:pt>
                <c:pt idx="86">
                  <c:v>2.3389999999999986</c:v>
                </c:pt>
                <c:pt idx="87">
                  <c:v>2.3939999999999984</c:v>
                </c:pt>
                <c:pt idx="88">
                  <c:v>2.027000000000001</c:v>
                </c:pt>
                <c:pt idx="89">
                  <c:v>2.007000000000005</c:v>
                </c:pt>
                <c:pt idx="90">
                  <c:v>5.2050000000000054</c:v>
                </c:pt>
                <c:pt idx="91">
                  <c:v>6.9969999999999999</c:v>
                </c:pt>
                <c:pt idx="92">
                  <c:v>8.5629999999999953</c:v>
                </c:pt>
                <c:pt idx="93">
                  <c:v>8.945999999999998</c:v>
                </c:pt>
                <c:pt idx="94">
                  <c:v>8.5200000000000031</c:v>
                </c:pt>
                <c:pt idx="95">
                  <c:v>8.3490000000000038</c:v>
                </c:pt>
                <c:pt idx="96">
                  <c:v>8.7650000000000006</c:v>
                </c:pt>
                <c:pt idx="97">
                  <c:v>8.89</c:v>
                </c:pt>
                <c:pt idx="98">
                  <c:v>9.0850000000000009</c:v>
                </c:pt>
                <c:pt idx="99">
                  <c:v>9.5640000000000001</c:v>
                </c:pt>
                <c:pt idx="100">
                  <c:v>10.483999999999995</c:v>
                </c:pt>
                <c:pt idx="101">
                  <c:v>12.316000000000003</c:v>
                </c:pt>
                <c:pt idx="102">
                  <c:v>10.725000000000001</c:v>
                </c:pt>
                <c:pt idx="103">
                  <c:v>10.872</c:v>
                </c:pt>
                <c:pt idx="104">
                  <c:v>11.684999999999995</c:v>
                </c:pt>
                <c:pt idx="105">
                  <c:v>11.273000000000003</c:v>
                </c:pt>
                <c:pt idx="106">
                  <c:v>11.042000000000002</c:v>
                </c:pt>
                <c:pt idx="107">
                  <c:v>11.249000000000002</c:v>
                </c:pt>
                <c:pt idx="108">
                  <c:v>11.001000000000005</c:v>
                </c:pt>
                <c:pt idx="109">
                  <c:v>9.2399999999999949</c:v>
                </c:pt>
                <c:pt idx="110">
                  <c:v>7.6559999999999988</c:v>
                </c:pt>
                <c:pt idx="111">
                  <c:v>7.0619999999999976</c:v>
                </c:pt>
                <c:pt idx="112">
                  <c:v>7.1970000000000027</c:v>
                </c:pt>
                <c:pt idx="113">
                  <c:v>6.9949999999999974</c:v>
                </c:pt>
                <c:pt idx="114">
                  <c:v>5.7929999999999993</c:v>
                </c:pt>
                <c:pt idx="115">
                  <c:v>4.7280000000000015</c:v>
                </c:pt>
                <c:pt idx="116">
                  <c:v>3.7759999999999962</c:v>
                </c:pt>
                <c:pt idx="117">
                  <c:v>2.1280000000000001</c:v>
                </c:pt>
                <c:pt idx="118">
                  <c:v>1.2890000000000015</c:v>
                </c:pt>
                <c:pt idx="119">
                  <c:v>5.7860000000000014</c:v>
                </c:pt>
                <c:pt idx="120">
                  <c:v>4.3810000000000002</c:v>
                </c:pt>
                <c:pt idx="121">
                  <c:v>3.8549999999999969</c:v>
                </c:pt>
                <c:pt idx="122">
                  <c:v>6.3530000000000015</c:v>
                </c:pt>
                <c:pt idx="123">
                  <c:v>4.9779999999999944</c:v>
                </c:pt>
                <c:pt idx="124">
                  <c:v>4.6189999999999998</c:v>
                </c:pt>
                <c:pt idx="125">
                  <c:v>3.7409999999999997</c:v>
                </c:pt>
                <c:pt idx="126">
                  <c:v>2.7439999999999998</c:v>
                </c:pt>
                <c:pt idx="127">
                  <c:v>3.7719999999999985</c:v>
                </c:pt>
                <c:pt idx="128">
                  <c:v>3.9260000000000019</c:v>
                </c:pt>
                <c:pt idx="129">
                  <c:v>2.1180000000000021</c:v>
                </c:pt>
                <c:pt idx="130">
                  <c:v>2.0300000000000011</c:v>
                </c:pt>
                <c:pt idx="131">
                  <c:v>2.0079999999999956</c:v>
                </c:pt>
                <c:pt idx="132">
                  <c:v>1.6870000000000047</c:v>
                </c:pt>
                <c:pt idx="133">
                  <c:v>1.5249999999999986</c:v>
                </c:pt>
                <c:pt idx="134">
                  <c:v>2.1400000000000006</c:v>
                </c:pt>
                <c:pt idx="135">
                  <c:v>2.1340000000000003</c:v>
                </c:pt>
                <c:pt idx="136">
                  <c:v>2.2610000000000028</c:v>
                </c:pt>
                <c:pt idx="137">
                  <c:v>1.5360000000000014</c:v>
                </c:pt>
                <c:pt idx="138">
                  <c:v>0.94899999999999807</c:v>
                </c:pt>
                <c:pt idx="139">
                  <c:v>1.2580000000000027</c:v>
                </c:pt>
                <c:pt idx="140">
                  <c:v>0.18599999999999994</c:v>
                </c:pt>
                <c:pt idx="141">
                  <c:v>1.8950000000000031</c:v>
                </c:pt>
                <c:pt idx="142">
                  <c:v>1.7279999999999944</c:v>
                </c:pt>
                <c:pt idx="143">
                  <c:v>2.0609999999999999</c:v>
                </c:pt>
                <c:pt idx="144">
                  <c:v>5.4329999999999998</c:v>
                </c:pt>
                <c:pt idx="145">
                  <c:v>2.6490000000000009</c:v>
                </c:pt>
                <c:pt idx="146">
                  <c:v>3.5080000000000027</c:v>
                </c:pt>
                <c:pt idx="147">
                  <c:v>5.911999999999999</c:v>
                </c:pt>
                <c:pt idx="148">
                  <c:v>5.3370000000000033</c:v>
                </c:pt>
                <c:pt idx="149">
                  <c:v>4.1669999999999945</c:v>
                </c:pt>
                <c:pt idx="150">
                  <c:v>5.2109999999999985</c:v>
                </c:pt>
                <c:pt idx="151">
                  <c:v>4.0399999999999991</c:v>
                </c:pt>
                <c:pt idx="152">
                  <c:v>4.2439999999999998</c:v>
                </c:pt>
                <c:pt idx="153">
                  <c:v>2.7689999999999984</c:v>
                </c:pt>
                <c:pt idx="154">
                  <c:v>1.5669999999999931</c:v>
                </c:pt>
                <c:pt idx="155">
                  <c:v>1.0019999999999953</c:v>
                </c:pt>
                <c:pt idx="156">
                  <c:v>1.588000000000001</c:v>
                </c:pt>
                <c:pt idx="157">
                  <c:v>1.1949999999999932</c:v>
                </c:pt>
                <c:pt idx="158">
                  <c:v>1.0120000000000005</c:v>
                </c:pt>
                <c:pt idx="159">
                  <c:v>1.703000000000003</c:v>
                </c:pt>
                <c:pt idx="160">
                  <c:v>1.2839999999999989</c:v>
                </c:pt>
                <c:pt idx="161">
                  <c:v>1.3220000000000027</c:v>
                </c:pt>
                <c:pt idx="162">
                  <c:v>1.3710000000000022</c:v>
                </c:pt>
                <c:pt idx="163">
                  <c:v>0.77900000000000347</c:v>
                </c:pt>
                <c:pt idx="164">
                  <c:v>1.1890000000000001</c:v>
                </c:pt>
                <c:pt idx="165">
                  <c:v>0.38599999999999568</c:v>
                </c:pt>
                <c:pt idx="166">
                  <c:v>0.93599999999999994</c:v>
                </c:pt>
                <c:pt idx="167">
                  <c:v>1.0920000000000059</c:v>
                </c:pt>
                <c:pt idx="168">
                  <c:v>0.42399999999999949</c:v>
                </c:pt>
                <c:pt idx="169">
                  <c:v>0.21000000000000085</c:v>
                </c:pt>
                <c:pt idx="170">
                  <c:v>0.78700000000000259</c:v>
                </c:pt>
                <c:pt idx="171">
                  <c:v>0.84499999999999886</c:v>
                </c:pt>
                <c:pt idx="172">
                  <c:v>2.5889999999999986</c:v>
                </c:pt>
                <c:pt idx="173">
                  <c:v>2.9420000000000002</c:v>
                </c:pt>
                <c:pt idx="174">
                  <c:v>2.7629999999999981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AC-4D8F-9239-F44FCA62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data_co2_incLUC!$I$3:$I$177</c:f>
              <c:numCache>
                <c:formatCode>0.0</c:formatCode>
                <c:ptCount val="175"/>
                <c:pt idx="0">
                  <c:v>35.536000000000001</c:v>
                </c:pt>
                <c:pt idx="1">
                  <c:v>35.619</c:v>
                </c:pt>
                <c:pt idx="2">
                  <c:v>35.264000000000003</c:v>
                </c:pt>
                <c:pt idx="3">
                  <c:v>36.100999999999999</c:v>
                </c:pt>
                <c:pt idx="4">
                  <c:v>36.94</c:v>
                </c:pt>
                <c:pt idx="5">
                  <c:v>36.764000000000003</c:v>
                </c:pt>
                <c:pt idx="6">
                  <c:v>37.067</c:v>
                </c:pt>
                <c:pt idx="7">
                  <c:v>37.204000000000001</c:v>
                </c:pt>
                <c:pt idx="8">
                  <c:v>37.631</c:v>
                </c:pt>
                <c:pt idx="9">
                  <c:v>38.124000000000002</c:v>
                </c:pt>
                <c:pt idx="10">
                  <c:v>40.396999999999998</c:v>
                </c:pt>
                <c:pt idx="11">
                  <c:v>40.640999999999998</c:v>
                </c:pt>
                <c:pt idx="12">
                  <c:v>41.938000000000002</c:v>
                </c:pt>
                <c:pt idx="13">
                  <c:v>42.908000000000001</c:v>
                </c:pt>
                <c:pt idx="14">
                  <c:v>42.61</c:v>
                </c:pt>
                <c:pt idx="15">
                  <c:v>43.389000000000003</c:v>
                </c:pt>
                <c:pt idx="16">
                  <c:v>43.152000000000001</c:v>
                </c:pt>
                <c:pt idx="17">
                  <c:v>44.636000000000003</c:v>
                </c:pt>
                <c:pt idx="18">
                  <c:v>44.674999999999997</c:v>
                </c:pt>
                <c:pt idx="19">
                  <c:v>44.634</c:v>
                </c:pt>
                <c:pt idx="20">
                  <c:v>47.566000000000003</c:v>
                </c:pt>
                <c:pt idx="21">
                  <c:v>49.723999999999997</c:v>
                </c:pt>
                <c:pt idx="22">
                  <c:v>49.966000000000001</c:v>
                </c:pt>
                <c:pt idx="23">
                  <c:v>51.424999999999997</c:v>
                </c:pt>
                <c:pt idx="24">
                  <c:v>51.067</c:v>
                </c:pt>
                <c:pt idx="25">
                  <c:v>52.271000000000001</c:v>
                </c:pt>
                <c:pt idx="26">
                  <c:v>52.506</c:v>
                </c:pt>
                <c:pt idx="27">
                  <c:v>52.704000000000001</c:v>
                </c:pt>
                <c:pt idx="28">
                  <c:v>52.963999999999999</c:v>
                </c:pt>
                <c:pt idx="29">
                  <c:v>53.776000000000003</c:v>
                </c:pt>
                <c:pt idx="30">
                  <c:v>51.543999999999997</c:v>
                </c:pt>
                <c:pt idx="31">
                  <c:v>50.209000000000003</c:v>
                </c:pt>
                <c:pt idx="32">
                  <c:v>49.930999999999997</c:v>
                </c:pt>
                <c:pt idx="33">
                  <c:v>50.104999999999997</c:v>
                </c:pt>
                <c:pt idx="34">
                  <c:v>49.643999999999998</c:v>
                </c:pt>
                <c:pt idx="35">
                  <c:v>49.146999999999998</c:v>
                </c:pt>
                <c:pt idx="36">
                  <c:v>49.207999999999998</c:v>
                </c:pt>
                <c:pt idx="37">
                  <c:v>49.634</c:v>
                </c:pt>
                <c:pt idx="38">
                  <c:v>50.378999999999998</c:v>
                </c:pt>
                <c:pt idx="39">
                  <c:v>49.497999999999998</c:v>
                </c:pt>
                <c:pt idx="40">
                  <c:v>49.363999999999997</c:v>
                </c:pt>
                <c:pt idx="41">
                  <c:v>49.472000000000001</c:v>
                </c:pt>
                <c:pt idx="42">
                  <c:v>49.636000000000003</c:v>
                </c:pt>
                <c:pt idx="43">
                  <c:v>49.697000000000003</c:v>
                </c:pt>
                <c:pt idx="44">
                  <c:v>49.514000000000003</c:v>
                </c:pt>
                <c:pt idx="45">
                  <c:v>50.082999999999998</c:v>
                </c:pt>
                <c:pt idx="46">
                  <c:v>50.518999999999998</c:v>
                </c:pt>
                <c:pt idx="47">
                  <c:v>50.579000000000001</c:v>
                </c:pt>
                <c:pt idx="48">
                  <c:v>51.168999999999997</c:v>
                </c:pt>
                <c:pt idx="49">
                  <c:v>52.137999999999998</c:v>
                </c:pt>
                <c:pt idx="50">
                  <c:v>51.793999999999997</c:v>
                </c:pt>
                <c:pt idx="51">
                  <c:v>50.518999999999998</c:v>
                </c:pt>
                <c:pt idx="52">
                  <c:v>50.506999999999998</c:v>
                </c:pt>
                <c:pt idx="53">
                  <c:v>51.110999999999997</c:v>
                </c:pt>
                <c:pt idx="54">
                  <c:v>50.795999999999999</c:v>
                </c:pt>
                <c:pt idx="55">
                  <c:v>51.344999999999999</c:v>
                </c:pt>
                <c:pt idx="56">
                  <c:v>51.151000000000003</c:v>
                </c:pt>
                <c:pt idx="57">
                  <c:v>52.642000000000003</c:v>
                </c:pt>
                <c:pt idx="58">
                  <c:v>51.689</c:v>
                </c:pt>
                <c:pt idx="59">
                  <c:v>51.927999999999997</c:v>
                </c:pt>
                <c:pt idx="60">
                  <c:v>53.735999999999997</c:v>
                </c:pt>
                <c:pt idx="61">
                  <c:v>54.046999999999997</c:v>
                </c:pt>
                <c:pt idx="62">
                  <c:v>54.654000000000003</c:v>
                </c:pt>
                <c:pt idx="63">
                  <c:v>55.99</c:v>
                </c:pt>
                <c:pt idx="64">
                  <c:v>55.034999999999997</c:v>
                </c:pt>
                <c:pt idx="65">
                  <c:v>55.110999999999997</c:v>
                </c:pt>
                <c:pt idx="66">
                  <c:v>56.103000000000002</c:v>
                </c:pt>
                <c:pt idx="67">
                  <c:v>57.234000000000002</c:v>
                </c:pt>
                <c:pt idx="68">
                  <c:v>58.505000000000003</c:v>
                </c:pt>
                <c:pt idx="69">
                  <c:v>57.182000000000002</c:v>
                </c:pt>
                <c:pt idx="70">
                  <c:v>54.771000000000001</c:v>
                </c:pt>
                <c:pt idx="71">
                  <c:v>51.046999999999997</c:v>
                </c:pt>
                <c:pt idx="72">
                  <c:v>51.220999999999997</c:v>
                </c:pt>
                <c:pt idx="73">
                  <c:v>52.158999999999999</c:v>
                </c:pt>
                <c:pt idx="74">
                  <c:v>51.878999999999998</c:v>
                </c:pt>
                <c:pt idx="75">
                  <c:v>51.378</c:v>
                </c:pt>
                <c:pt idx="76">
                  <c:v>50.368000000000002</c:v>
                </c:pt>
                <c:pt idx="77">
                  <c:v>51.122</c:v>
                </c:pt>
                <c:pt idx="78">
                  <c:v>50.344999999999999</c:v>
                </c:pt>
                <c:pt idx="79">
                  <c:v>50.805</c:v>
                </c:pt>
                <c:pt idx="80">
                  <c:v>47.213000000000001</c:v>
                </c:pt>
                <c:pt idx="81">
                  <c:v>43.904000000000003</c:v>
                </c:pt>
                <c:pt idx="82">
                  <c:v>40.927</c:v>
                </c:pt>
                <c:pt idx="83">
                  <c:v>41.222000000000001</c:v>
                </c:pt>
                <c:pt idx="84">
                  <c:v>41.564</c:v>
                </c:pt>
                <c:pt idx="85">
                  <c:v>41.573</c:v>
                </c:pt>
                <c:pt idx="86">
                  <c:v>42.179000000000002</c:v>
                </c:pt>
                <c:pt idx="87">
                  <c:v>42.768999999999998</c:v>
                </c:pt>
                <c:pt idx="88">
                  <c:v>40.776000000000003</c:v>
                </c:pt>
                <c:pt idx="89">
                  <c:v>41.56</c:v>
                </c:pt>
                <c:pt idx="90">
                  <c:v>41.201000000000001</c:v>
                </c:pt>
                <c:pt idx="91">
                  <c:v>41.744</c:v>
                </c:pt>
                <c:pt idx="92">
                  <c:v>43.143000000000001</c:v>
                </c:pt>
                <c:pt idx="93">
                  <c:v>43.320999999999998</c:v>
                </c:pt>
                <c:pt idx="94">
                  <c:v>43.241</c:v>
                </c:pt>
                <c:pt idx="95">
                  <c:v>40.518000000000001</c:v>
                </c:pt>
                <c:pt idx="96">
                  <c:v>41.271999999999998</c:v>
                </c:pt>
                <c:pt idx="97">
                  <c:v>43.081000000000003</c:v>
                </c:pt>
                <c:pt idx="98">
                  <c:v>44.244</c:v>
                </c:pt>
                <c:pt idx="99">
                  <c:v>42.305999999999997</c:v>
                </c:pt>
                <c:pt idx="100">
                  <c:v>39.899000000000001</c:v>
                </c:pt>
                <c:pt idx="101">
                  <c:v>38.531999999999996</c:v>
                </c:pt>
                <c:pt idx="102">
                  <c:v>37.968000000000004</c:v>
                </c:pt>
                <c:pt idx="103">
                  <c:v>37.595999999999997</c:v>
                </c:pt>
                <c:pt idx="104">
                  <c:v>35.686</c:v>
                </c:pt>
                <c:pt idx="105">
                  <c:v>36.234999999999999</c:v>
                </c:pt>
                <c:pt idx="106">
                  <c:v>36.581000000000003</c:v>
                </c:pt>
                <c:pt idx="107">
                  <c:v>35.738</c:v>
                </c:pt>
                <c:pt idx="108">
                  <c:v>34.479999999999997</c:v>
                </c:pt>
                <c:pt idx="109">
                  <c:v>32.722000000000001</c:v>
                </c:pt>
                <c:pt idx="110">
                  <c:v>35.92</c:v>
                </c:pt>
                <c:pt idx="111">
                  <c:v>35.677</c:v>
                </c:pt>
                <c:pt idx="112">
                  <c:v>37.877000000000002</c:v>
                </c:pt>
                <c:pt idx="113">
                  <c:v>38.472000000000001</c:v>
                </c:pt>
                <c:pt idx="114">
                  <c:v>39.951999999999998</c:v>
                </c:pt>
                <c:pt idx="115">
                  <c:v>40.838000000000001</c:v>
                </c:pt>
                <c:pt idx="116">
                  <c:v>41.881999999999998</c:v>
                </c:pt>
                <c:pt idx="117">
                  <c:v>44.795000000000002</c:v>
                </c:pt>
                <c:pt idx="118">
                  <c:v>45.848999999999997</c:v>
                </c:pt>
                <c:pt idx="119">
                  <c:v>42.356999999999999</c:v>
                </c:pt>
                <c:pt idx="120">
                  <c:v>42.756999999999998</c:v>
                </c:pt>
                <c:pt idx="121">
                  <c:v>43.143000000000001</c:v>
                </c:pt>
                <c:pt idx="122">
                  <c:v>41.69</c:v>
                </c:pt>
                <c:pt idx="123">
                  <c:v>42.527000000000001</c:v>
                </c:pt>
                <c:pt idx="124">
                  <c:v>41.606999999999999</c:v>
                </c:pt>
                <c:pt idx="125">
                  <c:v>40.646000000000001</c:v>
                </c:pt>
                <c:pt idx="126">
                  <c:v>41.429000000000002</c:v>
                </c:pt>
                <c:pt idx="127">
                  <c:v>40.590000000000003</c:v>
                </c:pt>
                <c:pt idx="128">
                  <c:v>40.033999999999999</c:v>
                </c:pt>
                <c:pt idx="129">
                  <c:v>41.738999999999997</c:v>
                </c:pt>
                <c:pt idx="130">
                  <c:v>40.563000000000002</c:v>
                </c:pt>
                <c:pt idx="131">
                  <c:v>40.093000000000004</c:v>
                </c:pt>
                <c:pt idx="132">
                  <c:v>39.057000000000002</c:v>
                </c:pt>
                <c:pt idx="133">
                  <c:v>38.473999999999997</c:v>
                </c:pt>
                <c:pt idx="134">
                  <c:v>37.191000000000003</c:v>
                </c:pt>
                <c:pt idx="135">
                  <c:v>35.822000000000003</c:v>
                </c:pt>
                <c:pt idx="136">
                  <c:v>34.771999999999998</c:v>
                </c:pt>
                <c:pt idx="137">
                  <c:v>35.771000000000001</c:v>
                </c:pt>
                <c:pt idx="138">
                  <c:v>36.392000000000003</c:v>
                </c:pt>
                <c:pt idx="139">
                  <c:v>37.088000000000001</c:v>
                </c:pt>
                <c:pt idx="140">
                  <c:v>38.500999999999998</c:v>
                </c:pt>
                <c:pt idx="141">
                  <c:v>37.798999999999999</c:v>
                </c:pt>
                <c:pt idx="142">
                  <c:v>38.497</c:v>
                </c:pt>
                <c:pt idx="143">
                  <c:v>38.784999999999997</c:v>
                </c:pt>
                <c:pt idx="144">
                  <c:v>37.484000000000002</c:v>
                </c:pt>
                <c:pt idx="145">
                  <c:v>38.218000000000004</c:v>
                </c:pt>
                <c:pt idx="146">
                  <c:v>38.085000000000001</c:v>
                </c:pt>
                <c:pt idx="147">
                  <c:v>36.061</c:v>
                </c:pt>
                <c:pt idx="148">
                  <c:v>37.965000000000003</c:v>
                </c:pt>
                <c:pt idx="149">
                  <c:v>38.067</c:v>
                </c:pt>
                <c:pt idx="150">
                  <c:v>38.993000000000002</c:v>
                </c:pt>
                <c:pt idx="151">
                  <c:v>39.01</c:v>
                </c:pt>
                <c:pt idx="152">
                  <c:v>37.664000000000001</c:v>
                </c:pt>
                <c:pt idx="153">
                  <c:v>35.869</c:v>
                </c:pt>
                <c:pt idx="154">
                  <c:v>36.107999999999997</c:v>
                </c:pt>
                <c:pt idx="155">
                  <c:v>35.856999999999999</c:v>
                </c:pt>
                <c:pt idx="156">
                  <c:v>33.302999999999997</c:v>
                </c:pt>
                <c:pt idx="157">
                  <c:v>33.424999999999997</c:v>
                </c:pt>
                <c:pt idx="158">
                  <c:v>32.343000000000004</c:v>
                </c:pt>
                <c:pt idx="159">
                  <c:v>29.331</c:v>
                </c:pt>
                <c:pt idx="160">
                  <c:v>30.143000000000001</c:v>
                </c:pt>
                <c:pt idx="161">
                  <c:v>27.988</c:v>
                </c:pt>
                <c:pt idx="162">
                  <c:v>26.895</c:v>
                </c:pt>
                <c:pt idx="163">
                  <c:v>26.943000000000001</c:v>
                </c:pt>
                <c:pt idx="164">
                  <c:v>26.366</c:v>
                </c:pt>
                <c:pt idx="165">
                  <c:v>25.86</c:v>
                </c:pt>
                <c:pt idx="166">
                  <c:v>26.355</c:v>
                </c:pt>
                <c:pt idx="167">
                  <c:v>26.062000000000001</c:v>
                </c:pt>
                <c:pt idx="168">
                  <c:v>25.908000000000001</c:v>
                </c:pt>
                <c:pt idx="169">
                  <c:v>24.86</c:v>
                </c:pt>
                <c:pt idx="170">
                  <c:v>23.716999999999999</c:v>
                </c:pt>
                <c:pt idx="171">
                  <c:v>24.04</c:v>
                </c:pt>
                <c:pt idx="172">
                  <c:v>23.399000000000001</c:v>
                </c:pt>
                <c:pt idx="173">
                  <c:v>22.305</c:v>
                </c:pt>
                <c:pt idx="174">
                  <c:v>21.925000000000001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AC-4D8F-9239-F44FCA6224F2}"/>
            </c:ext>
          </c:extLst>
        </c:ser>
        <c:ser>
          <c:idx val="6"/>
          <c:order val="6"/>
          <c:tx>
            <c:strRef>
              <c:f>data_co2_incLUC!$J$2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data_co2_incLUC!$J$3:$J$177</c:f>
              <c:numCache>
                <c:formatCode>0.0</c:formatCode>
                <c:ptCount val="175"/>
                <c:pt idx="0">
                  <c:v>43.831000000000003</c:v>
                </c:pt>
                <c:pt idx="1">
                  <c:v>44.779000000000003</c:v>
                </c:pt>
                <c:pt idx="2">
                  <c:v>51.564</c:v>
                </c:pt>
                <c:pt idx="3">
                  <c:v>53.215000000000003</c:v>
                </c:pt>
                <c:pt idx="4">
                  <c:v>55.421999999999997</c:v>
                </c:pt>
                <c:pt idx="5">
                  <c:v>56.927999999999997</c:v>
                </c:pt>
                <c:pt idx="6">
                  <c:v>57.84</c:v>
                </c:pt>
                <c:pt idx="7">
                  <c:v>58.417000000000002</c:v>
                </c:pt>
                <c:pt idx="8">
                  <c:v>58.942</c:v>
                </c:pt>
                <c:pt idx="9">
                  <c:v>59.698</c:v>
                </c:pt>
                <c:pt idx="10">
                  <c:v>60.607999999999997</c:v>
                </c:pt>
                <c:pt idx="11">
                  <c:v>60.661999999999999</c:v>
                </c:pt>
                <c:pt idx="12">
                  <c:v>58.179000000000002</c:v>
                </c:pt>
                <c:pt idx="13">
                  <c:v>58.493000000000002</c:v>
                </c:pt>
                <c:pt idx="14">
                  <c:v>58.881999999999998</c:v>
                </c:pt>
                <c:pt idx="15">
                  <c:v>59.174999999999997</c:v>
                </c:pt>
                <c:pt idx="16">
                  <c:v>59.334000000000003</c:v>
                </c:pt>
                <c:pt idx="17">
                  <c:v>59.723999999999997</c:v>
                </c:pt>
                <c:pt idx="18">
                  <c:v>59.82</c:v>
                </c:pt>
                <c:pt idx="19">
                  <c:v>60.201000000000001</c:v>
                </c:pt>
                <c:pt idx="20">
                  <c:v>60.255000000000003</c:v>
                </c:pt>
                <c:pt idx="21">
                  <c:v>59.021999999999998</c:v>
                </c:pt>
                <c:pt idx="22">
                  <c:v>63.622999999999998</c:v>
                </c:pt>
                <c:pt idx="23">
                  <c:v>64.040999999999997</c:v>
                </c:pt>
                <c:pt idx="24">
                  <c:v>63.548000000000002</c:v>
                </c:pt>
                <c:pt idx="25">
                  <c:v>64.275000000000006</c:v>
                </c:pt>
                <c:pt idx="26">
                  <c:v>64.177000000000007</c:v>
                </c:pt>
                <c:pt idx="27">
                  <c:v>64.497</c:v>
                </c:pt>
                <c:pt idx="28">
                  <c:v>64.510999999999996</c:v>
                </c:pt>
                <c:pt idx="29">
                  <c:v>65.093999999999994</c:v>
                </c:pt>
                <c:pt idx="30">
                  <c:v>66.192999999999998</c:v>
                </c:pt>
                <c:pt idx="31">
                  <c:v>64.353999999999999</c:v>
                </c:pt>
                <c:pt idx="32">
                  <c:v>62.12</c:v>
                </c:pt>
                <c:pt idx="33">
                  <c:v>62.052999999999997</c:v>
                </c:pt>
                <c:pt idx="34">
                  <c:v>61.639000000000003</c:v>
                </c:pt>
                <c:pt idx="35">
                  <c:v>61.228999999999999</c:v>
                </c:pt>
                <c:pt idx="36">
                  <c:v>61.057000000000002</c:v>
                </c:pt>
                <c:pt idx="37">
                  <c:v>61.213000000000001</c:v>
                </c:pt>
                <c:pt idx="38">
                  <c:v>62.014000000000003</c:v>
                </c:pt>
                <c:pt idx="39">
                  <c:v>61.567</c:v>
                </c:pt>
                <c:pt idx="40">
                  <c:v>62.244</c:v>
                </c:pt>
                <c:pt idx="41">
                  <c:v>62.533000000000001</c:v>
                </c:pt>
                <c:pt idx="42">
                  <c:v>62.988</c:v>
                </c:pt>
                <c:pt idx="43">
                  <c:v>62.552</c:v>
                </c:pt>
                <c:pt idx="44">
                  <c:v>62.097999999999999</c:v>
                </c:pt>
                <c:pt idx="45">
                  <c:v>62.481000000000002</c:v>
                </c:pt>
                <c:pt idx="46">
                  <c:v>62.621000000000002</c:v>
                </c:pt>
                <c:pt idx="47">
                  <c:v>62.878999999999998</c:v>
                </c:pt>
                <c:pt idx="48">
                  <c:v>63.11</c:v>
                </c:pt>
                <c:pt idx="49">
                  <c:v>64.012</c:v>
                </c:pt>
                <c:pt idx="50">
                  <c:v>64.503</c:v>
                </c:pt>
                <c:pt idx="51">
                  <c:v>61.529000000000003</c:v>
                </c:pt>
                <c:pt idx="52">
                  <c:v>59.445</c:v>
                </c:pt>
                <c:pt idx="53">
                  <c:v>59.216000000000001</c:v>
                </c:pt>
                <c:pt idx="54">
                  <c:v>57.652999999999999</c:v>
                </c:pt>
                <c:pt idx="55">
                  <c:v>57.41</c:v>
                </c:pt>
                <c:pt idx="56">
                  <c:v>56.279000000000003</c:v>
                </c:pt>
                <c:pt idx="57">
                  <c:v>57.698999999999998</c:v>
                </c:pt>
                <c:pt idx="58">
                  <c:v>56.192999999999998</c:v>
                </c:pt>
                <c:pt idx="59">
                  <c:v>56.444000000000003</c:v>
                </c:pt>
                <c:pt idx="60">
                  <c:v>57.097999999999999</c:v>
                </c:pt>
                <c:pt idx="61">
                  <c:v>58.804000000000002</c:v>
                </c:pt>
                <c:pt idx="62">
                  <c:v>59.497999999999998</c:v>
                </c:pt>
                <c:pt idx="63">
                  <c:v>61.469000000000001</c:v>
                </c:pt>
                <c:pt idx="64">
                  <c:v>60.338000000000001</c:v>
                </c:pt>
                <c:pt idx="65">
                  <c:v>60.465000000000003</c:v>
                </c:pt>
                <c:pt idx="66">
                  <c:v>61.292000000000002</c:v>
                </c:pt>
                <c:pt idx="67">
                  <c:v>61.667999999999999</c:v>
                </c:pt>
                <c:pt idx="68">
                  <c:v>62.375</c:v>
                </c:pt>
                <c:pt idx="69">
                  <c:v>60.607999999999997</c:v>
                </c:pt>
                <c:pt idx="70">
                  <c:v>61.691000000000003</c:v>
                </c:pt>
                <c:pt idx="71">
                  <c:v>56.661000000000001</c:v>
                </c:pt>
                <c:pt idx="72">
                  <c:v>56.496000000000002</c:v>
                </c:pt>
                <c:pt idx="73">
                  <c:v>58.667000000000002</c:v>
                </c:pt>
                <c:pt idx="74">
                  <c:v>57.753</c:v>
                </c:pt>
                <c:pt idx="75">
                  <c:v>57.567</c:v>
                </c:pt>
                <c:pt idx="76">
                  <c:v>56.307000000000002</c:v>
                </c:pt>
                <c:pt idx="77">
                  <c:v>58.387</c:v>
                </c:pt>
                <c:pt idx="78">
                  <c:v>57.618000000000002</c:v>
                </c:pt>
                <c:pt idx="79">
                  <c:v>59.012999999999998</c:v>
                </c:pt>
                <c:pt idx="80">
                  <c:v>58.186</c:v>
                </c:pt>
                <c:pt idx="81">
                  <c:v>55.067</c:v>
                </c:pt>
                <c:pt idx="82">
                  <c:v>49.930999999999997</c:v>
                </c:pt>
                <c:pt idx="83">
                  <c:v>50.234999999999999</c:v>
                </c:pt>
                <c:pt idx="84">
                  <c:v>50.902999999999999</c:v>
                </c:pt>
                <c:pt idx="85">
                  <c:v>50.982999999999997</c:v>
                </c:pt>
                <c:pt idx="86">
                  <c:v>51.731000000000002</c:v>
                </c:pt>
                <c:pt idx="87">
                  <c:v>52.101999999999997</c:v>
                </c:pt>
                <c:pt idx="88">
                  <c:v>49.738</c:v>
                </c:pt>
                <c:pt idx="89">
                  <c:v>50.734000000000002</c:v>
                </c:pt>
                <c:pt idx="90">
                  <c:v>49.941000000000003</c:v>
                </c:pt>
                <c:pt idx="91">
                  <c:v>51.393999999999998</c:v>
                </c:pt>
                <c:pt idx="92">
                  <c:v>53.204999999999998</c:v>
                </c:pt>
                <c:pt idx="93">
                  <c:v>52.212000000000003</c:v>
                </c:pt>
                <c:pt idx="94">
                  <c:v>51.741999999999997</c:v>
                </c:pt>
                <c:pt idx="95">
                  <c:v>48.023000000000003</c:v>
                </c:pt>
                <c:pt idx="96">
                  <c:v>46.545000000000002</c:v>
                </c:pt>
                <c:pt idx="97">
                  <c:v>48.552999999999997</c:v>
                </c:pt>
                <c:pt idx="98">
                  <c:v>49.179000000000002</c:v>
                </c:pt>
                <c:pt idx="99">
                  <c:v>46.244999999999997</c:v>
                </c:pt>
                <c:pt idx="100">
                  <c:v>48.661000000000001</c:v>
                </c:pt>
                <c:pt idx="101">
                  <c:v>47.286000000000001</c:v>
                </c:pt>
                <c:pt idx="102">
                  <c:v>44.92</c:v>
                </c:pt>
                <c:pt idx="103">
                  <c:v>44.470999999999997</c:v>
                </c:pt>
                <c:pt idx="104">
                  <c:v>43.043999999999997</c:v>
                </c:pt>
                <c:pt idx="105">
                  <c:v>43.223999999999997</c:v>
                </c:pt>
                <c:pt idx="106">
                  <c:v>43.305999999999997</c:v>
                </c:pt>
                <c:pt idx="107">
                  <c:v>42.207000000000001</c:v>
                </c:pt>
                <c:pt idx="108">
                  <c:v>40.69</c:v>
                </c:pt>
                <c:pt idx="109">
                  <c:v>40.435000000000002</c:v>
                </c:pt>
                <c:pt idx="110">
                  <c:v>40.963999999999999</c:v>
                </c:pt>
                <c:pt idx="111">
                  <c:v>40.582000000000001</c:v>
                </c:pt>
                <c:pt idx="112">
                  <c:v>41.564999999999998</c:v>
                </c:pt>
                <c:pt idx="113">
                  <c:v>42.027000000000001</c:v>
                </c:pt>
                <c:pt idx="114">
                  <c:v>42.319000000000003</c:v>
                </c:pt>
                <c:pt idx="115">
                  <c:v>42.276000000000003</c:v>
                </c:pt>
                <c:pt idx="116">
                  <c:v>42.8</c:v>
                </c:pt>
                <c:pt idx="117">
                  <c:v>43.436</c:v>
                </c:pt>
                <c:pt idx="118">
                  <c:v>44.531999999999996</c:v>
                </c:pt>
                <c:pt idx="119">
                  <c:v>45.198</c:v>
                </c:pt>
                <c:pt idx="120">
                  <c:v>45.734000000000002</c:v>
                </c:pt>
                <c:pt idx="121">
                  <c:v>45.155000000000001</c:v>
                </c:pt>
                <c:pt idx="122">
                  <c:v>45.698999999999998</c:v>
                </c:pt>
                <c:pt idx="123">
                  <c:v>45.786000000000001</c:v>
                </c:pt>
                <c:pt idx="124">
                  <c:v>44.573999999999998</c:v>
                </c:pt>
                <c:pt idx="125">
                  <c:v>42.838999999999999</c:v>
                </c:pt>
                <c:pt idx="126">
                  <c:v>43.139000000000003</c:v>
                </c:pt>
                <c:pt idx="127">
                  <c:v>42.689</c:v>
                </c:pt>
                <c:pt idx="128">
                  <c:v>42.584000000000003</c:v>
                </c:pt>
                <c:pt idx="129">
                  <c:v>42.912999999999997</c:v>
                </c:pt>
                <c:pt idx="130">
                  <c:v>41.968000000000004</c:v>
                </c:pt>
                <c:pt idx="131">
                  <c:v>41.113</c:v>
                </c:pt>
                <c:pt idx="132">
                  <c:v>38.466999999999999</c:v>
                </c:pt>
                <c:pt idx="133">
                  <c:v>37.710999999999999</c:v>
                </c:pt>
                <c:pt idx="134">
                  <c:v>37.463000000000001</c:v>
                </c:pt>
                <c:pt idx="135">
                  <c:v>36.613999999999997</c:v>
                </c:pt>
                <c:pt idx="136">
                  <c:v>36.078000000000003</c:v>
                </c:pt>
                <c:pt idx="137">
                  <c:v>36.247999999999998</c:v>
                </c:pt>
                <c:pt idx="138">
                  <c:v>36.438000000000002</c:v>
                </c:pt>
                <c:pt idx="139">
                  <c:v>36.694000000000003</c:v>
                </c:pt>
                <c:pt idx="140">
                  <c:v>40.631</c:v>
                </c:pt>
                <c:pt idx="141">
                  <c:v>39.860999999999997</c:v>
                </c:pt>
                <c:pt idx="142">
                  <c:v>40.886000000000003</c:v>
                </c:pt>
                <c:pt idx="143">
                  <c:v>40.902999999999999</c:v>
                </c:pt>
                <c:pt idx="144">
                  <c:v>46.47</c:v>
                </c:pt>
                <c:pt idx="145">
                  <c:v>44.88</c:v>
                </c:pt>
                <c:pt idx="146">
                  <c:v>45.582000000000001</c:v>
                </c:pt>
                <c:pt idx="147">
                  <c:v>46.89</c:v>
                </c:pt>
                <c:pt idx="148">
                  <c:v>46.066000000000003</c:v>
                </c:pt>
                <c:pt idx="149">
                  <c:v>46.817999999999998</c:v>
                </c:pt>
                <c:pt idx="150">
                  <c:v>48.048000000000002</c:v>
                </c:pt>
                <c:pt idx="151">
                  <c:v>47.061999999999998</c:v>
                </c:pt>
                <c:pt idx="152">
                  <c:v>45.387999999999998</c:v>
                </c:pt>
                <c:pt idx="153">
                  <c:v>41.603999999999999</c:v>
                </c:pt>
                <c:pt idx="154">
                  <c:v>40.119</c:v>
                </c:pt>
                <c:pt idx="155">
                  <c:v>39.944000000000003</c:v>
                </c:pt>
                <c:pt idx="156">
                  <c:v>39.048999999999999</c:v>
                </c:pt>
                <c:pt idx="157">
                  <c:v>39.094999999999999</c:v>
                </c:pt>
                <c:pt idx="158">
                  <c:v>37.159999999999997</c:v>
                </c:pt>
                <c:pt idx="159">
                  <c:v>35.795000000000002</c:v>
                </c:pt>
                <c:pt idx="160">
                  <c:v>35.582000000000001</c:v>
                </c:pt>
                <c:pt idx="161">
                  <c:v>31.986999999999998</c:v>
                </c:pt>
                <c:pt idx="162">
                  <c:v>30.422000000000001</c:v>
                </c:pt>
                <c:pt idx="163">
                  <c:v>31.05</c:v>
                </c:pt>
                <c:pt idx="164">
                  <c:v>29.991</c:v>
                </c:pt>
                <c:pt idx="165">
                  <c:v>28.704999999999998</c:v>
                </c:pt>
                <c:pt idx="166">
                  <c:v>28.361000000000001</c:v>
                </c:pt>
                <c:pt idx="167">
                  <c:v>28.106999999999999</c:v>
                </c:pt>
                <c:pt idx="168">
                  <c:v>28.062999999999999</c:v>
                </c:pt>
                <c:pt idx="169">
                  <c:v>26.77</c:v>
                </c:pt>
                <c:pt idx="170">
                  <c:v>25.5</c:v>
                </c:pt>
                <c:pt idx="171">
                  <c:v>24.847000000000001</c:v>
                </c:pt>
                <c:pt idx="172">
                  <c:v>24.134</c:v>
                </c:pt>
                <c:pt idx="173">
                  <c:v>22.760999999999999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AC-4D8F-9239-F44FCA6224F2}"/>
            </c:ext>
          </c:extLst>
        </c:ser>
        <c:ser>
          <c:idx val="7"/>
          <c:order val="7"/>
          <c:tx>
            <c:strRef>
              <c:f>data_co2_incLUC!$K$2</c:f>
              <c:strCache>
                <c:ptCount val="1"/>
                <c:pt idx="0">
                  <c:v>pct_annex2_GCP_BLUE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data_co2_incLUC!$K$3:$K$177</c:f>
              <c:numCache>
                <c:formatCode>0.0</c:formatCode>
                <c:ptCount val="175"/>
                <c:pt idx="0">
                  <c:v>35.536000000000001</c:v>
                </c:pt>
                <c:pt idx="1">
                  <c:v>35.619</c:v>
                </c:pt>
                <c:pt idx="2">
                  <c:v>35.264000000000003</c:v>
                </c:pt>
                <c:pt idx="3">
                  <c:v>36.100999999999999</c:v>
                </c:pt>
                <c:pt idx="4">
                  <c:v>36.94</c:v>
                </c:pt>
                <c:pt idx="5">
                  <c:v>36.764000000000003</c:v>
                </c:pt>
                <c:pt idx="6">
                  <c:v>37.067</c:v>
                </c:pt>
                <c:pt idx="7">
                  <c:v>37.204000000000001</c:v>
                </c:pt>
                <c:pt idx="8">
                  <c:v>37.631</c:v>
                </c:pt>
                <c:pt idx="9">
                  <c:v>38.124000000000002</c:v>
                </c:pt>
                <c:pt idx="10">
                  <c:v>40.396999999999998</c:v>
                </c:pt>
                <c:pt idx="11">
                  <c:v>40.640999999999998</c:v>
                </c:pt>
                <c:pt idx="12">
                  <c:v>41.938000000000002</c:v>
                </c:pt>
                <c:pt idx="13">
                  <c:v>42.908000000000001</c:v>
                </c:pt>
                <c:pt idx="14">
                  <c:v>42.61</c:v>
                </c:pt>
                <c:pt idx="15">
                  <c:v>43.389000000000003</c:v>
                </c:pt>
                <c:pt idx="16">
                  <c:v>43.152000000000001</c:v>
                </c:pt>
                <c:pt idx="17">
                  <c:v>44.636000000000003</c:v>
                </c:pt>
                <c:pt idx="18">
                  <c:v>44.674999999999997</c:v>
                </c:pt>
                <c:pt idx="19">
                  <c:v>44.634</c:v>
                </c:pt>
                <c:pt idx="20">
                  <c:v>47.566000000000003</c:v>
                </c:pt>
                <c:pt idx="21">
                  <c:v>49.723999999999997</c:v>
                </c:pt>
                <c:pt idx="22">
                  <c:v>49.966000000000001</c:v>
                </c:pt>
                <c:pt idx="23">
                  <c:v>51.424999999999997</c:v>
                </c:pt>
                <c:pt idx="24">
                  <c:v>51.067</c:v>
                </c:pt>
                <c:pt idx="25">
                  <c:v>52.271000000000001</c:v>
                </c:pt>
                <c:pt idx="26">
                  <c:v>52.506</c:v>
                </c:pt>
                <c:pt idx="27">
                  <c:v>52.704000000000001</c:v>
                </c:pt>
                <c:pt idx="28">
                  <c:v>52.963999999999999</c:v>
                </c:pt>
                <c:pt idx="29">
                  <c:v>53.776000000000003</c:v>
                </c:pt>
                <c:pt idx="30">
                  <c:v>51.543999999999997</c:v>
                </c:pt>
                <c:pt idx="31">
                  <c:v>50.209000000000003</c:v>
                </c:pt>
                <c:pt idx="32">
                  <c:v>49.930999999999997</c:v>
                </c:pt>
                <c:pt idx="33">
                  <c:v>50.104999999999997</c:v>
                </c:pt>
                <c:pt idx="34">
                  <c:v>49.643999999999998</c:v>
                </c:pt>
                <c:pt idx="35">
                  <c:v>49.146999999999998</c:v>
                </c:pt>
                <c:pt idx="36">
                  <c:v>49.207999999999998</c:v>
                </c:pt>
                <c:pt idx="37">
                  <c:v>49.634</c:v>
                </c:pt>
                <c:pt idx="38">
                  <c:v>50.378999999999998</c:v>
                </c:pt>
                <c:pt idx="39">
                  <c:v>49.497999999999998</c:v>
                </c:pt>
                <c:pt idx="40">
                  <c:v>49.363999999999997</c:v>
                </c:pt>
                <c:pt idx="41">
                  <c:v>49.472000000000001</c:v>
                </c:pt>
                <c:pt idx="42">
                  <c:v>49.636000000000003</c:v>
                </c:pt>
                <c:pt idx="43">
                  <c:v>49.697000000000003</c:v>
                </c:pt>
                <c:pt idx="44">
                  <c:v>49.514000000000003</c:v>
                </c:pt>
                <c:pt idx="45">
                  <c:v>50.082999999999998</c:v>
                </c:pt>
                <c:pt idx="46">
                  <c:v>50.518999999999998</c:v>
                </c:pt>
                <c:pt idx="47">
                  <c:v>50.579000000000001</c:v>
                </c:pt>
                <c:pt idx="48">
                  <c:v>51.168999999999997</c:v>
                </c:pt>
                <c:pt idx="49">
                  <c:v>52.137999999999998</c:v>
                </c:pt>
                <c:pt idx="50">
                  <c:v>51.793999999999997</c:v>
                </c:pt>
                <c:pt idx="51">
                  <c:v>50.518999999999998</c:v>
                </c:pt>
                <c:pt idx="52">
                  <c:v>50.506999999999998</c:v>
                </c:pt>
                <c:pt idx="53">
                  <c:v>51.110999999999997</c:v>
                </c:pt>
                <c:pt idx="54">
                  <c:v>50.795999999999999</c:v>
                </c:pt>
                <c:pt idx="55">
                  <c:v>51.344999999999999</c:v>
                </c:pt>
                <c:pt idx="56">
                  <c:v>51.151000000000003</c:v>
                </c:pt>
                <c:pt idx="57">
                  <c:v>52.642000000000003</c:v>
                </c:pt>
                <c:pt idx="58">
                  <c:v>51.689</c:v>
                </c:pt>
                <c:pt idx="59">
                  <c:v>51.927999999999997</c:v>
                </c:pt>
                <c:pt idx="60">
                  <c:v>53.735999999999997</c:v>
                </c:pt>
                <c:pt idx="61">
                  <c:v>54.046999999999997</c:v>
                </c:pt>
                <c:pt idx="62">
                  <c:v>54.654000000000003</c:v>
                </c:pt>
                <c:pt idx="63">
                  <c:v>55.99</c:v>
                </c:pt>
                <c:pt idx="64">
                  <c:v>55.034999999999997</c:v>
                </c:pt>
                <c:pt idx="65">
                  <c:v>55.110999999999997</c:v>
                </c:pt>
                <c:pt idx="66">
                  <c:v>56.103000000000002</c:v>
                </c:pt>
                <c:pt idx="67">
                  <c:v>57.234000000000002</c:v>
                </c:pt>
                <c:pt idx="68">
                  <c:v>58.505000000000003</c:v>
                </c:pt>
                <c:pt idx="69">
                  <c:v>57.182000000000002</c:v>
                </c:pt>
                <c:pt idx="70">
                  <c:v>54.771000000000001</c:v>
                </c:pt>
                <c:pt idx="71">
                  <c:v>51.046999999999997</c:v>
                </c:pt>
                <c:pt idx="72">
                  <c:v>51.220999999999997</c:v>
                </c:pt>
                <c:pt idx="73">
                  <c:v>52.158999999999999</c:v>
                </c:pt>
                <c:pt idx="74">
                  <c:v>51.878999999999998</c:v>
                </c:pt>
                <c:pt idx="75">
                  <c:v>51.378</c:v>
                </c:pt>
                <c:pt idx="76">
                  <c:v>50.368000000000002</c:v>
                </c:pt>
                <c:pt idx="77">
                  <c:v>51.122</c:v>
                </c:pt>
                <c:pt idx="78">
                  <c:v>50.344999999999999</c:v>
                </c:pt>
                <c:pt idx="79">
                  <c:v>50.805</c:v>
                </c:pt>
                <c:pt idx="80">
                  <c:v>47.213000000000001</c:v>
                </c:pt>
                <c:pt idx="81">
                  <c:v>43.904000000000003</c:v>
                </c:pt>
                <c:pt idx="82">
                  <c:v>40.927</c:v>
                </c:pt>
                <c:pt idx="83">
                  <c:v>41.222000000000001</c:v>
                </c:pt>
                <c:pt idx="84">
                  <c:v>41.564</c:v>
                </c:pt>
                <c:pt idx="85">
                  <c:v>41.573</c:v>
                </c:pt>
                <c:pt idx="86">
                  <c:v>42.179000000000002</c:v>
                </c:pt>
                <c:pt idx="87">
                  <c:v>42.768999999999998</c:v>
                </c:pt>
                <c:pt idx="88">
                  <c:v>40.776000000000003</c:v>
                </c:pt>
                <c:pt idx="89">
                  <c:v>41.56</c:v>
                </c:pt>
                <c:pt idx="90">
                  <c:v>41.201000000000001</c:v>
                </c:pt>
                <c:pt idx="91">
                  <c:v>41.744</c:v>
                </c:pt>
                <c:pt idx="92">
                  <c:v>43.143000000000001</c:v>
                </c:pt>
                <c:pt idx="93">
                  <c:v>43.320999999999998</c:v>
                </c:pt>
                <c:pt idx="94">
                  <c:v>43.241</c:v>
                </c:pt>
                <c:pt idx="95">
                  <c:v>40.518000000000001</c:v>
                </c:pt>
                <c:pt idx="96">
                  <c:v>41.271999999999998</c:v>
                </c:pt>
                <c:pt idx="97">
                  <c:v>43.081000000000003</c:v>
                </c:pt>
                <c:pt idx="98">
                  <c:v>44.244</c:v>
                </c:pt>
                <c:pt idx="99">
                  <c:v>42.305999999999997</c:v>
                </c:pt>
                <c:pt idx="100">
                  <c:v>39.899000000000001</c:v>
                </c:pt>
                <c:pt idx="101">
                  <c:v>38.531999999999996</c:v>
                </c:pt>
                <c:pt idx="102">
                  <c:v>37.968000000000004</c:v>
                </c:pt>
                <c:pt idx="103">
                  <c:v>37.595999999999997</c:v>
                </c:pt>
                <c:pt idx="104">
                  <c:v>35.686</c:v>
                </c:pt>
                <c:pt idx="105">
                  <c:v>36.234999999999999</c:v>
                </c:pt>
                <c:pt idx="106">
                  <c:v>36.581000000000003</c:v>
                </c:pt>
                <c:pt idx="107">
                  <c:v>35.738</c:v>
                </c:pt>
                <c:pt idx="108">
                  <c:v>34.479999999999997</c:v>
                </c:pt>
                <c:pt idx="109">
                  <c:v>32.722000000000001</c:v>
                </c:pt>
                <c:pt idx="110">
                  <c:v>35.92</c:v>
                </c:pt>
                <c:pt idx="111">
                  <c:v>35.677</c:v>
                </c:pt>
                <c:pt idx="112">
                  <c:v>37.877000000000002</c:v>
                </c:pt>
                <c:pt idx="113">
                  <c:v>38.472999999999999</c:v>
                </c:pt>
                <c:pt idx="114">
                  <c:v>39.951999999999998</c:v>
                </c:pt>
                <c:pt idx="115">
                  <c:v>40.838000000000001</c:v>
                </c:pt>
                <c:pt idx="116">
                  <c:v>41.883000000000003</c:v>
                </c:pt>
                <c:pt idx="117">
                  <c:v>44.795000000000002</c:v>
                </c:pt>
                <c:pt idx="118">
                  <c:v>45.848999999999997</c:v>
                </c:pt>
                <c:pt idx="119">
                  <c:v>42.356999999999999</c:v>
                </c:pt>
                <c:pt idx="120">
                  <c:v>42.756999999999998</c:v>
                </c:pt>
                <c:pt idx="121">
                  <c:v>43.143999999999998</c:v>
                </c:pt>
                <c:pt idx="122">
                  <c:v>41.69</c:v>
                </c:pt>
                <c:pt idx="123">
                  <c:v>42.527999999999999</c:v>
                </c:pt>
                <c:pt idx="124">
                  <c:v>41.607999999999997</c:v>
                </c:pt>
                <c:pt idx="125">
                  <c:v>40.646999999999998</c:v>
                </c:pt>
                <c:pt idx="126">
                  <c:v>41.429000000000002</c:v>
                </c:pt>
                <c:pt idx="127">
                  <c:v>40.590000000000003</c:v>
                </c:pt>
                <c:pt idx="128">
                  <c:v>40.033999999999999</c:v>
                </c:pt>
                <c:pt idx="129">
                  <c:v>41.738999999999997</c:v>
                </c:pt>
                <c:pt idx="130">
                  <c:v>40.563000000000002</c:v>
                </c:pt>
                <c:pt idx="131">
                  <c:v>40.093000000000004</c:v>
                </c:pt>
                <c:pt idx="132">
                  <c:v>39.057000000000002</c:v>
                </c:pt>
                <c:pt idx="133">
                  <c:v>38.473999999999997</c:v>
                </c:pt>
                <c:pt idx="134">
                  <c:v>37.191000000000003</c:v>
                </c:pt>
                <c:pt idx="135">
                  <c:v>35.822000000000003</c:v>
                </c:pt>
                <c:pt idx="136">
                  <c:v>34.773000000000003</c:v>
                </c:pt>
                <c:pt idx="137">
                  <c:v>35.771000000000001</c:v>
                </c:pt>
                <c:pt idx="138">
                  <c:v>36.393000000000001</c:v>
                </c:pt>
                <c:pt idx="139">
                  <c:v>37.088000000000001</c:v>
                </c:pt>
                <c:pt idx="140">
                  <c:v>38.500999999999998</c:v>
                </c:pt>
                <c:pt idx="141">
                  <c:v>38.439</c:v>
                </c:pt>
                <c:pt idx="142">
                  <c:v>38.497</c:v>
                </c:pt>
                <c:pt idx="143">
                  <c:v>38.784999999999997</c:v>
                </c:pt>
                <c:pt idx="144">
                  <c:v>37.484000000000002</c:v>
                </c:pt>
                <c:pt idx="145">
                  <c:v>38.218000000000004</c:v>
                </c:pt>
                <c:pt idx="146">
                  <c:v>38.085000000000001</c:v>
                </c:pt>
                <c:pt idx="147">
                  <c:v>36.061</c:v>
                </c:pt>
                <c:pt idx="148">
                  <c:v>37.965000000000003</c:v>
                </c:pt>
                <c:pt idx="149">
                  <c:v>38.067</c:v>
                </c:pt>
                <c:pt idx="150">
                  <c:v>38.993000000000002</c:v>
                </c:pt>
                <c:pt idx="151">
                  <c:v>39.01</c:v>
                </c:pt>
                <c:pt idx="152">
                  <c:v>37.664000000000001</c:v>
                </c:pt>
                <c:pt idx="153">
                  <c:v>35.869</c:v>
                </c:pt>
                <c:pt idx="154">
                  <c:v>36.107999999999997</c:v>
                </c:pt>
                <c:pt idx="155">
                  <c:v>35.856999999999999</c:v>
                </c:pt>
                <c:pt idx="156">
                  <c:v>33.302999999999997</c:v>
                </c:pt>
                <c:pt idx="157">
                  <c:v>33.424999999999997</c:v>
                </c:pt>
                <c:pt idx="158">
                  <c:v>32.343000000000004</c:v>
                </c:pt>
                <c:pt idx="159">
                  <c:v>29.331</c:v>
                </c:pt>
                <c:pt idx="160">
                  <c:v>30.143000000000001</c:v>
                </c:pt>
                <c:pt idx="161">
                  <c:v>27.988</c:v>
                </c:pt>
                <c:pt idx="162">
                  <c:v>26.895</c:v>
                </c:pt>
                <c:pt idx="163">
                  <c:v>26.943000000000001</c:v>
                </c:pt>
                <c:pt idx="164">
                  <c:v>26.366</c:v>
                </c:pt>
                <c:pt idx="165">
                  <c:v>25.86</c:v>
                </c:pt>
                <c:pt idx="166">
                  <c:v>26.355</c:v>
                </c:pt>
                <c:pt idx="167">
                  <c:v>26.062000000000001</c:v>
                </c:pt>
                <c:pt idx="168">
                  <c:v>25.908000000000001</c:v>
                </c:pt>
                <c:pt idx="169">
                  <c:v>24.86</c:v>
                </c:pt>
                <c:pt idx="170">
                  <c:v>23.716999999999999</c:v>
                </c:pt>
                <c:pt idx="171">
                  <c:v>24.04</c:v>
                </c:pt>
                <c:pt idx="172">
                  <c:v>23.399000000000001</c:v>
                </c:pt>
                <c:pt idx="173">
                  <c:v>22.305</c:v>
                </c:pt>
                <c:pt idx="174">
                  <c:v>21.925000000000001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AC-4D8F-9239-F44FCA6224F2}"/>
            </c:ext>
          </c:extLst>
        </c:ser>
        <c:ser>
          <c:idx val="8"/>
          <c:order val="8"/>
          <c:tx>
            <c:strRef>
              <c:f>data_co2_incLUC!$L$2</c:f>
              <c:strCache>
                <c:ptCount val="1"/>
                <c:pt idx="0">
                  <c:v>pct_annex2_GCP_OSCAR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data_co2_incLUC!$L$3:$L$177</c:f>
              <c:numCache>
                <c:formatCode>0.0</c:formatCode>
                <c:ptCount val="175"/>
                <c:pt idx="0">
                  <c:v>44.923000000000002</c:v>
                </c:pt>
                <c:pt idx="1">
                  <c:v>45.195</c:v>
                </c:pt>
                <c:pt idx="2">
                  <c:v>44.552999999999997</c:v>
                </c:pt>
                <c:pt idx="3">
                  <c:v>46.058</c:v>
                </c:pt>
                <c:pt idx="4">
                  <c:v>46.786000000000001</c:v>
                </c:pt>
                <c:pt idx="5">
                  <c:v>46.76</c:v>
                </c:pt>
                <c:pt idx="6">
                  <c:v>46.921999999999997</c:v>
                </c:pt>
                <c:pt idx="7">
                  <c:v>46.826999999999998</c:v>
                </c:pt>
                <c:pt idx="8">
                  <c:v>47.557000000000002</c:v>
                </c:pt>
                <c:pt idx="9">
                  <c:v>48.203000000000003</c:v>
                </c:pt>
                <c:pt idx="10">
                  <c:v>49.722999999999999</c:v>
                </c:pt>
                <c:pt idx="11">
                  <c:v>49.598999999999997</c:v>
                </c:pt>
                <c:pt idx="12">
                  <c:v>50.436999999999998</c:v>
                </c:pt>
                <c:pt idx="13">
                  <c:v>51.401000000000003</c:v>
                </c:pt>
                <c:pt idx="14">
                  <c:v>50.933999999999997</c:v>
                </c:pt>
                <c:pt idx="15">
                  <c:v>51.853000000000002</c:v>
                </c:pt>
                <c:pt idx="16">
                  <c:v>51.414999999999999</c:v>
                </c:pt>
                <c:pt idx="17">
                  <c:v>53.319000000000003</c:v>
                </c:pt>
                <c:pt idx="18">
                  <c:v>53.405000000000001</c:v>
                </c:pt>
                <c:pt idx="19">
                  <c:v>53.311999999999998</c:v>
                </c:pt>
                <c:pt idx="20">
                  <c:v>53.944000000000003</c:v>
                </c:pt>
                <c:pt idx="21">
                  <c:v>56.25</c:v>
                </c:pt>
                <c:pt idx="22">
                  <c:v>56.253999999999998</c:v>
                </c:pt>
                <c:pt idx="23">
                  <c:v>57.959000000000003</c:v>
                </c:pt>
                <c:pt idx="24">
                  <c:v>57.162999999999997</c:v>
                </c:pt>
                <c:pt idx="25">
                  <c:v>58.500999999999998</c:v>
                </c:pt>
                <c:pt idx="26">
                  <c:v>58.424999999999997</c:v>
                </c:pt>
                <c:pt idx="27">
                  <c:v>58.624000000000002</c:v>
                </c:pt>
                <c:pt idx="28">
                  <c:v>58.710999999999999</c:v>
                </c:pt>
                <c:pt idx="29">
                  <c:v>59.451999999999998</c:v>
                </c:pt>
                <c:pt idx="30">
                  <c:v>59.366</c:v>
                </c:pt>
                <c:pt idx="31">
                  <c:v>58.131999999999998</c:v>
                </c:pt>
                <c:pt idx="32">
                  <c:v>58.206000000000003</c:v>
                </c:pt>
                <c:pt idx="33">
                  <c:v>58.551000000000002</c:v>
                </c:pt>
                <c:pt idx="34">
                  <c:v>58.253</c:v>
                </c:pt>
                <c:pt idx="35">
                  <c:v>57.890999999999998</c:v>
                </c:pt>
                <c:pt idx="36">
                  <c:v>58.066000000000003</c:v>
                </c:pt>
                <c:pt idx="37">
                  <c:v>58.652999999999999</c:v>
                </c:pt>
                <c:pt idx="38">
                  <c:v>59.265999999999998</c:v>
                </c:pt>
                <c:pt idx="39">
                  <c:v>58.265999999999998</c:v>
                </c:pt>
                <c:pt idx="40">
                  <c:v>57.597000000000001</c:v>
                </c:pt>
                <c:pt idx="41">
                  <c:v>57.831000000000003</c:v>
                </c:pt>
                <c:pt idx="42">
                  <c:v>58.055999999999997</c:v>
                </c:pt>
                <c:pt idx="43">
                  <c:v>57.786000000000001</c:v>
                </c:pt>
                <c:pt idx="44">
                  <c:v>57.462000000000003</c:v>
                </c:pt>
                <c:pt idx="45">
                  <c:v>58.048000000000002</c:v>
                </c:pt>
                <c:pt idx="46">
                  <c:v>58.335999999999999</c:v>
                </c:pt>
                <c:pt idx="47">
                  <c:v>58.265999999999998</c:v>
                </c:pt>
                <c:pt idx="48">
                  <c:v>58.612000000000002</c:v>
                </c:pt>
                <c:pt idx="49">
                  <c:v>59.478000000000002</c:v>
                </c:pt>
                <c:pt idx="50">
                  <c:v>60.302</c:v>
                </c:pt>
                <c:pt idx="51">
                  <c:v>59.332999999999998</c:v>
                </c:pt>
                <c:pt idx="52">
                  <c:v>59.642000000000003</c:v>
                </c:pt>
                <c:pt idx="53">
                  <c:v>60.302</c:v>
                </c:pt>
                <c:pt idx="54">
                  <c:v>59.527000000000001</c:v>
                </c:pt>
                <c:pt idx="55">
                  <c:v>60.386000000000003</c:v>
                </c:pt>
                <c:pt idx="56">
                  <c:v>60.081000000000003</c:v>
                </c:pt>
                <c:pt idx="57">
                  <c:v>61.517000000000003</c:v>
                </c:pt>
                <c:pt idx="58">
                  <c:v>60.191000000000003</c:v>
                </c:pt>
                <c:pt idx="59">
                  <c:v>60.08</c:v>
                </c:pt>
                <c:pt idx="60">
                  <c:v>61.2</c:v>
                </c:pt>
                <c:pt idx="61">
                  <c:v>60.759</c:v>
                </c:pt>
                <c:pt idx="62">
                  <c:v>60.756</c:v>
                </c:pt>
                <c:pt idx="63">
                  <c:v>61.462000000000003</c:v>
                </c:pt>
                <c:pt idx="64">
                  <c:v>60.170999999999999</c:v>
                </c:pt>
                <c:pt idx="65">
                  <c:v>59.576999999999998</c:v>
                </c:pt>
                <c:pt idx="66">
                  <c:v>59.781999999999996</c:v>
                </c:pt>
                <c:pt idx="67">
                  <c:v>60.154000000000003</c:v>
                </c:pt>
                <c:pt idx="68">
                  <c:v>61.445</c:v>
                </c:pt>
                <c:pt idx="69">
                  <c:v>59.573</c:v>
                </c:pt>
                <c:pt idx="70">
                  <c:v>59.57</c:v>
                </c:pt>
                <c:pt idx="71">
                  <c:v>56.131</c:v>
                </c:pt>
                <c:pt idx="72">
                  <c:v>56.908999999999999</c:v>
                </c:pt>
                <c:pt idx="73">
                  <c:v>58.267000000000003</c:v>
                </c:pt>
                <c:pt idx="74">
                  <c:v>58.335000000000001</c:v>
                </c:pt>
                <c:pt idx="75">
                  <c:v>57.847000000000001</c:v>
                </c:pt>
                <c:pt idx="76">
                  <c:v>57.073999999999998</c:v>
                </c:pt>
                <c:pt idx="77">
                  <c:v>57.951999999999998</c:v>
                </c:pt>
                <c:pt idx="78">
                  <c:v>57.25</c:v>
                </c:pt>
                <c:pt idx="79">
                  <c:v>57.66</c:v>
                </c:pt>
                <c:pt idx="80">
                  <c:v>55.374000000000002</c:v>
                </c:pt>
                <c:pt idx="81">
                  <c:v>52.662999999999997</c:v>
                </c:pt>
                <c:pt idx="82">
                  <c:v>49.768999999999998</c:v>
                </c:pt>
                <c:pt idx="83">
                  <c:v>50.511000000000003</c:v>
                </c:pt>
                <c:pt idx="84">
                  <c:v>51.048000000000002</c:v>
                </c:pt>
                <c:pt idx="85">
                  <c:v>51.335999999999999</c:v>
                </c:pt>
                <c:pt idx="86">
                  <c:v>51.883000000000003</c:v>
                </c:pt>
                <c:pt idx="87">
                  <c:v>52.652999999999999</c:v>
                </c:pt>
                <c:pt idx="88">
                  <c:v>50.664000000000001</c:v>
                </c:pt>
                <c:pt idx="89">
                  <c:v>51.616999999999997</c:v>
                </c:pt>
                <c:pt idx="90">
                  <c:v>51.094999999999999</c:v>
                </c:pt>
                <c:pt idx="91">
                  <c:v>51.375</c:v>
                </c:pt>
                <c:pt idx="92">
                  <c:v>52.890999999999998</c:v>
                </c:pt>
                <c:pt idx="93">
                  <c:v>52.787999999999997</c:v>
                </c:pt>
                <c:pt idx="94">
                  <c:v>52.222999999999999</c:v>
                </c:pt>
                <c:pt idx="95">
                  <c:v>49.28</c:v>
                </c:pt>
                <c:pt idx="96">
                  <c:v>49.594999999999999</c:v>
                </c:pt>
                <c:pt idx="97">
                  <c:v>50.957999999999998</c:v>
                </c:pt>
                <c:pt idx="98">
                  <c:v>51.857999999999997</c:v>
                </c:pt>
                <c:pt idx="99">
                  <c:v>49.688000000000002</c:v>
                </c:pt>
                <c:pt idx="100">
                  <c:v>48.656999999999996</c:v>
                </c:pt>
                <c:pt idx="101">
                  <c:v>47.323</c:v>
                </c:pt>
                <c:pt idx="102">
                  <c:v>46.417999999999999</c:v>
                </c:pt>
                <c:pt idx="103">
                  <c:v>46.158000000000001</c:v>
                </c:pt>
                <c:pt idx="104">
                  <c:v>44.576999999999998</c:v>
                </c:pt>
                <c:pt idx="105">
                  <c:v>44.667000000000002</c:v>
                </c:pt>
                <c:pt idx="106">
                  <c:v>44.716999999999999</c:v>
                </c:pt>
                <c:pt idx="107">
                  <c:v>43.677999999999997</c:v>
                </c:pt>
                <c:pt idx="108">
                  <c:v>41.603999999999999</c:v>
                </c:pt>
                <c:pt idx="109">
                  <c:v>40.307000000000002</c:v>
                </c:pt>
                <c:pt idx="110">
                  <c:v>41.088999999999999</c:v>
                </c:pt>
                <c:pt idx="111">
                  <c:v>41.66</c:v>
                </c:pt>
                <c:pt idx="112">
                  <c:v>43.268999999999998</c:v>
                </c:pt>
                <c:pt idx="113">
                  <c:v>43.518000000000001</c:v>
                </c:pt>
                <c:pt idx="114">
                  <c:v>44.091999999999999</c:v>
                </c:pt>
                <c:pt idx="115">
                  <c:v>44.72</c:v>
                </c:pt>
                <c:pt idx="116">
                  <c:v>45.398000000000003</c:v>
                </c:pt>
                <c:pt idx="117">
                  <c:v>46.628999999999998</c:v>
                </c:pt>
                <c:pt idx="118">
                  <c:v>47.216000000000001</c:v>
                </c:pt>
                <c:pt idx="119">
                  <c:v>46.494</c:v>
                </c:pt>
                <c:pt idx="120">
                  <c:v>45.759</c:v>
                </c:pt>
                <c:pt idx="121">
                  <c:v>46.192999999999998</c:v>
                </c:pt>
                <c:pt idx="122">
                  <c:v>46.256999999999998</c:v>
                </c:pt>
                <c:pt idx="123">
                  <c:v>46.314</c:v>
                </c:pt>
                <c:pt idx="124">
                  <c:v>45.098999999999997</c:v>
                </c:pt>
                <c:pt idx="125">
                  <c:v>43.491</c:v>
                </c:pt>
                <c:pt idx="126">
                  <c:v>43.722000000000001</c:v>
                </c:pt>
                <c:pt idx="127">
                  <c:v>43.124000000000002</c:v>
                </c:pt>
                <c:pt idx="128">
                  <c:v>42.652000000000001</c:v>
                </c:pt>
                <c:pt idx="129">
                  <c:v>43.290999999999997</c:v>
                </c:pt>
                <c:pt idx="130">
                  <c:v>42.344999999999999</c:v>
                </c:pt>
                <c:pt idx="131">
                  <c:v>41.743000000000002</c:v>
                </c:pt>
                <c:pt idx="132">
                  <c:v>40.247</c:v>
                </c:pt>
                <c:pt idx="133">
                  <c:v>39.402999999999999</c:v>
                </c:pt>
                <c:pt idx="134">
                  <c:v>39.075000000000003</c:v>
                </c:pt>
                <c:pt idx="135">
                  <c:v>37.643000000000001</c:v>
                </c:pt>
                <c:pt idx="136">
                  <c:v>36.905999999999999</c:v>
                </c:pt>
                <c:pt idx="137">
                  <c:v>37.262</c:v>
                </c:pt>
                <c:pt idx="138">
                  <c:v>37.454000000000001</c:v>
                </c:pt>
                <c:pt idx="139">
                  <c:v>37.912999999999997</c:v>
                </c:pt>
                <c:pt idx="140">
                  <c:v>39.017000000000003</c:v>
                </c:pt>
                <c:pt idx="141">
                  <c:v>39.045000000000002</c:v>
                </c:pt>
                <c:pt idx="142">
                  <c:v>39.460999999999999</c:v>
                </c:pt>
                <c:pt idx="143">
                  <c:v>39.283999999999999</c:v>
                </c:pt>
                <c:pt idx="144">
                  <c:v>39.026000000000003</c:v>
                </c:pt>
                <c:pt idx="145">
                  <c:v>38.823999999999998</c:v>
                </c:pt>
                <c:pt idx="146">
                  <c:v>38.594999999999999</c:v>
                </c:pt>
                <c:pt idx="147">
                  <c:v>36.479999999999997</c:v>
                </c:pt>
                <c:pt idx="148">
                  <c:v>38.902000000000001</c:v>
                </c:pt>
                <c:pt idx="149">
                  <c:v>38.466999999999999</c:v>
                </c:pt>
                <c:pt idx="150">
                  <c:v>39.235999999999997</c:v>
                </c:pt>
                <c:pt idx="151">
                  <c:v>39.128</c:v>
                </c:pt>
                <c:pt idx="152">
                  <c:v>38.222999999999999</c:v>
                </c:pt>
                <c:pt idx="153">
                  <c:v>37.036999999999999</c:v>
                </c:pt>
                <c:pt idx="154">
                  <c:v>36.6</c:v>
                </c:pt>
                <c:pt idx="155">
                  <c:v>36.142000000000003</c:v>
                </c:pt>
                <c:pt idx="156">
                  <c:v>34.298999999999999</c:v>
                </c:pt>
                <c:pt idx="157">
                  <c:v>34.1</c:v>
                </c:pt>
                <c:pt idx="158">
                  <c:v>32.533999999999999</c:v>
                </c:pt>
                <c:pt idx="159">
                  <c:v>30.077000000000002</c:v>
                </c:pt>
                <c:pt idx="160">
                  <c:v>29.626000000000001</c:v>
                </c:pt>
                <c:pt idx="161">
                  <c:v>28.236000000000001</c:v>
                </c:pt>
                <c:pt idx="162">
                  <c:v>27.350999999999999</c:v>
                </c:pt>
                <c:pt idx="163">
                  <c:v>27.379000000000001</c:v>
                </c:pt>
                <c:pt idx="164">
                  <c:v>26.725000000000001</c:v>
                </c:pt>
                <c:pt idx="165">
                  <c:v>26.076000000000001</c:v>
                </c:pt>
                <c:pt idx="166">
                  <c:v>26.45</c:v>
                </c:pt>
                <c:pt idx="167">
                  <c:v>26.094999999999999</c:v>
                </c:pt>
                <c:pt idx="168">
                  <c:v>25.782</c:v>
                </c:pt>
                <c:pt idx="169">
                  <c:v>24.831</c:v>
                </c:pt>
                <c:pt idx="170">
                  <c:v>23.585999999999999</c:v>
                </c:pt>
                <c:pt idx="171">
                  <c:v>23.85</c:v>
                </c:pt>
                <c:pt idx="172">
                  <c:v>23.244</c:v>
                </c:pt>
                <c:pt idx="173">
                  <c:v>22.125</c:v>
                </c:pt>
                <c:pt idx="174">
                  <c:v>21.805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AC-4D8F-9239-F44FCA6224F2}"/>
            </c:ext>
          </c:extLst>
        </c:ser>
        <c:ser>
          <c:idx val="9"/>
          <c:order val="9"/>
          <c:tx>
            <c:strRef>
              <c:f>data_co2_incLUC!$M$2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data_co2_incLUC!$M$3:$M$177</c:f>
              <c:numCache>
                <c:formatCode>0.0</c:formatCode>
                <c:ptCount val="175"/>
                <c:pt idx="0">
                  <c:v>57.667000000000002</c:v>
                </c:pt>
                <c:pt idx="1">
                  <c:v>57.02</c:v>
                </c:pt>
                <c:pt idx="2">
                  <c:v>56.984999999999999</c:v>
                </c:pt>
                <c:pt idx="3">
                  <c:v>56.912999999999997</c:v>
                </c:pt>
                <c:pt idx="4">
                  <c:v>57.963000000000001</c:v>
                </c:pt>
                <c:pt idx="5">
                  <c:v>57.54</c:v>
                </c:pt>
                <c:pt idx="6">
                  <c:v>57.777000000000001</c:v>
                </c:pt>
                <c:pt idx="7">
                  <c:v>57.923000000000002</c:v>
                </c:pt>
                <c:pt idx="8">
                  <c:v>58.244999999999997</c:v>
                </c:pt>
                <c:pt idx="9">
                  <c:v>58.570999999999998</c:v>
                </c:pt>
                <c:pt idx="10">
                  <c:v>61.777000000000001</c:v>
                </c:pt>
                <c:pt idx="11">
                  <c:v>62.975000000000001</c:v>
                </c:pt>
                <c:pt idx="12">
                  <c:v>64.701999999999998</c:v>
                </c:pt>
                <c:pt idx="13">
                  <c:v>65.488</c:v>
                </c:pt>
                <c:pt idx="14">
                  <c:v>65.974999999999994</c:v>
                </c:pt>
                <c:pt idx="15">
                  <c:v>66.680000000000007</c:v>
                </c:pt>
                <c:pt idx="16">
                  <c:v>67.385000000000005</c:v>
                </c:pt>
                <c:pt idx="17">
                  <c:v>67.691999999999993</c:v>
                </c:pt>
                <c:pt idx="18">
                  <c:v>68.239999999999995</c:v>
                </c:pt>
                <c:pt idx="19">
                  <c:v>68.274000000000001</c:v>
                </c:pt>
                <c:pt idx="20">
                  <c:v>70.569999999999993</c:v>
                </c:pt>
                <c:pt idx="21">
                  <c:v>71.596999999999994</c:v>
                </c:pt>
                <c:pt idx="22">
                  <c:v>71.763999999999996</c:v>
                </c:pt>
                <c:pt idx="23">
                  <c:v>72.494</c:v>
                </c:pt>
                <c:pt idx="24">
                  <c:v>72.712000000000003</c:v>
                </c:pt>
                <c:pt idx="25">
                  <c:v>73.335999999999999</c:v>
                </c:pt>
                <c:pt idx="26">
                  <c:v>73.751000000000005</c:v>
                </c:pt>
                <c:pt idx="27">
                  <c:v>73.725999999999999</c:v>
                </c:pt>
                <c:pt idx="28">
                  <c:v>74.128</c:v>
                </c:pt>
                <c:pt idx="29">
                  <c:v>74.814999999999998</c:v>
                </c:pt>
                <c:pt idx="30">
                  <c:v>72.707999999999998</c:v>
                </c:pt>
                <c:pt idx="31">
                  <c:v>71.537000000000006</c:v>
                </c:pt>
                <c:pt idx="32">
                  <c:v>71.117999999999995</c:v>
                </c:pt>
                <c:pt idx="33">
                  <c:v>71.198999999999998</c:v>
                </c:pt>
                <c:pt idx="34">
                  <c:v>71.164000000000001</c:v>
                </c:pt>
                <c:pt idx="35">
                  <c:v>70.983999999999995</c:v>
                </c:pt>
                <c:pt idx="36">
                  <c:v>70.790999999999997</c:v>
                </c:pt>
                <c:pt idx="37">
                  <c:v>70.638999999999996</c:v>
                </c:pt>
                <c:pt idx="38">
                  <c:v>71.373000000000005</c:v>
                </c:pt>
                <c:pt idx="39">
                  <c:v>70.715000000000003</c:v>
                </c:pt>
                <c:pt idx="40">
                  <c:v>71.394999999999996</c:v>
                </c:pt>
                <c:pt idx="41">
                  <c:v>71.462999999999994</c:v>
                </c:pt>
                <c:pt idx="42">
                  <c:v>71.924000000000007</c:v>
                </c:pt>
                <c:pt idx="43">
                  <c:v>71.998999999999995</c:v>
                </c:pt>
                <c:pt idx="44">
                  <c:v>72.179000000000002</c:v>
                </c:pt>
                <c:pt idx="45">
                  <c:v>72.317999999999998</c:v>
                </c:pt>
                <c:pt idx="46">
                  <c:v>72.668999999999997</c:v>
                </c:pt>
                <c:pt idx="47">
                  <c:v>72.703000000000003</c:v>
                </c:pt>
                <c:pt idx="48">
                  <c:v>73.405000000000001</c:v>
                </c:pt>
                <c:pt idx="49">
                  <c:v>73.912999999999997</c:v>
                </c:pt>
                <c:pt idx="50">
                  <c:v>74.168999999999997</c:v>
                </c:pt>
                <c:pt idx="51">
                  <c:v>73.426000000000002</c:v>
                </c:pt>
                <c:pt idx="52">
                  <c:v>73.343999999999994</c:v>
                </c:pt>
                <c:pt idx="53">
                  <c:v>74.007000000000005</c:v>
                </c:pt>
                <c:pt idx="54">
                  <c:v>73.900999999999996</c:v>
                </c:pt>
                <c:pt idx="55">
                  <c:v>74.611999999999995</c:v>
                </c:pt>
                <c:pt idx="56">
                  <c:v>74.459000000000003</c:v>
                </c:pt>
                <c:pt idx="57">
                  <c:v>75.665000000000006</c:v>
                </c:pt>
                <c:pt idx="58">
                  <c:v>75.385000000000005</c:v>
                </c:pt>
                <c:pt idx="59">
                  <c:v>75.66</c:v>
                </c:pt>
                <c:pt idx="60">
                  <c:v>73.042000000000002</c:v>
                </c:pt>
                <c:pt idx="61">
                  <c:v>71.957999999999998</c:v>
                </c:pt>
                <c:pt idx="62">
                  <c:v>71.968000000000004</c:v>
                </c:pt>
                <c:pt idx="63">
                  <c:v>71.863</c:v>
                </c:pt>
                <c:pt idx="64">
                  <c:v>70.11</c:v>
                </c:pt>
                <c:pt idx="65">
                  <c:v>69.343999999999994</c:v>
                </c:pt>
                <c:pt idx="66">
                  <c:v>70.082999999999998</c:v>
                </c:pt>
                <c:pt idx="67">
                  <c:v>69.974999999999994</c:v>
                </c:pt>
                <c:pt idx="68">
                  <c:v>69.393000000000001</c:v>
                </c:pt>
                <c:pt idx="69">
                  <c:v>66.905000000000001</c:v>
                </c:pt>
                <c:pt idx="70">
                  <c:v>66.180000000000007</c:v>
                </c:pt>
                <c:pt idx="71">
                  <c:v>63.45</c:v>
                </c:pt>
                <c:pt idx="72">
                  <c:v>63.502000000000002</c:v>
                </c:pt>
                <c:pt idx="73">
                  <c:v>64.266999999999996</c:v>
                </c:pt>
                <c:pt idx="74">
                  <c:v>63.546999999999997</c:v>
                </c:pt>
                <c:pt idx="75">
                  <c:v>63.69</c:v>
                </c:pt>
                <c:pt idx="76">
                  <c:v>63.192999999999998</c:v>
                </c:pt>
                <c:pt idx="77">
                  <c:v>63.991</c:v>
                </c:pt>
                <c:pt idx="78">
                  <c:v>63.405000000000001</c:v>
                </c:pt>
                <c:pt idx="79">
                  <c:v>64.308999999999997</c:v>
                </c:pt>
                <c:pt idx="80">
                  <c:v>63.351999999999997</c:v>
                </c:pt>
                <c:pt idx="81">
                  <c:v>61.725000000000001</c:v>
                </c:pt>
                <c:pt idx="82">
                  <c:v>60.030999999999999</c:v>
                </c:pt>
                <c:pt idx="83">
                  <c:v>60.335000000000001</c:v>
                </c:pt>
                <c:pt idx="84">
                  <c:v>60.875</c:v>
                </c:pt>
                <c:pt idx="85">
                  <c:v>61.518999999999998</c:v>
                </c:pt>
                <c:pt idx="86">
                  <c:v>62.375</c:v>
                </c:pt>
                <c:pt idx="87">
                  <c:v>62.771999999999998</c:v>
                </c:pt>
                <c:pt idx="88">
                  <c:v>61.838999999999999</c:v>
                </c:pt>
                <c:pt idx="89">
                  <c:v>62.305999999999997</c:v>
                </c:pt>
                <c:pt idx="90">
                  <c:v>58.857999999999997</c:v>
                </c:pt>
                <c:pt idx="91">
                  <c:v>56.920999999999999</c:v>
                </c:pt>
                <c:pt idx="92">
                  <c:v>55.646999999999998</c:v>
                </c:pt>
                <c:pt idx="93">
                  <c:v>54.933</c:v>
                </c:pt>
                <c:pt idx="94">
                  <c:v>54.134999999999998</c:v>
                </c:pt>
                <c:pt idx="95">
                  <c:v>50.23</c:v>
                </c:pt>
                <c:pt idx="96">
                  <c:v>50.640999999999998</c:v>
                </c:pt>
                <c:pt idx="97">
                  <c:v>51.761000000000003</c:v>
                </c:pt>
                <c:pt idx="98">
                  <c:v>52.323</c:v>
                </c:pt>
                <c:pt idx="99">
                  <c:v>50.435000000000002</c:v>
                </c:pt>
                <c:pt idx="100">
                  <c:v>49.435000000000002</c:v>
                </c:pt>
                <c:pt idx="101">
                  <c:v>48.887</c:v>
                </c:pt>
                <c:pt idx="102">
                  <c:v>49.176000000000002</c:v>
                </c:pt>
                <c:pt idx="103">
                  <c:v>49.576000000000001</c:v>
                </c:pt>
                <c:pt idx="104">
                  <c:v>48.228000000000002</c:v>
                </c:pt>
                <c:pt idx="105">
                  <c:v>49.323999999999998</c:v>
                </c:pt>
                <c:pt idx="106">
                  <c:v>50.173000000000002</c:v>
                </c:pt>
                <c:pt idx="107">
                  <c:v>49.890999999999998</c:v>
                </c:pt>
                <c:pt idx="108">
                  <c:v>49.186999999999998</c:v>
                </c:pt>
                <c:pt idx="109">
                  <c:v>49.627000000000002</c:v>
                </c:pt>
                <c:pt idx="110">
                  <c:v>51.777000000000001</c:v>
                </c:pt>
                <c:pt idx="111">
                  <c:v>51.953000000000003</c:v>
                </c:pt>
                <c:pt idx="112">
                  <c:v>53.012999999999998</c:v>
                </c:pt>
                <c:pt idx="113">
                  <c:v>53.792999999999999</c:v>
                </c:pt>
                <c:pt idx="114">
                  <c:v>55.451999999999998</c:v>
                </c:pt>
                <c:pt idx="115">
                  <c:v>56.454000000000001</c:v>
                </c:pt>
                <c:pt idx="116">
                  <c:v>57.709000000000003</c:v>
                </c:pt>
                <c:pt idx="117">
                  <c:v>60.655000000000001</c:v>
                </c:pt>
                <c:pt idx="118">
                  <c:v>62.21</c:v>
                </c:pt>
                <c:pt idx="119">
                  <c:v>57.677999999999997</c:v>
                </c:pt>
                <c:pt idx="120">
                  <c:v>58.97</c:v>
                </c:pt>
                <c:pt idx="121">
                  <c:v>59.279000000000003</c:v>
                </c:pt>
                <c:pt idx="122">
                  <c:v>57.338000000000001</c:v>
                </c:pt>
                <c:pt idx="123">
                  <c:v>58.569000000000003</c:v>
                </c:pt>
                <c:pt idx="124">
                  <c:v>58.064999999999998</c:v>
                </c:pt>
                <c:pt idx="125">
                  <c:v>57.947000000000003</c:v>
                </c:pt>
                <c:pt idx="126">
                  <c:v>58.954999999999998</c:v>
                </c:pt>
                <c:pt idx="127">
                  <c:v>57.542999999999999</c:v>
                </c:pt>
                <c:pt idx="128">
                  <c:v>57.247</c:v>
                </c:pt>
                <c:pt idx="129">
                  <c:v>59.122999999999998</c:v>
                </c:pt>
                <c:pt idx="130">
                  <c:v>58.970999999999997</c:v>
                </c:pt>
                <c:pt idx="131">
                  <c:v>57.883000000000003</c:v>
                </c:pt>
                <c:pt idx="132">
                  <c:v>57.631999999999998</c:v>
                </c:pt>
                <c:pt idx="133">
                  <c:v>56.884</c:v>
                </c:pt>
                <c:pt idx="134">
                  <c:v>54.912999999999997</c:v>
                </c:pt>
                <c:pt idx="135">
                  <c:v>53.970999999999997</c:v>
                </c:pt>
                <c:pt idx="136">
                  <c:v>52.756</c:v>
                </c:pt>
                <c:pt idx="137">
                  <c:v>53.662999999999997</c:v>
                </c:pt>
                <c:pt idx="138">
                  <c:v>54.195</c:v>
                </c:pt>
                <c:pt idx="139">
                  <c:v>54.35</c:v>
                </c:pt>
                <c:pt idx="140">
                  <c:v>55.843000000000004</c:v>
                </c:pt>
                <c:pt idx="141">
                  <c:v>53.975000000000001</c:v>
                </c:pt>
                <c:pt idx="142">
                  <c:v>52.44</c:v>
                </c:pt>
                <c:pt idx="143">
                  <c:v>51.887</c:v>
                </c:pt>
                <c:pt idx="144">
                  <c:v>48.646999999999998</c:v>
                </c:pt>
                <c:pt idx="145">
                  <c:v>48.816000000000003</c:v>
                </c:pt>
                <c:pt idx="146">
                  <c:v>49.634</c:v>
                </c:pt>
                <c:pt idx="147">
                  <c:v>45.347000000000001</c:v>
                </c:pt>
                <c:pt idx="148">
                  <c:v>47.463999999999999</c:v>
                </c:pt>
                <c:pt idx="149">
                  <c:v>47.398000000000003</c:v>
                </c:pt>
                <c:pt idx="150">
                  <c:v>47.783000000000001</c:v>
                </c:pt>
                <c:pt idx="151">
                  <c:v>48.006999999999998</c:v>
                </c:pt>
                <c:pt idx="152">
                  <c:v>46.042999999999999</c:v>
                </c:pt>
                <c:pt idx="153">
                  <c:v>44.08</c:v>
                </c:pt>
                <c:pt idx="154">
                  <c:v>44.29</c:v>
                </c:pt>
                <c:pt idx="155">
                  <c:v>44.122</c:v>
                </c:pt>
                <c:pt idx="156">
                  <c:v>41.674999999999997</c:v>
                </c:pt>
                <c:pt idx="157">
                  <c:v>42.093000000000004</c:v>
                </c:pt>
                <c:pt idx="158">
                  <c:v>40.595999999999997</c:v>
                </c:pt>
                <c:pt idx="159">
                  <c:v>37.683</c:v>
                </c:pt>
                <c:pt idx="160">
                  <c:v>38.761000000000003</c:v>
                </c:pt>
                <c:pt idx="161">
                  <c:v>35.918999999999997</c:v>
                </c:pt>
                <c:pt idx="162">
                  <c:v>35.405999999999999</c:v>
                </c:pt>
                <c:pt idx="163">
                  <c:v>34.851999999999997</c:v>
                </c:pt>
                <c:pt idx="164">
                  <c:v>33.790999999999997</c:v>
                </c:pt>
                <c:pt idx="165">
                  <c:v>34.055999999999997</c:v>
                </c:pt>
                <c:pt idx="166">
                  <c:v>34.844000000000001</c:v>
                </c:pt>
                <c:pt idx="167">
                  <c:v>34.563000000000002</c:v>
                </c:pt>
                <c:pt idx="168">
                  <c:v>34.250999999999998</c:v>
                </c:pt>
                <c:pt idx="169">
                  <c:v>32.801000000000002</c:v>
                </c:pt>
                <c:pt idx="170">
                  <c:v>31.629000000000001</c:v>
                </c:pt>
                <c:pt idx="171">
                  <c:v>32.048999999999999</c:v>
                </c:pt>
                <c:pt idx="172">
                  <c:v>31.285</c:v>
                </c:pt>
                <c:pt idx="173">
                  <c:v>30.184999999999999</c:v>
                </c:pt>
                <c:pt idx="174">
                  <c:v>29.876999999999999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AC-4D8F-9239-F44FCA6224F2}"/>
            </c:ext>
          </c:extLst>
        </c:ser>
        <c:ser>
          <c:idx val="10"/>
          <c:order val="10"/>
          <c:tx>
            <c:strRef>
              <c:f>data_co2_incLUC!$N$2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data_co2_incLUC!$N$3:$N$177</c:f>
              <c:numCache>
                <c:formatCode>0.0</c:formatCode>
                <c:ptCount val="175"/>
                <c:pt idx="0">
                  <c:v>59.534999999999997</c:v>
                </c:pt>
                <c:pt idx="1">
                  <c:v>60.71</c:v>
                </c:pt>
                <c:pt idx="2">
                  <c:v>66.043999999999997</c:v>
                </c:pt>
                <c:pt idx="3">
                  <c:v>67.73</c:v>
                </c:pt>
                <c:pt idx="4">
                  <c:v>69.81</c:v>
                </c:pt>
                <c:pt idx="5">
                  <c:v>71.44</c:v>
                </c:pt>
                <c:pt idx="6">
                  <c:v>72.194000000000003</c:v>
                </c:pt>
                <c:pt idx="7">
                  <c:v>72.7</c:v>
                </c:pt>
                <c:pt idx="8">
                  <c:v>73.171999999999997</c:v>
                </c:pt>
                <c:pt idx="9">
                  <c:v>73.748000000000005</c:v>
                </c:pt>
                <c:pt idx="10">
                  <c:v>74.465999999999994</c:v>
                </c:pt>
                <c:pt idx="11">
                  <c:v>74.811999999999998</c:v>
                </c:pt>
                <c:pt idx="12">
                  <c:v>72.55</c:v>
                </c:pt>
                <c:pt idx="13">
                  <c:v>72.908000000000001</c:v>
                </c:pt>
                <c:pt idx="14">
                  <c:v>73.242999999999995</c:v>
                </c:pt>
                <c:pt idx="15">
                  <c:v>73.504999999999995</c:v>
                </c:pt>
                <c:pt idx="16">
                  <c:v>73.704999999999998</c:v>
                </c:pt>
                <c:pt idx="17">
                  <c:v>74.055999999999997</c:v>
                </c:pt>
                <c:pt idx="18">
                  <c:v>74.215999999999994</c:v>
                </c:pt>
                <c:pt idx="19">
                  <c:v>74.569999999999993</c:v>
                </c:pt>
                <c:pt idx="20">
                  <c:v>74.686999999999998</c:v>
                </c:pt>
                <c:pt idx="21">
                  <c:v>72.665999999999997</c:v>
                </c:pt>
                <c:pt idx="22">
                  <c:v>75.588999999999999</c:v>
                </c:pt>
                <c:pt idx="23">
                  <c:v>75.760000000000005</c:v>
                </c:pt>
                <c:pt idx="24">
                  <c:v>75.462999999999994</c:v>
                </c:pt>
                <c:pt idx="25">
                  <c:v>75.908000000000001</c:v>
                </c:pt>
                <c:pt idx="26">
                  <c:v>76.037000000000006</c:v>
                </c:pt>
                <c:pt idx="27">
                  <c:v>76.194999999999993</c:v>
                </c:pt>
                <c:pt idx="28">
                  <c:v>76.234999999999999</c:v>
                </c:pt>
                <c:pt idx="29">
                  <c:v>76.644000000000005</c:v>
                </c:pt>
                <c:pt idx="30">
                  <c:v>77.394999999999996</c:v>
                </c:pt>
                <c:pt idx="31">
                  <c:v>75.113</c:v>
                </c:pt>
                <c:pt idx="32">
                  <c:v>73.313999999999993</c:v>
                </c:pt>
                <c:pt idx="33">
                  <c:v>73.185000000000002</c:v>
                </c:pt>
                <c:pt idx="34">
                  <c:v>72.756</c:v>
                </c:pt>
                <c:pt idx="35">
                  <c:v>72.393000000000001</c:v>
                </c:pt>
                <c:pt idx="36">
                  <c:v>72.239000000000004</c:v>
                </c:pt>
                <c:pt idx="37">
                  <c:v>72.349999999999994</c:v>
                </c:pt>
                <c:pt idx="38">
                  <c:v>73.031000000000006</c:v>
                </c:pt>
                <c:pt idx="39">
                  <c:v>72.811000000000007</c:v>
                </c:pt>
                <c:pt idx="40">
                  <c:v>73.399000000000001</c:v>
                </c:pt>
                <c:pt idx="41">
                  <c:v>73.783000000000001</c:v>
                </c:pt>
                <c:pt idx="42">
                  <c:v>74.094999999999999</c:v>
                </c:pt>
                <c:pt idx="43">
                  <c:v>73.936000000000007</c:v>
                </c:pt>
                <c:pt idx="44">
                  <c:v>73.254999999999995</c:v>
                </c:pt>
                <c:pt idx="45">
                  <c:v>73.629000000000005</c:v>
                </c:pt>
                <c:pt idx="46">
                  <c:v>73.787999999999997</c:v>
                </c:pt>
                <c:pt idx="47">
                  <c:v>74.097999999999999</c:v>
                </c:pt>
                <c:pt idx="48">
                  <c:v>74.402000000000001</c:v>
                </c:pt>
                <c:pt idx="49">
                  <c:v>75.155000000000001</c:v>
                </c:pt>
                <c:pt idx="50">
                  <c:v>75.623999999999995</c:v>
                </c:pt>
                <c:pt idx="51">
                  <c:v>72.274000000000001</c:v>
                </c:pt>
                <c:pt idx="52">
                  <c:v>70.015000000000001</c:v>
                </c:pt>
                <c:pt idx="53">
                  <c:v>69.290000000000006</c:v>
                </c:pt>
                <c:pt idx="54">
                  <c:v>67.707999999999998</c:v>
                </c:pt>
                <c:pt idx="55">
                  <c:v>67.054000000000002</c:v>
                </c:pt>
                <c:pt idx="56">
                  <c:v>65.843999999999994</c:v>
                </c:pt>
                <c:pt idx="57">
                  <c:v>67.049000000000007</c:v>
                </c:pt>
                <c:pt idx="58">
                  <c:v>65.792000000000002</c:v>
                </c:pt>
                <c:pt idx="59">
                  <c:v>65.989999999999995</c:v>
                </c:pt>
                <c:pt idx="60">
                  <c:v>66.355000000000004</c:v>
                </c:pt>
                <c:pt idx="61">
                  <c:v>68.466999999999999</c:v>
                </c:pt>
                <c:pt idx="62">
                  <c:v>69.558999999999997</c:v>
                </c:pt>
                <c:pt idx="63">
                  <c:v>71.843999999999994</c:v>
                </c:pt>
                <c:pt idx="64">
                  <c:v>70.808999999999997</c:v>
                </c:pt>
                <c:pt idx="65">
                  <c:v>70.981999999999999</c:v>
                </c:pt>
                <c:pt idx="66">
                  <c:v>71.813000000000002</c:v>
                </c:pt>
                <c:pt idx="67">
                  <c:v>72.037999999999997</c:v>
                </c:pt>
                <c:pt idx="68">
                  <c:v>71.596000000000004</c:v>
                </c:pt>
                <c:pt idx="69">
                  <c:v>68.77</c:v>
                </c:pt>
                <c:pt idx="70">
                  <c:v>70.412000000000006</c:v>
                </c:pt>
                <c:pt idx="71">
                  <c:v>65.884</c:v>
                </c:pt>
                <c:pt idx="72">
                  <c:v>65.634</c:v>
                </c:pt>
                <c:pt idx="73">
                  <c:v>67.097999999999999</c:v>
                </c:pt>
                <c:pt idx="74">
                  <c:v>66.429000000000002</c:v>
                </c:pt>
                <c:pt idx="75">
                  <c:v>66.200999999999993</c:v>
                </c:pt>
                <c:pt idx="76">
                  <c:v>65.751000000000005</c:v>
                </c:pt>
                <c:pt idx="77">
                  <c:v>67.834000000000003</c:v>
                </c:pt>
                <c:pt idx="78">
                  <c:v>67.355000000000004</c:v>
                </c:pt>
                <c:pt idx="79">
                  <c:v>68.620999999999995</c:v>
                </c:pt>
                <c:pt idx="80">
                  <c:v>68.069999999999993</c:v>
                </c:pt>
                <c:pt idx="81">
                  <c:v>65.838999999999999</c:v>
                </c:pt>
                <c:pt idx="82">
                  <c:v>61.91</c:v>
                </c:pt>
                <c:pt idx="83">
                  <c:v>62.231999999999999</c:v>
                </c:pt>
                <c:pt idx="84">
                  <c:v>63.106999999999999</c:v>
                </c:pt>
                <c:pt idx="85">
                  <c:v>63.277999999999999</c:v>
                </c:pt>
                <c:pt idx="86">
                  <c:v>63.942</c:v>
                </c:pt>
                <c:pt idx="87">
                  <c:v>64.106999999999999</c:v>
                </c:pt>
                <c:pt idx="88">
                  <c:v>62.442</c:v>
                </c:pt>
                <c:pt idx="89">
                  <c:v>62.923999999999999</c:v>
                </c:pt>
                <c:pt idx="90">
                  <c:v>63.893999999999998</c:v>
                </c:pt>
                <c:pt idx="91">
                  <c:v>63.917999999999999</c:v>
                </c:pt>
                <c:pt idx="92">
                  <c:v>64.209999999999994</c:v>
                </c:pt>
                <c:pt idx="93">
                  <c:v>63.878999999999998</c:v>
                </c:pt>
                <c:pt idx="94">
                  <c:v>62.655000000000001</c:v>
                </c:pt>
                <c:pt idx="95">
                  <c:v>57.81</c:v>
                </c:pt>
                <c:pt idx="96">
                  <c:v>56.53</c:v>
                </c:pt>
                <c:pt idx="97">
                  <c:v>58.518999999999998</c:v>
                </c:pt>
                <c:pt idx="98">
                  <c:v>59.162999999999997</c:v>
                </c:pt>
                <c:pt idx="99">
                  <c:v>57.313000000000002</c:v>
                </c:pt>
                <c:pt idx="100">
                  <c:v>59.918999999999997</c:v>
                </c:pt>
                <c:pt idx="101">
                  <c:v>61.203000000000003</c:v>
                </c:pt>
                <c:pt idx="102">
                  <c:v>59.901000000000003</c:v>
                </c:pt>
                <c:pt idx="103">
                  <c:v>60.448</c:v>
                </c:pt>
                <c:pt idx="104">
                  <c:v>59.912999999999997</c:v>
                </c:pt>
                <c:pt idx="105">
                  <c:v>60.597000000000001</c:v>
                </c:pt>
                <c:pt idx="106">
                  <c:v>61.215000000000003</c:v>
                </c:pt>
                <c:pt idx="107">
                  <c:v>61.14</c:v>
                </c:pt>
                <c:pt idx="108">
                  <c:v>60.188000000000002</c:v>
                </c:pt>
                <c:pt idx="109">
                  <c:v>58.866999999999997</c:v>
                </c:pt>
                <c:pt idx="110">
                  <c:v>59.433</c:v>
                </c:pt>
                <c:pt idx="111">
                  <c:v>59.015000000000001</c:v>
                </c:pt>
                <c:pt idx="112">
                  <c:v>60.21</c:v>
                </c:pt>
                <c:pt idx="113">
                  <c:v>60.787999999999997</c:v>
                </c:pt>
                <c:pt idx="114">
                  <c:v>61.244999999999997</c:v>
                </c:pt>
                <c:pt idx="115">
                  <c:v>61.182000000000002</c:v>
                </c:pt>
                <c:pt idx="116">
                  <c:v>61.484999999999999</c:v>
                </c:pt>
                <c:pt idx="117">
                  <c:v>62.137</c:v>
                </c:pt>
                <c:pt idx="118">
                  <c:v>63.119</c:v>
                </c:pt>
                <c:pt idx="119">
                  <c:v>63.463999999999999</c:v>
                </c:pt>
                <c:pt idx="120">
                  <c:v>63.350999999999999</c:v>
                </c:pt>
                <c:pt idx="121">
                  <c:v>63.134</c:v>
                </c:pt>
                <c:pt idx="122">
                  <c:v>63.691000000000003</c:v>
                </c:pt>
                <c:pt idx="123">
                  <c:v>63.546999999999997</c:v>
                </c:pt>
                <c:pt idx="124">
                  <c:v>62.683999999999997</c:v>
                </c:pt>
                <c:pt idx="125">
                  <c:v>61.688000000000002</c:v>
                </c:pt>
                <c:pt idx="126">
                  <c:v>61.698999999999998</c:v>
                </c:pt>
                <c:pt idx="127">
                  <c:v>61.314999999999998</c:v>
                </c:pt>
                <c:pt idx="128">
                  <c:v>61.173000000000002</c:v>
                </c:pt>
                <c:pt idx="129">
                  <c:v>61.241</c:v>
                </c:pt>
                <c:pt idx="130">
                  <c:v>61.000999999999998</c:v>
                </c:pt>
                <c:pt idx="131">
                  <c:v>59.890999999999998</c:v>
                </c:pt>
                <c:pt idx="132">
                  <c:v>57.12</c:v>
                </c:pt>
                <c:pt idx="133">
                  <c:v>56.265999999999998</c:v>
                </c:pt>
                <c:pt idx="134">
                  <c:v>55.627000000000002</c:v>
                </c:pt>
                <c:pt idx="135">
                  <c:v>55.207999999999998</c:v>
                </c:pt>
                <c:pt idx="136">
                  <c:v>54.6</c:v>
                </c:pt>
                <c:pt idx="137">
                  <c:v>54.43</c:v>
                </c:pt>
                <c:pt idx="138">
                  <c:v>54.082999999999998</c:v>
                </c:pt>
                <c:pt idx="139">
                  <c:v>53.634</c:v>
                </c:pt>
                <c:pt idx="140">
                  <c:v>56.029000000000003</c:v>
                </c:pt>
                <c:pt idx="141">
                  <c:v>53.015999999999998</c:v>
                </c:pt>
                <c:pt idx="142">
                  <c:v>51.682000000000002</c:v>
                </c:pt>
                <c:pt idx="143">
                  <c:v>50.128</c:v>
                </c:pt>
                <c:pt idx="144">
                  <c:v>54.08</c:v>
                </c:pt>
                <c:pt idx="145">
                  <c:v>51.465000000000003</c:v>
                </c:pt>
                <c:pt idx="146">
                  <c:v>53.142000000000003</c:v>
                </c:pt>
                <c:pt idx="147">
                  <c:v>52.802</c:v>
                </c:pt>
                <c:pt idx="148">
                  <c:v>52.801000000000002</c:v>
                </c:pt>
                <c:pt idx="149">
                  <c:v>51.564999999999998</c:v>
                </c:pt>
                <c:pt idx="150">
                  <c:v>53.259</c:v>
                </c:pt>
                <c:pt idx="151">
                  <c:v>52.046999999999997</c:v>
                </c:pt>
                <c:pt idx="152">
                  <c:v>50.286999999999999</c:v>
                </c:pt>
                <c:pt idx="153">
                  <c:v>46.848999999999997</c:v>
                </c:pt>
                <c:pt idx="154">
                  <c:v>43.718000000000004</c:v>
                </c:pt>
                <c:pt idx="155">
                  <c:v>43.871000000000002</c:v>
                </c:pt>
                <c:pt idx="156">
                  <c:v>43.262999999999998</c:v>
                </c:pt>
                <c:pt idx="157">
                  <c:v>43.287999999999997</c:v>
                </c:pt>
                <c:pt idx="158">
                  <c:v>41.607999999999997</c:v>
                </c:pt>
                <c:pt idx="159">
                  <c:v>39.386000000000003</c:v>
                </c:pt>
                <c:pt idx="160">
                  <c:v>39.554000000000002</c:v>
                </c:pt>
                <c:pt idx="161">
                  <c:v>37.241</c:v>
                </c:pt>
                <c:pt idx="162">
                  <c:v>36.777000000000001</c:v>
                </c:pt>
                <c:pt idx="163">
                  <c:v>35.631</c:v>
                </c:pt>
                <c:pt idx="164">
                  <c:v>34.979999999999997</c:v>
                </c:pt>
                <c:pt idx="165">
                  <c:v>33.67</c:v>
                </c:pt>
                <c:pt idx="166">
                  <c:v>33.908000000000001</c:v>
                </c:pt>
                <c:pt idx="167">
                  <c:v>33.470999999999997</c:v>
                </c:pt>
                <c:pt idx="168">
                  <c:v>33.896999999999998</c:v>
                </c:pt>
                <c:pt idx="169">
                  <c:v>32.701000000000001</c:v>
                </c:pt>
                <c:pt idx="170">
                  <c:v>30.841999999999999</c:v>
                </c:pt>
                <c:pt idx="171">
                  <c:v>31.204000000000001</c:v>
                </c:pt>
                <c:pt idx="172">
                  <c:v>28.696000000000002</c:v>
                </c:pt>
                <c:pt idx="173">
                  <c:v>27.242999999999999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AC-4D8F-9239-F44FCA6224F2}"/>
            </c:ext>
          </c:extLst>
        </c:ser>
        <c:ser>
          <c:idx val="11"/>
          <c:order val="11"/>
          <c:tx>
            <c:strRef>
              <c:f>data_co2_incLUC!$O$2</c:f>
              <c:strCache>
                <c:ptCount val="1"/>
                <c:pt idx="0">
                  <c:v>pct_annex1_GCP_BLUE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data_co2_incLUC!$O$3:$O$177</c:f>
              <c:numCache>
                <c:formatCode>0.0</c:formatCode>
                <c:ptCount val="175"/>
                <c:pt idx="0">
                  <c:v>57.667000000000002</c:v>
                </c:pt>
                <c:pt idx="1">
                  <c:v>57.02</c:v>
                </c:pt>
                <c:pt idx="2">
                  <c:v>56.984999999999999</c:v>
                </c:pt>
                <c:pt idx="3">
                  <c:v>56.912999999999997</c:v>
                </c:pt>
                <c:pt idx="4">
                  <c:v>57.963000000000001</c:v>
                </c:pt>
                <c:pt idx="5">
                  <c:v>57.54</c:v>
                </c:pt>
                <c:pt idx="6">
                  <c:v>57.777000000000001</c:v>
                </c:pt>
                <c:pt idx="7">
                  <c:v>57.923000000000002</c:v>
                </c:pt>
                <c:pt idx="8">
                  <c:v>58.244999999999997</c:v>
                </c:pt>
                <c:pt idx="9">
                  <c:v>58.570999999999998</c:v>
                </c:pt>
                <c:pt idx="10">
                  <c:v>61.777000000000001</c:v>
                </c:pt>
                <c:pt idx="11">
                  <c:v>62.975000000000001</c:v>
                </c:pt>
                <c:pt idx="12">
                  <c:v>64.701999999999998</c:v>
                </c:pt>
                <c:pt idx="13">
                  <c:v>65.488</c:v>
                </c:pt>
                <c:pt idx="14">
                  <c:v>65.974999999999994</c:v>
                </c:pt>
                <c:pt idx="15">
                  <c:v>66.680000000000007</c:v>
                </c:pt>
                <c:pt idx="16">
                  <c:v>67.385000000000005</c:v>
                </c:pt>
                <c:pt idx="17">
                  <c:v>67.691999999999993</c:v>
                </c:pt>
                <c:pt idx="18">
                  <c:v>68.239999999999995</c:v>
                </c:pt>
                <c:pt idx="19">
                  <c:v>68.274000000000001</c:v>
                </c:pt>
                <c:pt idx="20">
                  <c:v>70.569999999999993</c:v>
                </c:pt>
                <c:pt idx="21">
                  <c:v>71.596999999999994</c:v>
                </c:pt>
                <c:pt idx="22">
                  <c:v>71.763999999999996</c:v>
                </c:pt>
                <c:pt idx="23">
                  <c:v>72.494</c:v>
                </c:pt>
                <c:pt idx="24">
                  <c:v>72.712000000000003</c:v>
                </c:pt>
                <c:pt idx="25">
                  <c:v>73.335999999999999</c:v>
                </c:pt>
                <c:pt idx="26">
                  <c:v>73.751000000000005</c:v>
                </c:pt>
                <c:pt idx="27">
                  <c:v>73.725999999999999</c:v>
                </c:pt>
                <c:pt idx="28">
                  <c:v>74.128</c:v>
                </c:pt>
                <c:pt idx="29">
                  <c:v>74.814999999999998</c:v>
                </c:pt>
                <c:pt idx="30">
                  <c:v>72.707999999999998</c:v>
                </c:pt>
                <c:pt idx="31">
                  <c:v>71.537000000000006</c:v>
                </c:pt>
                <c:pt idx="32">
                  <c:v>71.117999999999995</c:v>
                </c:pt>
                <c:pt idx="33">
                  <c:v>71.198999999999998</c:v>
                </c:pt>
                <c:pt idx="34">
                  <c:v>71.164000000000001</c:v>
                </c:pt>
                <c:pt idx="35">
                  <c:v>70.983999999999995</c:v>
                </c:pt>
                <c:pt idx="36">
                  <c:v>70.790999999999997</c:v>
                </c:pt>
                <c:pt idx="37">
                  <c:v>70.638999999999996</c:v>
                </c:pt>
                <c:pt idx="38">
                  <c:v>71.373000000000005</c:v>
                </c:pt>
                <c:pt idx="39">
                  <c:v>70.715000000000003</c:v>
                </c:pt>
                <c:pt idx="40">
                  <c:v>71.394999999999996</c:v>
                </c:pt>
                <c:pt idx="41">
                  <c:v>71.462999999999994</c:v>
                </c:pt>
                <c:pt idx="42">
                  <c:v>71.924000000000007</c:v>
                </c:pt>
                <c:pt idx="43">
                  <c:v>71.998999999999995</c:v>
                </c:pt>
                <c:pt idx="44">
                  <c:v>72.179000000000002</c:v>
                </c:pt>
                <c:pt idx="45">
                  <c:v>72.317999999999998</c:v>
                </c:pt>
                <c:pt idx="46">
                  <c:v>72.668999999999997</c:v>
                </c:pt>
                <c:pt idx="47">
                  <c:v>72.703000000000003</c:v>
                </c:pt>
                <c:pt idx="48">
                  <c:v>73.405000000000001</c:v>
                </c:pt>
                <c:pt idx="49">
                  <c:v>73.912999999999997</c:v>
                </c:pt>
                <c:pt idx="50">
                  <c:v>74.168999999999997</c:v>
                </c:pt>
                <c:pt idx="51">
                  <c:v>73.426000000000002</c:v>
                </c:pt>
                <c:pt idx="52">
                  <c:v>73.343999999999994</c:v>
                </c:pt>
                <c:pt idx="53">
                  <c:v>74.007000000000005</c:v>
                </c:pt>
                <c:pt idx="54">
                  <c:v>73.900999999999996</c:v>
                </c:pt>
                <c:pt idx="55">
                  <c:v>74.611999999999995</c:v>
                </c:pt>
                <c:pt idx="56">
                  <c:v>74.459000000000003</c:v>
                </c:pt>
                <c:pt idx="57">
                  <c:v>75.665000000000006</c:v>
                </c:pt>
                <c:pt idx="58">
                  <c:v>75.385000000000005</c:v>
                </c:pt>
                <c:pt idx="59">
                  <c:v>75.66</c:v>
                </c:pt>
                <c:pt idx="60">
                  <c:v>73.042000000000002</c:v>
                </c:pt>
                <c:pt idx="61">
                  <c:v>71.957999999999998</c:v>
                </c:pt>
                <c:pt idx="62">
                  <c:v>71.968000000000004</c:v>
                </c:pt>
                <c:pt idx="63">
                  <c:v>71.863</c:v>
                </c:pt>
                <c:pt idx="64">
                  <c:v>70.11</c:v>
                </c:pt>
                <c:pt idx="65">
                  <c:v>69.343999999999994</c:v>
                </c:pt>
                <c:pt idx="66">
                  <c:v>70.082999999999998</c:v>
                </c:pt>
                <c:pt idx="67">
                  <c:v>69.974999999999994</c:v>
                </c:pt>
                <c:pt idx="68">
                  <c:v>69.393000000000001</c:v>
                </c:pt>
                <c:pt idx="69">
                  <c:v>66.905000000000001</c:v>
                </c:pt>
                <c:pt idx="70">
                  <c:v>66.180000000000007</c:v>
                </c:pt>
                <c:pt idx="71">
                  <c:v>63.45</c:v>
                </c:pt>
                <c:pt idx="72">
                  <c:v>63.502000000000002</c:v>
                </c:pt>
                <c:pt idx="73">
                  <c:v>64.266999999999996</c:v>
                </c:pt>
                <c:pt idx="74">
                  <c:v>63.546999999999997</c:v>
                </c:pt>
                <c:pt idx="75">
                  <c:v>63.69</c:v>
                </c:pt>
                <c:pt idx="76">
                  <c:v>63.192999999999998</c:v>
                </c:pt>
                <c:pt idx="77">
                  <c:v>63.991</c:v>
                </c:pt>
                <c:pt idx="78">
                  <c:v>63.405000000000001</c:v>
                </c:pt>
                <c:pt idx="79">
                  <c:v>64.308999999999997</c:v>
                </c:pt>
                <c:pt idx="80">
                  <c:v>63.351999999999997</c:v>
                </c:pt>
                <c:pt idx="81">
                  <c:v>61.725000000000001</c:v>
                </c:pt>
                <c:pt idx="82">
                  <c:v>60.030999999999999</c:v>
                </c:pt>
                <c:pt idx="83">
                  <c:v>60.335000000000001</c:v>
                </c:pt>
                <c:pt idx="84">
                  <c:v>60.875</c:v>
                </c:pt>
                <c:pt idx="85">
                  <c:v>61.518999999999998</c:v>
                </c:pt>
                <c:pt idx="86">
                  <c:v>62.375</c:v>
                </c:pt>
                <c:pt idx="87">
                  <c:v>62.771999999999998</c:v>
                </c:pt>
                <c:pt idx="88">
                  <c:v>61.838999999999999</c:v>
                </c:pt>
                <c:pt idx="89">
                  <c:v>62.305999999999997</c:v>
                </c:pt>
                <c:pt idx="90">
                  <c:v>58.857999999999997</c:v>
                </c:pt>
                <c:pt idx="91">
                  <c:v>56.920999999999999</c:v>
                </c:pt>
                <c:pt idx="92">
                  <c:v>55.646999999999998</c:v>
                </c:pt>
                <c:pt idx="93">
                  <c:v>54.933</c:v>
                </c:pt>
                <c:pt idx="94">
                  <c:v>54.134999999999998</c:v>
                </c:pt>
                <c:pt idx="95">
                  <c:v>50.23</c:v>
                </c:pt>
                <c:pt idx="96">
                  <c:v>50.640999999999998</c:v>
                </c:pt>
                <c:pt idx="97">
                  <c:v>51.761000000000003</c:v>
                </c:pt>
                <c:pt idx="98">
                  <c:v>52.323</c:v>
                </c:pt>
                <c:pt idx="99">
                  <c:v>50.435000000000002</c:v>
                </c:pt>
                <c:pt idx="100">
                  <c:v>49.435000000000002</c:v>
                </c:pt>
                <c:pt idx="101">
                  <c:v>48.887</c:v>
                </c:pt>
                <c:pt idx="102">
                  <c:v>49.176000000000002</c:v>
                </c:pt>
                <c:pt idx="103">
                  <c:v>49.576000000000001</c:v>
                </c:pt>
                <c:pt idx="104">
                  <c:v>48.228000000000002</c:v>
                </c:pt>
                <c:pt idx="105">
                  <c:v>49.323999999999998</c:v>
                </c:pt>
                <c:pt idx="106">
                  <c:v>50.173000000000002</c:v>
                </c:pt>
                <c:pt idx="107">
                  <c:v>49.890999999999998</c:v>
                </c:pt>
                <c:pt idx="108">
                  <c:v>49.186999999999998</c:v>
                </c:pt>
                <c:pt idx="109">
                  <c:v>49.627000000000002</c:v>
                </c:pt>
                <c:pt idx="110">
                  <c:v>51.777000000000001</c:v>
                </c:pt>
                <c:pt idx="111">
                  <c:v>51.953000000000003</c:v>
                </c:pt>
                <c:pt idx="112">
                  <c:v>53.014000000000003</c:v>
                </c:pt>
                <c:pt idx="113">
                  <c:v>53.792999999999999</c:v>
                </c:pt>
                <c:pt idx="114">
                  <c:v>55.453000000000003</c:v>
                </c:pt>
                <c:pt idx="115">
                  <c:v>56.454000000000001</c:v>
                </c:pt>
                <c:pt idx="116">
                  <c:v>57.709000000000003</c:v>
                </c:pt>
                <c:pt idx="117">
                  <c:v>60.655000000000001</c:v>
                </c:pt>
                <c:pt idx="118">
                  <c:v>62.21</c:v>
                </c:pt>
                <c:pt idx="119">
                  <c:v>57.679000000000002</c:v>
                </c:pt>
                <c:pt idx="120">
                  <c:v>58.970999999999997</c:v>
                </c:pt>
                <c:pt idx="121">
                  <c:v>59.279000000000003</c:v>
                </c:pt>
                <c:pt idx="122">
                  <c:v>57.338000000000001</c:v>
                </c:pt>
                <c:pt idx="123">
                  <c:v>58.569000000000003</c:v>
                </c:pt>
                <c:pt idx="124">
                  <c:v>58.066000000000003</c:v>
                </c:pt>
                <c:pt idx="125">
                  <c:v>57.948</c:v>
                </c:pt>
                <c:pt idx="126">
                  <c:v>58.954999999999998</c:v>
                </c:pt>
                <c:pt idx="127">
                  <c:v>57.543999999999997</c:v>
                </c:pt>
                <c:pt idx="128">
                  <c:v>57.247</c:v>
                </c:pt>
                <c:pt idx="129">
                  <c:v>59.122999999999998</c:v>
                </c:pt>
                <c:pt idx="130">
                  <c:v>58.972000000000001</c:v>
                </c:pt>
                <c:pt idx="131">
                  <c:v>57.883000000000003</c:v>
                </c:pt>
                <c:pt idx="132">
                  <c:v>57.633000000000003</c:v>
                </c:pt>
                <c:pt idx="133">
                  <c:v>56.884</c:v>
                </c:pt>
                <c:pt idx="134">
                  <c:v>54.912999999999997</c:v>
                </c:pt>
                <c:pt idx="135">
                  <c:v>53.972000000000001</c:v>
                </c:pt>
                <c:pt idx="136">
                  <c:v>52.756</c:v>
                </c:pt>
                <c:pt idx="137">
                  <c:v>53.662999999999997</c:v>
                </c:pt>
                <c:pt idx="138">
                  <c:v>54.195</c:v>
                </c:pt>
                <c:pt idx="139">
                  <c:v>54.35</c:v>
                </c:pt>
                <c:pt idx="140">
                  <c:v>55.843000000000004</c:v>
                </c:pt>
                <c:pt idx="141">
                  <c:v>54.889000000000003</c:v>
                </c:pt>
                <c:pt idx="142">
                  <c:v>52.44</c:v>
                </c:pt>
                <c:pt idx="143">
                  <c:v>51.887</c:v>
                </c:pt>
                <c:pt idx="144">
                  <c:v>48.646999999999998</c:v>
                </c:pt>
                <c:pt idx="145">
                  <c:v>48.816000000000003</c:v>
                </c:pt>
                <c:pt idx="146">
                  <c:v>49.634</c:v>
                </c:pt>
                <c:pt idx="147">
                  <c:v>45.347000000000001</c:v>
                </c:pt>
                <c:pt idx="148">
                  <c:v>47.463999999999999</c:v>
                </c:pt>
                <c:pt idx="149">
                  <c:v>47.398000000000003</c:v>
                </c:pt>
                <c:pt idx="150">
                  <c:v>47.783000000000001</c:v>
                </c:pt>
                <c:pt idx="151">
                  <c:v>48.006999999999998</c:v>
                </c:pt>
                <c:pt idx="152">
                  <c:v>46.042999999999999</c:v>
                </c:pt>
                <c:pt idx="153">
                  <c:v>44.08</c:v>
                </c:pt>
                <c:pt idx="154">
                  <c:v>44.29</c:v>
                </c:pt>
                <c:pt idx="155">
                  <c:v>44.122</c:v>
                </c:pt>
                <c:pt idx="156">
                  <c:v>41.674999999999997</c:v>
                </c:pt>
                <c:pt idx="157">
                  <c:v>42.093000000000004</c:v>
                </c:pt>
                <c:pt idx="158">
                  <c:v>40.595999999999997</c:v>
                </c:pt>
                <c:pt idx="159">
                  <c:v>37.683</c:v>
                </c:pt>
                <c:pt idx="160">
                  <c:v>38.761000000000003</c:v>
                </c:pt>
                <c:pt idx="161">
                  <c:v>35.918999999999997</c:v>
                </c:pt>
                <c:pt idx="162">
                  <c:v>35.405999999999999</c:v>
                </c:pt>
                <c:pt idx="163">
                  <c:v>34.851999999999997</c:v>
                </c:pt>
                <c:pt idx="164">
                  <c:v>33.790999999999997</c:v>
                </c:pt>
                <c:pt idx="165">
                  <c:v>34.055999999999997</c:v>
                </c:pt>
                <c:pt idx="166">
                  <c:v>34.844000000000001</c:v>
                </c:pt>
                <c:pt idx="167">
                  <c:v>34.563000000000002</c:v>
                </c:pt>
                <c:pt idx="168">
                  <c:v>34.250999999999998</c:v>
                </c:pt>
                <c:pt idx="169">
                  <c:v>32.801000000000002</c:v>
                </c:pt>
                <c:pt idx="170">
                  <c:v>31.629000000000001</c:v>
                </c:pt>
                <c:pt idx="171">
                  <c:v>32.048999999999999</c:v>
                </c:pt>
                <c:pt idx="172">
                  <c:v>31.285</c:v>
                </c:pt>
                <c:pt idx="173">
                  <c:v>30.184999999999999</c:v>
                </c:pt>
                <c:pt idx="174">
                  <c:v>29.876999999999999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AC-4D8F-9239-F44FCA6224F2}"/>
            </c:ext>
          </c:extLst>
        </c:ser>
        <c:ser>
          <c:idx val="12"/>
          <c:order val="12"/>
          <c:tx>
            <c:strRef>
              <c:f>data_co2_incLUC!$P$2</c:f>
              <c:strCache>
                <c:ptCount val="1"/>
                <c:pt idx="0">
                  <c:v>pct_annex1_GCP_OSCAR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data_co2_incLUC!$P$3:$P$177</c:f>
              <c:numCache>
                <c:formatCode>0.0</c:formatCode>
                <c:ptCount val="175"/>
                <c:pt idx="0">
                  <c:v>59.670999999999999</c:v>
                </c:pt>
                <c:pt idx="1">
                  <c:v>59.209000000000003</c:v>
                </c:pt>
                <c:pt idx="2">
                  <c:v>59.43</c:v>
                </c:pt>
                <c:pt idx="3">
                  <c:v>59.649000000000001</c:v>
                </c:pt>
                <c:pt idx="4">
                  <c:v>60.777000000000001</c:v>
                </c:pt>
                <c:pt idx="5">
                  <c:v>60.625</c:v>
                </c:pt>
                <c:pt idx="6">
                  <c:v>60.670999999999999</c:v>
                </c:pt>
                <c:pt idx="7">
                  <c:v>60.612000000000002</c:v>
                </c:pt>
                <c:pt idx="8">
                  <c:v>61.234000000000002</c:v>
                </c:pt>
                <c:pt idx="9">
                  <c:v>61.747999999999998</c:v>
                </c:pt>
                <c:pt idx="10">
                  <c:v>62.521999999999998</c:v>
                </c:pt>
                <c:pt idx="11">
                  <c:v>62.911999999999999</c:v>
                </c:pt>
                <c:pt idx="12">
                  <c:v>63.543999999999997</c:v>
                </c:pt>
                <c:pt idx="13">
                  <c:v>63.960999999999999</c:v>
                </c:pt>
                <c:pt idx="14">
                  <c:v>64.634</c:v>
                </c:pt>
                <c:pt idx="15">
                  <c:v>65.055000000000007</c:v>
                </c:pt>
                <c:pt idx="16">
                  <c:v>65.820999999999998</c:v>
                </c:pt>
                <c:pt idx="17">
                  <c:v>66.034999999999997</c:v>
                </c:pt>
                <c:pt idx="18">
                  <c:v>66.686999999999998</c:v>
                </c:pt>
                <c:pt idx="19">
                  <c:v>66.709000000000003</c:v>
                </c:pt>
                <c:pt idx="20">
                  <c:v>68.010000000000005</c:v>
                </c:pt>
                <c:pt idx="21">
                  <c:v>68.882000000000005</c:v>
                </c:pt>
                <c:pt idx="22">
                  <c:v>69.391999999999996</c:v>
                </c:pt>
                <c:pt idx="23">
                  <c:v>70.245000000000005</c:v>
                </c:pt>
                <c:pt idx="24">
                  <c:v>70.311000000000007</c:v>
                </c:pt>
                <c:pt idx="25">
                  <c:v>70.900999999999996</c:v>
                </c:pt>
                <c:pt idx="26">
                  <c:v>71.099000000000004</c:v>
                </c:pt>
                <c:pt idx="27">
                  <c:v>71.197999999999993</c:v>
                </c:pt>
                <c:pt idx="28">
                  <c:v>71.537000000000006</c:v>
                </c:pt>
                <c:pt idx="29">
                  <c:v>72.227000000000004</c:v>
                </c:pt>
                <c:pt idx="30">
                  <c:v>71.94</c:v>
                </c:pt>
                <c:pt idx="31">
                  <c:v>70.596000000000004</c:v>
                </c:pt>
                <c:pt idx="32">
                  <c:v>70.575000000000003</c:v>
                </c:pt>
                <c:pt idx="33">
                  <c:v>70.808999999999997</c:v>
                </c:pt>
                <c:pt idx="34">
                  <c:v>70.927000000000007</c:v>
                </c:pt>
                <c:pt idx="35">
                  <c:v>70.852999999999994</c:v>
                </c:pt>
                <c:pt idx="36">
                  <c:v>70.519000000000005</c:v>
                </c:pt>
                <c:pt idx="37">
                  <c:v>70.441999999999993</c:v>
                </c:pt>
                <c:pt idx="38">
                  <c:v>71.087999999999994</c:v>
                </c:pt>
                <c:pt idx="39">
                  <c:v>70.406000000000006</c:v>
                </c:pt>
                <c:pt idx="40">
                  <c:v>70.793999999999997</c:v>
                </c:pt>
                <c:pt idx="41">
                  <c:v>71.013999999999996</c:v>
                </c:pt>
                <c:pt idx="42">
                  <c:v>71.466999999999999</c:v>
                </c:pt>
                <c:pt idx="43">
                  <c:v>71.078000000000003</c:v>
                </c:pt>
                <c:pt idx="44">
                  <c:v>71.403000000000006</c:v>
                </c:pt>
                <c:pt idx="45">
                  <c:v>71.475999999999999</c:v>
                </c:pt>
                <c:pt idx="46">
                  <c:v>71.638000000000005</c:v>
                </c:pt>
                <c:pt idx="47">
                  <c:v>71.731999999999999</c:v>
                </c:pt>
                <c:pt idx="48">
                  <c:v>72.266999999999996</c:v>
                </c:pt>
                <c:pt idx="49">
                  <c:v>72.786000000000001</c:v>
                </c:pt>
                <c:pt idx="50">
                  <c:v>73.147999999999996</c:v>
                </c:pt>
                <c:pt idx="51">
                  <c:v>72.570999999999998</c:v>
                </c:pt>
                <c:pt idx="52">
                  <c:v>72.62</c:v>
                </c:pt>
                <c:pt idx="53">
                  <c:v>73.081999999999994</c:v>
                </c:pt>
                <c:pt idx="54">
                  <c:v>72.287000000000006</c:v>
                </c:pt>
                <c:pt idx="55">
                  <c:v>73.319999999999993</c:v>
                </c:pt>
                <c:pt idx="56">
                  <c:v>72.978999999999999</c:v>
                </c:pt>
                <c:pt idx="57">
                  <c:v>74.378</c:v>
                </c:pt>
                <c:pt idx="58">
                  <c:v>73.494</c:v>
                </c:pt>
                <c:pt idx="59">
                  <c:v>73.433999999999997</c:v>
                </c:pt>
                <c:pt idx="60">
                  <c:v>72.296000000000006</c:v>
                </c:pt>
                <c:pt idx="61">
                  <c:v>71.460999999999999</c:v>
                </c:pt>
                <c:pt idx="62">
                  <c:v>71.947999999999993</c:v>
                </c:pt>
                <c:pt idx="63">
                  <c:v>71.864000000000004</c:v>
                </c:pt>
                <c:pt idx="64">
                  <c:v>70.238</c:v>
                </c:pt>
                <c:pt idx="65">
                  <c:v>69.423000000000002</c:v>
                </c:pt>
                <c:pt idx="66">
                  <c:v>70.108000000000004</c:v>
                </c:pt>
                <c:pt idx="67">
                  <c:v>69.599000000000004</c:v>
                </c:pt>
                <c:pt idx="68">
                  <c:v>69.326999999999998</c:v>
                </c:pt>
                <c:pt idx="69">
                  <c:v>66.537999999999997</c:v>
                </c:pt>
                <c:pt idx="70">
                  <c:v>67.781999999999996</c:v>
                </c:pt>
                <c:pt idx="71">
                  <c:v>65.108000000000004</c:v>
                </c:pt>
                <c:pt idx="72">
                  <c:v>65.713999999999999</c:v>
                </c:pt>
                <c:pt idx="73">
                  <c:v>66.796000000000006</c:v>
                </c:pt>
                <c:pt idx="74">
                  <c:v>66.081999999999994</c:v>
                </c:pt>
                <c:pt idx="75">
                  <c:v>66.188000000000002</c:v>
                </c:pt>
                <c:pt idx="76">
                  <c:v>65.869</c:v>
                </c:pt>
                <c:pt idx="77">
                  <c:v>66.811000000000007</c:v>
                </c:pt>
                <c:pt idx="78">
                  <c:v>66.216999999999999</c:v>
                </c:pt>
                <c:pt idx="79">
                  <c:v>67.247</c:v>
                </c:pt>
                <c:pt idx="80">
                  <c:v>66.08</c:v>
                </c:pt>
                <c:pt idx="81">
                  <c:v>64.503</c:v>
                </c:pt>
                <c:pt idx="82">
                  <c:v>62.161999999999999</c:v>
                </c:pt>
                <c:pt idx="83">
                  <c:v>62.661999999999999</c:v>
                </c:pt>
                <c:pt idx="84">
                  <c:v>62.991</c:v>
                </c:pt>
                <c:pt idx="85">
                  <c:v>63.838000000000001</c:v>
                </c:pt>
                <c:pt idx="86">
                  <c:v>64.713999999999999</c:v>
                </c:pt>
                <c:pt idx="87">
                  <c:v>65.165999999999997</c:v>
                </c:pt>
                <c:pt idx="88">
                  <c:v>63.866</c:v>
                </c:pt>
                <c:pt idx="89">
                  <c:v>64.313000000000002</c:v>
                </c:pt>
                <c:pt idx="90">
                  <c:v>64.063000000000002</c:v>
                </c:pt>
                <c:pt idx="91">
                  <c:v>63.064999999999998</c:v>
                </c:pt>
                <c:pt idx="92">
                  <c:v>62.536000000000001</c:v>
                </c:pt>
                <c:pt idx="93">
                  <c:v>62.365000000000002</c:v>
                </c:pt>
                <c:pt idx="94">
                  <c:v>61.970999999999997</c:v>
                </c:pt>
                <c:pt idx="95">
                  <c:v>58.579000000000001</c:v>
                </c:pt>
                <c:pt idx="96">
                  <c:v>59.405999999999999</c:v>
                </c:pt>
                <c:pt idx="97">
                  <c:v>60.651000000000003</c:v>
                </c:pt>
                <c:pt idx="98">
                  <c:v>61.408000000000001</c:v>
                </c:pt>
                <c:pt idx="99">
                  <c:v>59.999000000000002</c:v>
                </c:pt>
                <c:pt idx="100">
                  <c:v>59.536999999999999</c:v>
                </c:pt>
                <c:pt idx="101">
                  <c:v>58.582000000000001</c:v>
                </c:pt>
                <c:pt idx="102">
                  <c:v>58.256</c:v>
                </c:pt>
                <c:pt idx="103">
                  <c:v>58.317</c:v>
                </c:pt>
                <c:pt idx="104">
                  <c:v>57.427</c:v>
                </c:pt>
                <c:pt idx="105">
                  <c:v>57.820999999999998</c:v>
                </c:pt>
                <c:pt idx="106">
                  <c:v>58.189</c:v>
                </c:pt>
                <c:pt idx="107">
                  <c:v>57.639000000000003</c:v>
                </c:pt>
                <c:pt idx="108">
                  <c:v>56.119</c:v>
                </c:pt>
                <c:pt idx="109">
                  <c:v>55.082999999999998</c:v>
                </c:pt>
                <c:pt idx="110">
                  <c:v>56.22</c:v>
                </c:pt>
                <c:pt idx="111">
                  <c:v>57.09</c:v>
                </c:pt>
                <c:pt idx="112">
                  <c:v>57.972000000000001</c:v>
                </c:pt>
                <c:pt idx="113">
                  <c:v>58.798000000000002</c:v>
                </c:pt>
                <c:pt idx="114">
                  <c:v>59.561999999999998</c:v>
                </c:pt>
                <c:pt idx="115">
                  <c:v>60.521000000000001</c:v>
                </c:pt>
                <c:pt idx="116">
                  <c:v>61.32</c:v>
                </c:pt>
                <c:pt idx="117">
                  <c:v>62.783000000000001</c:v>
                </c:pt>
                <c:pt idx="118">
                  <c:v>63.499000000000002</c:v>
                </c:pt>
                <c:pt idx="119">
                  <c:v>62.542999999999999</c:v>
                </c:pt>
                <c:pt idx="120">
                  <c:v>61.828000000000003</c:v>
                </c:pt>
                <c:pt idx="121">
                  <c:v>62.124000000000002</c:v>
                </c:pt>
                <c:pt idx="122">
                  <c:v>62.374000000000002</c:v>
                </c:pt>
                <c:pt idx="123">
                  <c:v>62.46</c:v>
                </c:pt>
                <c:pt idx="124">
                  <c:v>61.81</c:v>
                </c:pt>
                <c:pt idx="125">
                  <c:v>60.749000000000002</c:v>
                </c:pt>
                <c:pt idx="126">
                  <c:v>61.177</c:v>
                </c:pt>
                <c:pt idx="127">
                  <c:v>60.677999999999997</c:v>
                </c:pt>
                <c:pt idx="128">
                  <c:v>60.204999999999998</c:v>
                </c:pt>
                <c:pt idx="129">
                  <c:v>60.7</c:v>
                </c:pt>
                <c:pt idx="130">
                  <c:v>60.762</c:v>
                </c:pt>
                <c:pt idx="131">
                  <c:v>59.731000000000002</c:v>
                </c:pt>
                <c:pt idx="132">
                  <c:v>58.807000000000002</c:v>
                </c:pt>
                <c:pt idx="133">
                  <c:v>57.790999999999997</c:v>
                </c:pt>
                <c:pt idx="134">
                  <c:v>57.052999999999997</c:v>
                </c:pt>
                <c:pt idx="135">
                  <c:v>56.104999999999997</c:v>
                </c:pt>
                <c:pt idx="136">
                  <c:v>55.017000000000003</c:v>
                </c:pt>
                <c:pt idx="137">
                  <c:v>55.198999999999998</c:v>
                </c:pt>
                <c:pt idx="138">
                  <c:v>55.031999999999996</c:v>
                </c:pt>
                <c:pt idx="139">
                  <c:v>54.892000000000003</c:v>
                </c:pt>
                <c:pt idx="140">
                  <c:v>55.884</c:v>
                </c:pt>
                <c:pt idx="141">
                  <c:v>54.911000000000001</c:v>
                </c:pt>
                <c:pt idx="142">
                  <c:v>53.41</c:v>
                </c:pt>
                <c:pt idx="143">
                  <c:v>52.189</c:v>
                </c:pt>
                <c:pt idx="144">
                  <c:v>50.326000000000001</c:v>
                </c:pt>
                <c:pt idx="145">
                  <c:v>49.639000000000003</c:v>
                </c:pt>
                <c:pt idx="146">
                  <c:v>49.988</c:v>
                </c:pt>
                <c:pt idx="147">
                  <c:v>45.886000000000003</c:v>
                </c:pt>
                <c:pt idx="148">
                  <c:v>48.771000000000001</c:v>
                </c:pt>
                <c:pt idx="149">
                  <c:v>48.030999999999999</c:v>
                </c:pt>
                <c:pt idx="150">
                  <c:v>48.438000000000002</c:v>
                </c:pt>
                <c:pt idx="151">
                  <c:v>48.502000000000002</c:v>
                </c:pt>
                <c:pt idx="152">
                  <c:v>47.170999999999999</c:v>
                </c:pt>
                <c:pt idx="153">
                  <c:v>45.93</c:v>
                </c:pt>
                <c:pt idx="154">
                  <c:v>45.284999999999997</c:v>
                </c:pt>
                <c:pt idx="155">
                  <c:v>44.872999999999998</c:v>
                </c:pt>
                <c:pt idx="156">
                  <c:v>43.011000000000003</c:v>
                </c:pt>
                <c:pt idx="157">
                  <c:v>42.968000000000004</c:v>
                </c:pt>
                <c:pt idx="158">
                  <c:v>41.029000000000003</c:v>
                </c:pt>
                <c:pt idx="159">
                  <c:v>38.429000000000002</c:v>
                </c:pt>
                <c:pt idx="160">
                  <c:v>38.270000000000003</c:v>
                </c:pt>
                <c:pt idx="161">
                  <c:v>36.277999999999999</c:v>
                </c:pt>
                <c:pt idx="162">
                  <c:v>35.773000000000003</c:v>
                </c:pt>
                <c:pt idx="163">
                  <c:v>35.277000000000001</c:v>
                </c:pt>
                <c:pt idx="164">
                  <c:v>34.192999999999998</c:v>
                </c:pt>
                <c:pt idx="165">
                  <c:v>33.909999999999997</c:v>
                </c:pt>
                <c:pt idx="166">
                  <c:v>34.576999999999998</c:v>
                </c:pt>
                <c:pt idx="167">
                  <c:v>34.212000000000003</c:v>
                </c:pt>
                <c:pt idx="168">
                  <c:v>33.826999999999998</c:v>
                </c:pt>
                <c:pt idx="169">
                  <c:v>32.591000000000001</c:v>
                </c:pt>
                <c:pt idx="170">
                  <c:v>31.224</c:v>
                </c:pt>
                <c:pt idx="171">
                  <c:v>31.616</c:v>
                </c:pt>
                <c:pt idx="172">
                  <c:v>30.815000000000001</c:v>
                </c:pt>
                <c:pt idx="173">
                  <c:v>29.706</c:v>
                </c:pt>
                <c:pt idx="174">
                  <c:v>29.466000000000001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AC-4D8F-9239-F44FCA622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Annual CO</a:t>
            </a:r>
            <a:r>
              <a:rPr lang="en-US" baseline="-25000"/>
              <a:t>2</a:t>
            </a:r>
            <a:r>
              <a:rPr lang="en-US"/>
              <a:t> emissions excluding LULUCF, share of world total, 1850-2024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0.0</c:formatCode>
                <c:ptCount val="175"/>
                <c:pt idx="0">
                  <c:v>98.268000000000001</c:v>
                </c:pt>
                <c:pt idx="1">
                  <c:v>98.066000000000003</c:v>
                </c:pt>
                <c:pt idx="2">
                  <c:v>97.757999999999996</c:v>
                </c:pt>
                <c:pt idx="3">
                  <c:v>97.796999999999997</c:v>
                </c:pt>
                <c:pt idx="4">
                  <c:v>97.893000000000001</c:v>
                </c:pt>
                <c:pt idx="5">
                  <c:v>97.475999999999999</c:v>
                </c:pt>
                <c:pt idx="6">
                  <c:v>97.216999999999999</c:v>
                </c:pt>
                <c:pt idx="7">
                  <c:v>96.972999999999999</c:v>
                </c:pt>
                <c:pt idx="8">
                  <c:v>96.397999999999996</c:v>
                </c:pt>
                <c:pt idx="9">
                  <c:v>96.656000000000006</c:v>
                </c:pt>
                <c:pt idx="10">
                  <c:v>96.593999999999994</c:v>
                </c:pt>
                <c:pt idx="11">
                  <c:v>96.483999999999995</c:v>
                </c:pt>
                <c:pt idx="12">
                  <c:v>95.983999999999995</c:v>
                </c:pt>
                <c:pt idx="13">
                  <c:v>95.741</c:v>
                </c:pt>
                <c:pt idx="14">
                  <c:v>95.492999999999995</c:v>
                </c:pt>
                <c:pt idx="15">
                  <c:v>95.259</c:v>
                </c:pt>
                <c:pt idx="16">
                  <c:v>94.727999999999994</c:v>
                </c:pt>
                <c:pt idx="17">
                  <c:v>94.671999999999997</c:v>
                </c:pt>
                <c:pt idx="18">
                  <c:v>94.361000000000004</c:v>
                </c:pt>
                <c:pt idx="19">
                  <c:v>94.28</c:v>
                </c:pt>
                <c:pt idx="20">
                  <c:v>94.021000000000001</c:v>
                </c:pt>
                <c:pt idx="21">
                  <c:v>93.509</c:v>
                </c:pt>
                <c:pt idx="22">
                  <c:v>93.6</c:v>
                </c:pt>
                <c:pt idx="23">
                  <c:v>93.611999999999995</c:v>
                </c:pt>
                <c:pt idx="24">
                  <c:v>92.56</c:v>
                </c:pt>
                <c:pt idx="25">
                  <c:v>93.018000000000001</c:v>
                </c:pt>
                <c:pt idx="26">
                  <c:v>91.801000000000002</c:v>
                </c:pt>
                <c:pt idx="27">
                  <c:v>92.003</c:v>
                </c:pt>
                <c:pt idx="28">
                  <c:v>91.158000000000001</c:v>
                </c:pt>
                <c:pt idx="29">
                  <c:v>91.262</c:v>
                </c:pt>
                <c:pt idx="30">
                  <c:v>91.789000000000001</c:v>
                </c:pt>
                <c:pt idx="31">
                  <c:v>91.805999999999997</c:v>
                </c:pt>
                <c:pt idx="32">
                  <c:v>91.93</c:v>
                </c:pt>
                <c:pt idx="33">
                  <c:v>91.66</c:v>
                </c:pt>
                <c:pt idx="34">
                  <c:v>91.41</c:v>
                </c:pt>
                <c:pt idx="35">
                  <c:v>91.057000000000002</c:v>
                </c:pt>
                <c:pt idx="36">
                  <c:v>90.965999999999994</c:v>
                </c:pt>
                <c:pt idx="37">
                  <c:v>91.016000000000005</c:v>
                </c:pt>
                <c:pt idx="38">
                  <c:v>91.15</c:v>
                </c:pt>
                <c:pt idx="39">
                  <c:v>90.403999999999996</c:v>
                </c:pt>
                <c:pt idx="40">
                  <c:v>90.638000000000005</c:v>
                </c:pt>
                <c:pt idx="41">
                  <c:v>90.367999999999995</c:v>
                </c:pt>
                <c:pt idx="42">
                  <c:v>90.293999999999997</c:v>
                </c:pt>
                <c:pt idx="43">
                  <c:v>89.370999999999995</c:v>
                </c:pt>
                <c:pt idx="44">
                  <c:v>89.367000000000004</c:v>
                </c:pt>
                <c:pt idx="45">
                  <c:v>89.093000000000004</c:v>
                </c:pt>
                <c:pt idx="46">
                  <c:v>88.887</c:v>
                </c:pt>
                <c:pt idx="47">
                  <c:v>88.570999999999998</c:v>
                </c:pt>
                <c:pt idx="48">
                  <c:v>88.147000000000006</c:v>
                </c:pt>
                <c:pt idx="49">
                  <c:v>88.412999999999997</c:v>
                </c:pt>
                <c:pt idx="50">
                  <c:v>88.507999999999996</c:v>
                </c:pt>
                <c:pt idx="51">
                  <c:v>88.201999999999998</c:v>
                </c:pt>
                <c:pt idx="52">
                  <c:v>88.525000000000006</c:v>
                </c:pt>
                <c:pt idx="53">
                  <c:v>89.111999999999995</c:v>
                </c:pt>
                <c:pt idx="54">
                  <c:v>88.593999999999994</c:v>
                </c:pt>
                <c:pt idx="55">
                  <c:v>89.125</c:v>
                </c:pt>
                <c:pt idx="56">
                  <c:v>88.245999999999995</c:v>
                </c:pt>
                <c:pt idx="57">
                  <c:v>88.257000000000005</c:v>
                </c:pt>
                <c:pt idx="58">
                  <c:v>87.215999999999994</c:v>
                </c:pt>
                <c:pt idx="59">
                  <c:v>87.29</c:v>
                </c:pt>
                <c:pt idx="60">
                  <c:v>87.822999999999993</c:v>
                </c:pt>
                <c:pt idx="61">
                  <c:v>87.372</c:v>
                </c:pt>
                <c:pt idx="62">
                  <c:v>87.177000000000007</c:v>
                </c:pt>
                <c:pt idx="63">
                  <c:v>87.058000000000007</c:v>
                </c:pt>
                <c:pt idx="64">
                  <c:v>87.174000000000007</c:v>
                </c:pt>
                <c:pt idx="65">
                  <c:v>87.418999999999997</c:v>
                </c:pt>
                <c:pt idx="66">
                  <c:v>87.325999999999993</c:v>
                </c:pt>
                <c:pt idx="67">
                  <c:v>87.495000000000005</c:v>
                </c:pt>
                <c:pt idx="68">
                  <c:v>89.491</c:v>
                </c:pt>
                <c:pt idx="69">
                  <c:v>90.783000000000001</c:v>
                </c:pt>
                <c:pt idx="70">
                  <c:v>88.941999999999993</c:v>
                </c:pt>
                <c:pt idx="71">
                  <c:v>86.816999999999993</c:v>
                </c:pt>
                <c:pt idx="72">
                  <c:v>87.373999999999995</c:v>
                </c:pt>
                <c:pt idx="73">
                  <c:v>88.924999999999997</c:v>
                </c:pt>
                <c:pt idx="74">
                  <c:v>88.25</c:v>
                </c:pt>
                <c:pt idx="75">
                  <c:v>88.608999999999995</c:v>
                </c:pt>
                <c:pt idx="76">
                  <c:v>87.884</c:v>
                </c:pt>
                <c:pt idx="77">
                  <c:v>87.91</c:v>
                </c:pt>
                <c:pt idx="78">
                  <c:v>86.968000000000004</c:v>
                </c:pt>
                <c:pt idx="79">
                  <c:v>86.802000000000007</c:v>
                </c:pt>
                <c:pt idx="80">
                  <c:v>85.150999999999996</c:v>
                </c:pt>
                <c:pt idx="81">
                  <c:v>83.265000000000001</c:v>
                </c:pt>
                <c:pt idx="82">
                  <c:v>81.478999999999999</c:v>
                </c:pt>
                <c:pt idx="83">
                  <c:v>81.27</c:v>
                </c:pt>
                <c:pt idx="84">
                  <c:v>80.244</c:v>
                </c:pt>
                <c:pt idx="85">
                  <c:v>79.231999999999999</c:v>
                </c:pt>
                <c:pt idx="86">
                  <c:v>79.195999999999998</c:v>
                </c:pt>
                <c:pt idx="87">
                  <c:v>79.241</c:v>
                </c:pt>
                <c:pt idx="88">
                  <c:v>77.031000000000006</c:v>
                </c:pt>
                <c:pt idx="89">
                  <c:v>77.507000000000005</c:v>
                </c:pt>
                <c:pt idx="90">
                  <c:v>74.837000000000003</c:v>
                </c:pt>
                <c:pt idx="91">
                  <c:v>76.22</c:v>
                </c:pt>
                <c:pt idx="92">
                  <c:v>78.962999999999994</c:v>
                </c:pt>
                <c:pt idx="93">
                  <c:v>77.355999999999995</c:v>
                </c:pt>
                <c:pt idx="94">
                  <c:v>77.378</c:v>
                </c:pt>
                <c:pt idx="95">
                  <c:v>76.777000000000001</c:v>
                </c:pt>
                <c:pt idx="96">
                  <c:v>74.927000000000007</c:v>
                </c:pt>
                <c:pt idx="97">
                  <c:v>75.593000000000004</c:v>
                </c:pt>
                <c:pt idx="98">
                  <c:v>76.135999999999996</c:v>
                </c:pt>
                <c:pt idx="99">
                  <c:v>72.866</c:v>
                </c:pt>
                <c:pt idx="100">
                  <c:v>75.271000000000001</c:v>
                </c:pt>
                <c:pt idx="101">
                  <c:v>74.596999999999994</c:v>
                </c:pt>
                <c:pt idx="102">
                  <c:v>72.882000000000005</c:v>
                </c:pt>
                <c:pt idx="103">
                  <c:v>72.179000000000002</c:v>
                </c:pt>
                <c:pt idx="104">
                  <c:v>70.143000000000001</c:v>
                </c:pt>
                <c:pt idx="105">
                  <c:v>69.373999999999995</c:v>
                </c:pt>
                <c:pt idx="106">
                  <c:v>68.647999999999996</c:v>
                </c:pt>
                <c:pt idx="107">
                  <c:v>66.671999999999997</c:v>
                </c:pt>
                <c:pt idx="108">
                  <c:v>62.869</c:v>
                </c:pt>
                <c:pt idx="109">
                  <c:v>60.899000000000001</c:v>
                </c:pt>
                <c:pt idx="110">
                  <c:v>60.534999999999997</c:v>
                </c:pt>
                <c:pt idx="111">
                  <c:v>61.624000000000002</c:v>
                </c:pt>
                <c:pt idx="112">
                  <c:v>62.207000000000001</c:v>
                </c:pt>
                <c:pt idx="113">
                  <c:v>62.155000000000001</c:v>
                </c:pt>
                <c:pt idx="114">
                  <c:v>61.881</c:v>
                </c:pt>
                <c:pt idx="115">
                  <c:v>61.316000000000003</c:v>
                </c:pt>
                <c:pt idx="116">
                  <c:v>60.704000000000001</c:v>
                </c:pt>
                <c:pt idx="117">
                  <c:v>61.106000000000002</c:v>
                </c:pt>
                <c:pt idx="118">
                  <c:v>60.908999999999999</c:v>
                </c:pt>
                <c:pt idx="119">
                  <c:v>60.601999999999997</c:v>
                </c:pt>
                <c:pt idx="120">
                  <c:v>59.81</c:v>
                </c:pt>
                <c:pt idx="121">
                  <c:v>58.634999999999998</c:v>
                </c:pt>
                <c:pt idx="122">
                  <c:v>58.539000000000001</c:v>
                </c:pt>
                <c:pt idx="123">
                  <c:v>58.302</c:v>
                </c:pt>
                <c:pt idx="124">
                  <c:v>56.982999999999997</c:v>
                </c:pt>
                <c:pt idx="125">
                  <c:v>54.615000000000002</c:v>
                </c:pt>
                <c:pt idx="126">
                  <c:v>54.698999999999998</c:v>
                </c:pt>
                <c:pt idx="127">
                  <c:v>53.863</c:v>
                </c:pt>
                <c:pt idx="128">
                  <c:v>53.268999999999998</c:v>
                </c:pt>
                <c:pt idx="129">
                  <c:v>53.179000000000002</c:v>
                </c:pt>
                <c:pt idx="130">
                  <c:v>51.853000000000002</c:v>
                </c:pt>
                <c:pt idx="131">
                  <c:v>51.136000000000003</c:v>
                </c:pt>
                <c:pt idx="132">
                  <c:v>49.283999999999999</c:v>
                </c:pt>
                <c:pt idx="133">
                  <c:v>48.616</c:v>
                </c:pt>
                <c:pt idx="134">
                  <c:v>48.381</c:v>
                </c:pt>
                <c:pt idx="135">
                  <c:v>47.085999999999999</c:v>
                </c:pt>
                <c:pt idx="136">
                  <c:v>46.331000000000003</c:v>
                </c:pt>
                <c:pt idx="137">
                  <c:v>46.326999999999998</c:v>
                </c:pt>
                <c:pt idx="138">
                  <c:v>46.100999999999999</c:v>
                </c:pt>
                <c:pt idx="139">
                  <c:v>46.408000000000001</c:v>
                </c:pt>
                <c:pt idx="140">
                  <c:v>47.018999999999998</c:v>
                </c:pt>
                <c:pt idx="141">
                  <c:v>46.337000000000003</c:v>
                </c:pt>
                <c:pt idx="142">
                  <c:v>47.773000000000003</c:v>
                </c:pt>
                <c:pt idx="143">
                  <c:v>47.558999999999997</c:v>
                </c:pt>
                <c:pt idx="144">
                  <c:v>47.987000000000002</c:v>
                </c:pt>
                <c:pt idx="145">
                  <c:v>47.442999999999998</c:v>
                </c:pt>
                <c:pt idx="146">
                  <c:v>47.234000000000002</c:v>
                </c:pt>
                <c:pt idx="147">
                  <c:v>47.017000000000003</c:v>
                </c:pt>
                <c:pt idx="148">
                  <c:v>47.555</c:v>
                </c:pt>
                <c:pt idx="149">
                  <c:v>46.932000000000002</c:v>
                </c:pt>
                <c:pt idx="150">
                  <c:v>46.814999999999998</c:v>
                </c:pt>
                <c:pt idx="151">
                  <c:v>46.026000000000003</c:v>
                </c:pt>
                <c:pt idx="152">
                  <c:v>45.194000000000003</c:v>
                </c:pt>
                <c:pt idx="153">
                  <c:v>43.493000000000002</c:v>
                </c:pt>
                <c:pt idx="154">
                  <c:v>42.338999999999999</c:v>
                </c:pt>
                <c:pt idx="155">
                  <c:v>40.831000000000003</c:v>
                </c:pt>
                <c:pt idx="156">
                  <c:v>39.378</c:v>
                </c:pt>
                <c:pt idx="157">
                  <c:v>38.601999999999997</c:v>
                </c:pt>
                <c:pt idx="158">
                  <c:v>36.999000000000002</c:v>
                </c:pt>
                <c:pt idx="159">
                  <c:v>35.015000000000001</c:v>
                </c:pt>
                <c:pt idx="160">
                  <c:v>34.436</c:v>
                </c:pt>
                <c:pt idx="161">
                  <c:v>32.548999999999999</c:v>
                </c:pt>
                <c:pt idx="162">
                  <c:v>31.533000000000001</c:v>
                </c:pt>
                <c:pt idx="163">
                  <c:v>31.463999999999999</c:v>
                </c:pt>
                <c:pt idx="164">
                  <c:v>30.667000000000002</c:v>
                </c:pt>
                <c:pt idx="165">
                  <c:v>30.053000000000001</c:v>
                </c:pt>
                <c:pt idx="166">
                  <c:v>29.451000000000001</c:v>
                </c:pt>
                <c:pt idx="167">
                  <c:v>28.683</c:v>
                </c:pt>
                <c:pt idx="168">
                  <c:v>28.356999999999999</c:v>
                </c:pt>
                <c:pt idx="169">
                  <c:v>27.548999999999999</c:v>
                </c:pt>
                <c:pt idx="170">
                  <c:v>26.026</c:v>
                </c:pt>
                <c:pt idx="171">
                  <c:v>26.215</c:v>
                </c:pt>
                <c:pt idx="172">
                  <c:v>25.891999999999999</c:v>
                </c:pt>
                <c:pt idx="173">
                  <c:v>24.553999999999998</c:v>
                </c:pt>
                <c:pt idx="174">
                  <c:v>24.181000000000001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0-4014-A4AD-5DEE22E8B1E4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data_co2_excLUC!$F$3:$F$177</c:f>
              <c:numCache>
                <c:formatCode>0.0</c:formatCode>
                <c:ptCount val="175"/>
                <c:pt idx="0">
                  <c:v>4.9999999999997158E-2</c:v>
                </c:pt>
                <c:pt idx="1">
                  <c:v>2.1000000000000796E-2</c:v>
                </c:pt>
                <c:pt idx="2">
                  <c:v>4.600000000000648E-2</c:v>
                </c:pt>
                <c:pt idx="3">
                  <c:v>4.0000000000048885E-3</c:v>
                </c:pt>
                <c:pt idx="4">
                  <c:v>6.0999999999992838E-2</c:v>
                </c:pt>
                <c:pt idx="5">
                  <c:v>0.10599999999999454</c:v>
                </c:pt>
                <c:pt idx="6">
                  <c:v>0.25900000000000034</c:v>
                </c:pt>
                <c:pt idx="7">
                  <c:v>0.35299999999999443</c:v>
                </c:pt>
                <c:pt idx="8">
                  <c:v>0.50900000000000034</c:v>
                </c:pt>
                <c:pt idx="9">
                  <c:v>0.40999999999999659</c:v>
                </c:pt>
                <c:pt idx="10">
                  <c:v>0.44500000000000739</c:v>
                </c:pt>
                <c:pt idx="11">
                  <c:v>0.44300000000001205</c:v>
                </c:pt>
                <c:pt idx="12">
                  <c:v>0.46699999999999875</c:v>
                </c:pt>
                <c:pt idx="13">
                  <c:v>0.39700000000000557</c:v>
                </c:pt>
                <c:pt idx="14">
                  <c:v>0.46699999999999875</c:v>
                </c:pt>
                <c:pt idx="15">
                  <c:v>0.48399999999999466</c:v>
                </c:pt>
                <c:pt idx="16">
                  <c:v>0.56400000000000716</c:v>
                </c:pt>
                <c:pt idx="17">
                  <c:v>0.42799999999999727</c:v>
                </c:pt>
                <c:pt idx="18">
                  <c:v>0.45899999999998897</c:v>
                </c:pt>
                <c:pt idx="19">
                  <c:v>0.375</c:v>
                </c:pt>
                <c:pt idx="20">
                  <c:v>0.35500000000000398</c:v>
                </c:pt>
                <c:pt idx="21">
                  <c:v>0.34399999999999409</c:v>
                </c:pt>
                <c:pt idx="22">
                  <c:v>0.41500000000000625</c:v>
                </c:pt>
                <c:pt idx="23">
                  <c:v>0.42400000000000659</c:v>
                </c:pt>
                <c:pt idx="24">
                  <c:v>0.48099999999999454</c:v>
                </c:pt>
                <c:pt idx="25">
                  <c:v>0.375</c:v>
                </c:pt>
                <c:pt idx="26">
                  <c:v>0.3019999999999925</c:v>
                </c:pt>
                <c:pt idx="27">
                  <c:v>0.26200000000000045</c:v>
                </c:pt>
                <c:pt idx="28">
                  <c:v>0.46599999999999397</c:v>
                </c:pt>
                <c:pt idx="29">
                  <c:v>0.45799999999999841</c:v>
                </c:pt>
                <c:pt idx="30">
                  <c:v>0.47100000000000364</c:v>
                </c:pt>
                <c:pt idx="31">
                  <c:v>0.44400000000000261</c:v>
                </c:pt>
                <c:pt idx="32">
                  <c:v>0.43699999999999761</c:v>
                </c:pt>
                <c:pt idx="33">
                  <c:v>0.43300000000000693</c:v>
                </c:pt>
                <c:pt idx="34">
                  <c:v>0.47700000000000387</c:v>
                </c:pt>
                <c:pt idx="35">
                  <c:v>0.49500000000000455</c:v>
                </c:pt>
                <c:pt idx="36">
                  <c:v>0.44500000000000739</c:v>
                </c:pt>
                <c:pt idx="37">
                  <c:v>0.38599999999999568</c:v>
                </c:pt>
                <c:pt idx="38">
                  <c:v>0.46399999999999864</c:v>
                </c:pt>
                <c:pt idx="39">
                  <c:v>0.50600000000000023</c:v>
                </c:pt>
                <c:pt idx="40">
                  <c:v>0.41599999999999682</c:v>
                </c:pt>
                <c:pt idx="41">
                  <c:v>0.44899999999999807</c:v>
                </c:pt>
                <c:pt idx="42">
                  <c:v>0.45499999999999829</c:v>
                </c:pt>
                <c:pt idx="43">
                  <c:v>0.44700000000000273</c:v>
                </c:pt>
                <c:pt idx="44">
                  <c:v>0.52700000000000102</c:v>
                </c:pt>
                <c:pt idx="45">
                  <c:v>0.43899999999999295</c:v>
                </c:pt>
                <c:pt idx="46">
                  <c:v>0.45399999999999352</c:v>
                </c:pt>
                <c:pt idx="47">
                  <c:v>0.43099999999999739</c:v>
                </c:pt>
                <c:pt idx="48">
                  <c:v>0.43799999999998818</c:v>
                </c:pt>
                <c:pt idx="49">
                  <c:v>0.42600000000000193</c:v>
                </c:pt>
                <c:pt idx="50">
                  <c:v>0.41600000000001103</c:v>
                </c:pt>
                <c:pt idx="51">
                  <c:v>0.23699999999999477</c:v>
                </c:pt>
                <c:pt idx="52">
                  <c:v>0.20599999999998886</c:v>
                </c:pt>
                <c:pt idx="53">
                  <c:v>0.1530000000000058</c:v>
                </c:pt>
                <c:pt idx="54">
                  <c:v>0.12199999999999989</c:v>
                </c:pt>
                <c:pt idx="55">
                  <c:v>0.19299999999999784</c:v>
                </c:pt>
                <c:pt idx="56">
                  <c:v>0.32600000000000762</c:v>
                </c:pt>
                <c:pt idx="57">
                  <c:v>0.39300000000000068</c:v>
                </c:pt>
                <c:pt idx="58">
                  <c:v>0.25600000000000023</c:v>
                </c:pt>
                <c:pt idx="59">
                  <c:v>0.3539999999999992</c:v>
                </c:pt>
                <c:pt idx="60">
                  <c:v>0.36599999999999966</c:v>
                </c:pt>
                <c:pt idx="61">
                  <c:v>0.14100000000000534</c:v>
                </c:pt>
                <c:pt idx="62">
                  <c:v>0.42099999999999227</c:v>
                </c:pt>
                <c:pt idx="63">
                  <c:v>0.52499999999999147</c:v>
                </c:pt>
                <c:pt idx="64">
                  <c:v>0.41599999999999682</c:v>
                </c:pt>
                <c:pt idx="65">
                  <c:v>0.26500000000000057</c:v>
                </c:pt>
                <c:pt idx="66">
                  <c:v>0.31500000000001194</c:v>
                </c:pt>
                <c:pt idx="67">
                  <c:v>0.30400000000000205</c:v>
                </c:pt>
                <c:pt idx="68">
                  <c:v>0.41100000000000136</c:v>
                </c:pt>
                <c:pt idx="69">
                  <c:v>0.42799999999999727</c:v>
                </c:pt>
                <c:pt idx="70">
                  <c:v>0.54200000000000159</c:v>
                </c:pt>
                <c:pt idx="71">
                  <c:v>0.59100000000000819</c:v>
                </c:pt>
                <c:pt idx="72">
                  <c:v>0.52500000000000568</c:v>
                </c:pt>
                <c:pt idx="73">
                  <c:v>0.40800000000000125</c:v>
                </c:pt>
                <c:pt idx="74">
                  <c:v>0.36199999999999477</c:v>
                </c:pt>
                <c:pt idx="75">
                  <c:v>0.34100000000000819</c:v>
                </c:pt>
                <c:pt idx="76">
                  <c:v>8.1999999999993634E-2</c:v>
                </c:pt>
                <c:pt idx="77">
                  <c:v>5.5999999999997385E-2</c:v>
                </c:pt>
                <c:pt idx="78">
                  <c:v>0.39399999999999125</c:v>
                </c:pt>
                <c:pt idx="79">
                  <c:v>0.54499999999998749</c:v>
                </c:pt>
                <c:pt idx="80">
                  <c:v>0.84100000000000819</c:v>
                </c:pt>
                <c:pt idx="81">
                  <c:v>0.78400000000000603</c:v>
                </c:pt>
                <c:pt idx="82">
                  <c:v>0.79000000000000625</c:v>
                </c:pt>
                <c:pt idx="83">
                  <c:v>0.79900000000000659</c:v>
                </c:pt>
                <c:pt idx="84">
                  <c:v>0.87399999999999523</c:v>
                </c:pt>
                <c:pt idx="85">
                  <c:v>1.0100000000000051</c:v>
                </c:pt>
                <c:pt idx="86">
                  <c:v>1.097999999999999</c:v>
                </c:pt>
                <c:pt idx="87">
                  <c:v>1.1659999999999968</c:v>
                </c:pt>
                <c:pt idx="88">
                  <c:v>1.4050000000000011</c:v>
                </c:pt>
                <c:pt idx="89">
                  <c:v>1.4080000000000013</c:v>
                </c:pt>
                <c:pt idx="90">
                  <c:v>1.097999999999999</c:v>
                </c:pt>
                <c:pt idx="91">
                  <c:v>1.3499999999999943</c:v>
                </c:pt>
                <c:pt idx="92">
                  <c:v>1.9250000000000114</c:v>
                </c:pt>
                <c:pt idx="93">
                  <c:v>3.3950000000000102</c:v>
                </c:pt>
                <c:pt idx="94">
                  <c:v>1.8599999999999994</c:v>
                </c:pt>
                <c:pt idx="95">
                  <c:v>2.8149999999999977</c:v>
                </c:pt>
                <c:pt idx="96">
                  <c:v>3.4629999999999939</c:v>
                </c:pt>
                <c:pt idx="97">
                  <c:v>2.5379999999999967</c:v>
                </c:pt>
                <c:pt idx="98">
                  <c:v>2.3880000000000052</c:v>
                </c:pt>
                <c:pt idx="99">
                  <c:v>2.9980000000000047</c:v>
                </c:pt>
                <c:pt idx="100">
                  <c:v>0.61199999999999477</c:v>
                </c:pt>
                <c:pt idx="101">
                  <c:v>0.70300000000000296</c:v>
                </c:pt>
                <c:pt idx="102">
                  <c:v>0.71399999999999864</c:v>
                </c:pt>
                <c:pt idx="103">
                  <c:v>0.82099999999999795</c:v>
                </c:pt>
                <c:pt idx="104">
                  <c:v>0.86599999999999966</c:v>
                </c:pt>
                <c:pt idx="105">
                  <c:v>0.81400000000000716</c:v>
                </c:pt>
                <c:pt idx="106">
                  <c:v>0.83299999999999841</c:v>
                </c:pt>
                <c:pt idx="107">
                  <c:v>0.99099999999999966</c:v>
                </c:pt>
                <c:pt idx="108">
                  <c:v>1.0300000000000011</c:v>
                </c:pt>
                <c:pt idx="109">
                  <c:v>0.97800000000000153</c:v>
                </c:pt>
                <c:pt idx="110">
                  <c:v>1.0930000000000035</c:v>
                </c:pt>
                <c:pt idx="111">
                  <c:v>1.2539999999999978</c:v>
                </c:pt>
                <c:pt idx="112">
                  <c:v>1.2950000000000017</c:v>
                </c:pt>
                <c:pt idx="113">
                  <c:v>1.2040000000000006</c:v>
                </c:pt>
                <c:pt idx="114">
                  <c:v>1.1629999999999967</c:v>
                </c:pt>
                <c:pt idx="115">
                  <c:v>1.046999999999997</c:v>
                </c:pt>
                <c:pt idx="116">
                  <c:v>1.2490000000000023</c:v>
                </c:pt>
                <c:pt idx="117">
                  <c:v>1.1159999999999997</c:v>
                </c:pt>
                <c:pt idx="118">
                  <c:v>1.1950000000000003</c:v>
                </c:pt>
                <c:pt idx="119">
                  <c:v>1.1310000000000002</c:v>
                </c:pt>
                <c:pt idx="120">
                  <c:v>1.1879999999999953</c:v>
                </c:pt>
                <c:pt idx="121">
                  <c:v>0.94900000000000517</c:v>
                </c:pt>
                <c:pt idx="122">
                  <c:v>0.92499999999999716</c:v>
                </c:pt>
                <c:pt idx="123">
                  <c:v>0.84100000000000108</c:v>
                </c:pt>
                <c:pt idx="124">
                  <c:v>0.74600000000000222</c:v>
                </c:pt>
                <c:pt idx="125">
                  <c:v>0.76999999999999602</c:v>
                </c:pt>
                <c:pt idx="126">
                  <c:v>0.5660000000000025</c:v>
                </c:pt>
                <c:pt idx="127">
                  <c:v>0.4930000000000021</c:v>
                </c:pt>
                <c:pt idx="128">
                  <c:v>0.31700000000000017</c:v>
                </c:pt>
                <c:pt idx="129">
                  <c:v>0.27400000000000091</c:v>
                </c:pt>
                <c:pt idx="130">
                  <c:v>0.242999999999995</c:v>
                </c:pt>
                <c:pt idx="131">
                  <c:v>0.2359999999999971</c:v>
                </c:pt>
                <c:pt idx="132">
                  <c:v>0.24799999999999756</c:v>
                </c:pt>
                <c:pt idx="133">
                  <c:v>0.14200000000000301</c:v>
                </c:pt>
                <c:pt idx="134">
                  <c:v>0.14999999999999858</c:v>
                </c:pt>
                <c:pt idx="135">
                  <c:v>0.10000000000000142</c:v>
                </c:pt>
                <c:pt idx="136">
                  <c:v>8.2999999999998408E-2</c:v>
                </c:pt>
                <c:pt idx="137">
                  <c:v>4.1000000000003922E-2</c:v>
                </c:pt>
                <c:pt idx="138">
                  <c:v>0.10500000000000398</c:v>
                </c:pt>
                <c:pt idx="139">
                  <c:v>7.0999999999997954E-2</c:v>
                </c:pt>
                <c:pt idx="140">
                  <c:v>0.47299999999999898</c:v>
                </c:pt>
                <c:pt idx="141">
                  <c:v>1.0670000000000002</c:v>
                </c:pt>
                <c:pt idx="142">
                  <c:v>0.37299999999999756</c:v>
                </c:pt>
                <c:pt idx="143">
                  <c:v>0.2780000000000058</c:v>
                </c:pt>
                <c:pt idx="144">
                  <c:v>0.11599999999999966</c:v>
                </c:pt>
                <c:pt idx="145">
                  <c:v>0.1840000000000046</c:v>
                </c:pt>
                <c:pt idx="146">
                  <c:v>0.29999999999999716</c:v>
                </c:pt>
                <c:pt idx="147">
                  <c:v>0.40399999999999636</c:v>
                </c:pt>
                <c:pt idx="148">
                  <c:v>0.51500000000000057</c:v>
                </c:pt>
                <c:pt idx="149">
                  <c:v>0.56799999999999784</c:v>
                </c:pt>
                <c:pt idx="150">
                  <c:v>0.61700000000000443</c:v>
                </c:pt>
                <c:pt idx="151">
                  <c:v>0.742999999999995</c:v>
                </c:pt>
                <c:pt idx="152">
                  <c:v>0.867999999999995</c:v>
                </c:pt>
                <c:pt idx="153">
                  <c:v>0.81799999999999784</c:v>
                </c:pt>
                <c:pt idx="154">
                  <c:v>0.96500000000000341</c:v>
                </c:pt>
                <c:pt idx="155">
                  <c:v>1.0769999999999982</c:v>
                </c:pt>
                <c:pt idx="156">
                  <c:v>0.83400000000000318</c:v>
                </c:pt>
                <c:pt idx="157">
                  <c:v>0.72200000000000131</c:v>
                </c:pt>
                <c:pt idx="158">
                  <c:v>0.50099999999999767</c:v>
                </c:pt>
                <c:pt idx="159">
                  <c:v>0.41799999999999926</c:v>
                </c:pt>
                <c:pt idx="160">
                  <c:v>0.11500000000000199</c:v>
                </c:pt>
                <c:pt idx="161">
                  <c:v>0.16100000000000136</c:v>
                </c:pt>
                <c:pt idx="162">
                  <c:v>0.15700000000000003</c:v>
                </c:pt>
                <c:pt idx="163">
                  <c:v>0.20700000000000074</c:v>
                </c:pt>
                <c:pt idx="164">
                  <c:v>0.35199999999999676</c:v>
                </c:pt>
                <c:pt idx="165">
                  <c:v>0.57999999999999829</c:v>
                </c:pt>
                <c:pt idx="166">
                  <c:v>0.67800000000000082</c:v>
                </c:pt>
                <c:pt idx="167">
                  <c:v>0.79100000000000037</c:v>
                </c:pt>
                <c:pt idx="168">
                  <c:v>0.68299999999999983</c:v>
                </c:pt>
                <c:pt idx="169">
                  <c:v>0.4220000000000006</c:v>
                </c:pt>
                <c:pt idx="170">
                  <c:v>0.39100000000000179</c:v>
                </c:pt>
                <c:pt idx="171">
                  <c:v>0.35600000000000165</c:v>
                </c:pt>
                <c:pt idx="172">
                  <c:v>8.2000000000000739E-2</c:v>
                </c:pt>
                <c:pt idx="173">
                  <c:v>0.10500000000000043</c:v>
                </c:pt>
                <c:pt idx="174">
                  <c:v>0.14399999999999835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90-4014-A4AD-5DEE22E8B1E4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90-4014-A4AD-5DEE22E8B1E4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data_co2_excLUC!$H$3:$H$177</c:f>
              <c:numCache>
                <c:formatCode>0.0</c:formatCode>
                <c:ptCount val="175"/>
                <c:pt idx="0">
                  <c:v>1.6260000000000048</c:v>
                </c:pt>
                <c:pt idx="1">
                  <c:v>1.8569999999999993</c:v>
                </c:pt>
                <c:pt idx="2">
                  <c:v>2.1089999999999947</c:v>
                </c:pt>
                <c:pt idx="3">
                  <c:v>2.144999999999996</c:v>
                </c:pt>
                <c:pt idx="4">
                  <c:v>2.0190000000000055</c:v>
                </c:pt>
                <c:pt idx="5">
                  <c:v>2.342000000000013</c:v>
                </c:pt>
                <c:pt idx="6">
                  <c:v>2.1830000000000069</c:v>
                </c:pt>
                <c:pt idx="7">
                  <c:v>2.230000000000004</c:v>
                </c:pt>
                <c:pt idx="8">
                  <c:v>2.4699999999999989</c:v>
                </c:pt>
                <c:pt idx="9">
                  <c:v>2.3419999999999987</c:v>
                </c:pt>
                <c:pt idx="10">
                  <c:v>2.3370000000000033</c:v>
                </c:pt>
                <c:pt idx="11">
                  <c:v>2.4939999999999998</c:v>
                </c:pt>
                <c:pt idx="12">
                  <c:v>2.9420000000000073</c:v>
                </c:pt>
                <c:pt idx="13">
                  <c:v>3.313999999999993</c:v>
                </c:pt>
                <c:pt idx="14">
                  <c:v>3.429000000000002</c:v>
                </c:pt>
                <c:pt idx="15">
                  <c:v>3.6410000000000053</c:v>
                </c:pt>
                <c:pt idx="16">
                  <c:v>3.9200000000000017</c:v>
                </c:pt>
                <c:pt idx="17">
                  <c:v>4.257000000000005</c:v>
                </c:pt>
                <c:pt idx="18">
                  <c:v>4.5110000000000099</c:v>
                </c:pt>
                <c:pt idx="19">
                  <c:v>4.7210000000000036</c:v>
                </c:pt>
                <c:pt idx="20">
                  <c:v>5.0039999999999907</c:v>
                </c:pt>
                <c:pt idx="21">
                  <c:v>5.5130000000000052</c:v>
                </c:pt>
                <c:pt idx="22">
                  <c:v>5.2860000000000014</c:v>
                </c:pt>
                <c:pt idx="23">
                  <c:v>5.2650000000000006</c:v>
                </c:pt>
                <c:pt idx="24">
                  <c:v>6.1189999999999998</c:v>
                </c:pt>
                <c:pt idx="25">
                  <c:v>5.8850000000000051</c:v>
                </c:pt>
                <c:pt idx="26">
                  <c:v>7.1700000000000017</c:v>
                </c:pt>
                <c:pt idx="27">
                  <c:v>7.0430000000000064</c:v>
                </c:pt>
                <c:pt idx="28">
                  <c:v>7.3800000000000097</c:v>
                </c:pt>
                <c:pt idx="29">
                  <c:v>7.3380000000000081</c:v>
                </c:pt>
                <c:pt idx="30">
                  <c:v>6.8099999999999881</c:v>
                </c:pt>
                <c:pt idx="31">
                  <c:v>6.8130000000000024</c:v>
                </c:pt>
                <c:pt idx="32">
                  <c:v>6.6850000000000023</c:v>
                </c:pt>
                <c:pt idx="33">
                  <c:v>6.9380000000000024</c:v>
                </c:pt>
                <c:pt idx="34">
                  <c:v>7.0669999999999931</c:v>
                </c:pt>
                <c:pt idx="35">
                  <c:v>7.3909999999999911</c:v>
                </c:pt>
                <c:pt idx="36">
                  <c:v>7.5409999999999968</c:v>
                </c:pt>
                <c:pt idx="37">
                  <c:v>7.4779999999999944</c:v>
                </c:pt>
                <c:pt idx="38">
                  <c:v>7.2269999999999897</c:v>
                </c:pt>
                <c:pt idx="39">
                  <c:v>7.7469999999999999</c:v>
                </c:pt>
                <c:pt idx="40">
                  <c:v>7.7069999999999936</c:v>
                </c:pt>
                <c:pt idx="41">
                  <c:v>7.8680000000000092</c:v>
                </c:pt>
                <c:pt idx="42">
                  <c:v>7.7950000000000017</c:v>
                </c:pt>
                <c:pt idx="43">
                  <c:v>8.5019999999999953</c:v>
                </c:pt>
                <c:pt idx="44">
                  <c:v>8.3009999999999877</c:v>
                </c:pt>
                <c:pt idx="45">
                  <c:v>8.5379999999999967</c:v>
                </c:pt>
                <c:pt idx="46">
                  <c:v>8.6260000000000048</c:v>
                </c:pt>
                <c:pt idx="47">
                  <c:v>8.9060000000000059</c:v>
                </c:pt>
                <c:pt idx="48">
                  <c:v>9.1650000000000063</c:v>
                </c:pt>
                <c:pt idx="49">
                  <c:v>8.9510000000000076</c:v>
                </c:pt>
                <c:pt idx="50">
                  <c:v>9.0049999999999955</c:v>
                </c:pt>
                <c:pt idx="51">
                  <c:v>9.2720000000000056</c:v>
                </c:pt>
                <c:pt idx="52">
                  <c:v>8.8870000000000005</c:v>
                </c:pt>
                <c:pt idx="53">
                  <c:v>8.3289999999999935</c:v>
                </c:pt>
                <c:pt idx="54">
                  <c:v>8.6630000000000109</c:v>
                </c:pt>
                <c:pt idx="55">
                  <c:v>8.0630000000000024</c:v>
                </c:pt>
                <c:pt idx="56">
                  <c:v>8.1499999999999915</c:v>
                </c:pt>
                <c:pt idx="57">
                  <c:v>7.840999999999994</c:v>
                </c:pt>
                <c:pt idx="58">
                  <c:v>8.5930000000000035</c:v>
                </c:pt>
                <c:pt idx="59">
                  <c:v>8.4299999999999926</c:v>
                </c:pt>
                <c:pt idx="60">
                  <c:v>7.8920000000000101</c:v>
                </c:pt>
                <c:pt idx="61">
                  <c:v>8.3379999999999939</c:v>
                </c:pt>
                <c:pt idx="62">
                  <c:v>8.4689999999999941</c:v>
                </c:pt>
                <c:pt idx="63">
                  <c:v>8.2150000000000034</c:v>
                </c:pt>
                <c:pt idx="64">
                  <c:v>8.0039999999999907</c:v>
                </c:pt>
                <c:pt idx="65">
                  <c:v>7.9150000000000063</c:v>
                </c:pt>
                <c:pt idx="66">
                  <c:v>7.875</c:v>
                </c:pt>
                <c:pt idx="67">
                  <c:v>7.5419999999999874</c:v>
                </c:pt>
                <c:pt idx="68">
                  <c:v>5.2830000000000013</c:v>
                </c:pt>
                <c:pt idx="69">
                  <c:v>2.5160000000000053</c:v>
                </c:pt>
                <c:pt idx="70">
                  <c:v>4.0500000000000114</c:v>
                </c:pt>
                <c:pt idx="71">
                  <c:v>4.7309999999999945</c:v>
                </c:pt>
                <c:pt idx="72">
                  <c:v>4.6269999999999953</c:v>
                </c:pt>
                <c:pt idx="73">
                  <c:v>3.8530000000000086</c:v>
                </c:pt>
                <c:pt idx="74">
                  <c:v>4.2670000000000101</c:v>
                </c:pt>
                <c:pt idx="75">
                  <c:v>4.1859999999999928</c:v>
                </c:pt>
                <c:pt idx="76">
                  <c:v>5.2390000000000043</c:v>
                </c:pt>
                <c:pt idx="77">
                  <c:v>5.7110000000000127</c:v>
                </c:pt>
                <c:pt idx="78">
                  <c:v>5.7780000000000058</c:v>
                </c:pt>
                <c:pt idx="79">
                  <c:v>5.8210000000000122</c:v>
                </c:pt>
                <c:pt idx="80">
                  <c:v>6.3979999999999961</c:v>
                </c:pt>
                <c:pt idx="81">
                  <c:v>7.9619999999999891</c:v>
                </c:pt>
                <c:pt idx="82">
                  <c:v>8.9619999999999891</c:v>
                </c:pt>
                <c:pt idx="83">
                  <c:v>9.0150000000000006</c:v>
                </c:pt>
                <c:pt idx="84">
                  <c:v>9.5240000000000009</c:v>
                </c:pt>
                <c:pt idx="85">
                  <c:v>9.7929999999999922</c:v>
                </c:pt>
                <c:pt idx="86">
                  <c:v>9.9450000000000074</c:v>
                </c:pt>
                <c:pt idx="87">
                  <c:v>9.5690000000000026</c:v>
                </c:pt>
                <c:pt idx="88">
                  <c:v>10.678999999999988</c:v>
                </c:pt>
                <c:pt idx="89">
                  <c:v>10.012</c:v>
                </c:pt>
                <c:pt idx="90">
                  <c:v>13.378</c:v>
                </c:pt>
                <c:pt idx="91">
                  <c:v>11.762</c:v>
                </c:pt>
                <c:pt idx="92">
                  <c:v>9.3909999999999911</c:v>
                </c:pt>
                <c:pt idx="93">
                  <c:v>9.367999999999995</c:v>
                </c:pt>
                <c:pt idx="94">
                  <c:v>10.192999999999998</c:v>
                </c:pt>
                <c:pt idx="95">
                  <c:v>8.0529999999999973</c:v>
                </c:pt>
                <c:pt idx="96">
                  <c:v>8.5430000000000064</c:v>
                </c:pt>
                <c:pt idx="97">
                  <c:v>9.6850000000000023</c:v>
                </c:pt>
                <c:pt idx="98">
                  <c:v>10.009</c:v>
                </c:pt>
                <c:pt idx="99">
                  <c:v>11.530999999999992</c:v>
                </c:pt>
                <c:pt idx="100">
                  <c:v>14.155000000000001</c:v>
                </c:pt>
                <c:pt idx="101">
                  <c:v>14.25</c:v>
                </c:pt>
                <c:pt idx="102">
                  <c:v>15.177999999999997</c:v>
                </c:pt>
                <c:pt idx="103">
                  <c:v>15.703000000000003</c:v>
                </c:pt>
                <c:pt idx="104">
                  <c:v>16.679999999999993</c:v>
                </c:pt>
                <c:pt idx="105">
                  <c:v>17.027000000000001</c:v>
                </c:pt>
                <c:pt idx="106">
                  <c:v>17.426000000000002</c:v>
                </c:pt>
                <c:pt idx="107">
                  <c:v>18.305000000000007</c:v>
                </c:pt>
                <c:pt idx="108">
                  <c:v>18.771000000000001</c:v>
                </c:pt>
                <c:pt idx="109">
                  <c:v>18.821999999999996</c:v>
                </c:pt>
                <c:pt idx="110">
                  <c:v>18.537000000000006</c:v>
                </c:pt>
                <c:pt idx="111">
                  <c:v>19.099000000000004</c:v>
                </c:pt>
                <c:pt idx="112">
                  <c:v>19.411999999999999</c:v>
                </c:pt>
                <c:pt idx="113">
                  <c:v>19.765999999999998</c:v>
                </c:pt>
                <c:pt idx="114">
                  <c:v>20.108000000000004</c:v>
                </c:pt>
                <c:pt idx="115">
                  <c:v>20.296000000000006</c:v>
                </c:pt>
                <c:pt idx="116">
                  <c:v>20.146999999999991</c:v>
                </c:pt>
                <c:pt idx="117">
                  <c:v>20.565999999999995</c:v>
                </c:pt>
                <c:pt idx="118">
                  <c:v>20.116</c:v>
                </c:pt>
                <c:pt idx="119">
                  <c:v>19.836000000000006</c:v>
                </c:pt>
                <c:pt idx="120">
                  <c:v>19.274999999999999</c:v>
                </c:pt>
                <c:pt idx="121">
                  <c:v>19.625999999999991</c:v>
                </c:pt>
                <c:pt idx="122">
                  <c:v>19.763000000000005</c:v>
                </c:pt>
                <c:pt idx="123">
                  <c:v>19.661000000000001</c:v>
                </c:pt>
                <c:pt idx="124">
                  <c:v>20.381</c:v>
                </c:pt>
                <c:pt idx="125">
                  <c:v>21.405000000000008</c:v>
                </c:pt>
                <c:pt idx="126">
                  <c:v>21.403999999999996</c:v>
                </c:pt>
                <c:pt idx="127">
                  <c:v>21.616999999999997</c:v>
                </c:pt>
                <c:pt idx="128">
                  <c:v>21.597000000000008</c:v>
                </c:pt>
                <c:pt idx="129">
                  <c:v>21.188999999999993</c:v>
                </c:pt>
                <c:pt idx="130">
                  <c:v>22.014000000000003</c:v>
                </c:pt>
                <c:pt idx="131">
                  <c:v>22.045000000000002</c:v>
                </c:pt>
                <c:pt idx="132">
                  <c:v>22.599000000000004</c:v>
                </c:pt>
                <c:pt idx="133">
                  <c:v>22.672000000000004</c:v>
                </c:pt>
                <c:pt idx="134">
                  <c:v>22.231000000000002</c:v>
                </c:pt>
                <c:pt idx="135">
                  <c:v>22.797999999999995</c:v>
                </c:pt>
                <c:pt idx="136">
                  <c:v>22.661000000000001</c:v>
                </c:pt>
                <c:pt idx="137">
                  <c:v>22.170999999999999</c:v>
                </c:pt>
                <c:pt idx="138">
                  <c:v>21.429000000000002</c:v>
                </c:pt>
                <c:pt idx="139">
                  <c:v>20.799999999999997</c:v>
                </c:pt>
                <c:pt idx="140">
                  <c:v>19.942</c:v>
                </c:pt>
                <c:pt idx="141">
                  <c:v>17.814</c:v>
                </c:pt>
                <c:pt idx="142">
                  <c:v>16.448999999999998</c:v>
                </c:pt>
                <c:pt idx="143">
                  <c:v>15.474999999999994</c:v>
                </c:pt>
                <c:pt idx="144">
                  <c:v>13.998999999999995</c:v>
                </c:pt>
                <c:pt idx="145">
                  <c:v>13.396999999999998</c:v>
                </c:pt>
                <c:pt idx="146">
                  <c:v>12.764000000000003</c:v>
                </c:pt>
                <c:pt idx="147">
                  <c:v>12.012999999999998</c:v>
                </c:pt>
                <c:pt idx="148">
                  <c:v>11.603000000000002</c:v>
                </c:pt>
                <c:pt idx="149">
                  <c:v>11.055999999999997</c:v>
                </c:pt>
                <c:pt idx="150">
                  <c:v>10.625</c:v>
                </c:pt>
                <c:pt idx="151">
                  <c:v>10.585999999999999</c:v>
                </c:pt>
                <c:pt idx="152">
                  <c:v>10.085000000000001</c:v>
                </c:pt>
                <c:pt idx="153">
                  <c:v>9.9189999999999969</c:v>
                </c:pt>
                <c:pt idx="154">
                  <c:v>9.4759999999999991</c:v>
                </c:pt>
                <c:pt idx="155">
                  <c:v>9.115000000000002</c:v>
                </c:pt>
                <c:pt idx="156">
                  <c:v>9.4739999999999966</c:v>
                </c:pt>
                <c:pt idx="157">
                  <c:v>9.4770000000000039</c:v>
                </c:pt>
                <c:pt idx="158">
                  <c:v>9.5619999999999976</c:v>
                </c:pt>
                <c:pt idx="159">
                  <c:v>9.1049999999999969</c:v>
                </c:pt>
                <c:pt idx="160">
                  <c:v>9.3810000000000002</c:v>
                </c:pt>
                <c:pt idx="161">
                  <c:v>9.286999999999999</c:v>
                </c:pt>
                <c:pt idx="162">
                  <c:v>9.1509999999999998</c:v>
                </c:pt>
                <c:pt idx="163">
                  <c:v>8.6929999999999978</c:v>
                </c:pt>
                <c:pt idx="164">
                  <c:v>8.3410000000000011</c:v>
                </c:pt>
                <c:pt idx="165">
                  <c:v>8.0329999999999977</c:v>
                </c:pt>
                <c:pt idx="166">
                  <c:v>8.0059999999999967</c:v>
                </c:pt>
                <c:pt idx="167">
                  <c:v>7.9199999999999982</c:v>
                </c:pt>
                <c:pt idx="168">
                  <c:v>8.0069999999999979</c:v>
                </c:pt>
                <c:pt idx="169">
                  <c:v>8.0659999999999989</c:v>
                </c:pt>
                <c:pt idx="170">
                  <c:v>8.1189999999999998</c:v>
                </c:pt>
                <c:pt idx="171">
                  <c:v>8.1519999999999975</c:v>
                </c:pt>
                <c:pt idx="172">
                  <c:v>8.0729999999999968</c:v>
                </c:pt>
                <c:pt idx="173">
                  <c:v>7.9089999999999989</c:v>
                </c:pt>
                <c:pt idx="174">
                  <c:v>7.9039999999999999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90-4014-A4AD-5DEE22E8B1E4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data_co2_excLUC!$Q$3:$Q$177</c:f>
              <c:numCache>
                <c:formatCode>0.0</c:formatCode>
                <c:ptCount val="175"/>
                <c:pt idx="0">
                  <c:v>3.4999999999996589E-2</c:v>
                </c:pt>
                <c:pt idx="1">
                  <c:v>3.3999999999991815E-2</c:v>
                </c:pt>
                <c:pt idx="2">
                  <c:v>6.3000000000002387E-2</c:v>
                </c:pt>
                <c:pt idx="3">
                  <c:v>2.8000000000005798E-2</c:v>
                </c:pt>
                <c:pt idx="4">
                  <c:v>2.5000000000005684E-2</c:v>
                </c:pt>
                <c:pt idx="5">
                  <c:v>4.5999999999992269E-2</c:v>
                </c:pt>
                <c:pt idx="6">
                  <c:v>0.31099999999999284</c:v>
                </c:pt>
                <c:pt idx="7">
                  <c:v>0.41200000000000614</c:v>
                </c:pt>
                <c:pt idx="8">
                  <c:v>0.44700000000000273</c:v>
                </c:pt>
                <c:pt idx="9">
                  <c:v>0.34099999999999397</c:v>
                </c:pt>
                <c:pt idx="10">
                  <c:v>0.38499999999999091</c:v>
                </c:pt>
                <c:pt idx="11">
                  <c:v>0.38700000000000045</c:v>
                </c:pt>
                <c:pt idx="12">
                  <c:v>0.40600000000000591</c:v>
                </c:pt>
                <c:pt idx="13">
                  <c:v>0.34199999999999875</c:v>
                </c:pt>
                <c:pt idx="14">
                  <c:v>0.42400000000000659</c:v>
                </c:pt>
                <c:pt idx="15">
                  <c:v>0.44199999999999307</c:v>
                </c:pt>
                <c:pt idx="16">
                  <c:v>0.54299999999999216</c:v>
                </c:pt>
                <c:pt idx="17">
                  <c:v>0.39000000000000057</c:v>
                </c:pt>
                <c:pt idx="18">
                  <c:v>0.41700000000000159</c:v>
                </c:pt>
                <c:pt idx="19">
                  <c:v>0.33899999999999864</c:v>
                </c:pt>
                <c:pt idx="20">
                  <c:v>0.31000000000000227</c:v>
                </c:pt>
                <c:pt idx="21">
                  <c:v>0.28700000000000614</c:v>
                </c:pt>
                <c:pt idx="22">
                  <c:v>0.36299999999999955</c:v>
                </c:pt>
                <c:pt idx="23">
                  <c:v>0.37099999999999511</c:v>
                </c:pt>
                <c:pt idx="24">
                  <c:v>0.44899999999999807</c:v>
                </c:pt>
                <c:pt idx="25">
                  <c:v>0.32899999999999352</c:v>
                </c:pt>
                <c:pt idx="26">
                  <c:v>0.29399999999999693</c:v>
                </c:pt>
                <c:pt idx="27">
                  <c:v>0.25699999999999079</c:v>
                </c:pt>
                <c:pt idx="28">
                  <c:v>0.49499999999999034</c:v>
                </c:pt>
                <c:pt idx="29">
                  <c:v>0.4789999999999992</c:v>
                </c:pt>
                <c:pt idx="30">
                  <c:v>0.46300000000000807</c:v>
                </c:pt>
                <c:pt idx="31">
                  <c:v>0.47400000000000375</c:v>
                </c:pt>
                <c:pt idx="32">
                  <c:v>0.45899999999998897</c:v>
                </c:pt>
                <c:pt idx="33">
                  <c:v>0.45099999999999341</c:v>
                </c:pt>
                <c:pt idx="34">
                  <c:v>0.49500000000000455</c:v>
                </c:pt>
                <c:pt idx="35">
                  <c:v>0.50900000000000034</c:v>
                </c:pt>
                <c:pt idx="36">
                  <c:v>0.4690000000000083</c:v>
                </c:pt>
                <c:pt idx="37">
                  <c:v>0.41500000000000625</c:v>
                </c:pt>
                <c:pt idx="38">
                  <c:v>0.49399999999999977</c:v>
                </c:pt>
                <c:pt idx="39">
                  <c:v>0.52600000000001046</c:v>
                </c:pt>
                <c:pt idx="40">
                  <c:v>0.43300000000000693</c:v>
                </c:pt>
                <c:pt idx="41">
                  <c:v>0.46800000000000352</c:v>
                </c:pt>
                <c:pt idx="42">
                  <c:v>0.4789999999999992</c:v>
                </c:pt>
                <c:pt idx="43">
                  <c:v>0.45900000000000318</c:v>
                </c:pt>
                <c:pt idx="44">
                  <c:v>0.5350000000000108</c:v>
                </c:pt>
                <c:pt idx="45">
                  <c:v>0.44900000000001228</c:v>
                </c:pt>
                <c:pt idx="46">
                  <c:v>0.4620000000000033</c:v>
                </c:pt>
                <c:pt idx="47">
                  <c:v>0.43800000000000239</c:v>
                </c:pt>
                <c:pt idx="48">
                  <c:v>0.43500000000000227</c:v>
                </c:pt>
                <c:pt idx="49">
                  <c:v>0.42299999999998761</c:v>
                </c:pt>
                <c:pt idx="50">
                  <c:v>0.38700000000000045</c:v>
                </c:pt>
                <c:pt idx="51">
                  <c:v>0.20900000000000318</c:v>
                </c:pt>
                <c:pt idx="52">
                  <c:v>0.18700000000001182</c:v>
                </c:pt>
                <c:pt idx="53">
                  <c:v>0.13000000000000966</c:v>
                </c:pt>
                <c:pt idx="54">
                  <c:v>0.10599999999999454</c:v>
                </c:pt>
                <c:pt idx="55">
                  <c:v>0.17100000000000648</c:v>
                </c:pt>
                <c:pt idx="56">
                  <c:v>0.40400000000001057</c:v>
                </c:pt>
                <c:pt idx="57">
                  <c:v>0.38100000000000023</c:v>
                </c:pt>
                <c:pt idx="58">
                  <c:v>0.20100000000000762</c:v>
                </c:pt>
                <c:pt idx="59">
                  <c:v>0.33400000000000318</c:v>
                </c:pt>
                <c:pt idx="60">
                  <c:v>0.34499999999999886</c:v>
                </c:pt>
                <c:pt idx="61">
                  <c:v>9.0000000000003411E-2</c:v>
                </c:pt>
                <c:pt idx="62">
                  <c:v>0.37000000000000455</c:v>
                </c:pt>
                <c:pt idx="63">
                  <c:v>0.48399999999999466</c:v>
                </c:pt>
                <c:pt idx="64">
                  <c:v>0.3960000000000008</c:v>
                </c:pt>
                <c:pt idx="65">
                  <c:v>0.23799999999999955</c:v>
                </c:pt>
                <c:pt idx="66">
                  <c:v>0.32799999999998875</c:v>
                </c:pt>
                <c:pt idx="67">
                  <c:v>0.36500000000000909</c:v>
                </c:pt>
                <c:pt idx="68">
                  <c:v>0.41599999999999682</c:v>
                </c:pt>
                <c:pt idx="69">
                  <c:v>0.50099999999999056</c:v>
                </c:pt>
                <c:pt idx="70">
                  <c:v>0.56399999999999295</c:v>
                </c:pt>
                <c:pt idx="71">
                  <c:v>0.60600000000000875</c:v>
                </c:pt>
                <c:pt idx="72">
                  <c:v>0.507000000000005</c:v>
                </c:pt>
                <c:pt idx="73">
                  <c:v>0.40699999999999648</c:v>
                </c:pt>
                <c:pt idx="74">
                  <c:v>0.367999999999995</c:v>
                </c:pt>
                <c:pt idx="75">
                  <c:v>0.31400000000000716</c:v>
                </c:pt>
                <c:pt idx="76">
                  <c:v>3.7999999999996703E-2</c:v>
                </c:pt>
                <c:pt idx="77">
                  <c:v>5.5999999999997385E-2</c:v>
                </c:pt>
                <c:pt idx="78">
                  <c:v>0.44700000000000273</c:v>
                </c:pt>
                <c:pt idx="79">
                  <c:v>0.63199999999999079</c:v>
                </c:pt>
                <c:pt idx="80">
                  <c:v>0.90999999999999659</c:v>
                </c:pt>
                <c:pt idx="81">
                  <c:v>0.85600000000000875</c:v>
                </c:pt>
                <c:pt idx="82">
                  <c:v>0.87400000000000944</c:v>
                </c:pt>
                <c:pt idx="83">
                  <c:v>0.88499999999999091</c:v>
                </c:pt>
                <c:pt idx="84">
                  <c:v>0.97100000000000364</c:v>
                </c:pt>
                <c:pt idx="85">
                  <c:v>1.1300000000000097</c:v>
                </c:pt>
                <c:pt idx="86">
                  <c:v>1.2119999999999891</c:v>
                </c:pt>
                <c:pt idx="87">
                  <c:v>1.2939999999999969</c:v>
                </c:pt>
                <c:pt idx="88">
                  <c:v>1.5690000000000026</c:v>
                </c:pt>
                <c:pt idx="89">
                  <c:v>1.6019999999999897</c:v>
                </c:pt>
                <c:pt idx="90">
                  <c:v>1.2439999999999998</c:v>
                </c:pt>
                <c:pt idx="91">
                  <c:v>1.4310000000000116</c:v>
                </c:pt>
                <c:pt idx="92">
                  <c:v>0.98700000000000898</c:v>
                </c:pt>
                <c:pt idx="93">
                  <c:v>1.4899999999999949</c:v>
                </c:pt>
                <c:pt idx="94">
                  <c:v>1.8359999999999985</c:v>
                </c:pt>
                <c:pt idx="95">
                  <c:v>2.8310000000000031</c:v>
                </c:pt>
                <c:pt idx="96">
                  <c:v>3.722999999999999</c:v>
                </c:pt>
                <c:pt idx="97">
                  <c:v>2.664999999999992</c:v>
                </c:pt>
                <c:pt idx="98">
                  <c:v>2.4539999999999935</c:v>
                </c:pt>
                <c:pt idx="99">
                  <c:v>3.2280000000000086</c:v>
                </c:pt>
                <c:pt idx="100">
                  <c:v>0.20700000000000784</c:v>
                </c:pt>
                <c:pt idx="101">
                  <c:v>0.28400000000000603</c:v>
                </c:pt>
                <c:pt idx="102">
                  <c:v>0.2289999999999992</c:v>
                </c:pt>
                <c:pt idx="103">
                  <c:v>0.29699999999999704</c:v>
                </c:pt>
                <c:pt idx="104">
                  <c:v>0.3160000000000025</c:v>
                </c:pt>
                <c:pt idx="105">
                  <c:v>0.17399999999999238</c:v>
                </c:pt>
                <c:pt idx="106">
                  <c:v>0.14800000000001035</c:v>
                </c:pt>
                <c:pt idx="107">
                  <c:v>0.29200000000000159</c:v>
                </c:pt>
                <c:pt idx="108">
                  <c:v>0.31499999999999773</c:v>
                </c:pt>
                <c:pt idx="109">
                  <c:v>0.25199999999999534</c:v>
                </c:pt>
                <c:pt idx="110">
                  <c:v>0.31299999999998818</c:v>
                </c:pt>
                <c:pt idx="111">
                  <c:v>0.49099999999999966</c:v>
                </c:pt>
                <c:pt idx="112">
                  <c:v>0.57999999999999829</c:v>
                </c:pt>
                <c:pt idx="113">
                  <c:v>0.58799999999999386</c:v>
                </c:pt>
                <c:pt idx="114">
                  <c:v>0.48199999999999932</c:v>
                </c:pt>
                <c:pt idx="115">
                  <c:v>0.34799999999999898</c:v>
                </c:pt>
                <c:pt idx="116">
                  <c:v>0.49500000000000455</c:v>
                </c:pt>
                <c:pt idx="117">
                  <c:v>0.29699999999999704</c:v>
                </c:pt>
                <c:pt idx="118">
                  <c:v>0.41800000000000637</c:v>
                </c:pt>
                <c:pt idx="119">
                  <c:v>0.36199999999999477</c:v>
                </c:pt>
                <c:pt idx="120">
                  <c:v>0.44700000000000273</c:v>
                </c:pt>
                <c:pt idx="121">
                  <c:v>0.38400000000000034</c:v>
                </c:pt>
                <c:pt idx="122">
                  <c:v>0.28900000000000148</c:v>
                </c:pt>
                <c:pt idx="123">
                  <c:v>0.19199999999999307</c:v>
                </c:pt>
                <c:pt idx="124">
                  <c:v>0.20900000000000318</c:v>
                </c:pt>
                <c:pt idx="125">
                  <c:v>0.25699999999999079</c:v>
                </c:pt>
                <c:pt idx="126">
                  <c:v>6.7000000000007276E-2</c:v>
                </c:pt>
                <c:pt idx="127">
                  <c:v>2.2999999999996135E-2</c:v>
                </c:pt>
                <c:pt idx="128">
                  <c:v>0.14299999999998647</c:v>
                </c:pt>
                <c:pt idx="129">
                  <c:v>0.20400000000000773</c:v>
                </c:pt>
                <c:pt idx="130">
                  <c:v>0.24200000000000443</c:v>
                </c:pt>
                <c:pt idx="131">
                  <c:v>0.18299999999999272</c:v>
                </c:pt>
                <c:pt idx="132">
                  <c:v>0.27599999999999625</c:v>
                </c:pt>
                <c:pt idx="133">
                  <c:v>0.3539999999999992</c:v>
                </c:pt>
                <c:pt idx="134">
                  <c:v>0.31300000000000239</c:v>
                </c:pt>
                <c:pt idx="135">
                  <c:v>0.28800000000001091</c:v>
                </c:pt>
                <c:pt idx="136">
                  <c:v>0.40800000000000125</c:v>
                </c:pt>
                <c:pt idx="137">
                  <c:v>0.42499999999999716</c:v>
                </c:pt>
                <c:pt idx="138">
                  <c:v>0.54899999999999238</c:v>
                </c:pt>
                <c:pt idx="139">
                  <c:v>0.28000000000000114</c:v>
                </c:pt>
                <c:pt idx="140">
                  <c:v>0.66800000000000637</c:v>
                </c:pt>
                <c:pt idx="141">
                  <c:v>1.4959999999999951</c:v>
                </c:pt>
                <c:pt idx="142">
                  <c:v>0.49699999999999989</c:v>
                </c:pt>
                <c:pt idx="143">
                  <c:v>0.36500000000000199</c:v>
                </c:pt>
                <c:pt idx="144">
                  <c:v>0.14400000000000546</c:v>
                </c:pt>
                <c:pt idx="145">
                  <c:v>0.22999999999999687</c:v>
                </c:pt>
                <c:pt idx="146">
                  <c:v>0.37699999999999534</c:v>
                </c:pt>
                <c:pt idx="147">
                  <c:v>0.50600000000000023</c:v>
                </c:pt>
                <c:pt idx="148">
                  <c:v>0.64399999999999835</c:v>
                </c:pt>
                <c:pt idx="149">
                  <c:v>0.70400000000000063</c:v>
                </c:pt>
                <c:pt idx="150">
                  <c:v>0.76200000000000045</c:v>
                </c:pt>
                <c:pt idx="151">
                  <c:v>0.92300000000000182</c:v>
                </c:pt>
                <c:pt idx="152">
                  <c:v>1.0760000000000005</c:v>
                </c:pt>
                <c:pt idx="153">
                  <c:v>1.0190000000000055</c:v>
                </c:pt>
                <c:pt idx="154">
                  <c:v>1.2019999999999982</c:v>
                </c:pt>
                <c:pt idx="155">
                  <c:v>1.3439999999999941</c:v>
                </c:pt>
                <c:pt idx="156">
                  <c:v>1.0510000000000019</c:v>
                </c:pt>
                <c:pt idx="157">
                  <c:v>0.91100000000000136</c:v>
                </c:pt>
                <c:pt idx="158">
                  <c:v>0.63600000000000279</c:v>
                </c:pt>
                <c:pt idx="159">
                  <c:v>0.53300000000000125</c:v>
                </c:pt>
                <c:pt idx="160">
                  <c:v>0.14799999999999613</c:v>
                </c:pt>
                <c:pt idx="161">
                  <c:v>0.21000000000000085</c:v>
                </c:pt>
                <c:pt idx="162">
                  <c:v>0.20499999999999829</c:v>
                </c:pt>
                <c:pt idx="163">
                  <c:v>0.26900000000000546</c:v>
                </c:pt>
                <c:pt idx="164">
                  <c:v>0.45400000000000063</c:v>
                </c:pt>
                <c:pt idx="165">
                  <c:v>0.74600000000000222</c:v>
                </c:pt>
                <c:pt idx="166">
                  <c:v>0.87700000000000244</c:v>
                </c:pt>
                <c:pt idx="167">
                  <c:v>1.0320000000000036</c:v>
                </c:pt>
                <c:pt idx="168">
                  <c:v>0.89200000000000301</c:v>
                </c:pt>
                <c:pt idx="169">
                  <c:v>0.55499999999999972</c:v>
                </c:pt>
                <c:pt idx="170">
                  <c:v>0.5210000000000008</c:v>
                </c:pt>
                <c:pt idx="171">
                  <c:v>0.47500000000000142</c:v>
                </c:pt>
                <c:pt idx="172">
                  <c:v>0.12400000000000233</c:v>
                </c:pt>
                <c:pt idx="173">
                  <c:v>0.257000000000005</c:v>
                </c:pt>
                <c:pt idx="174">
                  <c:v>0.17900000000000205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90-4014-A4AD-5DEE22E8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data_co2_excLUC!$I$3:$I$177</c:f>
              <c:numCache>
                <c:formatCode>0.0</c:formatCode>
                <c:ptCount val="175"/>
                <c:pt idx="0">
                  <c:v>98.268000000000001</c:v>
                </c:pt>
                <c:pt idx="1">
                  <c:v>98.066000000000003</c:v>
                </c:pt>
                <c:pt idx="2">
                  <c:v>97.757999999999996</c:v>
                </c:pt>
                <c:pt idx="3">
                  <c:v>97.801000000000002</c:v>
                </c:pt>
                <c:pt idx="4">
                  <c:v>97.953999999999994</c:v>
                </c:pt>
                <c:pt idx="5">
                  <c:v>97.475999999999999</c:v>
                </c:pt>
                <c:pt idx="6">
                  <c:v>97.216999999999999</c:v>
                </c:pt>
                <c:pt idx="7">
                  <c:v>96.972999999999999</c:v>
                </c:pt>
                <c:pt idx="8">
                  <c:v>96.397999999999996</c:v>
                </c:pt>
                <c:pt idx="9">
                  <c:v>96.656000000000006</c:v>
                </c:pt>
                <c:pt idx="10">
                  <c:v>96.593999999999994</c:v>
                </c:pt>
                <c:pt idx="11">
                  <c:v>96.483999999999995</c:v>
                </c:pt>
                <c:pt idx="12">
                  <c:v>95.983999999999995</c:v>
                </c:pt>
                <c:pt idx="13">
                  <c:v>95.741</c:v>
                </c:pt>
                <c:pt idx="14">
                  <c:v>95.492999999999995</c:v>
                </c:pt>
                <c:pt idx="15">
                  <c:v>95.259</c:v>
                </c:pt>
                <c:pt idx="16">
                  <c:v>94.727999999999994</c:v>
                </c:pt>
                <c:pt idx="17">
                  <c:v>94.671999999999997</c:v>
                </c:pt>
                <c:pt idx="18">
                  <c:v>94.361000000000004</c:v>
                </c:pt>
                <c:pt idx="19">
                  <c:v>94.28</c:v>
                </c:pt>
                <c:pt idx="20">
                  <c:v>94.021000000000001</c:v>
                </c:pt>
                <c:pt idx="21">
                  <c:v>93.509</c:v>
                </c:pt>
                <c:pt idx="22">
                  <c:v>93.6</c:v>
                </c:pt>
                <c:pt idx="23">
                  <c:v>93.611999999999995</c:v>
                </c:pt>
                <c:pt idx="24">
                  <c:v>92.56</c:v>
                </c:pt>
                <c:pt idx="25">
                  <c:v>93.018000000000001</c:v>
                </c:pt>
                <c:pt idx="26">
                  <c:v>91.801000000000002</c:v>
                </c:pt>
                <c:pt idx="27">
                  <c:v>92.003</c:v>
                </c:pt>
                <c:pt idx="28">
                  <c:v>91.158000000000001</c:v>
                </c:pt>
                <c:pt idx="29">
                  <c:v>91.262</c:v>
                </c:pt>
                <c:pt idx="30">
                  <c:v>91.789000000000001</c:v>
                </c:pt>
                <c:pt idx="31">
                  <c:v>91.805999999999997</c:v>
                </c:pt>
                <c:pt idx="32">
                  <c:v>91.93</c:v>
                </c:pt>
                <c:pt idx="33">
                  <c:v>91.66</c:v>
                </c:pt>
                <c:pt idx="34">
                  <c:v>91.41</c:v>
                </c:pt>
                <c:pt idx="35">
                  <c:v>91.057000000000002</c:v>
                </c:pt>
                <c:pt idx="36">
                  <c:v>90.965999999999994</c:v>
                </c:pt>
                <c:pt idx="37">
                  <c:v>91.016000000000005</c:v>
                </c:pt>
                <c:pt idx="38">
                  <c:v>91.15</c:v>
                </c:pt>
                <c:pt idx="39">
                  <c:v>90.403999999999996</c:v>
                </c:pt>
                <c:pt idx="40">
                  <c:v>90.638000000000005</c:v>
                </c:pt>
                <c:pt idx="41">
                  <c:v>90.367999999999995</c:v>
                </c:pt>
                <c:pt idx="42">
                  <c:v>90.293999999999997</c:v>
                </c:pt>
                <c:pt idx="43">
                  <c:v>89.370999999999995</c:v>
                </c:pt>
                <c:pt idx="44">
                  <c:v>89.367000000000004</c:v>
                </c:pt>
                <c:pt idx="45">
                  <c:v>89.093000000000004</c:v>
                </c:pt>
                <c:pt idx="46">
                  <c:v>88.887</c:v>
                </c:pt>
                <c:pt idx="47">
                  <c:v>88.570999999999998</c:v>
                </c:pt>
                <c:pt idx="48">
                  <c:v>88.147000000000006</c:v>
                </c:pt>
                <c:pt idx="49">
                  <c:v>88.412999999999997</c:v>
                </c:pt>
                <c:pt idx="50">
                  <c:v>88.507999999999996</c:v>
                </c:pt>
                <c:pt idx="51">
                  <c:v>88.201999999999998</c:v>
                </c:pt>
                <c:pt idx="52">
                  <c:v>88.525000000000006</c:v>
                </c:pt>
                <c:pt idx="53">
                  <c:v>89.111999999999995</c:v>
                </c:pt>
                <c:pt idx="54">
                  <c:v>88.593999999999994</c:v>
                </c:pt>
                <c:pt idx="55">
                  <c:v>89.125</c:v>
                </c:pt>
                <c:pt idx="56">
                  <c:v>88.572000000000003</c:v>
                </c:pt>
                <c:pt idx="57">
                  <c:v>88.257000000000005</c:v>
                </c:pt>
                <c:pt idx="58">
                  <c:v>87.215999999999994</c:v>
                </c:pt>
                <c:pt idx="59">
                  <c:v>87.29</c:v>
                </c:pt>
                <c:pt idx="60">
                  <c:v>87.822999999999993</c:v>
                </c:pt>
                <c:pt idx="61">
                  <c:v>87.372</c:v>
                </c:pt>
                <c:pt idx="62">
                  <c:v>87.177000000000007</c:v>
                </c:pt>
                <c:pt idx="63">
                  <c:v>87.058000000000007</c:v>
                </c:pt>
                <c:pt idx="64">
                  <c:v>87.174000000000007</c:v>
                </c:pt>
                <c:pt idx="65">
                  <c:v>87.418999999999997</c:v>
                </c:pt>
                <c:pt idx="66">
                  <c:v>87.325999999999993</c:v>
                </c:pt>
                <c:pt idx="67">
                  <c:v>87.495000000000005</c:v>
                </c:pt>
                <c:pt idx="68">
                  <c:v>89.491</c:v>
                </c:pt>
                <c:pt idx="69">
                  <c:v>90.783000000000001</c:v>
                </c:pt>
                <c:pt idx="70">
                  <c:v>88.941999999999993</c:v>
                </c:pt>
                <c:pt idx="71">
                  <c:v>86.816999999999993</c:v>
                </c:pt>
                <c:pt idx="72">
                  <c:v>87.373999999999995</c:v>
                </c:pt>
                <c:pt idx="73">
                  <c:v>88.924999999999997</c:v>
                </c:pt>
                <c:pt idx="74">
                  <c:v>88.25</c:v>
                </c:pt>
                <c:pt idx="75">
                  <c:v>88.608999999999995</c:v>
                </c:pt>
                <c:pt idx="76">
                  <c:v>87.884</c:v>
                </c:pt>
                <c:pt idx="77">
                  <c:v>87.965999999999994</c:v>
                </c:pt>
                <c:pt idx="78">
                  <c:v>87.361999999999995</c:v>
                </c:pt>
                <c:pt idx="79">
                  <c:v>87.346999999999994</c:v>
                </c:pt>
                <c:pt idx="80">
                  <c:v>85.992000000000004</c:v>
                </c:pt>
                <c:pt idx="81">
                  <c:v>84.049000000000007</c:v>
                </c:pt>
                <c:pt idx="82">
                  <c:v>82.269000000000005</c:v>
                </c:pt>
                <c:pt idx="83">
                  <c:v>82.069000000000003</c:v>
                </c:pt>
                <c:pt idx="84">
                  <c:v>81.117999999999995</c:v>
                </c:pt>
                <c:pt idx="85">
                  <c:v>80.242000000000004</c:v>
                </c:pt>
                <c:pt idx="86">
                  <c:v>80.293999999999997</c:v>
                </c:pt>
                <c:pt idx="87">
                  <c:v>80.406999999999996</c:v>
                </c:pt>
                <c:pt idx="88">
                  <c:v>78.436000000000007</c:v>
                </c:pt>
                <c:pt idx="89">
                  <c:v>78.915000000000006</c:v>
                </c:pt>
                <c:pt idx="90">
                  <c:v>75.935000000000002</c:v>
                </c:pt>
                <c:pt idx="91">
                  <c:v>77.569999999999993</c:v>
                </c:pt>
                <c:pt idx="92">
                  <c:v>80.888000000000005</c:v>
                </c:pt>
                <c:pt idx="93">
                  <c:v>80.751000000000005</c:v>
                </c:pt>
                <c:pt idx="94">
                  <c:v>79.238</c:v>
                </c:pt>
                <c:pt idx="95">
                  <c:v>79.591999999999999</c:v>
                </c:pt>
                <c:pt idx="96">
                  <c:v>78.39</c:v>
                </c:pt>
                <c:pt idx="97">
                  <c:v>78.131</c:v>
                </c:pt>
                <c:pt idx="98">
                  <c:v>78.524000000000001</c:v>
                </c:pt>
                <c:pt idx="99">
                  <c:v>75.864000000000004</c:v>
                </c:pt>
                <c:pt idx="100">
                  <c:v>75.882999999999996</c:v>
                </c:pt>
                <c:pt idx="101">
                  <c:v>75.3</c:v>
                </c:pt>
                <c:pt idx="102">
                  <c:v>73.596000000000004</c:v>
                </c:pt>
                <c:pt idx="103">
                  <c:v>73</c:v>
                </c:pt>
                <c:pt idx="104">
                  <c:v>71.009</c:v>
                </c:pt>
                <c:pt idx="105">
                  <c:v>70.188000000000002</c:v>
                </c:pt>
                <c:pt idx="106">
                  <c:v>69.480999999999995</c:v>
                </c:pt>
                <c:pt idx="107">
                  <c:v>67.662999999999997</c:v>
                </c:pt>
                <c:pt idx="108">
                  <c:v>63.899000000000001</c:v>
                </c:pt>
                <c:pt idx="109">
                  <c:v>61.875999999999998</c:v>
                </c:pt>
                <c:pt idx="110">
                  <c:v>61.628</c:v>
                </c:pt>
                <c:pt idx="111">
                  <c:v>62.877000000000002</c:v>
                </c:pt>
                <c:pt idx="112">
                  <c:v>63.500999999999998</c:v>
                </c:pt>
                <c:pt idx="113">
                  <c:v>63.359000000000002</c:v>
                </c:pt>
                <c:pt idx="114">
                  <c:v>63.042999999999999</c:v>
                </c:pt>
                <c:pt idx="115">
                  <c:v>62.363</c:v>
                </c:pt>
                <c:pt idx="116">
                  <c:v>61.953000000000003</c:v>
                </c:pt>
                <c:pt idx="117">
                  <c:v>62.220999999999997</c:v>
                </c:pt>
                <c:pt idx="118">
                  <c:v>62.103000000000002</c:v>
                </c:pt>
                <c:pt idx="119">
                  <c:v>61.731999999999999</c:v>
                </c:pt>
                <c:pt idx="120">
                  <c:v>60.997</c:v>
                </c:pt>
                <c:pt idx="121">
                  <c:v>59.582999999999998</c:v>
                </c:pt>
                <c:pt idx="122">
                  <c:v>59.463000000000001</c:v>
                </c:pt>
                <c:pt idx="123">
                  <c:v>59.142000000000003</c:v>
                </c:pt>
                <c:pt idx="124">
                  <c:v>57.728000000000002</c:v>
                </c:pt>
                <c:pt idx="125">
                  <c:v>55.383000000000003</c:v>
                </c:pt>
                <c:pt idx="126">
                  <c:v>55.264000000000003</c:v>
                </c:pt>
                <c:pt idx="127">
                  <c:v>54.354999999999997</c:v>
                </c:pt>
                <c:pt idx="128">
                  <c:v>53.585000000000001</c:v>
                </c:pt>
                <c:pt idx="129">
                  <c:v>53.451999999999998</c:v>
                </c:pt>
                <c:pt idx="130">
                  <c:v>52.094999999999999</c:v>
                </c:pt>
                <c:pt idx="131">
                  <c:v>51.371000000000002</c:v>
                </c:pt>
                <c:pt idx="132">
                  <c:v>49.530999999999999</c:v>
                </c:pt>
                <c:pt idx="133">
                  <c:v>48.756999999999998</c:v>
                </c:pt>
                <c:pt idx="134">
                  <c:v>48.530999999999999</c:v>
                </c:pt>
                <c:pt idx="135">
                  <c:v>47.186</c:v>
                </c:pt>
                <c:pt idx="136">
                  <c:v>46.414000000000001</c:v>
                </c:pt>
                <c:pt idx="137">
                  <c:v>46.368000000000002</c:v>
                </c:pt>
                <c:pt idx="138">
                  <c:v>46.100999999999999</c:v>
                </c:pt>
                <c:pt idx="139">
                  <c:v>46.478000000000002</c:v>
                </c:pt>
                <c:pt idx="140">
                  <c:v>47.491999999999997</c:v>
                </c:pt>
                <c:pt idx="141">
                  <c:v>46.404000000000003</c:v>
                </c:pt>
                <c:pt idx="142">
                  <c:v>48.146000000000001</c:v>
                </c:pt>
                <c:pt idx="143">
                  <c:v>47.837000000000003</c:v>
                </c:pt>
                <c:pt idx="144">
                  <c:v>48.103000000000002</c:v>
                </c:pt>
                <c:pt idx="145">
                  <c:v>47.627000000000002</c:v>
                </c:pt>
                <c:pt idx="146">
                  <c:v>47.533999999999999</c:v>
                </c:pt>
                <c:pt idx="147">
                  <c:v>47.420999999999999</c:v>
                </c:pt>
                <c:pt idx="148">
                  <c:v>48.07</c:v>
                </c:pt>
                <c:pt idx="149">
                  <c:v>47.5</c:v>
                </c:pt>
                <c:pt idx="150">
                  <c:v>47.432000000000002</c:v>
                </c:pt>
                <c:pt idx="151">
                  <c:v>46.768999999999998</c:v>
                </c:pt>
                <c:pt idx="152">
                  <c:v>46.061999999999998</c:v>
                </c:pt>
                <c:pt idx="153">
                  <c:v>44.311</c:v>
                </c:pt>
                <c:pt idx="154">
                  <c:v>43.304000000000002</c:v>
                </c:pt>
                <c:pt idx="155">
                  <c:v>41.908000000000001</c:v>
                </c:pt>
                <c:pt idx="156">
                  <c:v>40.212000000000003</c:v>
                </c:pt>
                <c:pt idx="157">
                  <c:v>39.323999999999998</c:v>
                </c:pt>
                <c:pt idx="158">
                  <c:v>37.5</c:v>
                </c:pt>
                <c:pt idx="159">
                  <c:v>35.433</c:v>
                </c:pt>
                <c:pt idx="160">
                  <c:v>34.551000000000002</c:v>
                </c:pt>
                <c:pt idx="161">
                  <c:v>32.71</c:v>
                </c:pt>
                <c:pt idx="162">
                  <c:v>31.69</c:v>
                </c:pt>
                <c:pt idx="163">
                  <c:v>31.670999999999999</c:v>
                </c:pt>
                <c:pt idx="164">
                  <c:v>31.018999999999998</c:v>
                </c:pt>
                <c:pt idx="165">
                  <c:v>30.632999999999999</c:v>
                </c:pt>
                <c:pt idx="166">
                  <c:v>30.129000000000001</c:v>
                </c:pt>
                <c:pt idx="167">
                  <c:v>29.474</c:v>
                </c:pt>
                <c:pt idx="168">
                  <c:v>29.04</c:v>
                </c:pt>
                <c:pt idx="169">
                  <c:v>27.971</c:v>
                </c:pt>
                <c:pt idx="170">
                  <c:v>26.417000000000002</c:v>
                </c:pt>
                <c:pt idx="171">
                  <c:v>26.571000000000002</c:v>
                </c:pt>
                <c:pt idx="172">
                  <c:v>25.974</c:v>
                </c:pt>
                <c:pt idx="173">
                  <c:v>24.658999999999999</c:v>
                </c:pt>
                <c:pt idx="174">
                  <c:v>24.181000000000001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0-4014-A4AD-5DEE22E8B1E4}"/>
            </c:ext>
          </c:extLst>
        </c:ser>
        <c:ser>
          <c:idx val="6"/>
          <c:order val="6"/>
          <c:tx>
            <c:strRef>
              <c:f>data_co2_excLUC!$J$2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data_co2_excLUC!$J$3:$J$177</c:f>
              <c:numCache>
                <c:formatCode>0.0</c:formatCode>
                <c:ptCount val="175"/>
                <c:pt idx="0">
                  <c:v>98.317999999999998</c:v>
                </c:pt>
                <c:pt idx="1">
                  <c:v>98.087000000000003</c:v>
                </c:pt>
                <c:pt idx="2">
                  <c:v>97.804000000000002</c:v>
                </c:pt>
                <c:pt idx="3">
                  <c:v>97.796999999999997</c:v>
                </c:pt>
                <c:pt idx="4">
                  <c:v>97.893000000000001</c:v>
                </c:pt>
                <c:pt idx="5">
                  <c:v>97.581999999999994</c:v>
                </c:pt>
                <c:pt idx="6">
                  <c:v>97.475999999999999</c:v>
                </c:pt>
                <c:pt idx="7">
                  <c:v>97.325999999999993</c:v>
                </c:pt>
                <c:pt idx="8">
                  <c:v>96.906999999999996</c:v>
                </c:pt>
                <c:pt idx="9">
                  <c:v>97.066000000000003</c:v>
                </c:pt>
                <c:pt idx="10">
                  <c:v>97.039000000000001</c:v>
                </c:pt>
                <c:pt idx="11">
                  <c:v>96.927000000000007</c:v>
                </c:pt>
                <c:pt idx="12">
                  <c:v>96.450999999999993</c:v>
                </c:pt>
                <c:pt idx="13">
                  <c:v>96.138000000000005</c:v>
                </c:pt>
                <c:pt idx="14">
                  <c:v>95.96</c:v>
                </c:pt>
                <c:pt idx="15">
                  <c:v>95.742999999999995</c:v>
                </c:pt>
                <c:pt idx="16">
                  <c:v>95.292000000000002</c:v>
                </c:pt>
                <c:pt idx="17">
                  <c:v>95.1</c:v>
                </c:pt>
                <c:pt idx="18">
                  <c:v>94.82</c:v>
                </c:pt>
                <c:pt idx="19">
                  <c:v>94.655000000000001</c:v>
                </c:pt>
                <c:pt idx="20">
                  <c:v>94.376000000000005</c:v>
                </c:pt>
                <c:pt idx="21">
                  <c:v>93.852999999999994</c:v>
                </c:pt>
                <c:pt idx="22">
                  <c:v>94.015000000000001</c:v>
                </c:pt>
                <c:pt idx="23">
                  <c:v>94.036000000000001</c:v>
                </c:pt>
                <c:pt idx="24">
                  <c:v>93.040999999999997</c:v>
                </c:pt>
                <c:pt idx="25">
                  <c:v>93.393000000000001</c:v>
                </c:pt>
                <c:pt idx="26">
                  <c:v>92.102999999999994</c:v>
                </c:pt>
                <c:pt idx="27">
                  <c:v>92.265000000000001</c:v>
                </c:pt>
                <c:pt idx="28">
                  <c:v>91.623999999999995</c:v>
                </c:pt>
                <c:pt idx="29">
                  <c:v>91.72</c:v>
                </c:pt>
                <c:pt idx="30">
                  <c:v>92.26</c:v>
                </c:pt>
                <c:pt idx="31">
                  <c:v>92.25</c:v>
                </c:pt>
                <c:pt idx="32">
                  <c:v>92.367000000000004</c:v>
                </c:pt>
                <c:pt idx="33">
                  <c:v>92.093000000000004</c:v>
                </c:pt>
                <c:pt idx="34">
                  <c:v>91.887</c:v>
                </c:pt>
                <c:pt idx="35">
                  <c:v>91.552000000000007</c:v>
                </c:pt>
                <c:pt idx="36">
                  <c:v>91.411000000000001</c:v>
                </c:pt>
                <c:pt idx="37">
                  <c:v>91.402000000000001</c:v>
                </c:pt>
                <c:pt idx="38">
                  <c:v>91.614000000000004</c:v>
                </c:pt>
                <c:pt idx="39">
                  <c:v>90.91</c:v>
                </c:pt>
                <c:pt idx="40">
                  <c:v>91.054000000000002</c:v>
                </c:pt>
                <c:pt idx="41">
                  <c:v>90.816999999999993</c:v>
                </c:pt>
                <c:pt idx="42">
                  <c:v>90.748999999999995</c:v>
                </c:pt>
                <c:pt idx="43">
                  <c:v>89.817999999999998</c:v>
                </c:pt>
                <c:pt idx="44">
                  <c:v>89.894000000000005</c:v>
                </c:pt>
                <c:pt idx="45">
                  <c:v>89.531999999999996</c:v>
                </c:pt>
                <c:pt idx="46">
                  <c:v>89.340999999999994</c:v>
                </c:pt>
                <c:pt idx="47">
                  <c:v>89.001999999999995</c:v>
                </c:pt>
                <c:pt idx="48">
                  <c:v>88.584999999999994</c:v>
                </c:pt>
                <c:pt idx="49">
                  <c:v>88.838999999999999</c:v>
                </c:pt>
                <c:pt idx="50">
                  <c:v>88.924000000000007</c:v>
                </c:pt>
                <c:pt idx="51">
                  <c:v>88.438999999999993</c:v>
                </c:pt>
                <c:pt idx="52">
                  <c:v>88.730999999999995</c:v>
                </c:pt>
                <c:pt idx="53">
                  <c:v>89.265000000000001</c:v>
                </c:pt>
                <c:pt idx="54">
                  <c:v>88.715999999999994</c:v>
                </c:pt>
                <c:pt idx="55">
                  <c:v>89.317999999999998</c:v>
                </c:pt>
                <c:pt idx="56">
                  <c:v>88.245999999999995</c:v>
                </c:pt>
                <c:pt idx="57">
                  <c:v>88.65</c:v>
                </c:pt>
                <c:pt idx="58">
                  <c:v>87.471999999999994</c:v>
                </c:pt>
                <c:pt idx="59">
                  <c:v>87.644000000000005</c:v>
                </c:pt>
                <c:pt idx="60">
                  <c:v>88.188999999999993</c:v>
                </c:pt>
                <c:pt idx="61">
                  <c:v>87.513000000000005</c:v>
                </c:pt>
                <c:pt idx="62">
                  <c:v>87.597999999999999</c:v>
                </c:pt>
                <c:pt idx="63">
                  <c:v>87.582999999999998</c:v>
                </c:pt>
                <c:pt idx="64">
                  <c:v>87.59</c:v>
                </c:pt>
                <c:pt idx="65">
                  <c:v>87.683999999999997</c:v>
                </c:pt>
                <c:pt idx="66">
                  <c:v>87.641000000000005</c:v>
                </c:pt>
                <c:pt idx="67">
                  <c:v>87.799000000000007</c:v>
                </c:pt>
                <c:pt idx="68">
                  <c:v>89.902000000000001</c:v>
                </c:pt>
                <c:pt idx="69">
                  <c:v>91.210999999999999</c:v>
                </c:pt>
                <c:pt idx="70">
                  <c:v>89.483999999999995</c:v>
                </c:pt>
                <c:pt idx="71">
                  <c:v>87.408000000000001</c:v>
                </c:pt>
                <c:pt idx="72">
                  <c:v>87.899000000000001</c:v>
                </c:pt>
                <c:pt idx="73">
                  <c:v>89.332999999999998</c:v>
                </c:pt>
                <c:pt idx="74">
                  <c:v>88.611999999999995</c:v>
                </c:pt>
                <c:pt idx="75">
                  <c:v>88.95</c:v>
                </c:pt>
                <c:pt idx="76">
                  <c:v>87.965999999999994</c:v>
                </c:pt>
                <c:pt idx="77">
                  <c:v>87.91</c:v>
                </c:pt>
                <c:pt idx="78">
                  <c:v>86.968000000000004</c:v>
                </c:pt>
                <c:pt idx="79">
                  <c:v>86.802000000000007</c:v>
                </c:pt>
                <c:pt idx="80">
                  <c:v>85.150999999999996</c:v>
                </c:pt>
                <c:pt idx="81">
                  <c:v>83.265000000000001</c:v>
                </c:pt>
                <c:pt idx="82">
                  <c:v>81.478999999999999</c:v>
                </c:pt>
                <c:pt idx="83">
                  <c:v>81.27</c:v>
                </c:pt>
                <c:pt idx="84">
                  <c:v>80.244</c:v>
                </c:pt>
                <c:pt idx="85">
                  <c:v>79.231999999999999</c:v>
                </c:pt>
                <c:pt idx="86">
                  <c:v>79.195999999999998</c:v>
                </c:pt>
                <c:pt idx="87">
                  <c:v>79.241</c:v>
                </c:pt>
                <c:pt idx="88">
                  <c:v>77.031000000000006</c:v>
                </c:pt>
                <c:pt idx="89">
                  <c:v>77.507000000000005</c:v>
                </c:pt>
                <c:pt idx="90">
                  <c:v>74.837000000000003</c:v>
                </c:pt>
                <c:pt idx="91">
                  <c:v>76.22</c:v>
                </c:pt>
                <c:pt idx="92">
                  <c:v>78.962999999999994</c:v>
                </c:pt>
                <c:pt idx="93">
                  <c:v>77.355999999999995</c:v>
                </c:pt>
                <c:pt idx="94">
                  <c:v>77.378</c:v>
                </c:pt>
                <c:pt idx="95">
                  <c:v>76.777000000000001</c:v>
                </c:pt>
                <c:pt idx="96">
                  <c:v>74.927000000000007</c:v>
                </c:pt>
                <c:pt idx="97">
                  <c:v>75.593000000000004</c:v>
                </c:pt>
                <c:pt idx="98">
                  <c:v>76.135999999999996</c:v>
                </c:pt>
                <c:pt idx="99">
                  <c:v>72.866</c:v>
                </c:pt>
                <c:pt idx="100">
                  <c:v>75.271000000000001</c:v>
                </c:pt>
                <c:pt idx="101">
                  <c:v>74.596999999999994</c:v>
                </c:pt>
                <c:pt idx="102">
                  <c:v>72.882000000000005</c:v>
                </c:pt>
                <c:pt idx="103">
                  <c:v>72.179000000000002</c:v>
                </c:pt>
                <c:pt idx="104">
                  <c:v>70.143000000000001</c:v>
                </c:pt>
                <c:pt idx="105">
                  <c:v>69.373999999999995</c:v>
                </c:pt>
                <c:pt idx="106">
                  <c:v>68.647999999999996</c:v>
                </c:pt>
                <c:pt idx="107">
                  <c:v>66.671999999999997</c:v>
                </c:pt>
                <c:pt idx="108">
                  <c:v>62.869</c:v>
                </c:pt>
                <c:pt idx="109">
                  <c:v>60.899000000000001</c:v>
                </c:pt>
                <c:pt idx="110">
                  <c:v>60.534999999999997</c:v>
                </c:pt>
                <c:pt idx="111">
                  <c:v>61.624000000000002</c:v>
                </c:pt>
                <c:pt idx="112">
                  <c:v>62.207000000000001</c:v>
                </c:pt>
                <c:pt idx="113">
                  <c:v>62.155000000000001</c:v>
                </c:pt>
                <c:pt idx="114">
                  <c:v>61.881</c:v>
                </c:pt>
                <c:pt idx="115">
                  <c:v>61.316000000000003</c:v>
                </c:pt>
                <c:pt idx="116">
                  <c:v>60.704000000000001</c:v>
                </c:pt>
                <c:pt idx="117">
                  <c:v>61.106000000000002</c:v>
                </c:pt>
                <c:pt idx="118">
                  <c:v>60.908999999999999</c:v>
                </c:pt>
                <c:pt idx="119">
                  <c:v>60.601999999999997</c:v>
                </c:pt>
                <c:pt idx="120">
                  <c:v>59.81</c:v>
                </c:pt>
                <c:pt idx="121">
                  <c:v>58.634999999999998</c:v>
                </c:pt>
                <c:pt idx="122">
                  <c:v>58.539000000000001</c:v>
                </c:pt>
                <c:pt idx="123">
                  <c:v>58.302</c:v>
                </c:pt>
                <c:pt idx="124">
                  <c:v>56.982999999999997</c:v>
                </c:pt>
                <c:pt idx="125">
                  <c:v>54.615000000000002</c:v>
                </c:pt>
                <c:pt idx="126">
                  <c:v>54.698999999999998</c:v>
                </c:pt>
                <c:pt idx="127">
                  <c:v>53.863</c:v>
                </c:pt>
                <c:pt idx="128">
                  <c:v>53.268999999999998</c:v>
                </c:pt>
                <c:pt idx="129">
                  <c:v>53.179000000000002</c:v>
                </c:pt>
                <c:pt idx="130">
                  <c:v>51.853000000000002</c:v>
                </c:pt>
                <c:pt idx="131">
                  <c:v>51.136000000000003</c:v>
                </c:pt>
                <c:pt idx="132">
                  <c:v>49.283999999999999</c:v>
                </c:pt>
                <c:pt idx="133">
                  <c:v>48.616</c:v>
                </c:pt>
                <c:pt idx="134">
                  <c:v>48.381</c:v>
                </c:pt>
                <c:pt idx="135">
                  <c:v>47.085999999999999</c:v>
                </c:pt>
                <c:pt idx="136">
                  <c:v>46.331000000000003</c:v>
                </c:pt>
                <c:pt idx="137">
                  <c:v>46.326999999999998</c:v>
                </c:pt>
                <c:pt idx="138">
                  <c:v>46.206000000000003</c:v>
                </c:pt>
                <c:pt idx="139">
                  <c:v>46.408000000000001</c:v>
                </c:pt>
                <c:pt idx="140">
                  <c:v>47.018999999999998</c:v>
                </c:pt>
                <c:pt idx="141">
                  <c:v>46.337000000000003</c:v>
                </c:pt>
                <c:pt idx="142">
                  <c:v>47.773000000000003</c:v>
                </c:pt>
                <c:pt idx="143">
                  <c:v>47.558999999999997</c:v>
                </c:pt>
                <c:pt idx="144">
                  <c:v>47.987000000000002</c:v>
                </c:pt>
                <c:pt idx="145">
                  <c:v>47.442999999999998</c:v>
                </c:pt>
                <c:pt idx="146">
                  <c:v>47.234000000000002</c:v>
                </c:pt>
                <c:pt idx="147">
                  <c:v>47.017000000000003</c:v>
                </c:pt>
                <c:pt idx="148">
                  <c:v>47.555</c:v>
                </c:pt>
                <c:pt idx="149">
                  <c:v>46.932000000000002</c:v>
                </c:pt>
                <c:pt idx="150">
                  <c:v>46.814999999999998</c:v>
                </c:pt>
                <c:pt idx="151">
                  <c:v>46.026000000000003</c:v>
                </c:pt>
                <c:pt idx="152">
                  <c:v>45.194000000000003</c:v>
                </c:pt>
                <c:pt idx="153">
                  <c:v>43.493000000000002</c:v>
                </c:pt>
                <c:pt idx="154">
                  <c:v>42.338999999999999</c:v>
                </c:pt>
                <c:pt idx="155">
                  <c:v>40.831000000000003</c:v>
                </c:pt>
                <c:pt idx="156">
                  <c:v>39.378</c:v>
                </c:pt>
                <c:pt idx="157">
                  <c:v>38.601999999999997</c:v>
                </c:pt>
                <c:pt idx="158">
                  <c:v>36.999000000000002</c:v>
                </c:pt>
                <c:pt idx="159">
                  <c:v>35.015000000000001</c:v>
                </c:pt>
                <c:pt idx="160">
                  <c:v>34.436</c:v>
                </c:pt>
                <c:pt idx="161">
                  <c:v>32.548999999999999</c:v>
                </c:pt>
                <c:pt idx="162">
                  <c:v>31.533000000000001</c:v>
                </c:pt>
                <c:pt idx="163">
                  <c:v>31.463999999999999</c:v>
                </c:pt>
                <c:pt idx="164">
                  <c:v>30.667000000000002</c:v>
                </c:pt>
                <c:pt idx="165">
                  <c:v>30.053000000000001</c:v>
                </c:pt>
                <c:pt idx="166">
                  <c:v>29.451000000000001</c:v>
                </c:pt>
                <c:pt idx="167">
                  <c:v>28.683</c:v>
                </c:pt>
                <c:pt idx="168">
                  <c:v>28.356999999999999</c:v>
                </c:pt>
                <c:pt idx="169">
                  <c:v>27.548999999999999</c:v>
                </c:pt>
                <c:pt idx="170">
                  <c:v>26.026</c:v>
                </c:pt>
                <c:pt idx="171">
                  <c:v>26.215</c:v>
                </c:pt>
                <c:pt idx="172">
                  <c:v>25.891999999999999</c:v>
                </c:pt>
                <c:pt idx="173">
                  <c:v>24.553999999999998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90-4014-A4AD-5DEE22E8B1E4}"/>
            </c:ext>
          </c:extLst>
        </c:ser>
        <c:ser>
          <c:idx val="7"/>
          <c:order val="7"/>
          <c:tx>
            <c:strRef>
              <c:f>data_co2_excLUC!$K$2</c:f>
              <c:strCache>
                <c:ptCount val="1"/>
                <c:pt idx="0">
                  <c:v>pct_annex2_GCP_fossil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data_co2_excLUC!$K$3:$K$177</c:f>
              <c:numCache>
                <c:formatCode>0.0</c:formatCode>
                <c:ptCount val="175"/>
                <c:pt idx="0">
                  <c:v>98.268000000000001</c:v>
                </c:pt>
                <c:pt idx="1">
                  <c:v>98.066000000000003</c:v>
                </c:pt>
                <c:pt idx="2">
                  <c:v>97.757999999999996</c:v>
                </c:pt>
                <c:pt idx="3">
                  <c:v>97.801000000000002</c:v>
                </c:pt>
                <c:pt idx="4">
                  <c:v>97.953999999999994</c:v>
                </c:pt>
                <c:pt idx="5">
                  <c:v>97.475999999999999</c:v>
                </c:pt>
                <c:pt idx="6">
                  <c:v>97.216999999999999</c:v>
                </c:pt>
                <c:pt idx="7">
                  <c:v>96.972999999999999</c:v>
                </c:pt>
                <c:pt idx="8">
                  <c:v>96.397999999999996</c:v>
                </c:pt>
                <c:pt idx="9">
                  <c:v>96.656000000000006</c:v>
                </c:pt>
                <c:pt idx="10">
                  <c:v>96.593999999999994</c:v>
                </c:pt>
                <c:pt idx="11">
                  <c:v>96.483999999999995</c:v>
                </c:pt>
                <c:pt idx="12">
                  <c:v>95.983999999999995</c:v>
                </c:pt>
                <c:pt idx="13">
                  <c:v>95.741</c:v>
                </c:pt>
                <c:pt idx="14">
                  <c:v>95.492999999999995</c:v>
                </c:pt>
                <c:pt idx="15">
                  <c:v>95.259</c:v>
                </c:pt>
                <c:pt idx="16">
                  <c:v>94.727999999999994</c:v>
                </c:pt>
                <c:pt idx="17">
                  <c:v>94.671999999999997</c:v>
                </c:pt>
                <c:pt idx="18">
                  <c:v>94.361000000000004</c:v>
                </c:pt>
                <c:pt idx="19">
                  <c:v>94.28</c:v>
                </c:pt>
                <c:pt idx="20">
                  <c:v>94.021000000000001</c:v>
                </c:pt>
                <c:pt idx="21">
                  <c:v>93.509</c:v>
                </c:pt>
                <c:pt idx="22">
                  <c:v>93.6</c:v>
                </c:pt>
                <c:pt idx="23">
                  <c:v>93.611999999999995</c:v>
                </c:pt>
                <c:pt idx="24">
                  <c:v>92.56</c:v>
                </c:pt>
                <c:pt idx="25">
                  <c:v>93.018000000000001</c:v>
                </c:pt>
                <c:pt idx="26">
                  <c:v>91.801000000000002</c:v>
                </c:pt>
                <c:pt idx="27">
                  <c:v>92.003</c:v>
                </c:pt>
                <c:pt idx="28">
                  <c:v>91.158000000000001</c:v>
                </c:pt>
                <c:pt idx="29">
                  <c:v>91.262</c:v>
                </c:pt>
                <c:pt idx="30">
                  <c:v>91.789000000000001</c:v>
                </c:pt>
                <c:pt idx="31">
                  <c:v>91.805999999999997</c:v>
                </c:pt>
                <c:pt idx="32">
                  <c:v>91.93</c:v>
                </c:pt>
                <c:pt idx="33">
                  <c:v>91.66</c:v>
                </c:pt>
                <c:pt idx="34">
                  <c:v>91.41</c:v>
                </c:pt>
                <c:pt idx="35">
                  <c:v>91.057000000000002</c:v>
                </c:pt>
                <c:pt idx="36">
                  <c:v>90.965999999999994</c:v>
                </c:pt>
                <c:pt idx="37">
                  <c:v>91.016000000000005</c:v>
                </c:pt>
                <c:pt idx="38">
                  <c:v>91.15</c:v>
                </c:pt>
                <c:pt idx="39">
                  <c:v>90.403999999999996</c:v>
                </c:pt>
                <c:pt idx="40">
                  <c:v>90.638000000000005</c:v>
                </c:pt>
                <c:pt idx="41">
                  <c:v>90.367999999999995</c:v>
                </c:pt>
                <c:pt idx="42">
                  <c:v>90.293999999999997</c:v>
                </c:pt>
                <c:pt idx="43">
                  <c:v>89.370999999999995</c:v>
                </c:pt>
                <c:pt idx="44">
                  <c:v>89.367000000000004</c:v>
                </c:pt>
                <c:pt idx="45">
                  <c:v>89.093000000000004</c:v>
                </c:pt>
                <c:pt idx="46">
                  <c:v>88.887</c:v>
                </c:pt>
                <c:pt idx="47">
                  <c:v>88.570999999999998</c:v>
                </c:pt>
                <c:pt idx="48">
                  <c:v>88.147000000000006</c:v>
                </c:pt>
                <c:pt idx="49">
                  <c:v>88.412999999999997</c:v>
                </c:pt>
                <c:pt idx="50">
                  <c:v>88.507999999999996</c:v>
                </c:pt>
                <c:pt idx="51">
                  <c:v>88.201999999999998</c:v>
                </c:pt>
                <c:pt idx="52">
                  <c:v>88.525000000000006</c:v>
                </c:pt>
                <c:pt idx="53">
                  <c:v>89.111999999999995</c:v>
                </c:pt>
                <c:pt idx="54">
                  <c:v>88.593999999999994</c:v>
                </c:pt>
                <c:pt idx="55">
                  <c:v>89.125</c:v>
                </c:pt>
                <c:pt idx="56">
                  <c:v>88.572000000000003</c:v>
                </c:pt>
                <c:pt idx="57">
                  <c:v>88.257000000000005</c:v>
                </c:pt>
                <c:pt idx="58">
                  <c:v>87.215999999999994</c:v>
                </c:pt>
                <c:pt idx="59">
                  <c:v>87.29</c:v>
                </c:pt>
                <c:pt idx="60">
                  <c:v>87.822999999999993</c:v>
                </c:pt>
                <c:pt idx="61">
                  <c:v>87.372</c:v>
                </c:pt>
                <c:pt idx="62">
                  <c:v>87.177000000000007</c:v>
                </c:pt>
                <c:pt idx="63">
                  <c:v>87.058000000000007</c:v>
                </c:pt>
                <c:pt idx="64">
                  <c:v>87.174000000000007</c:v>
                </c:pt>
                <c:pt idx="65">
                  <c:v>87.418999999999997</c:v>
                </c:pt>
                <c:pt idx="66">
                  <c:v>87.325999999999993</c:v>
                </c:pt>
                <c:pt idx="67">
                  <c:v>87.495000000000005</c:v>
                </c:pt>
                <c:pt idx="68">
                  <c:v>89.491</c:v>
                </c:pt>
                <c:pt idx="69">
                  <c:v>90.783000000000001</c:v>
                </c:pt>
                <c:pt idx="70">
                  <c:v>88.941999999999993</c:v>
                </c:pt>
                <c:pt idx="71">
                  <c:v>86.816999999999993</c:v>
                </c:pt>
                <c:pt idx="72">
                  <c:v>87.373999999999995</c:v>
                </c:pt>
                <c:pt idx="73">
                  <c:v>88.924999999999997</c:v>
                </c:pt>
                <c:pt idx="74">
                  <c:v>88.25</c:v>
                </c:pt>
                <c:pt idx="75">
                  <c:v>88.608999999999995</c:v>
                </c:pt>
                <c:pt idx="76">
                  <c:v>87.884</c:v>
                </c:pt>
                <c:pt idx="77">
                  <c:v>87.965999999999994</c:v>
                </c:pt>
                <c:pt idx="78">
                  <c:v>87.361999999999995</c:v>
                </c:pt>
                <c:pt idx="79">
                  <c:v>87.346999999999994</c:v>
                </c:pt>
                <c:pt idx="80">
                  <c:v>85.992000000000004</c:v>
                </c:pt>
                <c:pt idx="81">
                  <c:v>84.049000000000007</c:v>
                </c:pt>
                <c:pt idx="82">
                  <c:v>82.269000000000005</c:v>
                </c:pt>
                <c:pt idx="83">
                  <c:v>82.069000000000003</c:v>
                </c:pt>
                <c:pt idx="84">
                  <c:v>81.117999999999995</c:v>
                </c:pt>
                <c:pt idx="85">
                  <c:v>80.242000000000004</c:v>
                </c:pt>
                <c:pt idx="86">
                  <c:v>80.293999999999997</c:v>
                </c:pt>
                <c:pt idx="87">
                  <c:v>80.406999999999996</c:v>
                </c:pt>
                <c:pt idx="88">
                  <c:v>78.436000000000007</c:v>
                </c:pt>
                <c:pt idx="89">
                  <c:v>78.915000000000006</c:v>
                </c:pt>
                <c:pt idx="90">
                  <c:v>75.935000000000002</c:v>
                </c:pt>
                <c:pt idx="91">
                  <c:v>77.569999999999993</c:v>
                </c:pt>
                <c:pt idx="92">
                  <c:v>80.888000000000005</c:v>
                </c:pt>
                <c:pt idx="93">
                  <c:v>80.751000000000005</c:v>
                </c:pt>
                <c:pt idx="94">
                  <c:v>79.238</c:v>
                </c:pt>
                <c:pt idx="95">
                  <c:v>79.591999999999999</c:v>
                </c:pt>
                <c:pt idx="96">
                  <c:v>78.39</c:v>
                </c:pt>
                <c:pt idx="97">
                  <c:v>78.131</c:v>
                </c:pt>
                <c:pt idx="98">
                  <c:v>78.524000000000001</c:v>
                </c:pt>
                <c:pt idx="99">
                  <c:v>75.864000000000004</c:v>
                </c:pt>
                <c:pt idx="100">
                  <c:v>75.882999999999996</c:v>
                </c:pt>
                <c:pt idx="101">
                  <c:v>75.3</c:v>
                </c:pt>
                <c:pt idx="102">
                  <c:v>73.596000000000004</c:v>
                </c:pt>
                <c:pt idx="103">
                  <c:v>73</c:v>
                </c:pt>
                <c:pt idx="104">
                  <c:v>71.009</c:v>
                </c:pt>
                <c:pt idx="105">
                  <c:v>70.188000000000002</c:v>
                </c:pt>
                <c:pt idx="106">
                  <c:v>69.480999999999995</c:v>
                </c:pt>
                <c:pt idx="107">
                  <c:v>67.662999999999997</c:v>
                </c:pt>
                <c:pt idx="108">
                  <c:v>63.899000000000001</c:v>
                </c:pt>
                <c:pt idx="109">
                  <c:v>61.877000000000002</c:v>
                </c:pt>
                <c:pt idx="110">
                  <c:v>61.628</c:v>
                </c:pt>
                <c:pt idx="111">
                  <c:v>62.878</c:v>
                </c:pt>
                <c:pt idx="112">
                  <c:v>63.502000000000002</c:v>
                </c:pt>
                <c:pt idx="113">
                  <c:v>63.359000000000002</c:v>
                </c:pt>
                <c:pt idx="114">
                  <c:v>63.043999999999997</c:v>
                </c:pt>
                <c:pt idx="115">
                  <c:v>62.363</c:v>
                </c:pt>
                <c:pt idx="116">
                  <c:v>61.953000000000003</c:v>
                </c:pt>
                <c:pt idx="117">
                  <c:v>62.222000000000001</c:v>
                </c:pt>
                <c:pt idx="118">
                  <c:v>62.103999999999999</c:v>
                </c:pt>
                <c:pt idx="119">
                  <c:v>61.732999999999997</c:v>
                </c:pt>
                <c:pt idx="120">
                  <c:v>60.997999999999998</c:v>
                </c:pt>
                <c:pt idx="121">
                  <c:v>59.584000000000003</c:v>
                </c:pt>
                <c:pt idx="122">
                  <c:v>59.463999999999999</c:v>
                </c:pt>
                <c:pt idx="123">
                  <c:v>59.143000000000001</c:v>
                </c:pt>
                <c:pt idx="124">
                  <c:v>57.728999999999999</c:v>
                </c:pt>
                <c:pt idx="125">
                  <c:v>55.384999999999998</c:v>
                </c:pt>
                <c:pt idx="126">
                  <c:v>55.265000000000001</c:v>
                </c:pt>
                <c:pt idx="127">
                  <c:v>54.356000000000002</c:v>
                </c:pt>
                <c:pt idx="128">
                  <c:v>53.585999999999999</c:v>
                </c:pt>
                <c:pt idx="129">
                  <c:v>53.453000000000003</c:v>
                </c:pt>
                <c:pt idx="130">
                  <c:v>52.095999999999997</c:v>
                </c:pt>
                <c:pt idx="131">
                  <c:v>51.372</c:v>
                </c:pt>
                <c:pt idx="132">
                  <c:v>49.531999999999996</c:v>
                </c:pt>
                <c:pt idx="133">
                  <c:v>48.758000000000003</c:v>
                </c:pt>
                <c:pt idx="134">
                  <c:v>48.530999999999999</c:v>
                </c:pt>
                <c:pt idx="135">
                  <c:v>47.186</c:v>
                </c:pt>
                <c:pt idx="136">
                  <c:v>46.414000000000001</c:v>
                </c:pt>
                <c:pt idx="137">
                  <c:v>46.368000000000002</c:v>
                </c:pt>
                <c:pt idx="138">
                  <c:v>46.100999999999999</c:v>
                </c:pt>
                <c:pt idx="139">
                  <c:v>46.478999999999999</c:v>
                </c:pt>
                <c:pt idx="140">
                  <c:v>47.491999999999997</c:v>
                </c:pt>
                <c:pt idx="141">
                  <c:v>47.404000000000003</c:v>
                </c:pt>
                <c:pt idx="142">
                  <c:v>48.146000000000001</c:v>
                </c:pt>
                <c:pt idx="143">
                  <c:v>47.837000000000003</c:v>
                </c:pt>
                <c:pt idx="144">
                  <c:v>48.103000000000002</c:v>
                </c:pt>
                <c:pt idx="145">
                  <c:v>47.627000000000002</c:v>
                </c:pt>
                <c:pt idx="146">
                  <c:v>47.533999999999999</c:v>
                </c:pt>
                <c:pt idx="147">
                  <c:v>47.420999999999999</c:v>
                </c:pt>
                <c:pt idx="148">
                  <c:v>48.07</c:v>
                </c:pt>
                <c:pt idx="149">
                  <c:v>47.5</c:v>
                </c:pt>
                <c:pt idx="150">
                  <c:v>47.432000000000002</c:v>
                </c:pt>
                <c:pt idx="151">
                  <c:v>46.768999999999998</c:v>
                </c:pt>
                <c:pt idx="152">
                  <c:v>46.061999999999998</c:v>
                </c:pt>
                <c:pt idx="153">
                  <c:v>44.311</c:v>
                </c:pt>
                <c:pt idx="154">
                  <c:v>43.304000000000002</c:v>
                </c:pt>
                <c:pt idx="155">
                  <c:v>41.908000000000001</c:v>
                </c:pt>
                <c:pt idx="156">
                  <c:v>40.212000000000003</c:v>
                </c:pt>
                <c:pt idx="157">
                  <c:v>39.323999999999998</c:v>
                </c:pt>
                <c:pt idx="158">
                  <c:v>37.5</c:v>
                </c:pt>
                <c:pt idx="159">
                  <c:v>35.433</c:v>
                </c:pt>
                <c:pt idx="160">
                  <c:v>34.551000000000002</c:v>
                </c:pt>
                <c:pt idx="161">
                  <c:v>32.71</c:v>
                </c:pt>
                <c:pt idx="162">
                  <c:v>31.69</c:v>
                </c:pt>
                <c:pt idx="163">
                  <c:v>31.670999999999999</c:v>
                </c:pt>
                <c:pt idx="164">
                  <c:v>31.018999999999998</c:v>
                </c:pt>
                <c:pt idx="165">
                  <c:v>30.632999999999999</c:v>
                </c:pt>
                <c:pt idx="166">
                  <c:v>30.129000000000001</c:v>
                </c:pt>
                <c:pt idx="167">
                  <c:v>29.474</c:v>
                </c:pt>
                <c:pt idx="168">
                  <c:v>29.04</c:v>
                </c:pt>
                <c:pt idx="169">
                  <c:v>27.971</c:v>
                </c:pt>
                <c:pt idx="170">
                  <c:v>26.417000000000002</c:v>
                </c:pt>
                <c:pt idx="171">
                  <c:v>26.571000000000002</c:v>
                </c:pt>
                <c:pt idx="172">
                  <c:v>25.974</c:v>
                </c:pt>
                <c:pt idx="173">
                  <c:v>24.658999999999999</c:v>
                </c:pt>
                <c:pt idx="174">
                  <c:v>24.181000000000001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90-4014-A4AD-5DEE22E8B1E4}"/>
            </c:ext>
          </c:extLst>
        </c:ser>
        <c:ser>
          <c:idx val="8"/>
          <c:order val="8"/>
          <c:tx>
            <c:strRef>
              <c:f>data_co2_excLUC!$L$2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90-4014-A4AD-5DEE22E8B1E4}"/>
            </c:ext>
          </c:extLst>
        </c:ser>
        <c:ser>
          <c:idx val="9"/>
          <c:order val="9"/>
          <c:tx>
            <c:strRef>
              <c:f>data_co2_excLUC!$M$2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data_co2_excLUC!$M$3:$M$177</c:f>
              <c:numCache>
                <c:formatCode>0.0</c:formatCode>
                <c:ptCount val="175"/>
                <c:pt idx="0">
                  <c:v>99.944000000000003</c:v>
                </c:pt>
                <c:pt idx="1">
                  <c:v>99.944000000000003</c:v>
                </c:pt>
                <c:pt idx="2">
                  <c:v>99.912999999999997</c:v>
                </c:pt>
                <c:pt idx="3">
                  <c:v>99.945999999999998</c:v>
                </c:pt>
                <c:pt idx="4">
                  <c:v>99.998000000000005</c:v>
                </c:pt>
                <c:pt idx="5">
                  <c:v>99.924000000000007</c:v>
                </c:pt>
                <c:pt idx="6">
                  <c:v>99.659000000000006</c:v>
                </c:pt>
                <c:pt idx="7">
                  <c:v>99.555999999999997</c:v>
                </c:pt>
                <c:pt idx="8">
                  <c:v>99.376999999999995</c:v>
                </c:pt>
                <c:pt idx="9">
                  <c:v>99.408000000000001</c:v>
                </c:pt>
                <c:pt idx="10">
                  <c:v>99.376000000000005</c:v>
                </c:pt>
                <c:pt idx="11">
                  <c:v>99.421000000000006</c:v>
                </c:pt>
                <c:pt idx="12">
                  <c:v>99.393000000000001</c:v>
                </c:pt>
                <c:pt idx="13">
                  <c:v>99.451999999999998</c:v>
                </c:pt>
                <c:pt idx="14">
                  <c:v>99.388999999999996</c:v>
                </c:pt>
                <c:pt idx="15">
                  <c:v>99.384</c:v>
                </c:pt>
                <c:pt idx="16">
                  <c:v>99.212000000000003</c:v>
                </c:pt>
                <c:pt idx="17">
                  <c:v>99.356999999999999</c:v>
                </c:pt>
                <c:pt idx="18">
                  <c:v>99.331000000000003</c:v>
                </c:pt>
                <c:pt idx="19">
                  <c:v>99.376000000000005</c:v>
                </c:pt>
                <c:pt idx="20">
                  <c:v>99.38</c:v>
                </c:pt>
                <c:pt idx="21">
                  <c:v>99.366</c:v>
                </c:pt>
                <c:pt idx="22">
                  <c:v>99.301000000000002</c:v>
                </c:pt>
                <c:pt idx="23">
                  <c:v>99.301000000000002</c:v>
                </c:pt>
                <c:pt idx="24">
                  <c:v>99.16</c:v>
                </c:pt>
                <c:pt idx="25">
                  <c:v>99.278000000000006</c:v>
                </c:pt>
                <c:pt idx="26">
                  <c:v>99.272999999999996</c:v>
                </c:pt>
                <c:pt idx="27">
                  <c:v>99.308000000000007</c:v>
                </c:pt>
                <c:pt idx="28">
                  <c:v>99.004000000000005</c:v>
                </c:pt>
                <c:pt idx="29">
                  <c:v>99.058000000000007</c:v>
                </c:pt>
                <c:pt idx="30">
                  <c:v>99.07</c:v>
                </c:pt>
                <c:pt idx="31">
                  <c:v>99.063000000000002</c:v>
                </c:pt>
                <c:pt idx="32">
                  <c:v>99.052000000000007</c:v>
                </c:pt>
                <c:pt idx="33">
                  <c:v>99.031000000000006</c:v>
                </c:pt>
                <c:pt idx="34">
                  <c:v>98.953999999999994</c:v>
                </c:pt>
                <c:pt idx="35">
                  <c:v>98.942999999999998</c:v>
                </c:pt>
                <c:pt idx="36">
                  <c:v>98.951999999999998</c:v>
                </c:pt>
                <c:pt idx="37">
                  <c:v>98.88</c:v>
                </c:pt>
                <c:pt idx="38">
                  <c:v>98.840999999999994</c:v>
                </c:pt>
                <c:pt idx="39">
                  <c:v>98.656999999999996</c:v>
                </c:pt>
                <c:pt idx="40">
                  <c:v>98.760999999999996</c:v>
                </c:pt>
                <c:pt idx="41">
                  <c:v>98.685000000000002</c:v>
                </c:pt>
                <c:pt idx="42">
                  <c:v>98.543999999999997</c:v>
                </c:pt>
                <c:pt idx="43">
                  <c:v>98.32</c:v>
                </c:pt>
                <c:pt idx="44">
                  <c:v>98.194999999999993</c:v>
                </c:pt>
                <c:pt idx="45">
                  <c:v>98.07</c:v>
                </c:pt>
                <c:pt idx="46">
                  <c:v>97.966999999999999</c:v>
                </c:pt>
                <c:pt idx="47">
                  <c:v>97.908000000000001</c:v>
                </c:pt>
                <c:pt idx="48">
                  <c:v>97.75</c:v>
                </c:pt>
                <c:pt idx="49">
                  <c:v>97.79</c:v>
                </c:pt>
                <c:pt idx="50">
                  <c:v>97.929000000000002</c:v>
                </c:pt>
                <c:pt idx="51">
                  <c:v>97.710999999999999</c:v>
                </c:pt>
                <c:pt idx="52">
                  <c:v>97.617999999999995</c:v>
                </c:pt>
                <c:pt idx="53">
                  <c:v>97.593999999999994</c:v>
                </c:pt>
                <c:pt idx="54">
                  <c:v>97.379000000000005</c:v>
                </c:pt>
                <c:pt idx="55">
                  <c:v>97.381</c:v>
                </c:pt>
                <c:pt idx="56">
                  <c:v>97.126000000000005</c:v>
                </c:pt>
                <c:pt idx="57">
                  <c:v>96.491</c:v>
                </c:pt>
                <c:pt idx="58">
                  <c:v>96.064999999999998</c:v>
                </c:pt>
                <c:pt idx="59">
                  <c:v>96.073999999999998</c:v>
                </c:pt>
                <c:pt idx="60">
                  <c:v>96.081000000000003</c:v>
                </c:pt>
                <c:pt idx="61">
                  <c:v>95.850999999999999</c:v>
                </c:pt>
                <c:pt idx="62">
                  <c:v>96.066999999999993</c:v>
                </c:pt>
                <c:pt idx="63">
                  <c:v>95.798000000000002</c:v>
                </c:pt>
                <c:pt idx="64">
                  <c:v>95.593999999999994</c:v>
                </c:pt>
                <c:pt idx="65">
                  <c:v>95.599000000000004</c:v>
                </c:pt>
                <c:pt idx="66">
                  <c:v>95.516000000000005</c:v>
                </c:pt>
                <c:pt idx="67">
                  <c:v>95.340999999999994</c:v>
                </c:pt>
                <c:pt idx="68">
                  <c:v>95.185000000000002</c:v>
                </c:pt>
                <c:pt idx="69">
                  <c:v>93.727000000000004</c:v>
                </c:pt>
                <c:pt idx="70">
                  <c:v>93.534000000000006</c:v>
                </c:pt>
                <c:pt idx="71">
                  <c:v>92.138999999999996</c:v>
                </c:pt>
                <c:pt idx="72">
                  <c:v>92.525999999999996</c:v>
                </c:pt>
                <c:pt idx="73">
                  <c:v>93.186000000000007</c:v>
                </c:pt>
                <c:pt idx="74">
                  <c:v>92.879000000000005</c:v>
                </c:pt>
                <c:pt idx="75">
                  <c:v>93.135999999999996</c:v>
                </c:pt>
                <c:pt idx="76">
                  <c:v>93.204999999999998</c:v>
                </c:pt>
                <c:pt idx="77">
                  <c:v>93.733000000000004</c:v>
                </c:pt>
                <c:pt idx="78">
                  <c:v>93.587000000000003</c:v>
                </c:pt>
                <c:pt idx="79">
                  <c:v>93.8</c:v>
                </c:pt>
                <c:pt idx="80">
                  <c:v>93.3</c:v>
                </c:pt>
                <c:pt idx="81">
                  <c:v>92.867000000000004</c:v>
                </c:pt>
                <c:pt idx="82">
                  <c:v>92.105000000000004</c:v>
                </c:pt>
                <c:pt idx="83">
                  <c:v>91.968999999999994</c:v>
                </c:pt>
                <c:pt idx="84">
                  <c:v>91.613</c:v>
                </c:pt>
                <c:pt idx="85">
                  <c:v>91.165000000000006</c:v>
                </c:pt>
                <c:pt idx="86">
                  <c:v>91.450999999999993</c:v>
                </c:pt>
                <c:pt idx="87">
                  <c:v>91.27</c:v>
                </c:pt>
                <c:pt idx="88">
                  <c:v>90.683999999999997</c:v>
                </c:pt>
                <c:pt idx="89">
                  <c:v>90.528999999999996</c:v>
                </c:pt>
                <c:pt idx="90">
                  <c:v>90.557000000000002</c:v>
                </c:pt>
                <c:pt idx="91">
                  <c:v>90.763000000000005</c:v>
                </c:pt>
                <c:pt idx="92">
                  <c:v>91.266000000000005</c:v>
                </c:pt>
                <c:pt idx="93">
                  <c:v>91.608999999999995</c:v>
                </c:pt>
                <c:pt idx="94">
                  <c:v>91.266999999999996</c:v>
                </c:pt>
                <c:pt idx="95">
                  <c:v>90.475999999999999</c:v>
                </c:pt>
                <c:pt idx="96">
                  <c:v>90.656000000000006</c:v>
                </c:pt>
                <c:pt idx="97">
                  <c:v>90.480999999999995</c:v>
                </c:pt>
                <c:pt idx="98">
                  <c:v>90.986999999999995</c:v>
                </c:pt>
                <c:pt idx="99">
                  <c:v>90.623000000000005</c:v>
                </c:pt>
                <c:pt idx="100">
                  <c:v>90.245000000000005</c:v>
                </c:pt>
                <c:pt idx="101">
                  <c:v>89.834000000000003</c:v>
                </c:pt>
                <c:pt idx="102">
                  <c:v>89.003</c:v>
                </c:pt>
                <c:pt idx="103">
                  <c:v>89</c:v>
                </c:pt>
                <c:pt idx="104">
                  <c:v>88.004999999999995</c:v>
                </c:pt>
                <c:pt idx="105">
                  <c:v>87.388999999999996</c:v>
                </c:pt>
                <c:pt idx="106">
                  <c:v>87.055000000000007</c:v>
                </c:pt>
                <c:pt idx="107">
                  <c:v>86.26</c:v>
                </c:pt>
                <c:pt idx="108">
                  <c:v>82.984999999999999</c:v>
                </c:pt>
                <c:pt idx="109">
                  <c:v>80.950999999999993</c:v>
                </c:pt>
                <c:pt idx="110">
                  <c:v>80.477999999999994</c:v>
                </c:pt>
                <c:pt idx="111">
                  <c:v>82.466999999999999</c:v>
                </c:pt>
                <c:pt idx="112">
                  <c:v>83.494</c:v>
                </c:pt>
                <c:pt idx="113">
                  <c:v>83.712000000000003</c:v>
                </c:pt>
                <c:pt idx="114">
                  <c:v>83.632999999999996</c:v>
                </c:pt>
                <c:pt idx="115">
                  <c:v>83.006</c:v>
                </c:pt>
                <c:pt idx="116">
                  <c:v>82.594999999999999</c:v>
                </c:pt>
                <c:pt idx="117">
                  <c:v>83.084999999999994</c:v>
                </c:pt>
                <c:pt idx="118">
                  <c:v>82.638000000000005</c:v>
                </c:pt>
                <c:pt idx="119">
                  <c:v>81.93</c:v>
                </c:pt>
                <c:pt idx="120">
                  <c:v>80.718999999999994</c:v>
                </c:pt>
                <c:pt idx="121">
                  <c:v>79.593000000000004</c:v>
                </c:pt>
                <c:pt idx="122">
                  <c:v>79.513999999999996</c:v>
                </c:pt>
                <c:pt idx="123">
                  <c:v>78.994</c:v>
                </c:pt>
                <c:pt idx="124">
                  <c:v>78.317999999999998</c:v>
                </c:pt>
                <c:pt idx="125">
                  <c:v>77.045000000000002</c:v>
                </c:pt>
                <c:pt idx="126">
                  <c:v>76.733999999999995</c:v>
                </c:pt>
                <c:pt idx="127">
                  <c:v>75.995000000000005</c:v>
                </c:pt>
                <c:pt idx="128">
                  <c:v>75.183000000000007</c:v>
                </c:pt>
                <c:pt idx="129">
                  <c:v>74.641999999999996</c:v>
                </c:pt>
                <c:pt idx="130">
                  <c:v>74.11</c:v>
                </c:pt>
                <c:pt idx="131">
                  <c:v>73.417000000000002</c:v>
                </c:pt>
                <c:pt idx="132">
                  <c:v>72.131</c:v>
                </c:pt>
                <c:pt idx="133">
                  <c:v>71.430000000000007</c:v>
                </c:pt>
                <c:pt idx="134">
                  <c:v>70.762</c:v>
                </c:pt>
                <c:pt idx="135">
                  <c:v>69.983999999999995</c:v>
                </c:pt>
                <c:pt idx="136">
                  <c:v>69.075000000000003</c:v>
                </c:pt>
                <c:pt idx="137">
                  <c:v>68.539000000000001</c:v>
                </c:pt>
                <c:pt idx="138">
                  <c:v>67.635000000000005</c:v>
                </c:pt>
                <c:pt idx="139">
                  <c:v>67.278999999999996</c:v>
                </c:pt>
                <c:pt idx="140">
                  <c:v>68.100999999999999</c:v>
                </c:pt>
                <c:pt idx="141">
                  <c:v>65.305999999999997</c:v>
                </c:pt>
                <c:pt idx="142">
                  <c:v>65.091999999999999</c:v>
                </c:pt>
                <c:pt idx="143">
                  <c:v>63.677</c:v>
                </c:pt>
                <c:pt idx="144">
                  <c:v>62.246000000000002</c:v>
                </c:pt>
                <c:pt idx="145">
                  <c:v>61.253999999999998</c:v>
                </c:pt>
                <c:pt idx="146">
                  <c:v>60.674999999999997</c:v>
                </c:pt>
                <c:pt idx="147">
                  <c:v>59.94</c:v>
                </c:pt>
                <c:pt idx="148">
                  <c:v>60.317</c:v>
                </c:pt>
                <c:pt idx="149">
                  <c:v>59.26</c:v>
                </c:pt>
                <c:pt idx="150">
                  <c:v>58.819000000000003</c:v>
                </c:pt>
                <c:pt idx="151">
                  <c:v>58.277999999999999</c:v>
                </c:pt>
                <c:pt idx="152">
                  <c:v>57.222999999999999</c:v>
                </c:pt>
                <c:pt idx="153">
                  <c:v>55.249000000000002</c:v>
                </c:pt>
                <c:pt idx="154">
                  <c:v>53.981999999999999</c:v>
                </c:pt>
                <c:pt idx="155">
                  <c:v>52.366999999999997</c:v>
                </c:pt>
                <c:pt idx="156">
                  <c:v>50.737000000000002</c:v>
                </c:pt>
                <c:pt idx="157">
                  <c:v>49.712000000000003</c:v>
                </c:pt>
                <c:pt idx="158">
                  <c:v>47.698</c:v>
                </c:pt>
                <c:pt idx="159">
                  <c:v>45.070999999999998</c:v>
                </c:pt>
                <c:pt idx="160">
                  <c:v>44.08</c:v>
                </c:pt>
                <c:pt idx="161">
                  <c:v>42.207000000000001</c:v>
                </c:pt>
                <c:pt idx="162">
                  <c:v>41.045999999999999</c:v>
                </c:pt>
                <c:pt idx="163">
                  <c:v>40.633000000000003</c:v>
                </c:pt>
                <c:pt idx="164">
                  <c:v>39.814</c:v>
                </c:pt>
                <c:pt idx="165">
                  <c:v>39.411999999999999</c:v>
                </c:pt>
                <c:pt idx="166">
                  <c:v>39.012</c:v>
                </c:pt>
                <c:pt idx="167">
                  <c:v>38.426000000000002</c:v>
                </c:pt>
                <c:pt idx="168">
                  <c:v>37.939</c:v>
                </c:pt>
                <c:pt idx="169">
                  <c:v>36.591999999999999</c:v>
                </c:pt>
                <c:pt idx="170">
                  <c:v>35.057000000000002</c:v>
                </c:pt>
                <c:pt idx="171">
                  <c:v>35.198</c:v>
                </c:pt>
                <c:pt idx="172">
                  <c:v>34.170999999999999</c:v>
                </c:pt>
                <c:pt idx="173">
                  <c:v>32.825000000000003</c:v>
                </c:pt>
                <c:pt idx="174">
                  <c:v>32.408000000000001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90-4014-A4AD-5DEE22E8B1E4}"/>
            </c:ext>
          </c:extLst>
        </c:ser>
        <c:ser>
          <c:idx val="10"/>
          <c:order val="10"/>
          <c:tx>
            <c:strRef>
              <c:f>data_co2_excLUC!$N$2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data_co2_excLUC!$N$3:$N$177</c:f>
              <c:numCache>
                <c:formatCode>0.0</c:formatCode>
                <c:ptCount val="175"/>
                <c:pt idx="0">
                  <c:v>99.978999999999999</c:v>
                </c:pt>
                <c:pt idx="1">
                  <c:v>99.977999999999994</c:v>
                </c:pt>
                <c:pt idx="2">
                  <c:v>99.975999999999999</c:v>
                </c:pt>
                <c:pt idx="3">
                  <c:v>99.974000000000004</c:v>
                </c:pt>
                <c:pt idx="4">
                  <c:v>99.972999999999999</c:v>
                </c:pt>
                <c:pt idx="5">
                  <c:v>99.97</c:v>
                </c:pt>
                <c:pt idx="6">
                  <c:v>99.97</c:v>
                </c:pt>
                <c:pt idx="7">
                  <c:v>99.968000000000004</c:v>
                </c:pt>
                <c:pt idx="8">
                  <c:v>99.823999999999998</c:v>
                </c:pt>
                <c:pt idx="9">
                  <c:v>99.748999999999995</c:v>
                </c:pt>
                <c:pt idx="10">
                  <c:v>99.760999999999996</c:v>
                </c:pt>
                <c:pt idx="11">
                  <c:v>99.808000000000007</c:v>
                </c:pt>
                <c:pt idx="12">
                  <c:v>99.799000000000007</c:v>
                </c:pt>
                <c:pt idx="13">
                  <c:v>99.793999999999997</c:v>
                </c:pt>
                <c:pt idx="14">
                  <c:v>99.813000000000002</c:v>
                </c:pt>
                <c:pt idx="15">
                  <c:v>99.825999999999993</c:v>
                </c:pt>
                <c:pt idx="16">
                  <c:v>99.754999999999995</c:v>
                </c:pt>
                <c:pt idx="17">
                  <c:v>99.747</c:v>
                </c:pt>
                <c:pt idx="18">
                  <c:v>99.748000000000005</c:v>
                </c:pt>
                <c:pt idx="19">
                  <c:v>99.715000000000003</c:v>
                </c:pt>
                <c:pt idx="20">
                  <c:v>99.69</c:v>
                </c:pt>
                <c:pt idx="21">
                  <c:v>99.653000000000006</c:v>
                </c:pt>
                <c:pt idx="22">
                  <c:v>99.664000000000001</c:v>
                </c:pt>
                <c:pt idx="23">
                  <c:v>99.671999999999997</c:v>
                </c:pt>
                <c:pt idx="24">
                  <c:v>99.608999999999995</c:v>
                </c:pt>
                <c:pt idx="25">
                  <c:v>99.606999999999999</c:v>
                </c:pt>
                <c:pt idx="26">
                  <c:v>99.566999999999993</c:v>
                </c:pt>
                <c:pt idx="27">
                  <c:v>99.564999999999998</c:v>
                </c:pt>
                <c:pt idx="28">
                  <c:v>99.498999999999995</c:v>
                </c:pt>
                <c:pt idx="29">
                  <c:v>99.537000000000006</c:v>
                </c:pt>
                <c:pt idx="30">
                  <c:v>99.533000000000001</c:v>
                </c:pt>
                <c:pt idx="31">
                  <c:v>99.537000000000006</c:v>
                </c:pt>
                <c:pt idx="32">
                  <c:v>99.510999999999996</c:v>
                </c:pt>
                <c:pt idx="33">
                  <c:v>99.481999999999999</c:v>
                </c:pt>
                <c:pt idx="34">
                  <c:v>99.448999999999998</c:v>
                </c:pt>
                <c:pt idx="35">
                  <c:v>99.451999999999998</c:v>
                </c:pt>
                <c:pt idx="36">
                  <c:v>99.421000000000006</c:v>
                </c:pt>
                <c:pt idx="37">
                  <c:v>99.295000000000002</c:v>
                </c:pt>
                <c:pt idx="38">
                  <c:v>99.334999999999994</c:v>
                </c:pt>
                <c:pt idx="39">
                  <c:v>99.183000000000007</c:v>
                </c:pt>
                <c:pt idx="40">
                  <c:v>99.194000000000003</c:v>
                </c:pt>
                <c:pt idx="41">
                  <c:v>99.153000000000006</c:v>
                </c:pt>
                <c:pt idx="42">
                  <c:v>99.022999999999996</c:v>
                </c:pt>
                <c:pt idx="43">
                  <c:v>98.778999999999996</c:v>
                </c:pt>
                <c:pt idx="44">
                  <c:v>98.73</c:v>
                </c:pt>
                <c:pt idx="45">
                  <c:v>98.519000000000005</c:v>
                </c:pt>
                <c:pt idx="46">
                  <c:v>98.429000000000002</c:v>
                </c:pt>
                <c:pt idx="47">
                  <c:v>98.346000000000004</c:v>
                </c:pt>
                <c:pt idx="48">
                  <c:v>98.185000000000002</c:v>
                </c:pt>
                <c:pt idx="49">
                  <c:v>98.212999999999994</c:v>
                </c:pt>
                <c:pt idx="50">
                  <c:v>98.316000000000003</c:v>
                </c:pt>
                <c:pt idx="51">
                  <c:v>97.92</c:v>
                </c:pt>
                <c:pt idx="52">
                  <c:v>97.805000000000007</c:v>
                </c:pt>
                <c:pt idx="53">
                  <c:v>97.724000000000004</c:v>
                </c:pt>
                <c:pt idx="54">
                  <c:v>97.484999999999999</c:v>
                </c:pt>
                <c:pt idx="55">
                  <c:v>97.552000000000007</c:v>
                </c:pt>
                <c:pt idx="56">
                  <c:v>96.721999999999994</c:v>
                </c:pt>
                <c:pt idx="57">
                  <c:v>96.872</c:v>
                </c:pt>
                <c:pt idx="58">
                  <c:v>96.266000000000005</c:v>
                </c:pt>
                <c:pt idx="59">
                  <c:v>96.408000000000001</c:v>
                </c:pt>
                <c:pt idx="60">
                  <c:v>96.426000000000002</c:v>
                </c:pt>
                <c:pt idx="61">
                  <c:v>95.941000000000003</c:v>
                </c:pt>
                <c:pt idx="62">
                  <c:v>96.436999999999998</c:v>
                </c:pt>
                <c:pt idx="63">
                  <c:v>96.281999999999996</c:v>
                </c:pt>
                <c:pt idx="64">
                  <c:v>95.99</c:v>
                </c:pt>
                <c:pt idx="65">
                  <c:v>95.837000000000003</c:v>
                </c:pt>
                <c:pt idx="66">
                  <c:v>95.843999999999994</c:v>
                </c:pt>
                <c:pt idx="67">
                  <c:v>95.706000000000003</c:v>
                </c:pt>
                <c:pt idx="68">
                  <c:v>95.600999999999999</c:v>
                </c:pt>
                <c:pt idx="69">
                  <c:v>94.227999999999994</c:v>
                </c:pt>
                <c:pt idx="70">
                  <c:v>94.097999999999999</c:v>
                </c:pt>
                <c:pt idx="71">
                  <c:v>92.745000000000005</c:v>
                </c:pt>
                <c:pt idx="72">
                  <c:v>93.033000000000001</c:v>
                </c:pt>
                <c:pt idx="73">
                  <c:v>93.593000000000004</c:v>
                </c:pt>
                <c:pt idx="74">
                  <c:v>93.247</c:v>
                </c:pt>
                <c:pt idx="75">
                  <c:v>93.45</c:v>
                </c:pt>
                <c:pt idx="76">
                  <c:v>93.242999999999995</c:v>
                </c:pt>
                <c:pt idx="77">
                  <c:v>93.677000000000007</c:v>
                </c:pt>
                <c:pt idx="78">
                  <c:v>93.14</c:v>
                </c:pt>
                <c:pt idx="79">
                  <c:v>93.168000000000006</c:v>
                </c:pt>
                <c:pt idx="80">
                  <c:v>92.39</c:v>
                </c:pt>
                <c:pt idx="81">
                  <c:v>92.010999999999996</c:v>
                </c:pt>
                <c:pt idx="82">
                  <c:v>91.230999999999995</c:v>
                </c:pt>
                <c:pt idx="83">
                  <c:v>91.084000000000003</c:v>
                </c:pt>
                <c:pt idx="84">
                  <c:v>90.641999999999996</c:v>
                </c:pt>
                <c:pt idx="85">
                  <c:v>90.034999999999997</c:v>
                </c:pt>
                <c:pt idx="86">
                  <c:v>90.239000000000004</c:v>
                </c:pt>
                <c:pt idx="87">
                  <c:v>89.975999999999999</c:v>
                </c:pt>
                <c:pt idx="88">
                  <c:v>89.114999999999995</c:v>
                </c:pt>
                <c:pt idx="89">
                  <c:v>88.927000000000007</c:v>
                </c:pt>
                <c:pt idx="90">
                  <c:v>89.313000000000002</c:v>
                </c:pt>
                <c:pt idx="91">
                  <c:v>89.331999999999994</c:v>
                </c:pt>
                <c:pt idx="92">
                  <c:v>90.278999999999996</c:v>
                </c:pt>
                <c:pt idx="93">
                  <c:v>90.119</c:v>
                </c:pt>
                <c:pt idx="94">
                  <c:v>89.430999999999997</c:v>
                </c:pt>
                <c:pt idx="95">
                  <c:v>87.644999999999996</c:v>
                </c:pt>
                <c:pt idx="96">
                  <c:v>86.933000000000007</c:v>
                </c:pt>
                <c:pt idx="97">
                  <c:v>87.816000000000003</c:v>
                </c:pt>
                <c:pt idx="98">
                  <c:v>88.533000000000001</c:v>
                </c:pt>
                <c:pt idx="99">
                  <c:v>87.394999999999996</c:v>
                </c:pt>
                <c:pt idx="100">
                  <c:v>90.037999999999997</c:v>
                </c:pt>
                <c:pt idx="101">
                  <c:v>89.55</c:v>
                </c:pt>
                <c:pt idx="102">
                  <c:v>88.774000000000001</c:v>
                </c:pt>
                <c:pt idx="103">
                  <c:v>88.703000000000003</c:v>
                </c:pt>
                <c:pt idx="104">
                  <c:v>87.688999999999993</c:v>
                </c:pt>
                <c:pt idx="105">
                  <c:v>87.215000000000003</c:v>
                </c:pt>
                <c:pt idx="106">
                  <c:v>86.906999999999996</c:v>
                </c:pt>
                <c:pt idx="107">
                  <c:v>85.968000000000004</c:v>
                </c:pt>
                <c:pt idx="108">
                  <c:v>82.67</c:v>
                </c:pt>
                <c:pt idx="109">
                  <c:v>80.698999999999998</c:v>
                </c:pt>
                <c:pt idx="110">
                  <c:v>80.165000000000006</c:v>
                </c:pt>
                <c:pt idx="111">
                  <c:v>81.977000000000004</c:v>
                </c:pt>
                <c:pt idx="112">
                  <c:v>82.914000000000001</c:v>
                </c:pt>
                <c:pt idx="113">
                  <c:v>83.125</c:v>
                </c:pt>
                <c:pt idx="114">
                  <c:v>83.152000000000001</c:v>
                </c:pt>
                <c:pt idx="115">
                  <c:v>82.659000000000006</c:v>
                </c:pt>
                <c:pt idx="116">
                  <c:v>82.1</c:v>
                </c:pt>
                <c:pt idx="117">
                  <c:v>82.787999999999997</c:v>
                </c:pt>
                <c:pt idx="118">
                  <c:v>82.22</c:v>
                </c:pt>
                <c:pt idx="119">
                  <c:v>81.569000000000003</c:v>
                </c:pt>
                <c:pt idx="120">
                  <c:v>80.272999999999996</c:v>
                </c:pt>
                <c:pt idx="121">
                  <c:v>79.209999999999994</c:v>
                </c:pt>
                <c:pt idx="122">
                  <c:v>79.227000000000004</c:v>
                </c:pt>
                <c:pt idx="123">
                  <c:v>78.804000000000002</c:v>
                </c:pt>
                <c:pt idx="124">
                  <c:v>78.11</c:v>
                </c:pt>
                <c:pt idx="125">
                  <c:v>76.790000000000006</c:v>
                </c:pt>
                <c:pt idx="126">
                  <c:v>76.668999999999997</c:v>
                </c:pt>
                <c:pt idx="127">
                  <c:v>75.972999999999999</c:v>
                </c:pt>
                <c:pt idx="128">
                  <c:v>75.325999999999993</c:v>
                </c:pt>
                <c:pt idx="129">
                  <c:v>74.846000000000004</c:v>
                </c:pt>
                <c:pt idx="130">
                  <c:v>74.352000000000004</c:v>
                </c:pt>
                <c:pt idx="131">
                  <c:v>73.599999999999994</c:v>
                </c:pt>
                <c:pt idx="132">
                  <c:v>72.406999999999996</c:v>
                </c:pt>
                <c:pt idx="133">
                  <c:v>71.784000000000006</c:v>
                </c:pt>
                <c:pt idx="134">
                  <c:v>71.075000000000003</c:v>
                </c:pt>
                <c:pt idx="135">
                  <c:v>70.272000000000006</c:v>
                </c:pt>
                <c:pt idx="136">
                  <c:v>69.483000000000004</c:v>
                </c:pt>
                <c:pt idx="137">
                  <c:v>68.963999999999999</c:v>
                </c:pt>
                <c:pt idx="138">
                  <c:v>68.183999999999997</c:v>
                </c:pt>
                <c:pt idx="139">
                  <c:v>67.558999999999997</c:v>
                </c:pt>
                <c:pt idx="140">
                  <c:v>67.433999999999997</c:v>
                </c:pt>
                <c:pt idx="141">
                  <c:v>65.218000000000004</c:v>
                </c:pt>
                <c:pt idx="142">
                  <c:v>64.594999999999999</c:v>
                </c:pt>
                <c:pt idx="143">
                  <c:v>63.311999999999998</c:v>
                </c:pt>
                <c:pt idx="144">
                  <c:v>62.101999999999997</c:v>
                </c:pt>
                <c:pt idx="145">
                  <c:v>61.024000000000001</c:v>
                </c:pt>
                <c:pt idx="146">
                  <c:v>60.298000000000002</c:v>
                </c:pt>
                <c:pt idx="147">
                  <c:v>59.433999999999997</c:v>
                </c:pt>
                <c:pt idx="148">
                  <c:v>59.673000000000002</c:v>
                </c:pt>
                <c:pt idx="149">
                  <c:v>58.555999999999997</c:v>
                </c:pt>
                <c:pt idx="150">
                  <c:v>58.057000000000002</c:v>
                </c:pt>
                <c:pt idx="151">
                  <c:v>57.354999999999997</c:v>
                </c:pt>
                <c:pt idx="152">
                  <c:v>56.146999999999998</c:v>
                </c:pt>
                <c:pt idx="153">
                  <c:v>54.23</c:v>
                </c:pt>
                <c:pt idx="154">
                  <c:v>52.78</c:v>
                </c:pt>
                <c:pt idx="155">
                  <c:v>51.023000000000003</c:v>
                </c:pt>
                <c:pt idx="156">
                  <c:v>49.686</c:v>
                </c:pt>
                <c:pt idx="157">
                  <c:v>48.801000000000002</c:v>
                </c:pt>
                <c:pt idx="158">
                  <c:v>47.061999999999998</c:v>
                </c:pt>
                <c:pt idx="159">
                  <c:v>44.537999999999997</c:v>
                </c:pt>
                <c:pt idx="160">
                  <c:v>43.932000000000002</c:v>
                </c:pt>
                <c:pt idx="161">
                  <c:v>41.997</c:v>
                </c:pt>
                <c:pt idx="162">
                  <c:v>40.841000000000001</c:v>
                </c:pt>
                <c:pt idx="163">
                  <c:v>40.363999999999997</c:v>
                </c:pt>
                <c:pt idx="164">
                  <c:v>39.36</c:v>
                </c:pt>
                <c:pt idx="165">
                  <c:v>38.665999999999997</c:v>
                </c:pt>
                <c:pt idx="166">
                  <c:v>38.134999999999998</c:v>
                </c:pt>
                <c:pt idx="167">
                  <c:v>37.393999999999998</c:v>
                </c:pt>
                <c:pt idx="168">
                  <c:v>37.046999999999997</c:v>
                </c:pt>
                <c:pt idx="169">
                  <c:v>36.036999999999999</c:v>
                </c:pt>
                <c:pt idx="170">
                  <c:v>34.536000000000001</c:v>
                </c:pt>
                <c:pt idx="171">
                  <c:v>34.722999999999999</c:v>
                </c:pt>
                <c:pt idx="172">
                  <c:v>34.046999999999997</c:v>
                </c:pt>
                <c:pt idx="173">
                  <c:v>32.567999999999998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90-4014-A4AD-5DEE22E8B1E4}"/>
            </c:ext>
          </c:extLst>
        </c:ser>
        <c:ser>
          <c:idx val="11"/>
          <c:order val="11"/>
          <c:tx>
            <c:strRef>
              <c:f>data_co2_excLUC!$O$2</c:f>
              <c:strCache>
                <c:ptCount val="1"/>
                <c:pt idx="0">
                  <c:v>pct_annex1_GCP_fossil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data_co2_excLUC!$O$3:$O$177</c:f>
              <c:numCache>
                <c:formatCode>0.0</c:formatCode>
                <c:ptCount val="175"/>
                <c:pt idx="0">
                  <c:v>99.944000000000003</c:v>
                </c:pt>
                <c:pt idx="1">
                  <c:v>99.944000000000003</c:v>
                </c:pt>
                <c:pt idx="2">
                  <c:v>99.912999999999997</c:v>
                </c:pt>
                <c:pt idx="3">
                  <c:v>99.945999999999998</c:v>
                </c:pt>
                <c:pt idx="4">
                  <c:v>99.998000000000005</c:v>
                </c:pt>
                <c:pt idx="5">
                  <c:v>99.924000000000007</c:v>
                </c:pt>
                <c:pt idx="6">
                  <c:v>99.659000000000006</c:v>
                </c:pt>
                <c:pt idx="7">
                  <c:v>99.555999999999997</c:v>
                </c:pt>
                <c:pt idx="8">
                  <c:v>99.376999999999995</c:v>
                </c:pt>
                <c:pt idx="9">
                  <c:v>99.408000000000001</c:v>
                </c:pt>
                <c:pt idx="10">
                  <c:v>99.376000000000005</c:v>
                </c:pt>
                <c:pt idx="11">
                  <c:v>99.421000000000006</c:v>
                </c:pt>
                <c:pt idx="12">
                  <c:v>99.393000000000001</c:v>
                </c:pt>
                <c:pt idx="13">
                  <c:v>99.451999999999998</c:v>
                </c:pt>
                <c:pt idx="14">
                  <c:v>99.388999999999996</c:v>
                </c:pt>
                <c:pt idx="15">
                  <c:v>99.384</c:v>
                </c:pt>
                <c:pt idx="16">
                  <c:v>99.212000000000003</c:v>
                </c:pt>
                <c:pt idx="17">
                  <c:v>99.356999999999999</c:v>
                </c:pt>
                <c:pt idx="18">
                  <c:v>99.331000000000003</c:v>
                </c:pt>
                <c:pt idx="19">
                  <c:v>99.376000000000005</c:v>
                </c:pt>
                <c:pt idx="20">
                  <c:v>99.38</c:v>
                </c:pt>
                <c:pt idx="21">
                  <c:v>99.366</c:v>
                </c:pt>
                <c:pt idx="22">
                  <c:v>99.301000000000002</c:v>
                </c:pt>
                <c:pt idx="23">
                  <c:v>99.301000000000002</c:v>
                </c:pt>
                <c:pt idx="24">
                  <c:v>99.16</c:v>
                </c:pt>
                <c:pt idx="25">
                  <c:v>99.278000000000006</c:v>
                </c:pt>
                <c:pt idx="26">
                  <c:v>99.272999999999996</c:v>
                </c:pt>
                <c:pt idx="27">
                  <c:v>99.308000000000007</c:v>
                </c:pt>
                <c:pt idx="28">
                  <c:v>99.004000000000005</c:v>
                </c:pt>
                <c:pt idx="29">
                  <c:v>99.058000000000007</c:v>
                </c:pt>
                <c:pt idx="30">
                  <c:v>99.07</c:v>
                </c:pt>
                <c:pt idx="31">
                  <c:v>99.063000000000002</c:v>
                </c:pt>
                <c:pt idx="32">
                  <c:v>99.052000000000007</c:v>
                </c:pt>
                <c:pt idx="33">
                  <c:v>99.031000000000006</c:v>
                </c:pt>
                <c:pt idx="34">
                  <c:v>98.953999999999994</c:v>
                </c:pt>
                <c:pt idx="35">
                  <c:v>98.942999999999998</c:v>
                </c:pt>
                <c:pt idx="36">
                  <c:v>98.951999999999998</c:v>
                </c:pt>
                <c:pt idx="37">
                  <c:v>98.88</c:v>
                </c:pt>
                <c:pt idx="38">
                  <c:v>98.840999999999994</c:v>
                </c:pt>
                <c:pt idx="39">
                  <c:v>98.656999999999996</c:v>
                </c:pt>
                <c:pt idx="40">
                  <c:v>98.760999999999996</c:v>
                </c:pt>
                <c:pt idx="41">
                  <c:v>98.685000000000002</c:v>
                </c:pt>
                <c:pt idx="42">
                  <c:v>98.543999999999997</c:v>
                </c:pt>
                <c:pt idx="43">
                  <c:v>98.32</c:v>
                </c:pt>
                <c:pt idx="44">
                  <c:v>98.194999999999993</c:v>
                </c:pt>
                <c:pt idx="45">
                  <c:v>98.07</c:v>
                </c:pt>
                <c:pt idx="46">
                  <c:v>97.966999999999999</c:v>
                </c:pt>
                <c:pt idx="47">
                  <c:v>97.908000000000001</c:v>
                </c:pt>
                <c:pt idx="48">
                  <c:v>97.75</c:v>
                </c:pt>
                <c:pt idx="49">
                  <c:v>97.79</c:v>
                </c:pt>
                <c:pt idx="50">
                  <c:v>97.929000000000002</c:v>
                </c:pt>
                <c:pt idx="51">
                  <c:v>97.710999999999999</c:v>
                </c:pt>
                <c:pt idx="52">
                  <c:v>97.617999999999995</c:v>
                </c:pt>
                <c:pt idx="53">
                  <c:v>97.593999999999994</c:v>
                </c:pt>
                <c:pt idx="54">
                  <c:v>97.379000000000005</c:v>
                </c:pt>
                <c:pt idx="55">
                  <c:v>97.381</c:v>
                </c:pt>
                <c:pt idx="56">
                  <c:v>97.126000000000005</c:v>
                </c:pt>
                <c:pt idx="57">
                  <c:v>96.491</c:v>
                </c:pt>
                <c:pt idx="58">
                  <c:v>96.064999999999998</c:v>
                </c:pt>
                <c:pt idx="59">
                  <c:v>96.073999999999998</c:v>
                </c:pt>
                <c:pt idx="60">
                  <c:v>96.081000000000003</c:v>
                </c:pt>
                <c:pt idx="61">
                  <c:v>95.850999999999999</c:v>
                </c:pt>
                <c:pt idx="62">
                  <c:v>96.066999999999993</c:v>
                </c:pt>
                <c:pt idx="63">
                  <c:v>95.798000000000002</c:v>
                </c:pt>
                <c:pt idx="64">
                  <c:v>95.593999999999994</c:v>
                </c:pt>
                <c:pt idx="65">
                  <c:v>95.599000000000004</c:v>
                </c:pt>
                <c:pt idx="66">
                  <c:v>95.516000000000005</c:v>
                </c:pt>
                <c:pt idx="67">
                  <c:v>95.340999999999994</c:v>
                </c:pt>
                <c:pt idx="68">
                  <c:v>95.185000000000002</c:v>
                </c:pt>
                <c:pt idx="69">
                  <c:v>93.727000000000004</c:v>
                </c:pt>
                <c:pt idx="70">
                  <c:v>93.534000000000006</c:v>
                </c:pt>
                <c:pt idx="71">
                  <c:v>92.138999999999996</c:v>
                </c:pt>
                <c:pt idx="72">
                  <c:v>92.525999999999996</c:v>
                </c:pt>
                <c:pt idx="73">
                  <c:v>93.186000000000007</c:v>
                </c:pt>
                <c:pt idx="74">
                  <c:v>92.879000000000005</c:v>
                </c:pt>
                <c:pt idx="75">
                  <c:v>93.135999999999996</c:v>
                </c:pt>
                <c:pt idx="76">
                  <c:v>93.204999999999998</c:v>
                </c:pt>
                <c:pt idx="77">
                  <c:v>93.733000000000004</c:v>
                </c:pt>
                <c:pt idx="78">
                  <c:v>93.587000000000003</c:v>
                </c:pt>
                <c:pt idx="79">
                  <c:v>93.8</c:v>
                </c:pt>
                <c:pt idx="80">
                  <c:v>93.3</c:v>
                </c:pt>
                <c:pt idx="81">
                  <c:v>92.867000000000004</c:v>
                </c:pt>
                <c:pt idx="82">
                  <c:v>92.105000000000004</c:v>
                </c:pt>
                <c:pt idx="83">
                  <c:v>91.968999999999994</c:v>
                </c:pt>
                <c:pt idx="84">
                  <c:v>91.613</c:v>
                </c:pt>
                <c:pt idx="85">
                  <c:v>91.165000000000006</c:v>
                </c:pt>
                <c:pt idx="86">
                  <c:v>91.450999999999993</c:v>
                </c:pt>
                <c:pt idx="87">
                  <c:v>91.27</c:v>
                </c:pt>
                <c:pt idx="88">
                  <c:v>90.683999999999997</c:v>
                </c:pt>
                <c:pt idx="89">
                  <c:v>90.528999999999996</c:v>
                </c:pt>
                <c:pt idx="90">
                  <c:v>90.557000000000002</c:v>
                </c:pt>
                <c:pt idx="91">
                  <c:v>90.763000000000005</c:v>
                </c:pt>
                <c:pt idx="92">
                  <c:v>91.266000000000005</c:v>
                </c:pt>
                <c:pt idx="93">
                  <c:v>91.608999999999995</c:v>
                </c:pt>
                <c:pt idx="94">
                  <c:v>91.266999999999996</c:v>
                </c:pt>
                <c:pt idx="95">
                  <c:v>90.475999999999999</c:v>
                </c:pt>
                <c:pt idx="96">
                  <c:v>90.656000000000006</c:v>
                </c:pt>
                <c:pt idx="97">
                  <c:v>90.480999999999995</c:v>
                </c:pt>
                <c:pt idx="98">
                  <c:v>90.986999999999995</c:v>
                </c:pt>
                <c:pt idx="99">
                  <c:v>90.623000000000005</c:v>
                </c:pt>
                <c:pt idx="100">
                  <c:v>90.245000000000005</c:v>
                </c:pt>
                <c:pt idx="101">
                  <c:v>89.834000000000003</c:v>
                </c:pt>
                <c:pt idx="102">
                  <c:v>89.003</c:v>
                </c:pt>
                <c:pt idx="103">
                  <c:v>89</c:v>
                </c:pt>
                <c:pt idx="104">
                  <c:v>88.004999999999995</c:v>
                </c:pt>
                <c:pt idx="105">
                  <c:v>87.388999999999996</c:v>
                </c:pt>
                <c:pt idx="106">
                  <c:v>87.055000000000007</c:v>
                </c:pt>
                <c:pt idx="107">
                  <c:v>86.26</c:v>
                </c:pt>
                <c:pt idx="108">
                  <c:v>82.984999999999999</c:v>
                </c:pt>
                <c:pt idx="109">
                  <c:v>80.950999999999993</c:v>
                </c:pt>
                <c:pt idx="110">
                  <c:v>80.477999999999994</c:v>
                </c:pt>
                <c:pt idx="111">
                  <c:v>82.468000000000004</c:v>
                </c:pt>
                <c:pt idx="112">
                  <c:v>83.494</c:v>
                </c:pt>
                <c:pt idx="113">
                  <c:v>83.712999999999994</c:v>
                </c:pt>
                <c:pt idx="114">
                  <c:v>83.634</c:v>
                </c:pt>
                <c:pt idx="115">
                  <c:v>83.007000000000005</c:v>
                </c:pt>
                <c:pt idx="116">
                  <c:v>82.594999999999999</c:v>
                </c:pt>
                <c:pt idx="117">
                  <c:v>83.084999999999994</c:v>
                </c:pt>
                <c:pt idx="118">
                  <c:v>82.638000000000005</c:v>
                </c:pt>
                <c:pt idx="119">
                  <c:v>81.930999999999997</c:v>
                </c:pt>
                <c:pt idx="120">
                  <c:v>80.72</c:v>
                </c:pt>
                <c:pt idx="121">
                  <c:v>79.593999999999994</c:v>
                </c:pt>
                <c:pt idx="122">
                  <c:v>79.516000000000005</c:v>
                </c:pt>
                <c:pt idx="123">
                  <c:v>78.995999999999995</c:v>
                </c:pt>
                <c:pt idx="124">
                  <c:v>78.319000000000003</c:v>
                </c:pt>
                <c:pt idx="125">
                  <c:v>77.046999999999997</c:v>
                </c:pt>
                <c:pt idx="126">
                  <c:v>76.736000000000004</c:v>
                </c:pt>
                <c:pt idx="127">
                  <c:v>75.995999999999995</c:v>
                </c:pt>
                <c:pt idx="128">
                  <c:v>75.183999999999997</c:v>
                </c:pt>
                <c:pt idx="129">
                  <c:v>74.643000000000001</c:v>
                </c:pt>
                <c:pt idx="130">
                  <c:v>74.111000000000004</c:v>
                </c:pt>
                <c:pt idx="131">
                  <c:v>73.418000000000006</c:v>
                </c:pt>
                <c:pt idx="132">
                  <c:v>72.132000000000005</c:v>
                </c:pt>
                <c:pt idx="133">
                  <c:v>71.430999999999997</c:v>
                </c:pt>
                <c:pt idx="134">
                  <c:v>70.763000000000005</c:v>
                </c:pt>
                <c:pt idx="135">
                  <c:v>69.983999999999995</c:v>
                </c:pt>
                <c:pt idx="136">
                  <c:v>69.075000000000003</c:v>
                </c:pt>
                <c:pt idx="137">
                  <c:v>68.539000000000001</c:v>
                </c:pt>
                <c:pt idx="138">
                  <c:v>67.635000000000005</c:v>
                </c:pt>
                <c:pt idx="139">
                  <c:v>67.28</c:v>
                </c:pt>
                <c:pt idx="140">
                  <c:v>68.102000000000004</c:v>
                </c:pt>
                <c:pt idx="141">
                  <c:v>66.713999999999999</c:v>
                </c:pt>
                <c:pt idx="142">
                  <c:v>65.091999999999999</c:v>
                </c:pt>
                <c:pt idx="143">
                  <c:v>63.677</c:v>
                </c:pt>
                <c:pt idx="144">
                  <c:v>62.246000000000002</c:v>
                </c:pt>
                <c:pt idx="145">
                  <c:v>61.253999999999998</c:v>
                </c:pt>
                <c:pt idx="146">
                  <c:v>60.674999999999997</c:v>
                </c:pt>
                <c:pt idx="147">
                  <c:v>59.94</c:v>
                </c:pt>
                <c:pt idx="148">
                  <c:v>60.317</c:v>
                </c:pt>
                <c:pt idx="149">
                  <c:v>59.26</c:v>
                </c:pt>
                <c:pt idx="150">
                  <c:v>58.819000000000003</c:v>
                </c:pt>
                <c:pt idx="151">
                  <c:v>58.277999999999999</c:v>
                </c:pt>
                <c:pt idx="152">
                  <c:v>57.222999999999999</c:v>
                </c:pt>
                <c:pt idx="153">
                  <c:v>55.249000000000002</c:v>
                </c:pt>
                <c:pt idx="154">
                  <c:v>53.981999999999999</c:v>
                </c:pt>
                <c:pt idx="155">
                  <c:v>52.366999999999997</c:v>
                </c:pt>
                <c:pt idx="156">
                  <c:v>50.737000000000002</c:v>
                </c:pt>
                <c:pt idx="157">
                  <c:v>49.712000000000003</c:v>
                </c:pt>
                <c:pt idx="158">
                  <c:v>47.698</c:v>
                </c:pt>
                <c:pt idx="159">
                  <c:v>45.070999999999998</c:v>
                </c:pt>
                <c:pt idx="160">
                  <c:v>44.08</c:v>
                </c:pt>
                <c:pt idx="161">
                  <c:v>42.207000000000001</c:v>
                </c:pt>
                <c:pt idx="162">
                  <c:v>41.045999999999999</c:v>
                </c:pt>
                <c:pt idx="163">
                  <c:v>40.633000000000003</c:v>
                </c:pt>
                <c:pt idx="164">
                  <c:v>39.814</c:v>
                </c:pt>
                <c:pt idx="165">
                  <c:v>39.411999999999999</c:v>
                </c:pt>
                <c:pt idx="166">
                  <c:v>39.012</c:v>
                </c:pt>
                <c:pt idx="167">
                  <c:v>38.426000000000002</c:v>
                </c:pt>
                <c:pt idx="168">
                  <c:v>37.939</c:v>
                </c:pt>
                <c:pt idx="169">
                  <c:v>36.591999999999999</c:v>
                </c:pt>
                <c:pt idx="170">
                  <c:v>35.057000000000002</c:v>
                </c:pt>
                <c:pt idx="171">
                  <c:v>35.198</c:v>
                </c:pt>
                <c:pt idx="172">
                  <c:v>34.170999999999999</c:v>
                </c:pt>
                <c:pt idx="173">
                  <c:v>32.825000000000003</c:v>
                </c:pt>
                <c:pt idx="174">
                  <c:v>32.408000000000001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90-4014-A4AD-5DEE22E8B1E4}"/>
            </c:ext>
          </c:extLst>
        </c:ser>
        <c:ser>
          <c:idx val="12"/>
          <c:order val="12"/>
          <c:tx>
            <c:strRef>
              <c:f>data_co2_excLUC!$P$2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90-4014-A4AD-5DEE22E8B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All GHGs,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data_ghg_incLUC!$B$3:$B$177</c:f>
              <c:numCache>
                <c:formatCode>0.0</c:formatCode>
                <c:ptCount val="175"/>
                <c:pt idx="0">
                  <c:v>36.118000000000002</c:v>
                </c:pt>
                <c:pt idx="1">
                  <c:v>36.279000000000003</c:v>
                </c:pt>
                <c:pt idx="2">
                  <c:v>36.048000000000002</c:v>
                </c:pt>
                <c:pt idx="3">
                  <c:v>36.9</c:v>
                </c:pt>
                <c:pt idx="4">
                  <c:v>37.71</c:v>
                </c:pt>
                <c:pt idx="5">
                  <c:v>37.610999999999997</c:v>
                </c:pt>
                <c:pt idx="6">
                  <c:v>37.923000000000002</c:v>
                </c:pt>
                <c:pt idx="7">
                  <c:v>37.997</c:v>
                </c:pt>
                <c:pt idx="8">
                  <c:v>38.378</c:v>
                </c:pt>
                <c:pt idx="9">
                  <c:v>38.863</c:v>
                </c:pt>
                <c:pt idx="10">
                  <c:v>40.182000000000002</c:v>
                </c:pt>
                <c:pt idx="11">
                  <c:v>40.095999999999997</c:v>
                </c:pt>
                <c:pt idx="12">
                  <c:v>40.817</c:v>
                </c:pt>
                <c:pt idx="13">
                  <c:v>41.436999999999998</c:v>
                </c:pt>
                <c:pt idx="14">
                  <c:v>41.207000000000001</c:v>
                </c:pt>
                <c:pt idx="15">
                  <c:v>41.728000000000002</c:v>
                </c:pt>
                <c:pt idx="16">
                  <c:v>41.533000000000001</c:v>
                </c:pt>
                <c:pt idx="17">
                  <c:v>42.655000000000001</c:v>
                </c:pt>
                <c:pt idx="18">
                  <c:v>42.658000000000001</c:v>
                </c:pt>
                <c:pt idx="19">
                  <c:v>42.682000000000002</c:v>
                </c:pt>
                <c:pt idx="20">
                  <c:v>44.509</c:v>
                </c:pt>
                <c:pt idx="21">
                  <c:v>46.197000000000003</c:v>
                </c:pt>
                <c:pt idx="22">
                  <c:v>46.567</c:v>
                </c:pt>
                <c:pt idx="23">
                  <c:v>47.795000000000002</c:v>
                </c:pt>
                <c:pt idx="24">
                  <c:v>47.395000000000003</c:v>
                </c:pt>
                <c:pt idx="25">
                  <c:v>48.390999999999998</c:v>
                </c:pt>
                <c:pt idx="26">
                  <c:v>48.505000000000003</c:v>
                </c:pt>
                <c:pt idx="27">
                  <c:v>48.710999999999999</c:v>
                </c:pt>
                <c:pt idx="28">
                  <c:v>48.902999999999999</c:v>
                </c:pt>
                <c:pt idx="29">
                  <c:v>49.575000000000003</c:v>
                </c:pt>
                <c:pt idx="30">
                  <c:v>48.662999999999997</c:v>
                </c:pt>
                <c:pt idx="31">
                  <c:v>47.771999999999998</c:v>
                </c:pt>
                <c:pt idx="32">
                  <c:v>47.790999999999997</c:v>
                </c:pt>
                <c:pt idx="33">
                  <c:v>48.112000000000002</c:v>
                </c:pt>
                <c:pt idx="34">
                  <c:v>47.811999999999998</c:v>
                </c:pt>
                <c:pt idx="35">
                  <c:v>47.405000000000001</c:v>
                </c:pt>
                <c:pt idx="36">
                  <c:v>47.484999999999999</c:v>
                </c:pt>
                <c:pt idx="37">
                  <c:v>47.896000000000001</c:v>
                </c:pt>
                <c:pt idx="38">
                  <c:v>48.561999999999998</c:v>
                </c:pt>
                <c:pt idx="39">
                  <c:v>47.829000000000001</c:v>
                </c:pt>
                <c:pt idx="40">
                  <c:v>47.841000000000001</c:v>
                </c:pt>
                <c:pt idx="41">
                  <c:v>47.988</c:v>
                </c:pt>
                <c:pt idx="42">
                  <c:v>48.06</c:v>
                </c:pt>
                <c:pt idx="43">
                  <c:v>47.948999999999998</c:v>
                </c:pt>
                <c:pt idx="44">
                  <c:v>47.82</c:v>
                </c:pt>
                <c:pt idx="45">
                  <c:v>48.287999999999997</c:v>
                </c:pt>
                <c:pt idx="46">
                  <c:v>48.576999999999998</c:v>
                </c:pt>
                <c:pt idx="47">
                  <c:v>48.651000000000003</c:v>
                </c:pt>
                <c:pt idx="48">
                  <c:v>49.101999999999997</c:v>
                </c:pt>
                <c:pt idx="49">
                  <c:v>49.951000000000001</c:v>
                </c:pt>
                <c:pt idx="50">
                  <c:v>50.081000000000003</c:v>
                </c:pt>
                <c:pt idx="51">
                  <c:v>49.209000000000003</c:v>
                </c:pt>
                <c:pt idx="52">
                  <c:v>49.347999999999999</c:v>
                </c:pt>
                <c:pt idx="53">
                  <c:v>50.02</c:v>
                </c:pt>
                <c:pt idx="54">
                  <c:v>49.723999999999997</c:v>
                </c:pt>
                <c:pt idx="55">
                  <c:v>50.338999999999999</c:v>
                </c:pt>
                <c:pt idx="56">
                  <c:v>50.206000000000003</c:v>
                </c:pt>
                <c:pt idx="57">
                  <c:v>51.616</c:v>
                </c:pt>
                <c:pt idx="58">
                  <c:v>50.625999999999998</c:v>
                </c:pt>
                <c:pt idx="59">
                  <c:v>50.826999999999998</c:v>
                </c:pt>
                <c:pt idx="60">
                  <c:v>52.042000000000002</c:v>
                </c:pt>
                <c:pt idx="61">
                  <c:v>52.093000000000004</c:v>
                </c:pt>
                <c:pt idx="62">
                  <c:v>52.44</c:v>
                </c:pt>
                <c:pt idx="63">
                  <c:v>53.482999999999997</c:v>
                </c:pt>
                <c:pt idx="64">
                  <c:v>52.304000000000002</c:v>
                </c:pt>
                <c:pt idx="65">
                  <c:v>52.112000000000002</c:v>
                </c:pt>
                <c:pt idx="66">
                  <c:v>52.826999999999998</c:v>
                </c:pt>
                <c:pt idx="67">
                  <c:v>53.6</c:v>
                </c:pt>
                <c:pt idx="68">
                  <c:v>54.533999999999999</c:v>
                </c:pt>
                <c:pt idx="69">
                  <c:v>52.987000000000002</c:v>
                </c:pt>
                <c:pt idx="70">
                  <c:v>52.469000000000001</c:v>
                </c:pt>
                <c:pt idx="71">
                  <c:v>49.36</c:v>
                </c:pt>
                <c:pt idx="72">
                  <c:v>49.838999999999999</c:v>
                </c:pt>
                <c:pt idx="73">
                  <c:v>51.070999999999998</c:v>
                </c:pt>
                <c:pt idx="74">
                  <c:v>50.889000000000003</c:v>
                </c:pt>
                <c:pt idx="75">
                  <c:v>50.518999999999998</c:v>
                </c:pt>
                <c:pt idx="76">
                  <c:v>49.613999999999997</c:v>
                </c:pt>
                <c:pt idx="77">
                  <c:v>50.412999999999997</c:v>
                </c:pt>
                <c:pt idx="78">
                  <c:v>49.725999999999999</c:v>
                </c:pt>
                <c:pt idx="79">
                  <c:v>50.213000000000001</c:v>
                </c:pt>
                <c:pt idx="80">
                  <c:v>47.533999999999999</c:v>
                </c:pt>
                <c:pt idx="81">
                  <c:v>44.808</c:v>
                </c:pt>
                <c:pt idx="82">
                  <c:v>42.244</c:v>
                </c:pt>
                <c:pt idx="83">
                  <c:v>42.600999999999999</c:v>
                </c:pt>
                <c:pt idx="84">
                  <c:v>42.953000000000003</c:v>
                </c:pt>
                <c:pt idx="85">
                  <c:v>42.994</c:v>
                </c:pt>
                <c:pt idx="86">
                  <c:v>43.555999999999997</c:v>
                </c:pt>
                <c:pt idx="87">
                  <c:v>44.121000000000002</c:v>
                </c:pt>
                <c:pt idx="88">
                  <c:v>42.302</c:v>
                </c:pt>
                <c:pt idx="89">
                  <c:v>42.994999999999997</c:v>
                </c:pt>
                <c:pt idx="90">
                  <c:v>42.725000000000001</c:v>
                </c:pt>
                <c:pt idx="91">
                  <c:v>43.180999999999997</c:v>
                </c:pt>
                <c:pt idx="92">
                  <c:v>44.390999999999998</c:v>
                </c:pt>
                <c:pt idx="93">
                  <c:v>44.42</c:v>
                </c:pt>
                <c:pt idx="94">
                  <c:v>44.174999999999997</c:v>
                </c:pt>
                <c:pt idx="95">
                  <c:v>41.780999999999999</c:v>
                </c:pt>
                <c:pt idx="96">
                  <c:v>42.106999999999999</c:v>
                </c:pt>
                <c:pt idx="97">
                  <c:v>43.610999999999997</c:v>
                </c:pt>
                <c:pt idx="98">
                  <c:v>44.533999999999999</c:v>
                </c:pt>
                <c:pt idx="99">
                  <c:v>42.831000000000003</c:v>
                </c:pt>
                <c:pt idx="100">
                  <c:v>41.698</c:v>
                </c:pt>
                <c:pt idx="101">
                  <c:v>40.817</c:v>
                </c:pt>
                <c:pt idx="102">
                  <c:v>40.243000000000002</c:v>
                </c:pt>
                <c:pt idx="103">
                  <c:v>39.942</c:v>
                </c:pt>
                <c:pt idx="104">
                  <c:v>38.511000000000003</c:v>
                </c:pt>
                <c:pt idx="105">
                  <c:v>38.793999999999997</c:v>
                </c:pt>
                <c:pt idx="106">
                  <c:v>39.021999999999998</c:v>
                </c:pt>
                <c:pt idx="107">
                  <c:v>38.200000000000003</c:v>
                </c:pt>
                <c:pt idx="108">
                  <c:v>36.973999999999997</c:v>
                </c:pt>
                <c:pt idx="109">
                  <c:v>35.530999999999999</c:v>
                </c:pt>
                <c:pt idx="110">
                  <c:v>37.359000000000002</c:v>
                </c:pt>
                <c:pt idx="111">
                  <c:v>37.460999999999999</c:v>
                </c:pt>
                <c:pt idx="112">
                  <c:v>39.093000000000004</c:v>
                </c:pt>
                <c:pt idx="113">
                  <c:v>39.46</c:v>
                </c:pt>
                <c:pt idx="114">
                  <c:v>40.237000000000002</c:v>
                </c:pt>
                <c:pt idx="115">
                  <c:v>40.747999999999998</c:v>
                </c:pt>
                <c:pt idx="116">
                  <c:v>41.213000000000001</c:v>
                </c:pt>
                <c:pt idx="117">
                  <c:v>41.959000000000003</c:v>
                </c:pt>
                <c:pt idx="118">
                  <c:v>42.811</c:v>
                </c:pt>
                <c:pt idx="119">
                  <c:v>41.905999999999999</c:v>
                </c:pt>
                <c:pt idx="120">
                  <c:v>41.680999999999997</c:v>
                </c:pt>
                <c:pt idx="121">
                  <c:v>42.124000000000002</c:v>
                </c:pt>
                <c:pt idx="122">
                  <c:v>41.482999999999997</c:v>
                </c:pt>
                <c:pt idx="123">
                  <c:v>41.731999999999999</c:v>
                </c:pt>
                <c:pt idx="124">
                  <c:v>40.896999999999998</c:v>
                </c:pt>
                <c:pt idx="125">
                  <c:v>39.804000000000002</c:v>
                </c:pt>
                <c:pt idx="126">
                  <c:v>40.201000000000001</c:v>
                </c:pt>
                <c:pt idx="127">
                  <c:v>39.491</c:v>
                </c:pt>
                <c:pt idx="128">
                  <c:v>38.915999999999997</c:v>
                </c:pt>
                <c:pt idx="129">
                  <c:v>39.758000000000003</c:v>
                </c:pt>
                <c:pt idx="130">
                  <c:v>38.950000000000003</c:v>
                </c:pt>
                <c:pt idx="131">
                  <c:v>38.573</c:v>
                </c:pt>
                <c:pt idx="132">
                  <c:v>37.384999999999998</c:v>
                </c:pt>
                <c:pt idx="133">
                  <c:v>36.686999999999998</c:v>
                </c:pt>
                <c:pt idx="134">
                  <c:v>36.085999999999999</c:v>
                </c:pt>
                <c:pt idx="135">
                  <c:v>35.069000000000003</c:v>
                </c:pt>
                <c:pt idx="136">
                  <c:v>34.219000000000001</c:v>
                </c:pt>
                <c:pt idx="137">
                  <c:v>34.563000000000002</c:v>
                </c:pt>
                <c:pt idx="138">
                  <c:v>34.880000000000003</c:v>
                </c:pt>
                <c:pt idx="139">
                  <c:v>35.207999999999998</c:v>
                </c:pt>
                <c:pt idx="140">
                  <c:v>36.118000000000002</c:v>
                </c:pt>
                <c:pt idx="141">
                  <c:v>35.615000000000002</c:v>
                </c:pt>
                <c:pt idx="142">
                  <c:v>36.11</c:v>
                </c:pt>
                <c:pt idx="143">
                  <c:v>36.137999999999998</c:v>
                </c:pt>
                <c:pt idx="144">
                  <c:v>35.374000000000002</c:v>
                </c:pt>
                <c:pt idx="145">
                  <c:v>35.555999999999997</c:v>
                </c:pt>
                <c:pt idx="146">
                  <c:v>35.357999999999997</c:v>
                </c:pt>
                <c:pt idx="147">
                  <c:v>33.869</c:v>
                </c:pt>
                <c:pt idx="148">
                  <c:v>35.252000000000002</c:v>
                </c:pt>
                <c:pt idx="149">
                  <c:v>35.228000000000002</c:v>
                </c:pt>
                <c:pt idx="150">
                  <c:v>35.779000000000003</c:v>
                </c:pt>
                <c:pt idx="151">
                  <c:v>35.612000000000002</c:v>
                </c:pt>
                <c:pt idx="152">
                  <c:v>34.692</c:v>
                </c:pt>
                <c:pt idx="153">
                  <c:v>33.192</c:v>
                </c:pt>
                <c:pt idx="154">
                  <c:v>33.200000000000003</c:v>
                </c:pt>
                <c:pt idx="155">
                  <c:v>32.579000000000001</c:v>
                </c:pt>
                <c:pt idx="156">
                  <c:v>30.936</c:v>
                </c:pt>
                <c:pt idx="157">
                  <c:v>30.901</c:v>
                </c:pt>
                <c:pt idx="158">
                  <c:v>29.853000000000002</c:v>
                </c:pt>
                <c:pt idx="159">
                  <c:v>27.632999999999999</c:v>
                </c:pt>
                <c:pt idx="160">
                  <c:v>27.683</c:v>
                </c:pt>
                <c:pt idx="161">
                  <c:v>26.271999999999998</c:v>
                </c:pt>
                <c:pt idx="162">
                  <c:v>25.449000000000002</c:v>
                </c:pt>
                <c:pt idx="163">
                  <c:v>24.855</c:v>
                </c:pt>
                <c:pt idx="164">
                  <c:v>24.387</c:v>
                </c:pt>
                <c:pt idx="165">
                  <c:v>24.08</c:v>
                </c:pt>
                <c:pt idx="166">
                  <c:v>23.221</c:v>
                </c:pt>
                <c:pt idx="167">
                  <c:v>24.233000000000001</c:v>
                </c:pt>
                <c:pt idx="168">
                  <c:v>24.045999999999999</c:v>
                </c:pt>
                <c:pt idx="169">
                  <c:v>22.797000000000001</c:v>
                </c:pt>
                <c:pt idx="170">
                  <c:v>21.138000000000002</c:v>
                </c:pt>
                <c:pt idx="171">
                  <c:v>21.556000000000001</c:v>
                </c:pt>
                <c:pt idx="172">
                  <c:v>21.297999999999998</c:v>
                </c:pt>
                <c:pt idx="173">
                  <c:v>21.236999999999998</c:v>
                </c:pt>
                <c:pt idx="174">
                  <c:v>20.161000000000001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F-45AF-BF99-BB92B20A1F44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data_ghg_incLUC!$F$3:$F$177</c:f>
              <c:numCache>
                <c:formatCode>0.0</c:formatCode>
                <c:ptCount val="175"/>
                <c:pt idx="0">
                  <c:v>5.3879999999999981</c:v>
                </c:pt>
                <c:pt idx="1">
                  <c:v>5.7299999999999969</c:v>
                </c:pt>
                <c:pt idx="2">
                  <c:v>9.9720000000000013</c:v>
                </c:pt>
                <c:pt idx="3">
                  <c:v>10.087000000000003</c:v>
                </c:pt>
                <c:pt idx="4">
                  <c:v>10.664000000000001</c:v>
                </c:pt>
                <c:pt idx="5">
                  <c:v>11.613</c:v>
                </c:pt>
                <c:pt idx="6">
                  <c:v>11.927</c:v>
                </c:pt>
                <c:pt idx="7">
                  <c:v>12.228000000000002</c:v>
                </c:pt>
                <c:pt idx="8">
                  <c:v>12.186</c:v>
                </c:pt>
                <c:pt idx="9">
                  <c:v>12.243000000000002</c:v>
                </c:pt>
                <c:pt idx="10">
                  <c:v>11.597000000000001</c:v>
                </c:pt>
                <c:pt idx="11">
                  <c:v>11.836000000000006</c:v>
                </c:pt>
                <c:pt idx="12">
                  <c:v>9.2689999999999984</c:v>
                </c:pt>
                <c:pt idx="13">
                  <c:v>8.8730000000000047</c:v>
                </c:pt>
                <c:pt idx="14">
                  <c:v>9.4149999999999991</c:v>
                </c:pt>
                <c:pt idx="15">
                  <c:v>9.1359999999999957</c:v>
                </c:pt>
                <c:pt idx="16">
                  <c:v>9.4679999999999964</c:v>
                </c:pt>
                <c:pt idx="17">
                  <c:v>8.6199999999999974</c:v>
                </c:pt>
                <c:pt idx="18">
                  <c:v>8.6760000000000019</c:v>
                </c:pt>
                <c:pt idx="19">
                  <c:v>8.9369999999999976</c:v>
                </c:pt>
                <c:pt idx="20">
                  <c:v>7.1159999999999997</c:v>
                </c:pt>
                <c:pt idx="21">
                  <c:v>4.9109999999999943</c:v>
                </c:pt>
                <c:pt idx="22">
                  <c:v>7.9840000000000018</c:v>
                </c:pt>
                <c:pt idx="23">
                  <c:v>7.1529999999999987</c:v>
                </c:pt>
                <c:pt idx="24">
                  <c:v>7.1199999999999974</c:v>
                </c:pt>
                <c:pt idx="25">
                  <c:v>6.7180000000000035</c:v>
                </c:pt>
                <c:pt idx="26">
                  <c:v>6.5459999999999994</c:v>
                </c:pt>
                <c:pt idx="27">
                  <c:v>6.5680000000000049</c:v>
                </c:pt>
                <c:pt idx="28">
                  <c:v>6.3719999999999999</c:v>
                </c:pt>
                <c:pt idx="29">
                  <c:v>6.1849999999999952</c:v>
                </c:pt>
                <c:pt idx="30">
                  <c:v>8.0300000000000011</c:v>
                </c:pt>
                <c:pt idx="31">
                  <c:v>7.9890000000000043</c:v>
                </c:pt>
                <c:pt idx="32">
                  <c:v>6.3740000000000023</c:v>
                </c:pt>
                <c:pt idx="33">
                  <c:v>6.0970000000000013</c:v>
                </c:pt>
                <c:pt idx="34">
                  <c:v>6.0990000000000038</c:v>
                </c:pt>
                <c:pt idx="35">
                  <c:v>6.1989999999999981</c:v>
                </c:pt>
                <c:pt idx="36">
                  <c:v>5.980000000000004</c:v>
                </c:pt>
                <c:pt idx="37">
                  <c:v>5.6999999999999957</c:v>
                </c:pt>
                <c:pt idx="38">
                  <c:v>5.7000000000000028</c:v>
                </c:pt>
                <c:pt idx="39">
                  <c:v>6.0720000000000027</c:v>
                </c:pt>
                <c:pt idx="40">
                  <c:v>6.6109999999999971</c:v>
                </c:pt>
                <c:pt idx="41">
                  <c:v>6.6779999999999973</c:v>
                </c:pt>
                <c:pt idx="42">
                  <c:v>6.9179999999999993</c:v>
                </c:pt>
                <c:pt idx="43">
                  <c:v>6.6240000000000023</c:v>
                </c:pt>
                <c:pt idx="44">
                  <c:v>6.6109999999999971</c:v>
                </c:pt>
                <c:pt idx="45">
                  <c:v>6.4790000000000063</c:v>
                </c:pt>
                <c:pt idx="46">
                  <c:v>6.3170000000000002</c:v>
                </c:pt>
                <c:pt idx="47">
                  <c:v>6.4799999999999969</c:v>
                </c:pt>
                <c:pt idx="48">
                  <c:v>6.2550000000000026</c:v>
                </c:pt>
                <c:pt idx="49">
                  <c:v>6.2040000000000006</c:v>
                </c:pt>
                <c:pt idx="50">
                  <c:v>6.4969999999999999</c:v>
                </c:pt>
                <c:pt idx="51">
                  <c:v>5.6479999999999961</c:v>
                </c:pt>
                <c:pt idx="52">
                  <c:v>4.1400000000000006</c:v>
                </c:pt>
                <c:pt idx="53">
                  <c:v>3.5739999999999981</c:v>
                </c:pt>
                <c:pt idx="54">
                  <c:v>2.7870000000000061</c:v>
                </c:pt>
                <c:pt idx="55">
                  <c:v>2.1709999999999994</c:v>
                </c:pt>
                <c:pt idx="56">
                  <c:v>1.5869999999999962</c:v>
                </c:pt>
                <c:pt idx="57">
                  <c:v>1.4260000000000019</c:v>
                </c:pt>
                <c:pt idx="58">
                  <c:v>1.1460000000000008</c:v>
                </c:pt>
                <c:pt idx="59">
                  <c:v>1.1720000000000041</c:v>
                </c:pt>
                <c:pt idx="60">
                  <c:v>0.50300000000000011</c:v>
                </c:pt>
                <c:pt idx="61">
                  <c:v>1.502999999999993</c:v>
                </c:pt>
                <c:pt idx="62">
                  <c:v>1.6240000000000023</c:v>
                </c:pt>
                <c:pt idx="63">
                  <c:v>2.0830000000000055</c:v>
                </c:pt>
                <c:pt idx="64">
                  <c:v>1.9899999999999949</c:v>
                </c:pt>
                <c:pt idx="65">
                  <c:v>2.107999999999997</c:v>
                </c:pt>
                <c:pt idx="66">
                  <c:v>2.1559999999999988</c:v>
                </c:pt>
                <c:pt idx="67">
                  <c:v>1.7569999999999979</c:v>
                </c:pt>
                <c:pt idx="68">
                  <c:v>1.2910000000000039</c:v>
                </c:pt>
                <c:pt idx="69">
                  <c:v>1.088000000000001</c:v>
                </c:pt>
                <c:pt idx="70">
                  <c:v>2.8350000000000009</c:v>
                </c:pt>
                <c:pt idx="71">
                  <c:v>1.9160000000000039</c:v>
                </c:pt>
                <c:pt idx="72">
                  <c:v>1.4370000000000047</c:v>
                </c:pt>
                <c:pt idx="73">
                  <c:v>2.1129999999999995</c:v>
                </c:pt>
                <c:pt idx="74">
                  <c:v>1.5689999999999955</c:v>
                </c:pt>
                <c:pt idx="75">
                  <c:v>1.7480000000000047</c:v>
                </c:pt>
                <c:pt idx="76">
                  <c:v>1.5519999999999996</c:v>
                </c:pt>
                <c:pt idx="77">
                  <c:v>2.5160000000000053</c:v>
                </c:pt>
                <c:pt idx="78">
                  <c:v>2.5200000000000031</c:v>
                </c:pt>
                <c:pt idx="79">
                  <c:v>3.2190000000000012</c:v>
                </c:pt>
                <c:pt idx="80">
                  <c:v>5.0150000000000006</c:v>
                </c:pt>
                <c:pt idx="81">
                  <c:v>5.0309999999999988</c:v>
                </c:pt>
                <c:pt idx="82">
                  <c:v>3.4279999999999973</c:v>
                </c:pt>
                <c:pt idx="83">
                  <c:v>3.2910000000000039</c:v>
                </c:pt>
                <c:pt idx="84">
                  <c:v>3.4229999999999947</c:v>
                </c:pt>
                <c:pt idx="85">
                  <c:v>3.3969999999999985</c:v>
                </c:pt>
                <c:pt idx="86">
                  <c:v>3.5130000000000052</c:v>
                </c:pt>
                <c:pt idx="87">
                  <c:v>3.2879999999999967</c:v>
                </c:pt>
                <c:pt idx="88">
                  <c:v>3.088000000000001</c:v>
                </c:pt>
                <c:pt idx="89">
                  <c:v>3.1709999999999994</c:v>
                </c:pt>
                <c:pt idx="90">
                  <c:v>2.8859999999999957</c:v>
                </c:pt>
                <c:pt idx="91">
                  <c:v>3.4980000000000047</c:v>
                </c:pt>
                <c:pt idx="92">
                  <c:v>3.6880000000000024</c:v>
                </c:pt>
                <c:pt idx="93">
                  <c:v>2.9480000000000004</c:v>
                </c:pt>
                <c:pt idx="94">
                  <c:v>2.730000000000004</c:v>
                </c:pt>
                <c:pt idx="95">
                  <c:v>2.1540000000000035</c:v>
                </c:pt>
                <c:pt idx="96">
                  <c:v>0.90800000000000125</c:v>
                </c:pt>
                <c:pt idx="97">
                  <c:v>1.1750000000000043</c:v>
                </c:pt>
                <c:pt idx="98">
                  <c:v>0.86899999999999977</c:v>
                </c:pt>
                <c:pt idx="99">
                  <c:v>0.35899999999999466</c:v>
                </c:pt>
                <c:pt idx="100">
                  <c:v>3.3599999999999994</c:v>
                </c:pt>
                <c:pt idx="101">
                  <c:v>3.5489999999999995</c:v>
                </c:pt>
                <c:pt idx="102">
                  <c:v>2.3810000000000002</c:v>
                </c:pt>
                <c:pt idx="103">
                  <c:v>2.3419999999999987</c:v>
                </c:pt>
                <c:pt idx="104">
                  <c:v>2.7149999999999963</c:v>
                </c:pt>
                <c:pt idx="105">
                  <c:v>2.5770000000000053</c:v>
                </c:pt>
                <c:pt idx="106">
                  <c:v>2.4819999999999993</c:v>
                </c:pt>
                <c:pt idx="107">
                  <c:v>2.4609999999999985</c:v>
                </c:pt>
                <c:pt idx="108">
                  <c:v>2.5560000000000045</c:v>
                </c:pt>
                <c:pt idx="109">
                  <c:v>3.642000000000003</c:v>
                </c:pt>
                <c:pt idx="110">
                  <c:v>2.2469999999999999</c:v>
                </c:pt>
                <c:pt idx="111">
                  <c:v>2.0020000000000024</c:v>
                </c:pt>
                <c:pt idx="112">
                  <c:v>1.2249999999999943</c:v>
                </c:pt>
                <c:pt idx="113">
                  <c:v>1.2789999999999964</c:v>
                </c:pt>
                <c:pt idx="114">
                  <c:v>0.80499999999999972</c:v>
                </c:pt>
                <c:pt idx="115">
                  <c:v>0.29400000000000404</c:v>
                </c:pt>
                <c:pt idx="116">
                  <c:v>0.10099999999999909</c:v>
                </c:pt>
                <c:pt idx="117">
                  <c:v>1.0849999999999937</c:v>
                </c:pt>
                <c:pt idx="118">
                  <c:v>0.92399999999999949</c:v>
                </c:pt>
                <c:pt idx="119">
                  <c:v>1.4209999999999994</c:v>
                </c:pt>
                <c:pt idx="120">
                  <c:v>1.8000000000000043</c:v>
                </c:pt>
                <c:pt idx="121">
                  <c:v>0.98699999999999477</c:v>
                </c:pt>
                <c:pt idx="122">
                  <c:v>2.0010000000000048</c:v>
                </c:pt>
                <c:pt idx="123">
                  <c:v>1.7620000000000005</c:v>
                </c:pt>
                <c:pt idx="124">
                  <c:v>1.7079999999999984</c:v>
                </c:pt>
                <c:pt idx="125">
                  <c:v>1.3249999999999957</c:v>
                </c:pt>
                <c:pt idx="126">
                  <c:v>1.1869999999999976</c:v>
                </c:pt>
                <c:pt idx="127">
                  <c:v>1.3870000000000005</c:v>
                </c:pt>
                <c:pt idx="128">
                  <c:v>1.7850000000000037</c:v>
                </c:pt>
                <c:pt idx="129">
                  <c:v>1.1019999999999968</c:v>
                </c:pt>
                <c:pt idx="130">
                  <c:v>1.1489999999999938</c:v>
                </c:pt>
                <c:pt idx="131">
                  <c:v>0.94299999999999784</c:v>
                </c:pt>
                <c:pt idx="132">
                  <c:v>0.10099999999999909</c:v>
                </c:pt>
                <c:pt idx="133">
                  <c:v>0.10699999999999932</c:v>
                </c:pt>
                <c:pt idx="134">
                  <c:v>0.38600000000000279</c:v>
                </c:pt>
                <c:pt idx="135">
                  <c:v>0.71999999999999886</c:v>
                </c:pt>
                <c:pt idx="136">
                  <c:v>1.0159999999999982</c:v>
                </c:pt>
                <c:pt idx="137">
                  <c:v>0.61599999999999966</c:v>
                </c:pt>
                <c:pt idx="138">
                  <c:v>0.37399999999999523</c:v>
                </c:pt>
                <c:pt idx="139">
                  <c:v>0.13400000000000034</c:v>
                </c:pt>
                <c:pt idx="140">
                  <c:v>2</c:v>
                </c:pt>
                <c:pt idx="141">
                  <c:v>2.171999999999997</c:v>
                </c:pt>
                <c:pt idx="142">
                  <c:v>1.9029999999999987</c:v>
                </c:pt>
                <c:pt idx="143">
                  <c:v>2.2259999999999991</c:v>
                </c:pt>
                <c:pt idx="144">
                  <c:v>6.2999999999999972</c:v>
                </c:pt>
                <c:pt idx="145">
                  <c:v>4.963000000000001</c:v>
                </c:pt>
                <c:pt idx="146">
                  <c:v>5.5930000000000035</c:v>
                </c:pt>
                <c:pt idx="147">
                  <c:v>7.8019999999999996</c:v>
                </c:pt>
                <c:pt idx="148">
                  <c:v>5.7079999999999984</c:v>
                </c:pt>
                <c:pt idx="149">
                  <c:v>5.9639999999999986</c:v>
                </c:pt>
                <c:pt idx="150">
                  <c:v>6.1069999999999993</c:v>
                </c:pt>
                <c:pt idx="151">
                  <c:v>5.4919999999999973</c:v>
                </c:pt>
                <c:pt idx="152">
                  <c:v>5.3350000000000009</c:v>
                </c:pt>
                <c:pt idx="153">
                  <c:v>4.1060000000000016</c:v>
                </c:pt>
                <c:pt idx="154">
                  <c:v>2.9259999999999948</c:v>
                </c:pt>
                <c:pt idx="155">
                  <c:v>3.2430000000000021</c:v>
                </c:pt>
                <c:pt idx="156">
                  <c:v>4.0150000000000006</c:v>
                </c:pt>
                <c:pt idx="157">
                  <c:v>4.16</c:v>
                </c:pt>
                <c:pt idx="158">
                  <c:v>3.6670000000000016</c:v>
                </c:pt>
                <c:pt idx="159">
                  <c:v>4.6699999999999982</c:v>
                </c:pt>
                <c:pt idx="160">
                  <c:v>4.3810000000000002</c:v>
                </c:pt>
                <c:pt idx="161">
                  <c:v>3.1800000000000033</c:v>
                </c:pt>
                <c:pt idx="162">
                  <c:v>2.7479999999999976</c:v>
                </c:pt>
                <c:pt idx="163">
                  <c:v>3.8369999999999997</c:v>
                </c:pt>
                <c:pt idx="164">
                  <c:v>3.4549999999999983</c:v>
                </c:pt>
                <c:pt idx="165">
                  <c:v>2.8060000000000009</c:v>
                </c:pt>
                <c:pt idx="166">
                  <c:v>3.1679999999999993</c:v>
                </c:pt>
                <c:pt idx="167">
                  <c:v>1.8990000000000009</c:v>
                </c:pt>
                <c:pt idx="168">
                  <c:v>2.0489999999999995</c:v>
                </c:pt>
                <c:pt idx="169">
                  <c:v>2.2319999999999993</c:v>
                </c:pt>
                <c:pt idx="170">
                  <c:v>2.7759999999999998</c:v>
                </c:pt>
                <c:pt idx="171">
                  <c:v>1.8009999999999984</c:v>
                </c:pt>
                <c:pt idx="172">
                  <c:v>1.4750000000000014</c:v>
                </c:pt>
                <c:pt idx="173">
                  <c:v>1.0010000000000012</c:v>
                </c:pt>
                <c:pt idx="174">
                  <c:v>4.1639999999999979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F-45AF-BF99-BB92B20A1F44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F-45AF-BF99-BB92B20A1F44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data_ghg_incLUC!$H$3:$H$177</c:f>
              <c:numCache>
                <c:formatCode>0.0</c:formatCode>
                <c:ptCount val="175"/>
                <c:pt idx="0">
                  <c:v>12.667999999999999</c:v>
                </c:pt>
                <c:pt idx="1">
                  <c:v>11.887</c:v>
                </c:pt>
                <c:pt idx="2">
                  <c:v>8.0759999999999934</c:v>
                </c:pt>
                <c:pt idx="3">
                  <c:v>7.2819999999999965</c:v>
                </c:pt>
                <c:pt idx="4">
                  <c:v>6.9499999999999957</c:v>
                </c:pt>
                <c:pt idx="5">
                  <c:v>5.8900000000000006</c:v>
                </c:pt>
                <c:pt idx="6">
                  <c:v>5.5779999999999959</c:v>
                </c:pt>
                <c:pt idx="7">
                  <c:v>5.3329999999999984</c:v>
                </c:pt>
                <c:pt idx="8">
                  <c:v>5.3419999999999987</c:v>
                </c:pt>
                <c:pt idx="9">
                  <c:v>5.1989999999999981</c:v>
                </c:pt>
                <c:pt idx="10">
                  <c:v>6.0079999999999956</c:v>
                </c:pt>
                <c:pt idx="11">
                  <c:v>6.2590000000000003</c:v>
                </c:pt>
                <c:pt idx="12">
                  <c:v>8.9420000000000002</c:v>
                </c:pt>
                <c:pt idx="13">
                  <c:v>9.0889999999999986</c:v>
                </c:pt>
                <c:pt idx="14">
                  <c:v>9.1890000000000001</c:v>
                </c:pt>
                <c:pt idx="15">
                  <c:v>9.2950000000000017</c:v>
                </c:pt>
                <c:pt idx="16">
                  <c:v>9.6970000000000027</c:v>
                </c:pt>
                <c:pt idx="17">
                  <c:v>9.5990000000000038</c:v>
                </c:pt>
                <c:pt idx="18">
                  <c:v>9.9229999999999947</c:v>
                </c:pt>
                <c:pt idx="19">
                  <c:v>9.7409999999999997</c:v>
                </c:pt>
                <c:pt idx="20">
                  <c:v>11.576000000000001</c:v>
                </c:pt>
                <c:pt idx="21">
                  <c:v>12.973000000000006</c:v>
                </c:pt>
                <c:pt idx="22">
                  <c:v>10.022999999999996</c:v>
                </c:pt>
                <c:pt idx="23">
                  <c:v>10.318999999999996</c:v>
                </c:pt>
                <c:pt idx="24">
                  <c:v>10.908000000000001</c:v>
                </c:pt>
                <c:pt idx="25">
                  <c:v>10.853000000000002</c:v>
                </c:pt>
                <c:pt idx="26">
                  <c:v>11.218999999999994</c:v>
                </c:pt>
                <c:pt idx="27">
                  <c:v>11.079000000000001</c:v>
                </c:pt>
                <c:pt idx="28">
                  <c:v>11.445</c:v>
                </c:pt>
                <c:pt idx="29">
                  <c:v>11.555</c:v>
                </c:pt>
                <c:pt idx="30">
                  <c:v>9.7160000000000082</c:v>
                </c:pt>
                <c:pt idx="31">
                  <c:v>9.8019999999999996</c:v>
                </c:pt>
                <c:pt idx="32">
                  <c:v>11.329000000000001</c:v>
                </c:pt>
                <c:pt idx="33">
                  <c:v>11.530000000000001</c:v>
                </c:pt>
                <c:pt idx="34">
                  <c:v>11.864000000000004</c:v>
                </c:pt>
                <c:pt idx="35">
                  <c:v>12.007000000000005</c:v>
                </c:pt>
                <c:pt idx="36">
                  <c:v>11.989999999999995</c:v>
                </c:pt>
                <c:pt idx="37">
                  <c:v>11.815000000000005</c:v>
                </c:pt>
                <c:pt idx="38">
                  <c:v>11.798000000000002</c:v>
                </c:pt>
                <c:pt idx="39">
                  <c:v>11.630999999999993</c:v>
                </c:pt>
                <c:pt idx="40">
                  <c:v>11.683000000000007</c:v>
                </c:pt>
                <c:pt idx="41">
                  <c:v>11.602000000000004</c:v>
                </c:pt>
                <c:pt idx="42">
                  <c:v>11.583000000000006</c:v>
                </c:pt>
                <c:pt idx="43">
                  <c:v>11.913999999999994</c:v>
                </c:pt>
                <c:pt idx="44">
                  <c:v>12.268000000000001</c:v>
                </c:pt>
                <c:pt idx="45">
                  <c:v>12.086999999999996</c:v>
                </c:pt>
                <c:pt idx="46">
                  <c:v>12.172999999999995</c:v>
                </c:pt>
                <c:pt idx="47">
                  <c:v>12.064999999999998</c:v>
                </c:pt>
                <c:pt idx="48">
                  <c:v>12.424000000000007</c:v>
                </c:pt>
                <c:pt idx="49">
                  <c:v>12.147000000000006</c:v>
                </c:pt>
                <c:pt idx="50">
                  <c:v>12.105999999999995</c:v>
                </c:pt>
                <c:pt idx="51">
                  <c:v>12.224000000000004</c:v>
                </c:pt>
                <c:pt idx="52">
                  <c:v>12.117999999999995</c:v>
                </c:pt>
                <c:pt idx="53">
                  <c:v>11.731000000000002</c:v>
                </c:pt>
                <c:pt idx="54">
                  <c:v>11.764000000000003</c:v>
                </c:pt>
                <c:pt idx="55">
                  <c:v>11.429000000000002</c:v>
                </c:pt>
                <c:pt idx="56">
                  <c:v>11.390999999999998</c:v>
                </c:pt>
                <c:pt idx="57">
                  <c:v>11.198999999999998</c:v>
                </c:pt>
                <c:pt idx="58">
                  <c:v>11.459000000000003</c:v>
                </c:pt>
                <c:pt idx="59">
                  <c:v>11.436999999999998</c:v>
                </c:pt>
                <c:pt idx="60">
                  <c:v>11.216000000000001</c:v>
                </c:pt>
                <c:pt idx="61">
                  <c:v>11.512999999999998</c:v>
                </c:pt>
                <c:pt idx="62">
                  <c:v>11.791000000000004</c:v>
                </c:pt>
                <c:pt idx="63">
                  <c:v>11.948999999999998</c:v>
                </c:pt>
                <c:pt idx="64">
                  <c:v>12.061999999999998</c:v>
                </c:pt>
                <c:pt idx="65">
                  <c:v>11.674000000000007</c:v>
                </c:pt>
                <c:pt idx="66">
                  <c:v>11.538000000000004</c:v>
                </c:pt>
                <c:pt idx="67">
                  <c:v>10.992999999999995</c:v>
                </c:pt>
                <c:pt idx="68">
                  <c:v>9.9560000000000031</c:v>
                </c:pt>
                <c:pt idx="69">
                  <c:v>9.3419999999999987</c:v>
                </c:pt>
                <c:pt idx="70">
                  <c:v>8.6580000000000013</c:v>
                </c:pt>
                <c:pt idx="71">
                  <c:v>10.396999999999998</c:v>
                </c:pt>
                <c:pt idx="72">
                  <c:v>10.661999999999999</c:v>
                </c:pt>
                <c:pt idx="73">
                  <c:v>9.8160000000000025</c:v>
                </c:pt>
                <c:pt idx="74">
                  <c:v>9.9669999999999987</c:v>
                </c:pt>
                <c:pt idx="75">
                  <c:v>10.232999999999997</c:v>
                </c:pt>
                <c:pt idx="76">
                  <c:v>10.883000000000003</c:v>
                </c:pt>
                <c:pt idx="77">
                  <c:v>10.045999999999999</c:v>
                </c:pt>
                <c:pt idx="78">
                  <c:v>10.213000000000001</c:v>
                </c:pt>
                <c:pt idx="79">
                  <c:v>9.902000000000001</c:v>
                </c:pt>
                <c:pt idx="80">
                  <c:v>9.8909999999999982</c:v>
                </c:pt>
                <c:pt idx="81">
                  <c:v>11.164000000000001</c:v>
                </c:pt>
                <c:pt idx="82">
                  <c:v>13.039000000000001</c:v>
                </c:pt>
                <c:pt idx="83">
                  <c:v>13.04</c:v>
                </c:pt>
                <c:pt idx="84">
                  <c:v>13.21</c:v>
                </c:pt>
                <c:pt idx="85">
                  <c:v>13.280999999999999</c:v>
                </c:pt>
                <c:pt idx="86">
                  <c:v>13.198</c:v>
                </c:pt>
                <c:pt idx="87">
                  <c:v>12.997</c:v>
                </c:pt>
                <c:pt idx="88">
                  <c:v>13.548999999999999</c:v>
                </c:pt>
                <c:pt idx="89">
                  <c:v>13.134</c:v>
                </c:pt>
                <c:pt idx="90">
                  <c:v>13.687000000000005</c:v>
                </c:pt>
                <c:pt idx="91">
                  <c:v>11.405999999999999</c:v>
                </c:pt>
                <c:pt idx="92">
                  <c:v>9.2029999999999959</c:v>
                </c:pt>
                <c:pt idx="93">
                  <c:v>9.4939999999999998</c:v>
                </c:pt>
                <c:pt idx="94">
                  <c:v>9.3780000000000001</c:v>
                </c:pt>
                <c:pt idx="95">
                  <c:v>9.1269999999999953</c:v>
                </c:pt>
                <c:pt idx="96">
                  <c:v>10.295000000000002</c:v>
                </c:pt>
                <c:pt idx="97">
                  <c:v>9.6049999999999969</c:v>
                </c:pt>
                <c:pt idx="98">
                  <c:v>9.5600000000000023</c:v>
                </c:pt>
                <c:pt idx="99">
                  <c:v>10.380000000000003</c:v>
                </c:pt>
                <c:pt idx="100">
                  <c:v>8.0649999999999977</c:v>
                </c:pt>
                <c:pt idx="101">
                  <c:v>8.3659999999999997</c:v>
                </c:pt>
                <c:pt idx="102">
                  <c:v>10.157999999999994</c:v>
                </c:pt>
                <c:pt idx="103">
                  <c:v>10.673000000000002</c:v>
                </c:pt>
                <c:pt idx="104">
                  <c:v>10.783999999999999</c:v>
                </c:pt>
                <c:pt idx="105">
                  <c:v>11.266999999999996</c:v>
                </c:pt>
                <c:pt idx="106">
                  <c:v>11.731000000000002</c:v>
                </c:pt>
                <c:pt idx="107">
                  <c:v>12.195999999999998</c:v>
                </c:pt>
                <c:pt idx="108">
                  <c:v>12.521000000000001</c:v>
                </c:pt>
                <c:pt idx="109">
                  <c:v>12.458999999999996</c:v>
                </c:pt>
                <c:pt idx="110">
                  <c:v>13.442</c:v>
                </c:pt>
                <c:pt idx="111">
                  <c:v>13.967999999999996</c:v>
                </c:pt>
                <c:pt idx="112">
                  <c:v>14.064</c:v>
                </c:pt>
                <c:pt idx="113">
                  <c:v>14.303000000000004</c:v>
                </c:pt>
                <c:pt idx="114">
                  <c:v>14.818999999999996</c:v>
                </c:pt>
                <c:pt idx="115">
                  <c:v>15.388999999999996</c:v>
                </c:pt>
                <c:pt idx="116">
                  <c:v>15.633000000000003</c:v>
                </c:pt>
                <c:pt idx="117">
                  <c:v>15.780000000000001</c:v>
                </c:pt>
                <c:pt idx="118">
                  <c:v>15.929000000000002</c:v>
                </c:pt>
                <c:pt idx="119">
                  <c:v>13.835999999999999</c:v>
                </c:pt>
                <c:pt idx="120">
                  <c:v>13.798999999999999</c:v>
                </c:pt>
                <c:pt idx="121">
                  <c:v>14.649000000000001</c:v>
                </c:pt>
                <c:pt idx="122">
                  <c:v>13.507999999999996</c:v>
                </c:pt>
                <c:pt idx="123">
                  <c:v>13.951000000000001</c:v>
                </c:pt>
                <c:pt idx="124">
                  <c:v>14.432000000000002</c:v>
                </c:pt>
                <c:pt idx="125">
                  <c:v>15.363</c:v>
                </c:pt>
                <c:pt idx="126">
                  <c:v>15.666000000000004</c:v>
                </c:pt>
                <c:pt idx="127">
                  <c:v>15.267000000000003</c:v>
                </c:pt>
                <c:pt idx="128">
                  <c:v>15.052999999999997</c:v>
                </c:pt>
                <c:pt idx="129">
                  <c:v>15.700000000000003</c:v>
                </c:pt>
                <c:pt idx="130">
                  <c:v>16.416000000000004</c:v>
                </c:pt>
                <c:pt idx="131">
                  <c:v>16.295999999999999</c:v>
                </c:pt>
                <c:pt idx="132">
                  <c:v>17.463000000000001</c:v>
                </c:pt>
                <c:pt idx="133">
                  <c:v>17.405000000000001</c:v>
                </c:pt>
                <c:pt idx="134">
                  <c:v>16.86</c:v>
                </c:pt>
                <c:pt idx="135">
                  <c:v>16.806999999999995</c:v>
                </c:pt>
                <c:pt idx="136">
                  <c:v>16.332000000000001</c:v>
                </c:pt>
                <c:pt idx="137">
                  <c:v>16.625</c:v>
                </c:pt>
                <c:pt idx="138">
                  <c:v>16.664000000000001</c:v>
                </c:pt>
                <c:pt idx="139">
                  <c:v>16.326000000000001</c:v>
                </c:pt>
                <c:pt idx="140">
                  <c:v>14.140999999999998</c:v>
                </c:pt>
                <c:pt idx="141">
                  <c:v>12.700000000000003</c:v>
                </c:pt>
                <c:pt idx="142">
                  <c:v>11.285000000000004</c:v>
                </c:pt>
                <c:pt idx="143">
                  <c:v>9.6910000000000025</c:v>
                </c:pt>
                <c:pt idx="144">
                  <c:v>4.7999999999999972</c:v>
                </c:pt>
                <c:pt idx="145">
                  <c:v>5.6660000000000039</c:v>
                </c:pt>
                <c:pt idx="146">
                  <c:v>5.0589999999999975</c:v>
                </c:pt>
                <c:pt idx="147">
                  <c:v>1.6219999999999999</c:v>
                </c:pt>
                <c:pt idx="148">
                  <c:v>3.8359999999999985</c:v>
                </c:pt>
                <c:pt idx="149">
                  <c:v>3.4200000000000017</c:v>
                </c:pt>
                <c:pt idx="150">
                  <c:v>2.9019999999999939</c:v>
                </c:pt>
                <c:pt idx="151">
                  <c:v>2.615000000000002</c:v>
                </c:pt>
                <c:pt idx="152">
                  <c:v>2.8269999999999982</c:v>
                </c:pt>
                <c:pt idx="153">
                  <c:v>4.5009999999999977</c:v>
                </c:pt>
                <c:pt idx="154">
                  <c:v>3.5160000000000053</c:v>
                </c:pt>
                <c:pt idx="155">
                  <c:v>2.3810000000000002</c:v>
                </c:pt>
                <c:pt idx="156">
                  <c:v>3.1599999999999966</c:v>
                </c:pt>
                <c:pt idx="157">
                  <c:v>3.0189999999999984</c:v>
                </c:pt>
                <c:pt idx="158">
                  <c:v>2.6239999999999952</c:v>
                </c:pt>
                <c:pt idx="159">
                  <c:v>0.87700000000000244</c:v>
                </c:pt>
                <c:pt idx="160">
                  <c:v>0.65699999999999648</c:v>
                </c:pt>
                <c:pt idx="161">
                  <c:v>3.9589999999999996</c:v>
                </c:pt>
                <c:pt idx="162">
                  <c:v>3.7010000000000005</c:v>
                </c:pt>
                <c:pt idx="163">
                  <c:v>1.0399999999999991</c:v>
                </c:pt>
                <c:pt idx="164">
                  <c:v>1.3510000000000026</c:v>
                </c:pt>
                <c:pt idx="165">
                  <c:v>1.7020000000000017</c:v>
                </c:pt>
                <c:pt idx="166">
                  <c:v>1.5549999999999997</c:v>
                </c:pt>
                <c:pt idx="167">
                  <c:v>2.8609999999999971</c:v>
                </c:pt>
                <c:pt idx="168">
                  <c:v>3.2830000000000013</c:v>
                </c:pt>
                <c:pt idx="169">
                  <c:v>2.9869999999999983</c:v>
                </c:pt>
                <c:pt idx="170">
                  <c:v>2.2369999999999983</c:v>
                </c:pt>
                <c:pt idx="171">
                  <c:v>3.6810000000000009</c:v>
                </c:pt>
                <c:pt idx="172">
                  <c:v>3.3279999999999994</c:v>
                </c:pt>
                <c:pt idx="173">
                  <c:v>4.4149999999999991</c:v>
                </c:pt>
                <c:pt idx="174">
                  <c:v>0.65300000000000225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BF-45AF-BF99-BB92B20A1F44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data_ghg_incLUC!$Q$3:$Q$177</c:f>
              <c:numCache>
                <c:formatCode>0.0</c:formatCode>
                <c:ptCount val="175"/>
                <c:pt idx="0">
                  <c:v>1.6009999999999991</c:v>
                </c:pt>
                <c:pt idx="1">
                  <c:v>2.5289999999999964</c:v>
                </c:pt>
                <c:pt idx="2">
                  <c:v>5.6300000000000026</c:v>
                </c:pt>
                <c:pt idx="3">
                  <c:v>6.4699999999999989</c:v>
                </c:pt>
                <c:pt idx="4">
                  <c:v>6.7450000000000045</c:v>
                </c:pt>
                <c:pt idx="5">
                  <c:v>7.9050000000000011</c:v>
                </c:pt>
                <c:pt idx="6">
                  <c:v>8.1540000000000035</c:v>
                </c:pt>
                <c:pt idx="7">
                  <c:v>8.392000000000003</c:v>
                </c:pt>
                <c:pt idx="8">
                  <c:v>8.3879999999999981</c:v>
                </c:pt>
                <c:pt idx="9">
                  <c:v>8.4490000000000052</c:v>
                </c:pt>
                <c:pt idx="10">
                  <c:v>7.5459999999999994</c:v>
                </c:pt>
                <c:pt idx="11">
                  <c:v>7.4849999999999994</c:v>
                </c:pt>
                <c:pt idx="12">
                  <c:v>4.9269999999999996</c:v>
                </c:pt>
                <c:pt idx="13">
                  <c:v>4.8160000000000025</c:v>
                </c:pt>
                <c:pt idx="14">
                  <c:v>4.6999999999999957</c:v>
                </c:pt>
                <c:pt idx="15">
                  <c:v>4.5929999999999964</c:v>
                </c:pt>
                <c:pt idx="16">
                  <c:v>4.2310000000000016</c:v>
                </c:pt>
                <c:pt idx="17">
                  <c:v>4.330999999999996</c:v>
                </c:pt>
                <c:pt idx="18">
                  <c:v>4.0640000000000001</c:v>
                </c:pt>
                <c:pt idx="19">
                  <c:v>4.2439999999999998</c:v>
                </c:pt>
                <c:pt idx="20">
                  <c:v>2.4660000000000011</c:v>
                </c:pt>
                <c:pt idx="21">
                  <c:v>0.64999999999999147</c:v>
                </c:pt>
                <c:pt idx="22">
                  <c:v>2.5960000000000036</c:v>
                </c:pt>
                <c:pt idx="23">
                  <c:v>2.1610000000000014</c:v>
                </c:pt>
                <c:pt idx="24">
                  <c:v>1.7450000000000045</c:v>
                </c:pt>
                <c:pt idx="25">
                  <c:v>1.6389999999999958</c:v>
                </c:pt>
                <c:pt idx="26">
                  <c:v>1.4579999999999984</c:v>
                </c:pt>
                <c:pt idx="27">
                  <c:v>1.5219999999999914</c:v>
                </c:pt>
                <c:pt idx="28">
                  <c:v>1.2090000000000032</c:v>
                </c:pt>
                <c:pt idx="29">
                  <c:v>1</c:v>
                </c:pt>
                <c:pt idx="30">
                  <c:v>2.6099999999999994</c:v>
                </c:pt>
                <c:pt idx="31">
                  <c:v>2.2319999999999993</c:v>
                </c:pt>
                <c:pt idx="32">
                  <c:v>1.0160000000000053</c:v>
                </c:pt>
                <c:pt idx="33">
                  <c:v>0.78000000000000114</c:v>
                </c:pt>
                <c:pt idx="34">
                  <c:v>0.46299999999999386</c:v>
                </c:pt>
                <c:pt idx="35">
                  <c:v>0.37999999999999545</c:v>
                </c:pt>
                <c:pt idx="36">
                  <c:v>0.42499999999999716</c:v>
                </c:pt>
                <c:pt idx="37">
                  <c:v>0.57999999999999829</c:v>
                </c:pt>
                <c:pt idx="38">
                  <c:v>0.50399999999999068</c:v>
                </c:pt>
                <c:pt idx="39">
                  <c:v>0.84199999999999875</c:v>
                </c:pt>
                <c:pt idx="40">
                  <c:v>0.72599999999999909</c:v>
                </c:pt>
                <c:pt idx="41">
                  <c:v>0.88700000000000045</c:v>
                </c:pt>
                <c:pt idx="42">
                  <c:v>0.82099999999999795</c:v>
                </c:pt>
                <c:pt idx="43">
                  <c:v>0.7190000000000083</c:v>
                </c:pt>
                <c:pt idx="44">
                  <c:v>0.19599999999999795</c:v>
                </c:pt>
                <c:pt idx="45">
                  <c:v>0.38700000000000045</c:v>
                </c:pt>
                <c:pt idx="46">
                  <c:v>0.31300000000000239</c:v>
                </c:pt>
                <c:pt idx="47">
                  <c:v>0.46800000000000352</c:v>
                </c:pt>
                <c:pt idx="48">
                  <c:v>0.16999999999998749</c:v>
                </c:pt>
                <c:pt idx="49">
                  <c:v>0.33299999999999841</c:v>
                </c:pt>
                <c:pt idx="50">
                  <c:v>0.37000000000000455</c:v>
                </c:pt>
                <c:pt idx="51">
                  <c:v>1.1559999999999917</c:v>
                </c:pt>
                <c:pt idx="52">
                  <c:v>2.6950000000000074</c:v>
                </c:pt>
                <c:pt idx="53">
                  <c:v>3.6039999999999992</c:v>
                </c:pt>
                <c:pt idx="54">
                  <c:v>4.5049999999999955</c:v>
                </c:pt>
                <c:pt idx="55">
                  <c:v>5.5380000000000038</c:v>
                </c:pt>
                <c:pt idx="56">
                  <c:v>6.1880000000000024</c:v>
                </c:pt>
                <c:pt idx="57">
                  <c:v>6.3670000000000044</c:v>
                </c:pt>
                <c:pt idx="58">
                  <c:v>6.8969999999999985</c:v>
                </c:pt>
                <c:pt idx="59">
                  <c:v>6.9359999999999999</c:v>
                </c:pt>
                <c:pt idx="60">
                  <c:v>4.9990000000000023</c:v>
                </c:pt>
                <c:pt idx="61">
                  <c:v>2.8940000000000055</c:v>
                </c:pt>
                <c:pt idx="62">
                  <c:v>2.3089999999999975</c:v>
                </c:pt>
                <c:pt idx="63">
                  <c:v>0.71399999999999864</c:v>
                </c:pt>
                <c:pt idx="64">
                  <c:v>0.23700000000000898</c:v>
                </c:pt>
                <c:pt idx="65">
                  <c:v>0.39199999999999591</c:v>
                </c:pt>
                <c:pt idx="66">
                  <c:v>0.43200000000000216</c:v>
                </c:pt>
                <c:pt idx="67">
                  <c:v>0.76400000000001</c:v>
                </c:pt>
                <c:pt idx="68">
                  <c:v>0.82099999999999795</c:v>
                </c:pt>
                <c:pt idx="69">
                  <c:v>0.71699999999999875</c:v>
                </c:pt>
                <c:pt idx="70">
                  <c:v>1.6469999999999914</c:v>
                </c:pt>
                <c:pt idx="71">
                  <c:v>0.36299999999999955</c:v>
                </c:pt>
                <c:pt idx="72">
                  <c:v>8.2000000000000739E-2</c:v>
                </c:pt>
                <c:pt idx="73">
                  <c:v>0.23899999999999721</c:v>
                </c:pt>
                <c:pt idx="74">
                  <c:v>0.28800000000000381</c:v>
                </c:pt>
                <c:pt idx="75">
                  <c:v>6.7000000000000171E-2</c:v>
                </c:pt>
                <c:pt idx="76">
                  <c:v>9.9000000000003752E-2</c:v>
                </c:pt>
                <c:pt idx="77">
                  <c:v>0.7879999999999967</c:v>
                </c:pt>
                <c:pt idx="78">
                  <c:v>0.85699999999999932</c:v>
                </c:pt>
                <c:pt idx="79">
                  <c:v>1.0459999999999923</c:v>
                </c:pt>
                <c:pt idx="80">
                  <c:v>1.3990000000000009</c:v>
                </c:pt>
                <c:pt idx="81">
                  <c:v>0.92499999999999716</c:v>
                </c:pt>
                <c:pt idx="82">
                  <c:v>0.60200000000000387</c:v>
                </c:pt>
                <c:pt idx="83">
                  <c:v>0.66199999999999903</c:v>
                </c:pt>
                <c:pt idx="84">
                  <c:v>0.45000000000000284</c:v>
                </c:pt>
                <c:pt idx="85">
                  <c:v>0.87300000000000466</c:v>
                </c:pt>
                <c:pt idx="86">
                  <c:v>1.0359999999999943</c:v>
                </c:pt>
                <c:pt idx="87">
                  <c:v>1.2390000000000043</c:v>
                </c:pt>
                <c:pt idx="88">
                  <c:v>1.6689999999999969</c:v>
                </c:pt>
                <c:pt idx="89">
                  <c:v>1.6670000000000016</c:v>
                </c:pt>
                <c:pt idx="90">
                  <c:v>0.77199999999999847</c:v>
                </c:pt>
                <c:pt idx="91">
                  <c:v>1.902000000000001</c:v>
                </c:pt>
                <c:pt idx="92">
                  <c:v>2.8480000000000061</c:v>
                </c:pt>
                <c:pt idx="93">
                  <c:v>2.9959999999999951</c:v>
                </c:pt>
                <c:pt idx="94">
                  <c:v>2.5640000000000001</c:v>
                </c:pt>
                <c:pt idx="95">
                  <c:v>1.911999999999999</c:v>
                </c:pt>
                <c:pt idx="96">
                  <c:v>0.80399999999999494</c:v>
                </c:pt>
                <c:pt idx="97">
                  <c:v>1.4299999999999997</c:v>
                </c:pt>
                <c:pt idx="98">
                  <c:v>1.4669999999999987</c:v>
                </c:pt>
                <c:pt idx="99">
                  <c:v>1.4579999999999984</c:v>
                </c:pt>
                <c:pt idx="100">
                  <c:v>3.8590000000000018</c:v>
                </c:pt>
                <c:pt idx="101">
                  <c:v>5.3810000000000002</c:v>
                </c:pt>
                <c:pt idx="102">
                  <c:v>4.3710000000000022</c:v>
                </c:pt>
                <c:pt idx="103">
                  <c:v>4.57</c:v>
                </c:pt>
                <c:pt idx="104">
                  <c:v>5.1240000000000023</c:v>
                </c:pt>
                <c:pt idx="105">
                  <c:v>5.0240000000000009</c:v>
                </c:pt>
                <c:pt idx="106">
                  <c:v>4.9969999999999999</c:v>
                </c:pt>
                <c:pt idx="107">
                  <c:v>5.3089999999999975</c:v>
                </c:pt>
                <c:pt idx="108">
                  <c:v>5.4450000000000003</c:v>
                </c:pt>
                <c:pt idx="109">
                  <c:v>4.6480000000000032</c:v>
                </c:pt>
                <c:pt idx="110">
                  <c:v>3.671999999999997</c:v>
                </c:pt>
                <c:pt idx="111">
                  <c:v>3.1380000000000052</c:v>
                </c:pt>
                <c:pt idx="112">
                  <c:v>3.2469999999999999</c:v>
                </c:pt>
                <c:pt idx="113">
                  <c:v>3.1129999999999995</c:v>
                </c:pt>
                <c:pt idx="114">
                  <c:v>2.6900000000000048</c:v>
                </c:pt>
                <c:pt idx="115">
                  <c:v>2.0770000000000053</c:v>
                </c:pt>
                <c:pt idx="116">
                  <c:v>1.6489999999999938</c:v>
                </c:pt>
                <c:pt idx="117">
                  <c:v>0.46000000000000085</c:v>
                </c:pt>
                <c:pt idx="118">
                  <c:v>0.32699999999999818</c:v>
                </c:pt>
                <c:pt idx="119">
                  <c:v>3.0360000000000014</c:v>
                </c:pt>
                <c:pt idx="120">
                  <c:v>2.6169999999999973</c:v>
                </c:pt>
                <c:pt idx="121">
                  <c:v>2.0990000000000038</c:v>
                </c:pt>
                <c:pt idx="122">
                  <c:v>3.3019999999999996</c:v>
                </c:pt>
                <c:pt idx="123">
                  <c:v>2.7169999999999987</c:v>
                </c:pt>
                <c:pt idx="124">
                  <c:v>2.5579999999999998</c:v>
                </c:pt>
                <c:pt idx="125">
                  <c:v>2.1610000000000014</c:v>
                </c:pt>
                <c:pt idx="126">
                  <c:v>1.713000000000001</c:v>
                </c:pt>
                <c:pt idx="127">
                  <c:v>2.1739999999999995</c:v>
                </c:pt>
                <c:pt idx="128">
                  <c:v>2.4179999999999993</c:v>
                </c:pt>
                <c:pt idx="129">
                  <c:v>1.5309999999999988</c:v>
                </c:pt>
                <c:pt idx="130">
                  <c:v>1.3519999999999968</c:v>
                </c:pt>
                <c:pt idx="131">
                  <c:v>1.3260000000000005</c:v>
                </c:pt>
                <c:pt idx="132">
                  <c:v>0.29800000000000182</c:v>
                </c:pt>
                <c:pt idx="133">
                  <c:v>0.25600000000000023</c:v>
                </c:pt>
                <c:pt idx="134">
                  <c:v>0.39300000000000068</c:v>
                </c:pt>
                <c:pt idx="135">
                  <c:v>0.76500000000000057</c:v>
                </c:pt>
                <c:pt idx="136">
                  <c:v>1.2269999999999968</c:v>
                </c:pt>
                <c:pt idx="137">
                  <c:v>0.68699999999999761</c:v>
                </c:pt>
                <c:pt idx="138">
                  <c:v>0.22100000000000364</c:v>
                </c:pt>
                <c:pt idx="139">
                  <c:v>2.4999999999998579E-2</c:v>
                </c:pt>
                <c:pt idx="140">
                  <c:v>0.49099999999999966</c:v>
                </c:pt>
                <c:pt idx="141">
                  <c:v>0.91199999999999903</c:v>
                </c:pt>
                <c:pt idx="142">
                  <c:v>0.5589999999999975</c:v>
                </c:pt>
                <c:pt idx="143">
                  <c:v>0.79599999999999937</c:v>
                </c:pt>
                <c:pt idx="144">
                  <c:v>3.9140000000000015</c:v>
                </c:pt>
                <c:pt idx="145">
                  <c:v>2.107999999999997</c:v>
                </c:pt>
                <c:pt idx="146">
                  <c:v>3.2660000000000053</c:v>
                </c:pt>
                <c:pt idx="147">
                  <c:v>5.5159999999999982</c:v>
                </c:pt>
                <c:pt idx="148">
                  <c:v>3.7379999999999995</c:v>
                </c:pt>
                <c:pt idx="149">
                  <c:v>2.7659999999999982</c:v>
                </c:pt>
                <c:pt idx="150">
                  <c:v>3.5280000000000058</c:v>
                </c:pt>
                <c:pt idx="151">
                  <c:v>3.6210000000000022</c:v>
                </c:pt>
                <c:pt idx="152">
                  <c:v>3.222999999999999</c:v>
                </c:pt>
                <c:pt idx="153">
                  <c:v>1.6929999999999978</c:v>
                </c:pt>
                <c:pt idx="154">
                  <c:v>2.0959999999999965</c:v>
                </c:pt>
                <c:pt idx="155">
                  <c:v>3.1059999999999945</c:v>
                </c:pt>
                <c:pt idx="156">
                  <c:v>2.1550000000000011</c:v>
                </c:pt>
                <c:pt idx="157">
                  <c:v>2.2450000000000045</c:v>
                </c:pt>
                <c:pt idx="158">
                  <c:v>2.8180000000000049</c:v>
                </c:pt>
                <c:pt idx="159">
                  <c:v>3.8350000000000009</c:v>
                </c:pt>
                <c:pt idx="160">
                  <c:v>4.2560000000000002</c:v>
                </c:pt>
                <c:pt idx="161">
                  <c:v>1.8440000000000012</c:v>
                </c:pt>
                <c:pt idx="162">
                  <c:v>2.9349999999999987</c:v>
                </c:pt>
                <c:pt idx="163">
                  <c:v>4.2220000000000013</c:v>
                </c:pt>
                <c:pt idx="164">
                  <c:v>4.16</c:v>
                </c:pt>
                <c:pt idx="165">
                  <c:v>4.3429999999999964</c:v>
                </c:pt>
                <c:pt idx="166">
                  <c:v>5.4980000000000011</c:v>
                </c:pt>
                <c:pt idx="167">
                  <c:v>4.227999999999998</c:v>
                </c:pt>
                <c:pt idx="168">
                  <c:v>3.5330000000000013</c:v>
                </c:pt>
                <c:pt idx="169">
                  <c:v>3.8420000000000023</c:v>
                </c:pt>
                <c:pt idx="170">
                  <c:v>4.5249999999999986</c:v>
                </c:pt>
                <c:pt idx="171">
                  <c:v>3.9589999999999996</c:v>
                </c:pt>
                <c:pt idx="172">
                  <c:v>4.1690000000000005</c:v>
                </c:pt>
                <c:pt idx="173">
                  <c:v>2.7060000000000031</c:v>
                </c:pt>
                <c:pt idx="174">
                  <c:v>7.2509999999999977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BF-45AF-BF99-BB92B20A1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data_ghg_incLUC!$I$3:$I$177</c:f>
              <c:numCache>
                <c:formatCode>0.0</c:formatCode>
                <c:ptCount val="175"/>
                <c:pt idx="0">
                  <c:v>36.118000000000002</c:v>
                </c:pt>
                <c:pt idx="1">
                  <c:v>36.279000000000003</c:v>
                </c:pt>
                <c:pt idx="2">
                  <c:v>36.048000000000002</c:v>
                </c:pt>
                <c:pt idx="3">
                  <c:v>36.9</c:v>
                </c:pt>
                <c:pt idx="4">
                  <c:v>37.71</c:v>
                </c:pt>
                <c:pt idx="5">
                  <c:v>37.610999999999997</c:v>
                </c:pt>
                <c:pt idx="6">
                  <c:v>37.923000000000002</c:v>
                </c:pt>
                <c:pt idx="7">
                  <c:v>37.997</c:v>
                </c:pt>
                <c:pt idx="8">
                  <c:v>38.378</c:v>
                </c:pt>
                <c:pt idx="9">
                  <c:v>38.863</c:v>
                </c:pt>
                <c:pt idx="10">
                  <c:v>40.182000000000002</c:v>
                </c:pt>
                <c:pt idx="11">
                  <c:v>40.095999999999997</c:v>
                </c:pt>
                <c:pt idx="12">
                  <c:v>40.817</c:v>
                </c:pt>
                <c:pt idx="13">
                  <c:v>41.436999999999998</c:v>
                </c:pt>
                <c:pt idx="14">
                  <c:v>41.207000000000001</c:v>
                </c:pt>
                <c:pt idx="15">
                  <c:v>41.728000000000002</c:v>
                </c:pt>
                <c:pt idx="16">
                  <c:v>41.533000000000001</c:v>
                </c:pt>
                <c:pt idx="17">
                  <c:v>42.655000000000001</c:v>
                </c:pt>
                <c:pt idx="18">
                  <c:v>42.658000000000001</c:v>
                </c:pt>
                <c:pt idx="19">
                  <c:v>42.682000000000002</c:v>
                </c:pt>
                <c:pt idx="20">
                  <c:v>44.509</c:v>
                </c:pt>
                <c:pt idx="21">
                  <c:v>46.197000000000003</c:v>
                </c:pt>
                <c:pt idx="22">
                  <c:v>46.567</c:v>
                </c:pt>
                <c:pt idx="23">
                  <c:v>47.795000000000002</c:v>
                </c:pt>
                <c:pt idx="24">
                  <c:v>47.395000000000003</c:v>
                </c:pt>
                <c:pt idx="25">
                  <c:v>48.390999999999998</c:v>
                </c:pt>
                <c:pt idx="26">
                  <c:v>48.505000000000003</c:v>
                </c:pt>
                <c:pt idx="27">
                  <c:v>48.710999999999999</c:v>
                </c:pt>
                <c:pt idx="28">
                  <c:v>48.902999999999999</c:v>
                </c:pt>
                <c:pt idx="29">
                  <c:v>49.575000000000003</c:v>
                </c:pt>
                <c:pt idx="30">
                  <c:v>48.662999999999997</c:v>
                </c:pt>
                <c:pt idx="31">
                  <c:v>47.771999999999998</c:v>
                </c:pt>
                <c:pt idx="32">
                  <c:v>47.790999999999997</c:v>
                </c:pt>
                <c:pt idx="33">
                  <c:v>48.112000000000002</c:v>
                </c:pt>
                <c:pt idx="34">
                  <c:v>47.811999999999998</c:v>
                </c:pt>
                <c:pt idx="35">
                  <c:v>47.405000000000001</c:v>
                </c:pt>
                <c:pt idx="36">
                  <c:v>47.484999999999999</c:v>
                </c:pt>
                <c:pt idx="37">
                  <c:v>47.896000000000001</c:v>
                </c:pt>
                <c:pt idx="38">
                  <c:v>48.561999999999998</c:v>
                </c:pt>
                <c:pt idx="39">
                  <c:v>47.829000000000001</c:v>
                </c:pt>
                <c:pt idx="40">
                  <c:v>47.841000000000001</c:v>
                </c:pt>
                <c:pt idx="41">
                  <c:v>47.988</c:v>
                </c:pt>
                <c:pt idx="42">
                  <c:v>48.06</c:v>
                </c:pt>
                <c:pt idx="43">
                  <c:v>47.948999999999998</c:v>
                </c:pt>
                <c:pt idx="44">
                  <c:v>47.82</c:v>
                </c:pt>
                <c:pt idx="45">
                  <c:v>48.287999999999997</c:v>
                </c:pt>
                <c:pt idx="46">
                  <c:v>48.576999999999998</c:v>
                </c:pt>
                <c:pt idx="47">
                  <c:v>48.651000000000003</c:v>
                </c:pt>
                <c:pt idx="48">
                  <c:v>49.101999999999997</c:v>
                </c:pt>
                <c:pt idx="49">
                  <c:v>49.951000000000001</c:v>
                </c:pt>
                <c:pt idx="50">
                  <c:v>50.081000000000003</c:v>
                </c:pt>
                <c:pt idx="51">
                  <c:v>49.209000000000003</c:v>
                </c:pt>
                <c:pt idx="52">
                  <c:v>49.347999999999999</c:v>
                </c:pt>
                <c:pt idx="53">
                  <c:v>50.02</c:v>
                </c:pt>
                <c:pt idx="54">
                  <c:v>49.723999999999997</c:v>
                </c:pt>
                <c:pt idx="55">
                  <c:v>50.338999999999999</c:v>
                </c:pt>
                <c:pt idx="56">
                  <c:v>50.206000000000003</c:v>
                </c:pt>
                <c:pt idx="57">
                  <c:v>51.616</c:v>
                </c:pt>
                <c:pt idx="58">
                  <c:v>50.625999999999998</c:v>
                </c:pt>
                <c:pt idx="59">
                  <c:v>50.826999999999998</c:v>
                </c:pt>
                <c:pt idx="60">
                  <c:v>52.042000000000002</c:v>
                </c:pt>
                <c:pt idx="61">
                  <c:v>52.093000000000004</c:v>
                </c:pt>
                <c:pt idx="62">
                  <c:v>52.44</c:v>
                </c:pt>
                <c:pt idx="63">
                  <c:v>53.482999999999997</c:v>
                </c:pt>
                <c:pt idx="64">
                  <c:v>52.304000000000002</c:v>
                </c:pt>
                <c:pt idx="65">
                  <c:v>52.112000000000002</c:v>
                </c:pt>
                <c:pt idx="66">
                  <c:v>52.826999999999998</c:v>
                </c:pt>
                <c:pt idx="67">
                  <c:v>53.6</c:v>
                </c:pt>
                <c:pt idx="68">
                  <c:v>54.533999999999999</c:v>
                </c:pt>
                <c:pt idx="69">
                  <c:v>52.987000000000002</c:v>
                </c:pt>
                <c:pt idx="70">
                  <c:v>52.469000000000001</c:v>
                </c:pt>
                <c:pt idx="71">
                  <c:v>49.36</c:v>
                </c:pt>
                <c:pt idx="72">
                  <c:v>49.838999999999999</c:v>
                </c:pt>
                <c:pt idx="73">
                  <c:v>51.070999999999998</c:v>
                </c:pt>
                <c:pt idx="74">
                  <c:v>50.889000000000003</c:v>
                </c:pt>
                <c:pt idx="75">
                  <c:v>50.518999999999998</c:v>
                </c:pt>
                <c:pt idx="76">
                  <c:v>49.613999999999997</c:v>
                </c:pt>
                <c:pt idx="77">
                  <c:v>50.412999999999997</c:v>
                </c:pt>
                <c:pt idx="78">
                  <c:v>49.725999999999999</c:v>
                </c:pt>
                <c:pt idx="79">
                  <c:v>50.213000000000001</c:v>
                </c:pt>
                <c:pt idx="80">
                  <c:v>47.533999999999999</c:v>
                </c:pt>
                <c:pt idx="81">
                  <c:v>44.808</c:v>
                </c:pt>
                <c:pt idx="82">
                  <c:v>42.244</c:v>
                </c:pt>
                <c:pt idx="83">
                  <c:v>42.600999999999999</c:v>
                </c:pt>
                <c:pt idx="84">
                  <c:v>42.953000000000003</c:v>
                </c:pt>
                <c:pt idx="85">
                  <c:v>42.994</c:v>
                </c:pt>
                <c:pt idx="86">
                  <c:v>43.555999999999997</c:v>
                </c:pt>
                <c:pt idx="87">
                  <c:v>44.121000000000002</c:v>
                </c:pt>
                <c:pt idx="88">
                  <c:v>42.302</c:v>
                </c:pt>
                <c:pt idx="89">
                  <c:v>42.994999999999997</c:v>
                </c:pt>
                <c:pt idx="90">
                  <c:v>42.725000000000001</c:v>
                </c:pt>
                <c:pt idx="91">
                  <c:v>43.180999999999997</c:v>
                </c:pt>
                <c:pt idx="92">
                  <c:v>44.390999999999998</c:v>
                </c:pt>
                <c:pt idx="93">
                  <c:v>44.42</c:v>
                </c:pt>
                <c:pt idx="94">
                  <c:v>44.174999999999997</c:v>
                </c:pt>
                <c:pt idx="95">
                  <c:v>41.780999999999999</c:v>
                </c:pt>
                <c:pt idx="96">
                  <c:v>42.106999999999999</c:v>
                </c:pt>
                <c:pt idx="97">
                  <c:v>43.610999999999997</c:v>
                </c:pt>
                <c:pt idx="98">
                  <c:v>44.533999999999999</c:v>
                </c:pt>
                <c:pt idx="99">
                  <c:v>42.831000000000003</c:v>
                </c:pt>
                <c:pt idx="100">
                  <c:v>41.698</c:v>
                </c:pt>
                <c:pt idx="101">
                  <c:v>40.817</c:v>
                </c:pt>
                <c:pt idx="102">
                  <c:v>40.243000000000002</c:v>
                </c:pt>
                <c:pt idx="103">
                  <c:v>39.942</c:v>
                </c:pt>
                <c:pt idx="104">
                  <c:v>38.511000000000003</c:v>
                </c:pt>
                <c:pt idx="105">
                  <c:v>38.793999999999997</c:v>
                </c:pt>
                <c:pt idx="106">
                  <c:v>39.021999999999998</c:v>
                </c:pt>
                <c:pt idx="107">
                  <c:v>38.200000000000003</c:v>
                </c:pt>
                <c:pt idx="108">
                  <c:v>36.973999999999997</c:v>
                </c:pt>
                <c:pt idx="109">
                  <c:v>35.530999999999999</c:v>
                </c:pt>
                <c:pt idx="110">
                  <c:v>37.359000000000002</c:v>
                </c:pt>
                <c:pt idx="111">
                  <c:v>37.460999999999999</c:v>
                </c:pt>
                <c:pt idx="112">
                  <c:v>39.093000000000004</c:v>
                </c:pt>
                <c:pt idx="113">
                  <c:v>39.46</c:v>
                </c:pt>
                <c:pt idx="114">
                  <c:v>40.237000000000002</c:v>
                </c:pt>
                <c:pt idx="115">
                  <c:v>40.747999999999998</c:v>
                </c:pt>
                <c:pt idx="116">
                  <c:v>41.213000000000001</c:v>
                </c:pt>
                <c:pt idx="117">
                  <c:v>43.043999999999997</c:v>
                </c:pt>
                <c:pt idx="118">
                  <c:v>43.734999999999999</c:v>
                </c:pt>
                <c:pt idx="119">
                  <c:v>41.905999999999999</c:v>
                </c:pt>
                <c:pt idx="120">
                  <c:v>41.680999999999997</c:v>
                </c:pt>
                <c:pt idx="121">
                  <c:v>42.124000000000002</c:v>
                </c:pt>
                <c:pt idx="122">
                  <c:v>41.482999999999997</c:v>
                </c:pt>
                <c:pt idx="123">
                  <c:v>41.731999999999999</c:v>
                </c:pt>
                <c:pt idx="124">
                  <c:v>40.896999999999998</c:v>
                </c:pt>
                <c:pt idx="125">
                  <c:v>39.804000000000002</c:v>
                </c:pt>
                <c:pt idx="126">
                  <c:v>40.201000000000001</c:v>
                </c:pt>
                <c:pt idx="127">
                  <c:v>39.491</c:v>
                </c:pt>
                <c:pt idx="128">
                  <c:v>38.915999999999997</c:v>
                </c:pt>
                <c:pt idx="129">
                  <c:v>39.758000000000003</c:v>
                </c:pt>
                <c:pt idx="130">
                  <c:v>38.950000000000003</c:v>
                </c:pt>
                <c:pt idx="131">
                  <c:v>38.573</c:v>
                </c:pt>
                <c:pt idx="132">
                  <c:v>37.485999999999997</c:v>
                </c:pt>
                <c:pt idx="133">
                  <c:v>36.793999999999997</c:v>
                </c:pt>
                <c:pt idx="134">
                  <c:v>36.085999999999999</c:v>
                </c:pt>
                <c:pt idx="135">
                  <c:v>35.069000000000003</c:v>
                </c:pt>
                <c:pt idx="136">
                  <c:v>34.219000000000001</c:v>
                </c:pt>
                <c:pt idx="137">
                  <c:v>34.563000000000002</c:v>
                </c:pt>
                <c:pt idx="138">
                  <c:v>34.880000000000003</c:v>
                </c:pt>
                <c:pt idx="139">
                  <c:v>35.207999999999998</c:v>
                </c:pt>
                <c:pt idx="140">
                  <c:v>36.118000000000002</c:v>
                </c:pt>
                <c:pt idx="141">
                  <c:v>35.615000000000002</c:v>
                </c:pt>
                <c:pt idx="142">
                  <c:v>36.11</c:v>
                </c:pt>
                <c:pt idx="143">
                  <c:v>36.137999999999998</c:v>
                </c:pt>
                <c:pt idx="144">
                  <c:v>35.374000000000002</c:v>
                </c:pt>
                <c:pt idx="145">
                  <c:v>35.555999999999997</c:v>
                </c:pt>
                <c:pt idx="146">
                  <c:v>35.357999999999997</c:v>
                </c:pt>
                <c:pt idx="147">
                  <c:v>33.869</c:v>
                </c:pt>
                <c:pt idx="148">
                  <c:v>35.252000000000002</c:v>
                </c:pt>
                <c:pt idx="149">
                  <c:v>35.228000000000002</c:v>
                </c:pt>
                <c:pt idx="150">
                  <c:v>35.779000000000003</c:v>
                </c:pt>
                <c:pt idx="151">
                  <c:v>35.612000000000002</c:v>
                </c:pt>
                <c:pt idx="152">
                  <c:v>34.692</c:v>
                </c:pt>
                <c:pt idx="153">
                  <c:v>33.192</c:v>
                </c:pt>
                <c:pt idx="154">
                  <c:v>33.200000000000003</c:v>
                </c:pt>
                <c:pt idx="155">
                  <c:v>32.71</c:v>
                </c:pt>
                <c:pt idx="156">
                  <c:v>30.936</c:v>
                </c:pt>
                <c:pt idx="157">
                  <c:v>30.901</c:v>
                </c:pt>
                <c:pt idx="158">
                  <c:v>29.853000000000002</c:v>
                </c:pt>
                <c:pt idx="159">
                  <c:v>27.632999999999999</c:v>
                </c:pt>
                <c:pt idx="160">
                  <c:v>27.724</c:v>
                </c:pt>
                <c:pt idx="161">
                  <c:v>26.271999999999998</c:v>
                </c:pt>
                <c:pt idx="162">
                  <c:v>25.449000000000002</c:v>
                </c:pt>
                <c:pt idx="163">
                  <c:v>25.402999999999999</c:v>
                </c:pt>
                <c:pt idx="164">
                  <c:v>25.004000000000001</c:v>
                </c:pt>
                <c:pt idx="165">
                  <c:v>24.536999999999999</c:v>
                </c:pt>
                <c:pt idx="166">
                  <c:v>24.785</c:v>
                </c:pt>
                <c:pt idx="167">
                  <c:v>24.58</c:v>
                </c:pt>
                <c:pt idx="168">
                  <c:v>24.401</c:v>
                </c:pt>
                <c:pt idx="169">
                  <c:v>23.571000000000002</c:v>
                </c:pt>
                <c:pt idx="170">
                  <c:v>22.427</c:v>
                </c:pt>
                <c:pt idx="171">
                  <c:v>22.664000000000001</c:v>
                </c:pt>
                <c:pt idx="172">
                  <c:v>22.128</c:v>
                </c:pt>
                <c:pt idx="173">
                  <c:v>21.236999999999998</c:v>
                </c:pt>
                <c:pt idx="174">
                  <c:v>20.895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BF-45AF-BF99-BB92B20A1F44}"/>
            </c:ext>
          </c:extLst>
        </c:ser>
        <c:ser>
          <c:idx val="6"/>
          <c:order val="6"/>
          <c:tx>
            <c:strRef>
              <c:f>data_ghg_incLUC!$J$2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data_ghg_incLUC!$J$3:$J$177</c:f>
              <c:numCache>
                <c:formatCode>0.0</c:formatCode>
                <c:ptCount val="175"/>
                <c:pt idx="0">
                  <c:v>41.506</c:v>
                </c:pt>
                <c:pt idx="1">
                  <c:v>42.009</c:v>
                </c:pt>
                <c:pt idx="2">
                  <c:v>46.02</c:v>
                </c:pt>
                <c:pt idx="3">
                  <c:v>46.987000000000002</c:v>
                </c:pt>
                <c:pt idx="4">
                  <c:v>48.374000000000002</c:v>
                </c:pt>
                <c:pt idx="5">
                  <c:v>49.223999999999997</c:v>
                </c:pt>
                <c:pt idx="6">
                  <c:v>49.85</c:v>
                </c:pt>
                <c:pt idx="7">
                  <c:v>50.225000000000001</c:v>
                </c:pt>
                <c:pt idx="8">
                  <c:v>50.564</c:v>
                </c:pt>
                <c:pt idx="9">
                  <c:v>51.106000000000002</c:v>
                </c:pt>
                <c:pt idx="10">
                  <c:v>51.779000000000003</c:v>
                </c:pt>
                <c:pt idx="11">
                  <c:v>51.932000000000002</c:v>
                </c:pt>
                <c:pt idx="12">
                  <c:v>50.085999999999999</c:v>
                </c:pt>
                <c:pt idx="13">
                  <c:v>50.31</c:v>
                </c:pt>
                <c:pt idx="14">
                  <c:v>50.622</c:v>
                </c:pt>
                <c:pt idx="15">
                  <c:v>50.863999999999997</c:v>
                </c:pt>
                <c:pt idx="16">
                  <c:v>51.000999999999998</c:v>
                </c:pt>
                <c:pt idx="17">
                  <c:v>51.274999999999999</c:v>
                </c:pt>
                <c:pt idx="18">
                  <c:v>51.334000000000003</c:v>
                </c:pt>
                <c:pt idx="19">
                  <c:v>51.619</c:v>
                </c:pt>
                <c:pt idx="20">
                  <c:v>51.625</c:v>
                </c:pt>
                <c:pt idx="21">
                  <c:v>51.107999999999997</c:v>
                </c:pt>
                <c:pt idx="22">
                  <c:v>54.551000000000002</c:v>
                </c:pt>
                <c:pt idx="23">
                  <c:v>54.948</c:v>
                </c:pt>
                <c:pt idx="24">
                  <c:v>54.515000000000001</c:v>
                </c:pt>
                <c:pt idx="25">
                  <c:v>55.109000000000002</c:v>
                </c:pt>
                <c:pt idx="26">
                  <c:v>55.051000000000002</c:v>
                </c:pt>
                <c:pt idx="27">
                  <c:v>55.279000000000003</c:v>
                </c:pt>
                <c:pt idx="28">
                  <c:v>55.274999999999999</c:v>
                </c:pt>
                <c:pt idx="29">
                  <c:v>55.76</c:v>
                </c:pt>
                <c:pt idx="30">
                  <c:v>56.692999999999998</c:v>
                </c:pt>
                <c:pt idx="31">
                  <c:v>55.761000000000003</c:v>
                </c:pt>
                <c:pt idx="32">
                  <c:v>54.164999999999999</c:v>
                </c:pt>
                <c:pt idx="33">
                  <c:v>54.209000000000003</c:v>
                </c:pt>
                <c:pt idx="34">
                  <c:v>53.911000000000001</c:v>
                </c:pt>
                <c:pt idx="35">
                  <c:v>53.603999999999999</c:v>
                </c:pt>
                <c:pt idx="36">
                  <c:v>53.465000000000003</c:v>
                </c:pt>
                <c:pt idx="37">
                  <c:v>53.595999999999997</c:v>
                </c:pt>
                <c:pt idx="38">
                  <c:v>54.262</c:v>
                </c:pt>
                <c:pt idx="39">
                  <c:v>53.901000000000003</c:v>
                </c:pt>
                <c:pt idx="40">
                  <c:v>54.451999999999998</c:v>
                </c:pt>
                <c:pt idx="41">
                  <c:v>54.665999999999997</c:v>
                </c:pt>
                <c:pt idx="42">
                  <c:v>54.978000000000002</c:v>
                </c:pt>
                <c:pt idx="43">
                  <c:v>54.573</c:v>
                </c:pt>
                <c:pt idx="44">
                  <c:v>54.430999999999997</c:v>
                </c:pt>
                <c:pt idx="45">
                  <c:v>54.767000000000003</c:v>
                </c:pt>
                <c:pt idx="46">
                  <c:v>54.893999999999998</c:v>
                </c:pt>
                <c:pt idx="47">
                  <c:v>55.131</c:v>
                </c:pt>
                <c:pt idx="48">
                  <c:v>55.356999999999999</c:v>
                </c:pt>
                <c:pt idx="49">
                  <c:v>56.155000000000001</c:v>
                </c:pt>
                <c:pt idx="50">
                  <c:v>56.578000000000003</c:v>
                </c:pt>
                <c:pt idx="51">
                  <c:v>54.856999999999999</c:v>
                </c:pt>
                <c:pt idx="52">
                  <c:v>53.488</c:v>
                </c:pt>
                <c:pt idx="53">
                  <c:v>53.594000000000001</c:v>
                </c:pt>
                <c:pt idx="54">
                  <c:v>52.511000000000003</c:v>
                </c:pt>
                <c:pt idx="55">
                  <c:v>52.51</c:v>
                </c:pt>
                <c:pt idx="56">
                  <c:v>51.792999999999999</c:v>
                </c:pt>
                <c:pt idx="57">
                  <c:v>53.042000000000002</c:v>
                </c:pt>
                <c:pt idx="58">
                  <c:v>51.771999999999998</c:v>
                </c:pt>
                <c:pt idx="59">
                  <c:v>51.999000000000002</c:v>
                </c:pt>
                <c:pt idx="60">
                  <c:v>52.545000000000002</c:v>
                </c:pt>
                <c:pt idx="61">
                  <c:v>53.595999999999997</c:v>
                </c:pt>
                <c:pt idx="62">
                  <c:v>54.064</c:v>
                </c:pt>
                <c:pt idx="63">
                  <c:v>55.566000000000003</c:v>
                </c:pt>
                <c:pt idx="64">
                  <c:v>54.293999999999997</c:v>
                </c:pt>
                <c:pt idx="65">
                  <c:v>54.22</c:v>
                </c:pt>
                <c:pt idx="66">
                  <c:v>54.982999999999997</c:v>
                </c:pt>
                <c:pt idx="67">
                  <c:v>55.356999999999999</c:v>
                </c:pt>
                <c:pt idx="68">
                  <c:v>55.825000000000003</c:v>
                </c:pt>
                <c:pt idx="69">
                  <c:v>54.075000000000003</c:v>
                </c:pt>
                <c:pt idx="70">
                  <c:v>55.304000000000002</c:v>
                </c:pt>
                <c:pt idx="71">
                  <c:v>51.276000000000003</c:v>
                </c:pt>
                <c:pt idx="72">
                  <c:v>51.276000000000003</c:v>
                </c:pt>
                <c:pt idx="73">
                  <c:v>53.183999999999997</c:v>
                </c:pt>
                <c:pt idx="74">
                  <c:v>52.457999999999998</c:v>
                </c:pt>
                <c:pt idx="75">
                  <c:v>52.267000000000003</c:v>
                </c:pt>
                <c:pt idx="76">
                  <c:v>51.165999999999997</c:v>
                </c:pt>
                <c:pt idx="77">
                  <c:v>52.929000000000002</c:v>
                </c:pt>
                <c:pt idx="78">
                  <c:v>52.246000000000002</c:v>
                </c:pt>
                <c:pt idx="79">
                  <c:v>53.432000000000002</c:v>
                </c:pt>
                <c:pt idx="80">
                  <c:v>52.548999999999999</c:v>
                </c:pt>
                <c:pt idx="81">
                  <c:v>49.838999999999999</c:v>
                </c:pt>
                <c:pt idx="82">
                  <c:v>45.671999999999997</c:v>
                </c:pt>
                <c:pt idx="83">
                  <c:v>45.892000000000003</c:v>
                </c:pt>
                <c:pt idx="84">
                  <c:v>46.375999999999998</c:v>
                </c:pt>
                <c:pt idx="85">
                  <c:v>46.390999999999998</c:v>
                </c:pt>
                <c:pt idx="86">
                  <c:v>47.069000000000003</c:v>
                </c:pt>
                <c:pt idx="87">
                  <c:v>47.408999999999999</c:v>
                </c:pt>
                <c:pt idx="88">
                  <c:v>45.39</c:v>
                </c:pt>
                <c:pt idx="89">
                  <c:v>46.165999999999997</c:v>
                </c:pt>
                <c:pt idx="90">
                  <c:v>45.610999999999997</c:v>
                </c:pt>
                <c:pt idx="91">
                  <c:v>46.679000000000002</c:v>
                </c:pt>
                <c:pt idx="92">
                  <c:v>48.079000000000001</c:v>
                </c:pt>
                <c:pt idx="93">
                  <c:v>47.368000000000002</c:v>
                </c:pt>
                <c:pt idx="94">
                  <c:v>46.905000000000001</c:v>
                </c:pt>
                <c:pt idx="95">
                  <c:v>43.935000000000002</c:v>
                </c:pt>
                <c:pt idx="96">
                  <c:v>43.015000000000001</c:v>
                </c:pt>
                <c:pt idx="97">
                  <c:v>44.786000000000001</c:v>
                </c:pt>
                <c:pt idx="98">
                  <c:v>45.402999999999999</c:v>
                </c:pt>
                <c:pt idx="99">
                  <c:v>43.19</c:v>
                </c:pt>
                <c:pt idx="100">
                  <c:v>45.058</c:v>
                </c:pt>
                <c:pt idx="101">
                  <c:v>44.366</c:v>
                </c:pt>
                <c:pt idx="102">
                  <c:v>42.624000000000002</c:v>
                </c:pt>
                <c:pt idx="103">
                  <c:v>42.283999999999999</c:v>
                </c:pt>
                <c:pt idx="104">
                  <c:v>41.225999999999999</c:v>
                </c:pt>
                <c:pt idx="105">
                  <c:v>41.371000000000002</c:v>
                </c:pt>
                <c:pt idx="106">
                  <c:v>41.503999999999998</c:v>
                </c:pt>
                <c:pt idx="107">
                  <c:v>40.661000000000001</c:v>
                </c:pt>
                <c:pt idx="108">
                  <c:v>39.53</c:v>
                </c:pt>
                <c:pt idx="109">
                  <c:v>39.173000000000002</c:v>
                </c:pt>
                <c:pt idx="110">
                  <c:v>39.606000000000002</c:v>
                </c:pt>
                <c:pt idx="111">
                  <c:v>39.463000000000001</c:v>
                </c:pt>
                <c:pt idx="112">
                  <c:v>40.317999999999998</c:v>
                </c:pt>
                <c:pt idx="113">
                  <c:v>40.738999999999997</c:v>
                </c:pt>
                <c:pt idx="114">
                  <c:v>41.042000000000002</c:v>
                </c:pt>
                <c:pt idx="115">
                  <c:v>41.042000000000002</c:v>
                </c:pt>
                <c:pt idx="116">
                  <c:v>41.314</c:v>
                </c:pt>
                <c:pt idx="117">
                  <c:v>41.959000000000003</c:v>
                </c:pt>
                <c:pt idx="118">
                  <c:v>42.811</c:v>
                </c:pt>
                <c:pt idx="119">
                  <c:v>43.326999999999998</c:v>
                </c:pt>
                <c:pt idx="120">
                  <c:v>43.481000000000002</c:v>
                </c:pt>
                <c:pt idx="121">
                  <c:v>43.110999999999997</c:v>
                </c:pt>
                <c:pt idx="122">
                  <c:v>43.484000000000002</c:v>
                </c:pt>
                <c:pt idx="123">
                  <c:v>43.494</c:v>
                </c:pt>
                <c:pt idx="124">
                  <c:v>42.604999999999997</c:v>
                </c:pt>
                <c:pt idx="125">
                  <c:v>41.128999999999998</c:v>
                </c:pt>
                <c:pt idx="126">
                  <c:v>41.387999999999998</c:v>
                </c:pt>
                <c:pt idx="127">
                  <c:v>40.878</c:v>
                </c:pt>
                <c:pt idx="128">
                  <c:v>40.701000000000001</c:v>
                </c:pt>
                <c:pt idx="129">
                  <c:v>40.86</c:v>
                </c:pt>
                <c:pt idx="130">
                  <c:v>40.098999999999997</c:v>
                </c:pt>
                <c:pt idx="131">
                  <c:v>39.515999999999998</c:v>
                </c:pt>
                <c:pt idx="132">
                  <c:v>37.384999999999998</c:v>
                </c:pt>
                <c:pt idx="133">
                  <c:v>36.686999999999998</c:v>
                </c:pt>
                <c:pt idx="134">
                  <c:v>36.472000000000001</c:v>
                </c:pt>
                <c:pt idx="135">
                  <c:v>35.789000000000001</c:v>
                </c:pt>
                <c:pt idx="136">
                  <c:v>35.234999999999999</c:v>
                </c:pt>
                <c:pt idx="137">
                  <c:v>35.179000000000002</c:v>
                </c:pt>
                <c:pt idx="138">
                  <c:v>35.253999999999998</c:v>
                </c:pt>
                <c:pt idx="139">
                  <c:v>35.341999999999999</c:v>
                </c:pt>
                <c:pt idx="140">
                  <c:v>37.823</c:v>
                </c:pt>
                <c:pt idx="141">
                  <c:v>37.326999999999998</c:v>
                </c:pt>
                <c:pt idx="142">
                  <c:v>38.012999999999998</c:v>
                </c:pt>
                <c:pt idx="143">
                  <c:v>38.06</c:v>
                </c:pt>
                <c:pt idx="144">
                  <c:v>41.673999999999999</c:v>
                </c:pt>
                <c:pt idx="145">
                  <c:v>40.518999999999998</c:v>
                </c:pt>
                <c:pt idx="146">
                  <c:v>40.951000000000001</c:v>
                </c:pt>
                <c:pt idx="147">
                  <c:v>41.670999999999999</c:v>
                </c:pt>
                <c:pt idx="148">
                  <c:v>40.96</c:v>
                </c:pt>
                <c:pt idx="149">
                  <c:v>41.192</c:v>
                </c:pt>
                <c:pt idx="150">
                  <c:v>41.886000000000003</c:v>
                </c:pt>
                <c:pt idx="151">
                  <c:v>41.103999999999999</c:v>
                </c:pt>
                <c:pt idx="152">
                  <c:v>40.027000000000001</c:v>
                </c:pt>
                <c:pt idx="153">
                  <c:v>37.298000000000002</c:v>
                </c:pt>
                <c:pt idx="154">
                  <c:v>36.125999999999998</c:v>
                </c:pt>
                <c:pt idx="155">
                  <c:v>35.822000000000003</c:v>
                </c:pt>
                <c:pt idx="156">
                  <c:v>34.951000000000001</c:v>
                </c:pt>
                <c:pt idx="157">
                  <c:v>35.061</c:v>
                </c:pt>
                <c:pt idx="158">
                  <c:v>33.520000000000003</c:v>
                </c:pt>
                <c:pt idx="159">
                  <c:v>32.302999999999997</c:v>
                </c:pt>
                <c:pt idx="160">
                  <c:v>32.064</c:v>
                </c:pt>
                <c:pt idx="161">
                  <c:v>29.452000000000002</c:v>
                </c:pt>
                <c:pt idx="162">
                  <c:v>28.196999999999999</c:v>
                </c:pt>
                <c:pt idx="163">
                  <c:v>28.692</c:v>
                </c:pt>
                <c:pt idx="164">
                  <c:v>27.841999999999999</c:v>
                </c:pt>
                <c:pt idx="165">
                  <c:v>26.885999999999999</c:v>
                </c:pt>
                <c:pt idx="166">
                  <c:v>26.388999999999999</c:v>
                </c:pt>
                <c:pt idx="167">
                  <c:v>26.132000000000001</c:v>
                </c:pt>
                <c:pt idx="168">
                  <c:v>26.094999999999999</c:v>
                </c:pt>
                <c:pt idx="169">
                  <c:v>25.029</c:v>
                </c:pt>
                <c:pt idx="170">
                  <c:v>23.914000000000001</c:v>
                </c:pt>
                <c:pt idx="171">
                  <c:v>23.356999999999999</c:v>
                </c:pt>
                <c:pt idx="172">
                  <c:v>22.773</c:v>
                </c:pt>
                <c:pt idx="173">
                  <c:v>21.692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BF-45AF-BF99-BB92B20A1F44}"/>
            </c:ext>
          </c:extLst>
        </c:ser>
        <c:ser>
          <c:idx val="7"/>
          <c:order val="7"/>
          <c:tx>
            <c:strRef>
              <c:f>data_ghg_incLUC!$K$2</c:f>
              <c:strCache>
                <c:ptCount val="1"/>
                <c:pt idx="0">
                  <c:v>pct_annex2_EDGAR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data_ghg_incLUC!$K$3:$K$177</c:f>
              <c:numCache>
                <c:formatCode>0.0</c:formatCode>
                <c:ptCount val="175"/>
                <c:pt idx="140">
                  <c:v>38.118000000000002</c:v>
                </c:pt>
                <c:pt idx="141">
                  <c:v>37.786999999999999</c:v>
                </c:pt>
                <c:pt idx="142">
                  <c:v>37.704999999999998</c:v>
                </c:pt>
                <c:pt idx="143">
                  <c:v>38.363999999999997</c:v>
                </c:pt>
                <c:pt idx="144">
                  <c:v>38.478999999999999</c:v>
                </c:pt>
                <c:pt idx="145">
                  <c:v>37.941000000000003</c:v>
                </c:pt>
                <c:pt idx="146">
                  <c:v>37.631</c:v>
                </c:pt>
                <c:pt idx="147">
                  <c:v>38.731000000000002</c:v>
                </c:pt>
                <c:pt idx="148">
                  <c:v>38.834000000000003</c:v>
                </c:pt>
                <c:pt idx="149">
                  <c:v>37.973999999999997</c:v>
                </c:pt>
                <c:pt idx="150">
                  <c:v>37.268999999999998</c:v>
                </c:pt>
                <c:pt idx="151">
                  <c:v>37.295000000000002</c:v>
                </c:pt>
                <c:pt idx="152">
                  <c:v>37.154000000000003</c:v>
                </c:pt>
                <c:pt idx="153">
                  <c:v>35.256</c:v>
                </c:pt>
                <c:pt idx="154">
                  <c:v>33.911000000000001</c:v>
                </c:pt>
                <c:pt idx="155">
                  <c:v>32.579000000000001</c:v>
                </c:pt>
                <c:pt idx="156">
                  <c:v>32.404000000000003</c:v>
                </c:pt>
                <c:pt idx="157">
                  <c:v>32.317999999999998</c:v>
                </c:pt>
                <c:pt idx="158">
                  <c:v>30.166</c:v>
                </c:pt>
                <c:pt idx="159">
                  <c:v>28.216000000000001</c:v>
                </c:pt>
                <c:pt idx="160">
                  <c:v>27.683</c:v>
                </c:pt>
                <c:pt idx="161">
                  <c:v>28.152000000000001</c:v>
                </c:pt>
                <c:pt idx="162">
                  <c:v>26.774999999999999</c:v>
                </c:pt>
                <c:pt idx="163">
                  <c:v>24.855</c:v>
                </c:pt>
                <c:pt idx="164">
                  <c:v>24.387</c:v>
                </c:pt>
                <c:pt idx="165">
                  <c:v>24.08</c:v>
                </c:pt>
                <c:pt idx="166">
                  <c:v>23.221</c:v>
                </c:pt>
                <c:pt idx="167">
                  <c:v>24.233000000000001</c:v>
                </c:pt>
                <c:pt idx="168">
                  <c:v>24.045999999999999</c:v>
                </c:pt>
                <c:pt idx="169">
                  <c:v>22.797000000000001</c:v>
                </c:pt>
                <c:pt idx="170">
                  <c:v>21.138000000000002</c:v>
                </c:pt>
                <c:pt idx="171">
                  <c:v>21.556000000000001</c:v>
                </c:pt>
                <c:pt idx="172">
                  <c:v>21.297999999999998</c:v>
                </c:pt>
                <c:pt idx="173">
                  <c:v>22.238</c:v>
                </c:pt>
                <c:pt idx="174">
                  <c:v>20.161000000000001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BF-45AF-BF99-BB92B20A1F44}"/>
            </c:ext>
          </c:extLst>
        </c:ser>
        <c:ser>
          <c:idx val="8"/>
          <c:order val="8"/>
          <c:tx>
            <c:strRef>
              <c:f>data_ghg_incLUC!$L$2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BF-45AF-BF99-BB92B20A1F44}"/>
            </c:ext>
          </c:extLst>
        </c:ser>
        <c:ser>
          <c:idx val="9"/>
          <c:order val="9"/>
          <c:tx>
            <c:strRef>
              <c:f>data_ghg_incLUC!$M$2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data_ghg_incLUC!$M$3:$M$177</c:f>
              <c:numCache>
                <c:formatCode>0.0</c:formatCode>
                <c:ptCount val="175"/>
                <c:pt idx="0">
                  <c:v>54.173999999999999</c:v>
                </c:pt>
                <c:pt idx="1">
                  <c:v>53.896000000000001</c:v>
                </c:pt>
                <c:pt idx="2">
                  <c:v>54.095999999999997</c:v>
                </c:pt>
                <c:pt idx="3">
                  <c:v>54.268999999999998</c:v>
                </c:pt>
                <c:pt idx="4">
                  <c:v>55.323999999999998</c:v>
                </c:pt>
                <c:pt idx="5">
                  <c:v>55.113999999999997</c:v>
                </c:pt>
                <c:pt idx="6">
                  <c:v>55.427999999999997</c:v>
                </c:pt>
                <c:pt idx="7">
                  <c:v>55.558</c:v>
                </c:pt>
                <c:pt idx="8">
                  <c:v>55.905999999999999</c:v>
                </c:pt>
                <c:pt idx="9">
                  <c:v>56.305</c:v>
                </c:pt>
                <c:pt idx="10">
                  <c:v>57.786999999999999</c:v>
                </c:pt>
                <c:pt idx="11">
                  <c:v>58.191000000000003</c:v>
                </c:pt>
                <c:pt idx="12">
                  <c:v>59.027999999999999</c:v>
                </c:pt>
                <c:pt idx="13">
                  <c:v>59.399000000000001</c:v>
                </c:pt>
                <c:pt idx="14">
                  <c:v>59.811</c:v>
                </c:pt>
                <c:pt idx="15">
                  <c:v>60.158999999999999</c:v>
                </c:pt>
                <c:pt idx="16">
                  <c:v>60.698</c:v>
                </c:pt>
                <c:pt idx="17">
                  <c:v>60.874000000000002</c:v>
                </c:pt>
                <c:pt idx="18">
                  <c:v>61.256999999999998</c:v>
                </c:pt>
                <c:pt idx="19">
                  <c:v>61.36</c:v>
                </c:pt>
                <c:pt idx="20">
                  <c:v>63.201000000000001</c:v>
                </c:pt>
                <c:pt idx="21">
                  <c:v>64.081000000000003</c:v>
                </c:pt>
                <c:pt idx="22">
                  <c:v>64.573999999999998</c:v>
                </c:pt>
                <c:pt idx="23">
                  <c:v>65.266999999999996</c:v>
                </c:pt>
                <c:pt idx="24">
                  <c:v>65.423000000000002</c:v>
                </c:pt>
                <c:pt idx="25">
                  <c:v>65.962000000000003</c:v>
                </c:pt>
                <c:pt idx="26">
                  <c:v>66.27</c:v>
                </c:pt>
                <c:pt idx="27">
                  <c:v>66.358000000000004</c:v>
                </c:pt>
                <c:pt idx="28">
                  <c:v>66.72</c:v>
                </c:pt>
                <c:pt idx="29">
                  <c:v>67.314999999999998</c:v>
                </c:pt>
                <c:pt idx="30">
                  <c:v>66.409000000000006</c:v>
                </c:pt>
                <c:pt idx="31">
                  <c:v>65.563000000000002</c:v>
                </c:pt>
                <c:pt idx="32">
                  <c:v>65.494</c:v>
                </c:pt>
                <c:pt idx="33">
                  <c:v>65.739000000000004</c:v>
                </c:pt>
                <c:pt idx="34">
                  <c:v>65.775000000000006</c:v>
                </c:pt>
                <c:pt idx="35">
                  <c:v>65.611000000000004</c:v>
                </c:pt>
                <c:pt idx="36">
                  <c:v>65.454999999999998</c:v>
                </c:pt>
                <c:pt idx="37">
                  <c:v>65.411000000000001</c:v>
                </c:pt>
                <c:pt idx="38">
                  <c:v>66.06</c:v>
                </c:pt>
                <c:pt idx="39">
                  <c:v>65.531999999999996</c:v>
                </c:pt>
                <c:pt idx="40">
                  <c:v>66.135000000000005</c:v>
                </c:pt>
                <c:pt idx="41">
                  <c:v>66.268000000000001</c:v>
                </c:pt>
                <c:pt idx="42">
                  <c:v>66.561000000000007</c:v>
                </c:pt>
                <c:pt idx="43">
                  <c:v>66.486999999999995</c:v>
                </c:pt>
                <c:pt idx="44">
                  <c:v>66.698999999999998</c:v>
                </c:pt>
                <c:pt idx="45">
                  <c:v>66.853999999999999</c:v>
                </c:pt>
                <c:pt idx="46">
                  <c:v>67.066999999999993</c:v>
                </c:pt>
                <c:pt idx="47">
                  <c:v>67.195999999999998</c:v>
                </c:pt>
                <c:pt idx="48">
                  <c:v>67.781000000000006</c:v>
                </c:pt>
                <c:pt idx="49">
                  <c:v>68.302000000000007</c:v>
                </c:pt>
                <c:pt idx="50">
                  <c:v>68.683999999999997</c:v>
                </c:pt>
                <c:pt idx="51">
                  <c:v>68.236999999999995</c:v>
                </c:pt>
                <c:pt idx="52">
                  <c:v>68.301000000000002</c:v>
                </c:pt>
                <c:pt idx="53">
                  <c:v>68.929000000000002</c:v>
                </c:pt>
                <c:pt idx="54">
                  <c:v>68.78</c:v>
                </c:pt>
                <c:pt idx="55">
                  <c:v>69.477000000000004</c:v>
                </c:pt>
                <c:pt idx="56">
                  <c:v>69.372</c:v>
                </c:pt>
                <c:pt idx="57">
                  <c:v>70.608000000000004</c:v>
                </c:pt>
                <c:pt idx="58">
                  <c:v>70.128</c:v>
                </c:pt>
                <c:pt idx="59">
                  <c:v>70.372</c:v>
                </c:pt>
                <c:pt idx="60">
                  <c:v>68.760000000000005</c:v>
                </c:pt>
                <c:pt idx="61">
                  <c:v>68.003</c:v>
                </c:pt>
                <c:pt idx="62">
                  <c:v>68.164000000000001</c:v>
                </c:pt>
                <c:pt idx="63">
                  <c:v>68.228999999999999</c:v>
                </c:pt>
                <c:pt idx="64">
                  <c:v>66.593000000000004</c:v>
                </c:pt>
                <c:pt idx="65">
                  <c:v>65.894000000000005</c:v>
                </c:pt>
                <c:pt idx="66">
                  <c:v>66.521000000000001</c:v>
                </c:pt>
                <c:pt idx="67">
                  <c:v>66.349999999999994</c:v>
                </c:pt>
                <c:pt idx="68">
                  <c:v>65.781000000000006</c:v>
                </c:pt>
                <c:pt idx="69">
                  <c:v>63.417000000000002</c:v>
                </c:pt>
                <c:pt idx="70">
                  <c:v>63.962000000000003</c:v>
                </c:pt>
                <c:pt idx="71">
                  <c:v>61.673000000000002</c:v>
                </c:pt>
                <c:pt idx="72">
                  <c:v>62.02</c:v>
                </c:pt>
                <c:pt idx="73">
                  <c:v>63</c:v>
                </c:pt>
                <c:pt idx="74">
                  <c:v>62.424999999999997</c:v>
                </c:pt>
                <c:pt idx="75">
                  <c:v>62.567</c:v>
                </c:pt>
                <c:pt idx="76">
                  <c:v>62.148000000000003</c:v>
                </c:pt>
                <c:pt idx="77">
                  <c:v>62.975000000000001</c:v>
                </c:pt>
                <c:pt idx="78">
                  <c:v>62.459000000000003</c:v>
                </c:pt>
                <c:pt idx="79">
                  <c:v>63.334000000000003</c:v>
                </c:pt>
                <c:pt idx="80">
                  <c:v>62.44</c:v>
                </c:pt>
                <c:pt idx="81">
                  <c:v>61.003</c:v>
                </c:pt>
                <c:pt idx="82">
                  <c:v>59.313000000000002</c:v>
                </c:pt>
                <c:pt idx="83">
                  <c:v>59.594000000000001</c:v>
                </c:pt>
                <c:pt idx="84">
                  <c:v>60.036000000000001</c:v>
                </c:pt>
                <c:pt idx="85">
                  <c:v>60.545000000000002</c:v>
                </c:pt>
                <c:pt idx="86">
                  <c:v>61.302999999999997</c:v>
                </c:pt>
                <c:pt idx="87">
                  <c:v>61.645000000000003</c:v>
                </c:pt>
                <c:pt idx="88">
                  <c:v>60.607999999999997</c:v>
                </c:pt>
                <c:pt idx="89">
                  <c:v>60.966999999999999</c:v>
                </c:pt>
                <c:pt idx="90">
                  <c:v>59.298000000000002</c:v>
                </c:pt>
                <c:pt idx="91">
                  <c:v>58.085000000000001</c:v>
                </c:pt>
                <c:pt idx="92">
                  <c:v>57.281999999999996</c:v>
                </c:pt>
                <c:pt idx="93">
                  <c:v>56.862000000000002</c:v>
                </c:pt>
                <c:pt idx="94">
                  <c:v>56.283000000000001</c:v>
                </c:pt>
                <c:pt idx="95">
                  <c:v>53.061999999999998</c:v>
                </c:pt>
                <c:pt idx="96">
                  <c:v>53.31</c:v>
                </c:pt>
                <c:pt idx="97">
                  <c:v>54.390999999999998</c:v>
                </c:pt>
                <c:pt idx="98">
                  <c:v>54.963000000000001</c:v>
                </c:pt>
                <c:pt idx="99">
                  <c:v>53.57</c:v>
                </c:pt>
                <c:pt idx="100">
                  <c:v>53.122999999999998</c:v>
                </c:pt>
                <c:pt idx="101">
                  <c:v>52.731999999999999</c:v>
                </c:pt>
                <c:pt idx="102">
                  <c:v>52.781999999999996</c:v>
                </c:pt>
                <c:pt idx="103">
                  <c:v>52.957000000000001</c:v>
                </c:pt>
                <c:pt idx="104">
                  <c:v>52.01</c:v>
                </c:pt>
                <c:pt idx="105">
                  <c:v>52.637999999999998</c:v>
                </c:pt>
                <c:pt idx="106">
                  <c:v>53.234999999999999</c:v>
                </c:pt>
                <c:pt idx="107">
                  <c:v>52.856999999999999</c:v>
                </c:pt>
                <c:pt idx="108">
                  <c:v>52.051000000000002</c:v>
                </c:pt>
                <c:pt idx="109">
                  <c:v>51.631999999999998</c:v>
                </c:pt>
                <c:pt idx="110">
                  <c:v>53.048000000000002</c:v>
                </c:pt>
                <c:pt idx="111">
                  <c:v>53.430999999999997</c:v>
                </c:pt>
                <c:pt idx="112">
                  <c:v>54.381999999999998</c:v>
                </c:pt>
                <c:pt idx="113">
                  <c:v>55.042000000000002</c:v>
                </c:pt>
                <c:pt idx="114">
                  <c:v>55.860999999999997</c:v>
                </c:pt>
                <c:pt idx="115">
                  <c:v>56.430999999999997</c:v>
                </c:pt>
                <c:pt idx="116">
                  <c:v>56.947000000000003</c:v>
                </c:pt>
                <c:pt idx="117">
                  <c:v>58.823999999999998</c:v>
                </c:pt>
                <c:pt idx="118">
                  <c:v>59.664000000000001</c:v>
                </c:pt>
                <c:pt idx="119">
                  <c:v>57.162999999999997</c:v>
                </c:pt>
                <c:pt idx="120">
                  <c:v>57.28</c:v>
                </c:pt>
                <c:pt idx="121">
                  <c:v>57.76</c:v>
                </c:pt>
                <c:pt idx="122">
                  <c:v>56.991999999999997</c:v>
                </c:pt>
                <c:pt idx="123">
                  <c:v>57.445</c:v>
                </c:pt>
                <c:pt idx="124">
                  <c:v>57.036999999999999</c:v>
                </c:pt>
                <c:pt idx="125">
                  <c:v>56.491999999999997</c:v>
                </c:pt>
                <c:pt idx="126">
                  <c:v>57.054000000000002</c:v>
                </c:pt>
                <c:pt idx="127">
                  <c:v>56.145000000000003</c:v>
                </c:pt>
                <c:pt idx="128">
                  <c:v>55.753999999999998</c:v>
                </c:pt>
                <c:pt idx="129">
                  <c:v>56.56</c:v>
                </c:pt>
                <c:pt idx="130">
                  <c:v>56.515000000000001</c:v>
                </c:pt>
                <c:pt idx="131">
                  <c:v>55.811999999999998</c:v>
                </c:pt>
                <c:pt idx="132">
                  <c:v>55.247</c:v>
                </c:pt>
                <c:pt idx="133">
                  <c:v>54.454999999999998</c:v>
                </c:pt>
                <c:pt idx="134">
                  <c:v>53.332000000000001</c:v>
                </c:pt>
                <c:pt idx="135">
                  <c:v>52.595999999999997</c:v>
                </c:pt>
                <c:pt idx="136">
                  <c:v>51.567</c:v>
                </c:pt>
                <c:pt idx="137">
                  <c:v>51.804000000000002</c:v>
                </c:pt>
                <c:pt idx="138">
                  <c:v>51.917999999999999</c:v>
                </c:pt>
                <c:pt idx="139">
                  <c:v>51.692999999999998</c:v>
                </c:pt>
                <c:pt idx="140">
                  <c:v>52.475000000000001</c:v>
                </c:pt>
                <c:pt idx="141">
                  <c:v>50.890999999999998</c:v>
                </c:pt>
                <c:pt idx="142">
                  <c:v>49.640999999999998</c:v>
                </c:pt>
                <c:pt idx="143">
                  <c:v>48.850999999999999</c:v>
                </c:pt>
                <c:pt idx="144">
                  <c:v>46.473999999999997</c:v>
                </c:pt>
                <c:pt idx="145">
                  <c:v>46.185000000000002</c:v>
                </c:pt>
                <c:pt idx="146">
                  <c:v>46.508000000000003</c:v>
                </c:pt>
                <c:pt idx="147">
                  <c:v>43.292999999999999</c:v>
                </c:pt>
                <c:pt idx="148">
                  <c:v>44.808999999999997</c:v>
                </c:pt>
                <c:pt idx="149">
                  <c:v>44.612000000000002</c:v>
                </c:pt>
                <c:pt idx="150">
                  <c:v>44.787999999999997</c:v>
                </c:pt>
                <c:pt idx="151">
                  <c:v>44.823999999999998</c:v>
                </c:pt>
                <c:pt idx="152">
                  <c:v>43.462000000000003</c:v>
                </c:pt>
                <c:pt idx="153">
                  <c:v>41.805999999999997</c:v>
                </c:pt>
                <c:pt idx="154">
                  <c:v>41.738</c:v>
                </c:pt>
                <c:pt idx="155">
                  <c:v>41.308999999999997</c:v>
                </c:pt>
                <c:pt idx="156">
                  <c:v>39.572000000000003</c:v>
                </c:pt>
                <c:pt idx="157">
                  <c:v>39.75</c:v>
                </c:pt>
                <c:pt idx="158">
                  <c:v>38.402999999999999</c:v>
                </c:pt>
                <c:pt idx="159">
                  <c:v>36.131</c:v>
                </c:pt>
                <c:pt idx="160">
                  <c:v>36.435000000000002</c:v>
                </c:pt>
                <c:pt idx="161">
                  <c:v>34.5</c:v>
                </c:pt>
                <c:pt idx="162">
                  <c:v>34.063000000000002</c:v>
                </c:pt>
                <c:pt idx="163">
                  <c:v>33.646000000000001</c:v>
                </c:pt>
                <c:pt idx="164">
                  <c:v>32.890999999999998</c:v>
                </c:pt>
                <c:pt idx="165">
                  <c:v>32.930999999999997</c:v>
                </c:pt>
                <c:pt idx="166">
                  <c:v>33.442</c:v>
                </c:pt>
                <c:pt idx="167">
                  <c:v>33.220999999999997</c:v>
                </c:pt>
                <c:pt idx="168">
                  <c:v>32.911000000000001</c:v>
                </c:pt>
                <c:pt idx="169">
                  <c:v>31.858000000000001</c:v>
                </c:pt>
                <c:pt idx="170">
                  <c:v>30.675999999999998</c:v>
                </c:pt>
                <c:pt idx="171">
                  <c:v>30.997</c:v>
                </c:pt>
                <c:pt idx="172">
                  <c:v>30.27</c:v>
                </c:pt>
                <c:pt idx="173">
                  <c:v>29.359000000000002</c:v>
                </c:pt>
                <c:pt idx="174">
                  <c:v>29.056999999999999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BF-45AF-BF99-BB92B20A1F44}"/>
            </c:ext>
          </c:extLst>
        </c:ser>
        <c:ser>
          <c:idx val="10"/>
          <c:order val="10"/>
          <c:tx>
            <c:strRef>
              <c:f>data_ghg_incLUC!$N$2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data_ghg_incLUC!$N$3:$N$177</c:f>
              <c:numCache>
                <c:formatCode>0.0</c:formatCode>
                <c:ptCount val="175"/>
                <c:pt idx="0">
                  <c:v>55.774999999999999</c:v>
                </c:pt>
                <c:pt idx="1">
                  <c:v>56.424999999999997</c:v>
                </c:pt>
                <c:pt idx="2">
                  <c:v>59.725999999999999</c:v>
                </c:pt>
                <c:pt idx="3">
                  <c:v>60.738999999999997</c:v>
                </c:pt>
                <c:pt idx="4">
                  <c:v>62.069000000000003</c:v>
                </c:pt>
                <c:pt idx="5">
                  <c:v>63.018999999999998</c:v>
                </c:pt>
                <c:pt idx="6">
                  <c:v>63.582000000000001</c:v>
                </c:pt>
                <c:pt idx="7">
                  <c:v>63.95</c:v>
                </c:pt>
                <c:pt idx="8">
                  <c:v>64.293999999999997</c:v>
                </c:pt>
                <c:pt idx="9">
                  <c:v>64.754000000000005</c:v>
                </c:pt>
                <c:pt idx="10">
                  <c:v>65.332999999999998</c:v>
                </c:pt>
                <c:pt idx="11">
                  <c:v>65.676000000000002</c:v>
                </c:pt>
                <c:pt idx="12">
                  <c:v>63.954999999999998</c:v>
                </c:pt>
                <c:pt idx="13">
                  <c:v>64.215000000000003</c:v>
                </c:pt>
                <c:pt idx="14">
                  <c:v>64.510999999999996</c:v>
                </c:pt>
                <c:pt idx="15">
                  <c:v>64.751999999999995</c:v>
                </c:pt>
                <c:pt idx="16">
                  <c:v>64.929000000000002</c:v>
                </c:pt>
                <c:pt idx="17">
                  <c:v>65.204999999999998</c:v>
                </c:pt>
                <c:pt idx="18">
                  <c:v>65.320999999999998</c:v>
                </c:pt>
                <c:pt idx="19">
                  <c:v>65.603999999999999</c:v>
                </c:pt>
                <c:pt idx="20">
                  <c:v>65.667000000000002</c:v>
                </c:pt>
                <c:pt idx="21">
                  <c:v>64.730999999999995</c:v>
                </c:pt>
                <c:pt idx="22">
                  <c:v>67.17</c:v>
                </c:pt>
                <c:pt idx="23">
                  <c:v>67.427999999999997</c:v>
                </c:pt>
                <c:pt idx="24">
                  <c:v>67.168000000000006</c:v>
                </c:pt>
                <c:pt idx="25">
                  <c:v>67.600999999999999</c:v>
                </c:pt>
                <c:pt idx="26">
                  <c:v>67.727999999999994</c:v>
                </c:pt>
                <c:pt idx="27">
                  <c:v>67.88</c:v>
                </c:pt>
                <c:pt idx="28">
                  <c:v>67.929000000000002</c:v>
                </c:pt>
                <c:pt idx="29">
                  <c:v>68.314999999999998</c:v>
                </c:pt>
                <c:pt idx="30">
                  <c:v>69.019000000000005</c:v>
                </c:pt>
                <c:pt idx="31">
                  <c:v>67.795000000000002</c:v>
                </c:pt>
                <c:pt idx="32">
                  <c:v>66.510000000000005</c:v>
                </c:pt>
                <c:pt idx="33">
                  <c:v>66.519000000000005</c:v>
                </c:pt>
                <c:pt idx="34">
                  <c:v>66.238</c:v>
                </c:pt>
                <c:pt idx="35">
                  <c:v>65.991</c:v>
                </c:pt>
                <c:pt idx="36">
                  <c:v>65.88</c:v>
                </c:pt>
                <c:pt idx="37">
                  <c:v>65.991</c:v>
                </c:pt>
                <c:pt idx="38">
                  <c:v>66.563999999999993</c:v>
                </c:pt>
                <c:pt idx="39">
                  <c:v>66.373999999999995</c:v>
                </c:pt>
                <c:pt idx="40">
                  <c:v>66.861000000000004</c:v>
                </c:pt>
                <c:pt idx="41">
                  <c:v>67.155000000000001</c:v>
                </c:pt>
                <c:pt idx="42">
                  <c:v>67.382000000000005</c:v>
                </c:pt>
                <c:pt idx="43">
                  <c:v>67.206000000000003</c:v>
                </c:pt>
                <c:pt idx="44">
                  <c:v>66.894999999999996</c:v>
                </c:pt>
                <c:pt idx="45">
                  <c:v>67.241</c:v>
                </c:pt>
                <c:pt idx="46">
                  <c:v>67.38</c:v>
                </c:pt>
                <c:pt idx="47">
                  <c:v>67.664000000000001</c:v>
                </c:pt>
                <c:pt idx="48">
                  <c:v>67.950999999999993</c:v>
                </c:pt>
                <c:pt idx="49">
                  <c:v>68.635000000000005</c:v>
                </c:pt>
                <c:pt idx="50">
                  <c:v>69.054000000000002</c:v>
                </c:pt>
                <c:pt idx="51">
                  <c:v>67.081000000000003</c:v>
                </c:pt>
                <c:pt idx="52">
                  <c:v>65.605999999999995</c:v>
                </c:pt>
                <c:pt idx="53">
                  <c:v>65.325000000000003</c:v>
                </c:pt>
                <c:pt idx="54">
                  <c:v>64.275000000000006</c:v>
                </c:pt>
                <c:pt idx="55">
                  <c:v>63.939</c:v>
                </c:pt>
                <c:pt idx="56">
                  <c:v>63.183999999999997</c:v>
                </c:pt>
                <c:pt idx="57">
                  <c:v>64.241</c:v>
                </c:pt>
                <c:pt idx="58">
                  <c:v>63.231000000000002</c:v>
                </c:pt>
                <c:pt idx="59">
                  <c:v>63.436</c:v>
                </c:pt>
                <c:pt idx="60">
                  <c:v>63.761000000000003</c:v>
                </c:pt>
                <c:pt idx="61">
                  <c:v>65.108999999999995</c:v>
                </c:pt>
                <c:pt idx="62">
                  <c:v>65.855000000000004</c:v>
                </c:pt>
                <c:pt idx="63">
                  <c:v>67.515000000000001</c:v>
                </c:pt>
                <c:pt idx="64">
                  <c:v>66.355999999999995</c:v>
                </c:pt>
                <c:pt idx="65">
                  <c:v>66.286000000000001</c:v>
                </c:pt>
                <c:pt idx="66">
                  <c:v>66.953000000000003</c:v>
                </c:pt>
                <c:pt idx="67">
                  <c:v>67.114000000000004</c:v>
                </c:pt>
                <c:pt idx="68">
                  <c:v>66.602000000000004</c:v>
                </c:pt>
                <c:pt idx="69">
                  <c:v>64.134</c:v>
                </c:pt>
                <c:pt idx="70">
                  <c:v>65.608999999999995</c:v>
                </c:pt>
                <c:pt idx="71">
                  <c:v>62.036000000000001</c:v>
                </c:pt>
                <c:pt idx="72">
                  <c:v>61.938000000000002</c:v>
                </c:pt>
                <c:pt idx="73">
                  <c:v>63.238999999999997</c:v>
                </c:pt>
                <c:pt idx="74">
                  <c:v>62.713000000000001</c:v>
                </c:pt>
                <c:pt idx="75">
                  <c:v>62.5</c:v>
                </c:pt>
                <c:pt idx="76">
                  <c:v>62.048999999999999</c:v>
                </c:pt>
                <c:pt idx="77">
                  <c:v>63.762999999999998</c:v>
                </c:pt>
                <c:pt idx="78">
                  <c:v>63.316000000000003</c:v>
                </c:pt>
                <c:pt idx="79">
                  <c:v>64.38</c:v>
                </c:pt>
                <c:pt idx="80">
                  <c:v>63.838999999999999</c:v>
                </c:pt>
                <c:pt idx="81">
                  <c:v>61.927999999999997</c:v>
                </c:pt>
                <c:pt idx="82">
                  <c:v>58.710999999999999</c:v>
                </c:pt>
                <c:pt idx="83">
                  <c:v>58.932000000000002</c:v>
                </c:pt>
                <c:pt idx="84">
                  <c:v>59.585999999999999</c:v>
                </c:pt>
                <c:pt idx="85">
                  <c:v>59.671999999999997</c:v>
                </c:pt>
                <c:pt idx="86">
                  <c:v>60.267000000000003</c:v>
                </c:pt>
                <c:pt idx="87">
                  <c:v>60.405999999999999</c:v>
                </c:pt>
                <c:pt idx="88">
                  <c:v>58.939</c:v>
                </c:pt>
                <c:pt idx="89">
                  <c:v>59.3</c:v>
                </c:pt>
                <c:pt idx="90">
                  <c:v>60.07</c:v>
                </c:pt>
                <c:pt idx="91">
                  <c:v>59.987000000000002</c:v>
                </c:pt>
                <c:pt idx="92">
                  <c:v>60.13</c:v>
                </c:pt>
                <c:pt idx="93">
                  <c:v>59.857999999999997</c:v>
                </c:pt>
                <c:pt idx="94">
                  <c:v>58.847000000000001</c:v>
                </c:pt>
                <c:pt idx="95">
                  <c:v>54.973999999999997</c:v>
                </c:pt>
                <c:pt idx="96">
                  <c:v>54.113999999999997</c:v>
                </c:pt>
                <c:pt idx="97">
                  <c:v>55.820999999999998</c:v>
                </c:pt>
                <c:pt idx="98">
                  <c:v>56.43</c:v>
                </c:pt>
                <c:pt idx="99">
                  <c:v>55.027999999999999</c:v>
                </c:pt>
                <c:pt idx="100">
                  <c:v>56.981999999999999</c:v>
                </c:pt>
                <c:pt idx="101">
                  <c:v>58.113</c:v>
                </c:pt>
                <c:pt idx="102">
                  <c:v>57.152999999999999</c:v>
                </c:pt>
                <c:pt idx="103">
                  <c:v>57.527000000000001</c:v>
                </c:pt>
                <c:pt idx="104">
                  <c:v>57.134</c:v>
                </c:pt>
                <c:pt idx="105">
                  <c:v>57.661999999999999</c:v>
                </c:pt>
                <c:pt idx="106">
                  <c:v>58.231999999999999</c:v>
                </c:pt>
                <c:pt idx="107">
                  <c:v>58.165999999999997</c:v>
                </c:pt>
                <c:pt idx="108">
                  <c:v>57.496000000000002</c:v>
                </c:pt>
                <c:pt idx="109">
                  <c:v>56.28</c:v>
                </c:pt>
                <c:pt idx="110">
                  <c:v>56.72</c:v>
                </c:pt>
                <c:pt idx="111">
                  <c:v>56.569000000000003</c:v>
                </c:pt>
                <c:pt idx="112">
                  <c:v>57.628999999999998</c:v>
                </c:pt>
                <c:pt idx="113">
                  <c:v>58.155000000000001</c:v>
                </c:pt>
                <c:pt idx="114">
                  <c:v>58.551000000000002</c:v>
                </c:pt>
                <c:pt idx="115">
                  <c:v>58.508000000000003</c:v>
                </c:pt>
                <c:pt idx="116">
                  <c:v>58.595999999999997</c:v>
                </c:pt>
                <c:pt idx="117">
                  <c:v>59.283999999999999</c:v>
                </c:pt>
                <c:pt idx="118">
                  <c:v>59.991</c:v>
                </c:pt>
                <c:pt idx="119">
                  <c:v>60.198999999999998</c:v>
                </c:pt>
                <c:pt idx="120">
                  <c:v>59.896999999999998</c:v>
                </c:pt>
                <c:pt idx="121">
                  <c:v>59.859000000000002</c:v>
                </c:pt>
                <c:pt idx="122">
                  <c:v>60.293999999999997</c:v>
                </c:pt>
                <c:pt idx="123">
                  <c:v>60.161999999999999</c:v>
                </c:pt>
                <c:pt idx="124">
                  <c:v>59.594999999999999</c:v>
                </c:pt>
                <c:pt idx="125">
                  <c:v>58.652999999999999</c:v>
                </c:pt>
                <c:pt idx="126">
                  <c:v>58.767000000000003</c:v>
                </c:pt>
                <c:pt idx="127">
                  <c:v>58.319000000000003</c:v>
                </c:pt>
                <c:pt idx="128">
                  <c:v>58.171999999999997</c:v>
                </c:pt>
                <c:pt idx="129">
                  <c:v>58.091000000000001</c:v>
                </c:pt>
                <c:pt idx="130">
                  <c:v>57.866999999999997</c:v>
                </c:pt>
                <c:pt idx="131">
                  <c:v>57.137999999999998</c:v>
                </c:pt>
                <c:pt idx="132">
                  <c:v>54.948999999999998</c:v>
                </c:pt>
                <c:pt idx="133">
                  <c:v>54.198999999999998</c:v>
                </c:pt>
                <c:pt idx="134">
                  <c:v>53.725000000000001</c:v>
                </c:pt>
                <c:pt idx="135">
                  <c:v>53.360999999999997</c:v>
                </c:pt>
                <c:pt idx="136">
                  <c:v>52.793999999999997</c:v>
                </c:pt>
                <c:pt idx="137">
                  <c:v>52.491</c:v>
                </c:pt>
                <c:pt idx="138">
                  <c:v>52.139000000000003</c:v>
                </c:pt>
                <c:pt idx="139">
                  <c:v>51.667999999999999</c:v>
                </c:pt>
                <c:pt idx="140">
                  <c:v>52.75</c:v>
                </c:pt>
                <c:pt idx="141">
                  <c:v>50.487000000000002</c:v>
                </c:pt>
                <c:pt idx="142">
                  <c:v>49.298000000000002</c:v>
                </c:pt>
                <c:pt idx="143">
                  <c:v>48.055</c:v>
                </c:pt>
                <c:pt idx="144">
                  <c:v>50.387999999999998</c:v>
                </c:pt>
                <c:pt idx="145">
                  <c:v>48.292999999999999</c:v>
                </c:pt>
                <c:pt idx="146">
                  <c:v>49.276000000000003</c:v>
                </c:pt>
                <c:pt idx="147">
                  <c:v>48.808999999999997</c:v>
                </c:pt>
                <c:pt idx="148">
                  <c:v>48.533999999999999</c:v>
                </c:pt>
                <c:pt idx="149">
                  <c:v>47.378</c:v>
                </c:pt>
                <c:pt idx="150">
                  <c:v>48.316000000000003</c:v>
                </c:pt>
                <c:pt idx="151">
                  <c:v>47.34</c:v>
                </c:pt>
                <c:pt idx="152">
                  <c:v>46.076999999999998</c:v>
                </c:pt>
                <c:pt idx="153">
                  <c:v>43.491999999999997</c:v>
                </c:pt>
                <c:pt idx="154">
                  <c:v>41.058</c:v>
                </c:pt>
                <c:pt idx="155">
                  <c:v>40.976999999999997</c:v>
                </c:pt>
                <c:pt idx="156">
                  <c:v>40.265999999999998</c:v>
                </c:pt>
                <c:pt idx="157">
                  <c:v>40.325000000000003</c:v>
                </c:pt>
                <c:pt idx="158">
                  <c:v>38.962000000000003</c:v>
                </c:pt>
                <c:pt idx="159">
                  <c:v>37.015000000000001</c:v>
                </c:pt>
                <c:pt idx="160">
                  <c:v>36.976999999999997</c:v>
                </c:pt>
                <c:pt idx="161">
                  <c:v>35.255000000000003</c:v>
                </c:pt>
                <c:pt idx="162">
                  <c:v>34.832999999999998</c:v>
                </c:pt>
                <c:pt idx="163">
                  <c:v>33.954000000000001</c:v>
                </c:pt>
                <c:pt idx="164">
                  <c:v>33.353000000000002</c:v>
                </c:pt>
                <c:pt idx="165">
                  <c:v>32.283999999999999</c:v>
                </c:pt>
                <c:pt idx="166">
                  <c:v>32.253</c:v>
                </c:pt>
                <c:pt idx="167">
                  <c:v>31.817</c:v>
                </c:pt>
                <c:pt idx="168">
                  <c:v>32.18</c:v>
                </c:pt>
                <c:pt idx="169">
                  <c:v>31.181999999999999</c:v>
                </c:pt>
                <c:pt idx="170">
                  <c:v>29.655000000000001</c:v>
                </c:pt>
                <c:pt idx="171">
                  <c:v>29.86</c:v>
                </c:pt>
                <c:pt idx="172">
                  <c:v>27.812999999999999</c:v>
                </c:pt>
                <c:pt idx="173">
                  <c:v>26.652999999999999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BF-45AF-BF99-BB92B20A1F44}"/>
            </c:ext>
          </c:extLst>
        </c:ser>
        <c:ser>
          <c:idx val="11"/>
          <c:order val="11"/>
          <c:tx>
            <c:strRef>
              <c:f>data_ghg_incLUC!$O$2</c:f>
              <c:strCache>
                <c:ptCount val="1"/>
                <c:pt idx="0">
                  <c:v>pct_annex1_EDGAR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data_ghg_incLUC!$O$3:$O$177</c:f>
              <c:numCache>
                <c:formatCode>0.0</c:formatCode>
                <c:ptCount val="175"/>
                <c:pt idx="140">
                  <c:v>52.259</c:v>
                </c:pt>
                <c:pt idx="141">
                  <c:v>51.399000000000001</c:v>
                </c:pt>
                <c:pt idx="142">
                  <c:v>49.856999999999999</c:v>
                </c:pt>
                <c:pt idx="143">
                  <c:v>48.529000000000003</c:v>
                </c:pt>
                <c:pt idx="144">
                  <c:v>48.142000000000003</c:v>
                </c:pt>
                <c:pt idx="145">
                  <c:v>47.164000000000001</c:v>
                </c:pt>
                <c:pt idx="146">
                  <c:v>46.01</c:v>
                </c:pt>
                <c:pt idx="147">
                  <c:v>46.481999999999999</c:v>
                </c:pt>
                <c:pt idx="148">
                  <c:v>44.795999999999999</c:v>
                </c:pt>
                <c:pt idx="149">
                  <c:v>45.186</c:v>
                </c:pt>
                <c:pt idx="150">
                  <c:v>45.027000000000001</c:v>
                </c:pt>
                <c:pt idx="151">
                  <c:v>43.719000000000001</c:v>
                </c:pt>
                <c:pt idx="152">
                  <c:v>42.853999999999999</c:v>
                </c:pt>
                <c:pt idx="153">
                  <c:v>41.798999999999999</c:v>
                </c:pt>
                <c:pt idx="154">
                  <c:v>39.642000000000003</c:v>
                </c:pt>
                <c:pt idx="155">
                  <c:v>38.203000000000003</c:v>
                </c:pt>
                <c:pt idx="156">
                  <c:v>38.110999999999997</c:v>
                </c:pt>
                <c:pt idx="157">
                  <c:v>38.08</c:v>
                </c:pt>
                <c:pt idx="158">
                  <c:v>36.143999999999998</c:v>
                </c:pt>
                <c:pt idx="159">
                  <c:v>33.18</c:v>
                </c:pt>
                <c:pt idx="160">
                  <c:v>32.720999999999997</c:v>
                </c:pt>
                <c:pt idx="161">
                  <c:v>33.411000000000001</c:v>
                </c:pt>
                <c:pt idx="162">
                  <c:v>31.898</c:v>
                </c:pt>
                <c:pt idx="163">
                  <c:v>29.731999999999999</c:v>
                </c:pt>
                <c:pt idx="164">
                  <c:v>29.193000000000001</c:v>
                </c:pt>
                <c:pt idx="165">
                  <c:v>28.588000000000001</c:v>
                </c:pt>
                <c:pt idx="166">
                  <c:v>27.943999999999999</c:v>
                </c:pt>
                <c:pt idx="167">
                  <c:v>28.992999999999999</c:v>
                </c:pt>
                <c:pt idx="168">
                  <c:v>29.378</c:v>
                </c:pt>
                <c:pt idx="169">
                  <c:v>28.015999999999998</c:v>
                </c:pt>
                <c:pt idx="170">
                  <c:v>26.151</c:v>
                </c:pt>
                <c:pt idx="171">
                  <c:v>27.038</c:v>
                </c:pt>
                <c:pt idx="172">
                  <c:v>26.100999999999999</c:v>
                </c:pt>
                <c:pt idx="173">
                  <c:v>26.856999999999999</c:v>
                </c:pt>
                <c:pt idx="174">
                  <c:v>24.978000000000002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BF-45AF-BF99-BB92B20A1F44}"/>
            </c:ext>
          </c:extLst>
        </c:ser>
        <c:ser>
          <c:idx val="12"/>
          <c:order val="12"/>
          <c:tx>
            <c:strRef>
              <c:f>data_ghg_incLUC!$P$2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data_ghg_incLUC!$P$3:$P$177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BF-45AF-BF99-BB92B20A1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All GHGs,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data_ghg_excLUC!$B$3:$B$177</c:f>
              <c:numCache>
                <c:formatCode>0.0</c:formatCode>
                <c:ptCount val="175"/>
                <c:pt idx="0">
                  <c:v>38.923999999999999</c:v>
                </c:pt>
                <c:pt idx="1">
                  <c:v>39.033000000000001</c:v>
                </c:pt>
                <c:pt idx="2">
                  <c:v>39.44</c:v>
                </c:pt>
                <c:pt idx="3">
                  <c:v>39.939</c:v>
                </c:pt>
                <c:pt idx="4">
                  <c:v>41.607999999999997</c:v>
                </c:pt>
                <c:pt idx="5">
                  <c:v>41.802999999999997</c:v>
                </c:pt>
                <c:pt idx="6">
                  <c:v>42.521000000000001</c:v>
                </c:pt>
                <c:pt idx="7">
                  <c:v>42.636000000000003</c:v>
                </c:pt>
                <c:pt idx="8">
                  <c:v>42.725999999999999</c:v>
                </c:pt>
                <c:pt idx="9">
                  <c:v>43.427999999999997</c:v>
                </c:pt>
                <c:pt idx="10">
                  <c:v>44.500999999999998</c:v>
                </c:pt>
                <c:pt idx="11">
                  <c:v>45.063000000000002</c:v>
                </c:pt>
                <c:pt idx="12">
                  <c:v>45.155999999999999</c:v>
                </c:pt>
                <c:pt idx="13">
                  <c:v>45.792999999999999</c:v>
                </c:pt>
                <c:pt idx="14">
                  <c:v>46.652999999999999</c:v>
                </c:pt>
                <c:pt idx="15">
                  <c:v>47.335999999999999</c:v>
                </c:pt>
                <c:pt idx="16">
                  <c:v>47.64</c:v>
                </c:pt>
                <c:pt idx="17">
                  <c:v>48.424999999999997</c:v>
                </c:pt>
                <c:pt idx="18">
                  <c:v>48.673000000000002</c:v>
                </c:pt>
                <c:pt idx="19">
                  <c:v>49.384999999999998</c:v>
                </c:pt>
                <c:pt idx="20">
                  <c:v>49.515999999999998</c:v>
                </c:pt>
                <c:pt idx="21">
                  <c:v>50.082999999999998</c:v>
                </c:pt>
                <c:pt idx="22">
                  <c:v>51.488</c:v>
                </c:pt>
                <c:pt idx="23">
                  <c:v>52.276000000000003</c:v>
                </c:pt>
                <c:pt idx="24">
                  <c:v>50.966000000000001</c:v>
                </c:pt>
                <c:pt idx="25">
                  <c:v>52.143000000000001</c:v>
                </c:pt>
                <c:pt idx="26">
                  <c:v>51.835000000000001</c:v>
                </c:pt>
                <c:pt idx="27">
                  <c:v>52.078000000000003</c:v>
                </c:pt>
                <c:pt idx="28">
                  <c:v>51.831000000000003</c:v>
                </c:pt>
                <c:pt idx="29">
                  <c:v>52.72</c:v>
                </c:pt>
                <c:pt idx="30">
                  <c:v>54.576000000000001</c:v>
                </c:pt>
                <c:pt idx="31">
                  <c:v>54.878</c:v>
                </c:pt>
                <c:pt idx="32">
                  <c:v>55.573</c:v>
                </c:pt>
                <c:pt idx="33">
                  <c:v>56.216000000000001</c:v>
                </c:pt>
                <c:pt idx="34">
                  <c:v>56.124000000000002</c:v>
                </c:pt>
                <c:pt idx="35">
                  <c:v>55.939</c:v>
                </c:pt>
                <c:pt idx="36">
                  <c:v>55.945999999999998</c:v>
                </c:pt>
                <c:pt idx="37">
                  <c:v>56.503</c:v>
                </c:pt>
                <c:pt idx="38">
                  <c:v>57.944000000000003</c:v>
                </c:pt>
                <c:pt idx="39">
                  <c:v>57.524999999999999</c:v>
                </c:pt>
                <c:pt idx="40">
                  <c:v>58.664999999999999</c:v>
                </c:pt>
                <c:pt idx="41">
                  <c:v>59.109000000000002</c:v>
                </c:pt>
                <c:pt idx="42">
                  <c:v>59.076999999999998</c:v>
                </c:pt>
                <c:pt idx="43">
                  <c:v>58.326999999999998</c:v>
                </c:pt>
                <c:pt idx="44">
                  <c:v>58.805999999999997</c:v>
                </c:pt>
                <c:pt idx="45">
                  <c:v>59.335999999999999</c:v>
                </c:pt>
                <c:pt idx="46">
                  <c:v>59.598999999999997</c:v>
                </c:pt>
                <c:pt idx="47">
                  <c:v>59.981999999999999</c:v>
                </c:pt>
                <c:pt idx="48">
                  <c:v>60.396000000000001</c:v>
                </c:pt>
                <c:pt idx="49">
                  <c:v>61.673000000000002</c:v>
                </c:pt>
                <c:pt idx="50">
                  <c:v>62.344000000000001</c:v>
                </c:pt>
                <c:pt idx="51">
                  <c:v>62.383000000000003</c:v>
                </c:pt>
                <c:pt idx="52">
                  <c:v>62.774999999999999</c:v>
                </c:pt>
                <c:pt idx="53">
                  <c:v>64.194000000000003</c:v>
                </c:pt>
                <c:pt idx="54">
                  <c:v>63.890999999999998</c:v>
                </c:pt>
                <c:pt idx="55">
                  <c:v>65.021000000000001</c:v>
                </c:pt>
                <c:pt idx="56">
                  <c:v>64.94</c:v>
                </c:pt>
                <c:pt idx="57">
                  <c:v>66.730999999999995</c:v>
                </c:pt>
                <c:pt idx="58">
                  <c:v>65.400999999999996</c:v>
                </c:pt>
                <c:pt idx="59">
                  <c:v>65.894000000000005</c:v>
                </c:pt>
                <c:pt idx="60">
                  <c:v>66.753</c:v>
                </c:pt>
                <c:pt idx="61">
                  <c:v>66.441999999999993</c:v>
                </c:pt>
                <c:pt idx="62">
                  <c:v>66.98</c:v>
                </c:pt>
                <c:pt idx="63">
                  <c:v>67.855000000000004</c:v>
                </c:pt>
                <c:pt idx="64">
                  <c:v>66.399000000000001</c:v>
                </c:pt>
                <c:pt idx="65">
                  <c:v>66.102000000000004</c:v>
                </c:pt>
                <c:pt idx="66">
                  <c:v>66.903000000000006</c:v>
                </c:pt>
                <c:pt idx="67">
                  <c:v>67.396000000000001</c:v>
                </c:pt>
                <c:pt idx="68">
                  <c:v>68.468999999999994</c:v>
                </c:pt>
                <c:pt idx="69">
                  <c:v>67.11</c:v>
                </c:pt>
                <c:pt idx="70">
                  <c:v>68.105999999999995</c:v>
                </c:pt>
                <c:pt idx="71">
                  <c:v>64.775999999999996</c:v>
                </c:pt>
                <c:pt idx="72">
                  <c:v>65.602000000000004</c:v>
                </c:pt>
                <c:pt idx="73">
                  <c:v>67.992999999999995</c:v>
                </c:pt>
                <c:pt idx="74">
                  <c:v>67.388000000000005</c:v>
                </c:pt>
                <c:pt idx="75">
                  <c:v>67.528000000000006</c:v>
                </c:pt>
                <c:pt idx="76">
                  <c:v>66.42</c:v>
                </c:pt>
                <c:pt idx="77">
                  <c:v>67.424000000000007</c:v>
                </c:pt>
                <c:pt idx="78">
                  <c:v>66.563000000000002</c:v>
                </c:pt>
                <c:pt idx="79">
                  <c:v>67.207999999999998</c:v>
                </c:pt>
                <c:pt idx="80">
                  <c:v>64.893000000000001</c:v>
                </c:pt>
                <c:pt idx="81">
                  <c:v>62.015999999999998</c:v>
                </c:pt>
                <c:pt idx="82">
                  <c:v>59.347999999999999</c:v>
                </c:pt>
                <c:pt idx="83">
                  <c:v>59.679000000000002</c:v>
                </c:pt>
                <c:pt idx="84">
                  <c:v>59.863</c:v>
                </c:pt>
                <c:pt idx="85">
                  <c:v>59.616</c:v>
                </c:pt>
                <c:pt idx="86">
                  <c:v>60.491999999999997</c:v>
                </c:pt>
                <c:pt idx="87">
                  <c:v>61.17</c:v>
                </c:pt>
                <c:pt idx="88">
                  <c:v>58.863999999999997</c:v>
                </c:pt>
                <c:pt idx="89">
                  <c:v>59.67</c:v>
                </c:pt>
                <c:pt idx="90">
                  <c:v>58.59</c:v>
                </c:pt>
                <c:pt idx="91">
                  <c:v>59.625999999999998</c:v>
                </c:pt>
                <c:pt idx="92">
                  <c:v>61.374000000000002</c:v>
                </c:pt>
                <c:pt idx="93">
                  <c:v>60.496000000000002</c:v>
                </c:pt>
                <c:pt idx="94">
                  <c:v>60.109000000000002</c:v>
                </c:pt>
                <c:pt idx="95">
                  <c:v>57.718000000000004</c:v>
                </c:pt>
                <c:pt idx="96">
                  <c:v>57.207000000000001</c:v>
                </c:pt>
                <c:pt idx="97">
                  <c:v>58.75</c:v>
                </c:pt>
                <c:pt idx="98">
                  <c:v>59.598999999999997</c:v>
                </c:pt>
                <c:pt idx="99">
                  <c:v>57.066000000000003</c:v>
                </c:pt>
                <c:pt idx="100">
                  <c:v>59.167999999999999</c:v>
                </c:pt>
                <c:pt idx="101">
                  <c:v>59.296999999999997</c:v>
                </c:pt>
                <c:pt idx="102">
                  <c:v>58.158000000000001</c:v>
                </c:pt>
                <c:pt idx="103">
                  <c:v>57.826000000000001</c:v>
                </c:pt>
                <c:pt idx="104">
                  <c:v>56.585999999999999</c:v>
                </c:pt>
                <c:pt idx="105">
                  <c:v>56.552</c:v>
                </c:pt>
                <c:pt idx="106">
                  <c:v>56.475000000000001</c:v>
                </c:pt>
                <c:pt idx="107">
                  <c:v>55.268000000000001</c:v>
                </c:pt>
                <c:pt idx="108">
                  <c:v>52.96</c:v>
                </c:pt>
                <c:pt idx="109">
                  <c:v>51.646999999999998</c:v>
                </c:pt>
                <c:pt idx="110">
                  <c:v>51.661000000000001</c:v>
                </c:pt>
                <c:pt idx="111">
                  <c:v>52.439</c:v>
                </c:pt>
                <c:pt idx="112">
                  <c:v>53.097000000000001</c:v>
                </c:pt>
                <c:pt idx="113">
                  <c:v>53.329000000000001</c:v>
                </c:pt>
                <c:pt idx="114">
                  <c:v>53.4</c:v>
                </c:pt>
                <c:pt idx="115">
                  <c:v>53.146000000000001</c:v>
                </c:pt>
                <c:pt idx="116">
                  <c:v>52.642000000000003</c:v>
                </c:pt>
                <c:pt idx="117">
                  <c:v>53.192999999999998</c:v>
                </c:pt>
                <c:pt idx="118">
                  <c:v>53.27</c:v>
                </c:pt>
                <c:pt idx="119">
                  <c:v>53.241</c:v>
                </c:pt>
                <c:pt idx="120">
                  <c:v>52.622999999999998</c:v>
                </c:pt>
                <c:pt idx="121">
                  <c:v>52.018999999999998</c:v>
                </c:pt>
                <c:pt idx="122">
                  <c:v>51.935000000000002</c:v>
                </c:pt>
                <c:pt idx="123">
                  <c:v>51.694000000000003</c:v>
                </c:pt>
                <c:pt idx="124">
                  <c:v>50.515000000000001</c:v>
                </c:pt>
                <c:pt idx="125">
                  <c:v>48.625999999999998</c:v>
                </c:pt>
                <c:pt idx="126">
                  <c:v>48.767000000000003</c:v>
                </c:pt>
                <c:pt idx="127">
                  <c:v>48.14</c:v>
                </c:pt>
                <c:pt idx="128">
                  <c:v>47.165999999999997</c:v>
                </c:pt>
                <c:pt idx="129">
                  <c:v>47.003</c:v>
                </c:pt>
                <c:pt idx="130">
                  <c:v>46.006999999999998</c:v>
                </c:pt>
                <c:pt idx="131">
                  <c:v>45.749000000000002</c:v>
                </c:pt>
                <c:pt idx="132">
                  <c:v>44.326000000000001</c:v>
                </c:pt>
                <c:pt idx="133">
                  <c:v>43.649000000000001</c:v>
                </c:pt>
                <c:pt idx="134">
                  <c:v>43.573</c:v>
                </c:pt>
                <c:pt idx="135">
                  <c:v>43.01</c:v>
                </c:pt>
                <c:pt idx="136">
                  <c:v>42.292999999999999</c:v>
                </c:pt>
                <c:pt idx="137">
                  <c:v>42.069000000000003</c:v>
                </c:pt>
                <c:pt idx="138">
                  <c:v>41.927999999999997</c:v>
                </c:pt>
                <c:pt idx="139">
                  <c:v>41.69</c:v>
                </c:pt>
                <c:pt idx="140">
                  <c:v>40.384</c:v>
                </c:pt>
                <c:pt idx="141">
                  <c:v>40.25</c:v>
                </c:pt>
                <c:pt idx="142">
                  <c:v>40.497999999999998</c:v>
                </c:pt>
                <c:pt idx="143">
                  <c:v>40.408999999999999</c:v>
                </c:pt>
                <c:pt idx="144">
                  <c:v>40.738</c:v>
                </c:pt>
                <c:pt idx="145">
                  <c:v>40.259</c:v>
                </c:pt>
                <c:pt idx="146">
                  <c:v>40.502000000000002</c:v>
                </c:pt>
                <c:pt idx="147">
                  <c:v>40.707000000000001</c:v>
                </c:pt>
                <c:pt idx="148">
                  <c:v>40.677</c:v>
                </c:pt>
                <c:pt idx="149">
                  <c:v>40.557000000000002</c:v>
                </c:pt>
                <c:pt idx="150">
                  <c:v>40.290999999999997</c:v>
                </c:pt>
                <c:pt idx="151">
                  <c:v>39.795000000000002</c:v>
                </c:pt>
                <c:pt idx="152">
                  <c:v>38.945</c:v>
                </c:pt>
                <c:pt idx="153">
                  <c:v>37.777999999999999</c:v>
                </c:pt>
                <c:pt idx="154">
                  <c:v>36.686999999999998</c:v>
                </c:pt>
                <c:pt idx="155">
                  <c:v>35.487000000000002</c:v>
                </c:pt>
                <c:pt idx="156">
                  <c:v>34.295000000000002</c:v>
                </c:pt>
                <c:pt idx="157">
                  <c:v>33.524999999999999</c:v>
                </c:pt>
                <c:pt idx="158">
                  <c:v>32.32</c:v>
                </c:pt>
                <c:pt idx="159">
                  <c:v>30.771000000000001</c:v>
                </c:pt>
                <c:pt idx="160">
                  <c:v>30.26</c:v>
                </c:pt>
                <c:pt idx="161">
                  <c:v>28.942</c:v>
                </c:pt>
                <c:pt idx="162">
                  <c:v>28.073</c:v>
                </c:pt>
                <c:pt idx="163">
                  <c:v>27.788</c:v>
                </c:pt>
                <c:pt idx="164">
                  <c:v>27.225999999999999</c:v>
                </c:pt>
                <c:pt idx="165">
                  <c:v>27.009</c:v>
                </c:pt>
                <c:pt idx="166">
                  <c:v>26.564</c:v>
                </c:pt>
                <c:pt idx="167">
                  <c:v>26.036000000000001</c:v>
                </c:pt>
                <c:pt idx="168">
                  <c:v>25.611000000000001</c:v>
                </c:pt>
                <c:pt idx="169">
                  <c:v>24.867999999999999</c:v>
                </c:pt>
                <c:pt idx="170">
                  <c:v>23.545000000000002</c:v>
                </c:pt>
                <c:pt idx="171">
                  <c:v>23.468</c:v>
                </c:pt>
                <c:pt idx="172">
                  <c:v>23.234000000000002</c:v>
                </c:pt>
                <c:pt idx="173">
                  <c:v>22.091999999999999</c:v>
                </c:pt>
                <c:pt idx="174">
                  <c:v>21.73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1-4126-AD6D-94B907E2D926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data_ghg_excLUC!$F$3:$F$177</c:f>
              <c:numCache>
                <c:formatCode>0.0</c:formatCode>
                <c:ptCount val="175"/>
                <c:pt idx="0">
                  <c:v>12.605000000000004</c:v>
                </c:pt>
                <c:pt idx="1">
                  <c:v>12.707999999999998</c:v>
                </c:pt>
                <c:pt idx="2">
                  <c:v>12.761000000000003</c:v>
                </c:pt>
                <c:pt idx="3">
                  <c:v>12.761000000000003</c:v>
                </c:pt>
                <c:pt idx="4">
                  <c:v>12.527000000000001</c:v>
                </c:pt>
                <c:pt idx="5">
                  <c:v>12.622</c:v>
                </c:pt>
                <c:pt idx="6">
                  <c:v>12.586999999999996</c:v>
                </c:pt>
                <c:pt idx="7">
                  <c:v>12.669999999999995</c:v>
                </c:pt>
                <c:pt idx="8">
                  <c:v>12.774000000000001</c:v>
                </c:pt>
                <c:pt idx="9">
                  <c:v>12.678000000000004</c:v>
                </c:pt>
                <c:pt idx="10">
                  <c:v>12.554000000000002</c:v>
                </c:pt>
                <c:pt idx="11">
                  <c:v>12.530000000000001</c:v>
                </c:pt>
                <c:pt idx="12">
                  <c:v>12.645000000000003</c:v>
                </c:pt>
                <c:pt idx="13">
                  <c:v>12.616999999999997</c:v>
                </c:pt>
                <c:pt idx="14">
                  <c:v>12.548999999999999</c:v>
                </c:pt>
                <c:pt idx="15">
                  <c:v>12.521999999999998</c:v>
                </c:pt>
                <c:pt idx="16">
                  <c:v>12.594000000000001</c:v>
                </c:pt>
                <c:pt idx="17">
                  <c:v>12.551000000000002</c:v>
                </c:pt>
                <c:pt idx="18">
                  <c:v>12.613999999999997</c:v>
                </c:pt>
                <c:pt idx="19">
                  <c:v>12.565000000000005</c:v>
                </c:pt>
                <c:pt idx="20">
                  <c:v>12.635000000000005</c:v>
                </c:pt>
                <c:pt idx="21">
                  <c:v>12.709000000000003</c:v>
                </c:pt>
                <c:pt idx="22">
                  <c:v>12.496000000000002</c:v>
                </c:pt>
                <c:pt idx="23">
                  <c:v>12.41899999999999</c:v>
                </c:pt>
                <c:pt idx="24">
                  <c:v>12.938000000000002</c:v>
                </c:pt>
                <c:pt idx="25">
                  <c:v>12.719999999999999</c:v>
                </c:pt>
                <c:pt idx="26">
                  <c:v>13.184000000000005</c:v>
                </c:pt>
                <c:pt idx="27">
                  <c:v>13.158999999999992</c:v>
                </c:pt>
                <c:pt idx="28">
                  <c:v>13.409999999999997</c:v>
                </c:pt>
                <c:pt idx="29">
                  <c:v>13.317999999999998</c:v>
                </c:pt>
                <c:pt idx="30">
                  <c:v>12.922000000000004</c:v>
                </c:pt>
                <c:pt idx="31">
                  <c:v>12.906999999999996</c:v>
                </c:pt>
                <c:pt idx="32">
                  <c:v>12.773999999999994</c:v>
                </c:pt>
                <c:pt idx="33">
                  <c:v>12.776999999999994</c:v>
                </c:pt>
                <c:pt idx="34">
                  <c:v>12.881999999999998</c:v>
                </c:pt>
                <c:pt idx="35">
                  <c:v>13.056999999999995</c:v>
                </c:pt>
                <c:pt idx="36">
                  <c:v>13.11</c:v>
                </c:pt>
                <c:pt idx="37">
                  <c:v>13.009</c:v>
                </c:pt>
                <c:pt idx="38">
                  <c:v>12.750999999999991</c:v>
                </c:pt>
                <c:pt idx="39">
                  <c:v>13.021000000000008</c:v>
                </c:pt>
                <c:pt idx="40">
                  <c:v>12.827000000000005</c:v>
                </c:pt>
                <c:pt idx="41">
                  <c:v>12.872999999999998</c:v>
                </c:pt>
                <c:pt idx="42">
                  <c:v>12.864000000000004</c:v>
                </c:pt>
                <c:pt idx="43">
                  <c:v>13.266000000000005</c:v>
                </c:pt>
                <c:pt idx="44">
                  <c:v>13.141000000000005</c:v>
                </c:pt>
                <c:pt idx="45">
                  <c:v>13.165000000000006</c:v>
                </c:pt>
                <c:pt idx="46">
                  <c:v>13.170000000000009</c:v>
                </c:pt>
                <c:pt idx="47">
                  <c:v>13.251000000000005</c:v>
                </c:pt>
                <c:pt idx="48">
                  <c:v>13.332999999999998</c:v>
                </c:pt>
                <c:pt idx="49">
                  <c:v>13.091999999999999</c:v>
                </c:pt>
                <c:pt idx="50">
                  <c:v>13.056000000000004</c:v>
                </c:pt>
                <c:pt idx="51">
                  <c:v>13.122999999999998</c:v>
                </c:pt>
                <c:pt idx="52">
                  <c:v>12.893000000000008</c:v>
                </c:pt>
                <c:pt idx="53">
                  <c:v>12.388999999999996</c:v>
                </c:pt>
                <c:pt idx="54">
                  <c:v>12.610999999999997</c:v>
                </c:pt>
                <c:pt idx="55">
                  <c:v>12.159999999999997</c:v>
                </c:pt>
                <c:pt idx="56">
                  <c:v>12.259</c:v>
                </c:pt>
                <c:pt idx="57">
                  <c:v>11.891000000000005</c:v>
                </c:pt>
                <c:pt idx="58">
                  <c:v>12.067999999999998</c:v>
                </c:pt>
                <c:pt idx="59">
                  <c:v>11.893999999999991</c:v>
                </c:pt>
                <c:pt idx="60">
                  <c:v>11.780000000000001</c:v>
                </c:pt>
                <c:pt idx="61">
                  <c:v>11.736000000000004</c:v>
                </c:pt>
                <c:pt idx="62">
                  <c:v>11.345999999999989</c:v>
                </c:pt>
                <c:pt idx="63">
                  <c:v>10.900999999999996</c:v>
                </c:pt>
                <c:pt idx="64">
                  <c:v>11.560000000000002</c:v>
                </c:pt>
                <c:pt idx="65">
                  <c:v>11.701999999999998</c:v>
                </c:pt>
                <c:pt idx="66">
                  <c:v>11.477999999999994</c:v>
                </c:pt>
                <c:pt idx="67">
                  <c:v>11.173000000000002</c:v>
                </c:pt>
                <c:pt idx="68">
                  <c:v>9.652000000000001</c:v>
                </c:pt>
                <c:pt idx="69">
                  <c:v>8.4060000000000059</c:v>
                </c:pt>
                <c:pt idx="70">
                  <c:v>8.8680000000000092</c:v>
                </c:pt>
                <c:pt idx="71">
                  <c:v>9.6920000000000073</c:v>
                </c:pt>
                <c:pt idx="72">
                  <c:v>9.4500000000000028</c:v>
                </c:pt>
                <c:pt idx="73">
                  <c:v>8.6069999999999993</c:v>
                </c:pt>
                <c:pt idx="74">
                  <c:v>8.8789999999999907</c:v>
                </c:pt>
                <c:pt idx="75">
                  <c:v>8.8069999999999879</c:v>
                </c:pt>
                <c:pt idx="76">
                  <c:v>9.4279999999999973</c:v>
                </c:pt>
                <c:pt idx="77">
                  <c:v>9.546999999999997</c:v>
                </c:pt>
                <c:pt idx="78">
                  <c:v>9.8509999999999991</c:v>
                </c:pt>
                <c:pt idx="79">
                  <c:v>9.8520000000000039</c:v>
                </c:pt>
                <c:pt idx="80">
                  <c:v>10.744</c:v>
                </c:pt>
                <c:pt idx="81">
                  <c:v>11.829000000000001</c:v>
                </c:pt>
                <c:pt idx="82">
                  <c:v>11.817000000000007</c:v>
                </c:pt>
                <c:pt idx="83">
                  <c:v>11.584999999999994</c:v>
                </c:pt>
                <c:pt idx="84">
                  <c:v>11.009</c:v>
                </c:pt>
                <c:pt idx="85">
                  <c:v>10.638999999999996</c:v>
                </c:pt>
                <c:pt idx="86">
                  <c:v>10.324000000000005</c:v>
                </c:pt>
                <c:pt idx="87">
                  <c:v>10.128</c:v>
                </c:pt>
                <c:pt idx="88">
                  <c:v>10.092000000000006</c:v>
                </c:pt>
                <c:pt idx="89">
                  <c:v>10</c:v>
                </c:pt>
                <c:pt idx="90">
                  <c:v>9.0939999999999941</c:v>
                </c:pt>
                <c:pt idx="91">
                  <c:v>9.5399999999999991</c:v>
                </c:pt>
                <c:pt idx="92">
                  <c:v>10.606999999999992</c:v>
                </c:pt>
                <c:pt idx="93">
                  <c:v>11.303999999999995</c:v>
                </c:pt>
                <c:pt idx="94">
                  <c:v>10.436</c:v>
                </c:pt>
                <c:pt idx="95">
                  <c:v>11.799999999999997</c:v>
                </c:pt>
                <c:pt idx="96">
                  <c:v>11.324999999999996</c:v>
                </c:pt>
                <c:pt idx="97">
                  <c:v>10.602999999999994</c:v>
                </c:pt>
                <c:pt idx="98">
                  <c:v>10.598000000000006</c:v>
                </c:pt>
                <c:pt idx="99">
                  <c:v>10.448999999999998</c:v>
                </c:pt>
                <c:pt idx="100">
                  <c:v>9.1639999999999944</c:v>
                </c:pt>
                <c:pt idx="101">
                  <c:v>8.9009999999999962</c:v>
                </c:pt>
                <c:pt idx="102">
                  <c:v>8.5439999999999969</c:v>
                </c:pt>
                <c:pt idx="103">
                  <c:v>8.4349999999999952</c:v>
                </c:pt>
                <c:pt idx="104">
                  <c:v>8.0169999999999959</c:v>
                </c:pt>
                <c:pt idx="105">
                  <c:v>7.3819999999999979</c:v>
                </c:pt>
                <c:pt idx="106">
                  <c:v>7.1229999999999976</c:v>
                </c:pt>
                <c:pt idx="107">
                  <c:v>6.7190000000000012</c:v>
                </c:pt>
                <c:pt idx="108">
                  <c:v>6.019999999999996</c:v>
                </c:pt>
                <c:pt idx="109">
                  <c:v>5.3860000000000028</c:v>
                </c:pt>
                <c:pt idx="110">
                  <c:v>5.3239999999999981</c:v>
                </c:pt>
                <c:pt idx="111">
                  <c:v>5.5949999999999989</c:v>
                </c:pt>
                <c:pt idx="112">
                  <c:v>5.7179999999999964</c:v>
                </c:pt>
                <c:pt idx="113">
                  <c:v>5.4320000000000022</c:v>
                </c:pt>
                <c:pt idx="114">
                  <c:v>5.3180000000000049</c:v>
                </c:pt>
                <c:pt idx="115">
                  <c:v>4.9969999999999999</c:v>
                </c:pt>
                <c:pt idx="116">
                  <c:v>4.9549999999999983</c:v>
                </c:pt>
                <c:pt idx="117">
                  <c:v>4.8880000000000052</c:v>
                </c:pt>
                <c:pt idx="118">
                  <c:v>4.9689999999999941</c:v>
                </c:pt>
                <c:pt idx="119">
                  <c:v>4.6330000000000027</c:v>
                </c:pt>
                <c:pt idx="120">
                  <c:v>4.5050000000000026</c:v>
                </c:pt>
                <c:pt idx="121">
                  <c:v>3.9950000000000045</c:v>
                </c:pt>
                <c:pt idx="122">
                  <c:v>3.8780000000000001</c:v>
                </c:pt>
                <c:pt idx="123">
                  <c:v>3.6969999999999956</c:v>
                </c:pt>
                <c:pt idx="124">
                  <c:v>3.6099999999999994</c:v>
                </c:pt>
                <c:pt idx="125">
                  <c:v>3.4560000000000031</c:v>
                </c:pt>
                <c:pt idx="126">
                  <c:v>3.2479999999999976</c:v>
                </c:pt>
                <c:pt idx="127">
                  <c:v>3.0259999999999962</c:v>
                </c:pt>
                <c:pt idx="128">
                  <c:v>3.3460000000000036</c:v>
                </c:pt>
                <c:pt idx="129">
                  <c:v>3.3560000000000016</c:v>
                </c:pt>
                <c:pt idx="130">
                  <c:v>3.3830000000000027</c:v>
                </c:pt>
                <c:pt idx="131">
                  <c:v>3.2560000000000002</c:v>
                </c:pt>
                <c:pt idx="132">
                  <c:v>3.0039999999999978</c:v>
                </c:pt>
                <c:pt idx="133">
                  <c:v>2.9589999999999961</c:v>
                </c:pt>
                <c:pt idx="134">
                  <c:v>2.6859999999999999</c:v>
                </c:pt>
                <c:pt idx="135">
                  <c:v>2.1260000000000048</c:v>
                </c:pt>
                <c:pt idx="136">
                  <c:v>2.0549999999999997</c:v>
                </c:pt>
                <c:pt idx="137">
                  <c:v>2.1809999999999974</c:v>
                </c:pt>
                <c:pt idx="138">
                  <c:v>1.9650000000000034</c:v>
                </c:pt>
                <c:pt idx="139">
                  <c:v>2.4000000000000057</c:v>
                </c:pt>
                <c:pt idx="140">
                  <c:v>4.5409999999999968</c:v>
                </c:pt>
                <c:pt idx="141">
                  <c:v>3.8939999999999984</c:v>
                </c:pt>
                <c:pt idx="142">
                  <c:v>4.9909999999999997</c:v>
                </c:pt>
                <c:pt idx="143">
                  <c:v>4.804000000000002</c:v>
                </c:pt>
                <c:pt idx="144">
                  <c:v>4.6390000000000029</c:v>
                </c:pt>
                <c:pt idx="145">
                  <c:v>4.5869999999999962</c:v>
                </c:pt>
                <c:pt idx="146">
                  <c:v>4.1509999999999962</c:v>
                </c:pt>
                <c:pt idx="147">
                  <c:v>3.7759999999999962</c:v>
                </c:pt>
                <c:pt idx="148">
                  <c:v>4.277000000000001</c:v>
                </c:pt>
                <c:pt idx="149">
                  <c:v>3.9089999999999989</c:v>
                </c:pt>
                <c:pt idx="150">
                  <c:v>3.9760000000000062</c:v>
                </c:pt>
                <c:pt idx="151">
                  <c:v>3.8599999999999994</c:v>
                </c:pt>
                <c:pt idx="152">
                  <c:v>4.1899999999999977</c:v>
                </c:pt>
                <c:pt idx="153">
                  <c:v>3.7090000000000032</c:v>
                </c:pt>
                <c:pt idx="154">
                  <c:v>3.8539999999999992</c:v>
                </c:pt>
                <c:pt idx="155">
                  <c:v>3.7849999999999966</c:v>
                </c:pt>
                <c:pt idx="156">
                  <c:v>3.492999999999995</c:v>
                </c:pt>
                <c:pt idx="157">
                  <c:v>3.5290000000000035</c:v>
                </c:pt>
                <c:pt idx="158">
                  <c:v>3.1280000000000001</c:v>
                </c:pt>
                <c:pt idx="159">
                  <c:v>2.7860000000000014</c:v>
                </c:pt>
                <c:pt idx="160">
                  <c:v>2.4659999999999975</c:v>
                </c:pt>
                <c:pt idx="161">
                  <c:v>2.0850000000000009</c:v>
                </c:pt>
                <c:pt idx="162">
                  <c:v>1.995000000000001</c:v>
                </c:pt>
                <c:pt idx="163">
                  <c:v>2.2740000000000009</c:v>
                </c:pt>
                <c:pt idx="164">
                  <c:v>2.2630000000000017</c:v>
                </c:pt>
                <c:pt idx="165">
                  <c:v>2.1069999999999993</c:v>
                </c:pt>
                <c:pt idx="166">
                  <c:v>2.0120000000000005</c:v>
                </c:pt>
                <c:pt idx="167">
                  <c:v>1.9589999999999996</c:v>
                </c:pt>
                <c:pt idx="168">
                  <c:v>1.9959999999999987</c:v>
                </c:pt>
                <c:pt idx="169">
                  <c:v>1.8140000000000001</c:v>
                </c:pt>
                <c:pt idx="170">
                  <c:v>1.6849999999999987</c:v>
                </c:pt>
                <c:pt idx="171">
                  <c:v>1.9239999999999995</c:v>
                </c:pt>
                <c:pt idx="172">
                  <c:v>1.5839999999999996</c:v>
                </c:pt>
                <c:pt idx="173">
                  <c:v>1.5620000000000012</c:v>
                </c:pt>
                <c:pt idx="174">
                  <c:v>2.5949999999999989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1-4126-AD6D-94B907E2D926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data_ghg_excLUC!$G$3:$G$177</c:f>
              <c:numCache>
                <c:formatCode>0.0</c:formatCode>
                <c:ptCount val="175"/>
                <c:pt idx="0">
                  <c:v>3.4779999999999944</c:v>
                </c:pt>
                <c:pt idx="1">
                  <c:v>3.2909999999999968</c:v>
                </c:pt>
                <c:pt idx="2">
                  <c:v>3.3560000000000016</c:v>
                </c:pt>
                <c:pt idx="3">
                  <c:v>3.5679999999999978</c:v>
                </c:pt>
                <c:pt idx="4">
                  <c:v>4.6540000000000035</c:v>
                </c:pt>
                <c:pt idx="5">
                  <c:v>4.4960000000000022</c:v>
                </c:pt>
                <c:pt idx="6">
                  <c:v>4.7550000000000026</c:v>
                </c:pt>
                <c:pt idx="7">
                  <c:v>4.6099999999999994</c:v>
                </c:pt>
                <c:pt idx="8">
                  <c:v>4.3789999999999978</c:v>
                </c:pt>
                <c:pt idx="9">
                  <c:v>4.7890000000000015</c:v>
                </c:pt>
                <c:pt idx="10">
                  <c:v>5.2710000000000008</c:v>
                </c:pt>
                <c:pt idx="11">
                  <c:v>5.3769999999999953</c:v>
                </c:pt>
                <c:pt idx="12">
                  <c:v>5.1659999999999968</c:v>
                </c:pt>
                <c:pt idx="13">
                  <c:v>5.2560000000000002</c:v>
                </c:pt>
                <c:pt idx="14">
                  <c:v>5.4620000000000033</c:v>
                </c:pt>
                <c:pt idx="15">
                  <c:v>5.5489999999999995</c:v>
                </c:pt>
                <c:pt idx="16">
                  <c:v>5.4070000000000036</c:v>
                </c:pt>
                <c:pt idx="17">
                  <c:v>5.5160000000000053</c:v>
                </c:pt>
                <c:pt idx="18">
                  <c:v>5.3800000000000026</c:v>
                </c:pt>
                <c:pt idx="19">
                  <c:v>5.4869999999999948</c:v>
                </c:pt>
                <c:pt idx="20">
                  <c:v>5.2779999999999987</c:v>
                </c:pt>
                <c:pt idx="21">
                  <c:v>5.0870000000000033</c:v>
                </c:pt>
                <c:pt idx="22">
                  <c:v>5.3440000000000012</c:v>
                </c:pt>
                <c:pt idx="23">
                  <c:v>5.3970000000000056</c:v>
                </c:pt>
                <c:pt idx="24">
                  <c:v>4.573999999999991</c:v>
                </c:pt>
                <c:pt idx="25">
                  <c:v>4.8619999999999948</c:v>
                </c:pt>
                <c:pt idx="26">
                  <c:v>4.0449999999999875</c:v>
                </c:pt>
                <c:pt idx="27">
                  <c:v>4.0870000000000033</c:v>
                </c:pt>
                <c:pt idx="28">
                  <c:v>3.5499999999999972</c:v>
                </c:pt>
                <c:pt idx="29">
                  <c:v>3.6110000000000042</c:v>
                </c:pt>
                <c:pt idx="30">
                  <c:v>3.9689999999999941</c:v>
                </c:pt>
                <c:pt idx="31">
                  <c:v>4.0280000000000058</c:v>
                </c:pt>
                <c:pt idx="32">
                  <c:v>4.1170000000000044</c:v>
                </c:pt>
                <c:pt idx="33">
                  <c:v>3.9510000000000076</c:v>
                </c:pt>
                <c:pt idx="34">
                  <c:v>3.7540000000000049</c:v>
                </c:pt>
                <c:pt idx="35">
                  <c:v>3.460000000000008</c:v>
                </c:pt>
                <c:pt idx="36">
                  <c:v>3.3930000000000007</c:v>
                </c:pt>
                <c:pt idx="37">
                  <c:v>3.4380000000000024</c:v>
                </c:pt>
                <c:pt idx="38">
                  <c:v>3.4810000000000088</c:v>
                </c:pt>
                <c:pt idx="39">
                  <c:v>3.0229999999999961</c:v>
                </c:pt>
                <c:pt idx="40">
                  <c:v>3.1089999999999947</c:v>
                </c:pt>
                <c:pt idx="41">
                  <c:v>2.8160000000000025</c:v>
                </c:pt>
                <c:pt idx="42">
                  <c:v>2.7849999999999966</c:v>
                </c:pt>
                <c:pt idx="43">
                  <c:v>2.152000000000001</c:v>
                </c:pt>
                <c:pt idx="44">
                  <c:v>2.164999999999992</c:v>
                </c:pt>
                <c:pt idx="45">
                  <c:v>1.875</c:v>
                </c:pt>
                <c:pt idx="46">
                  <c:v>1.722999999999999</c:v>
                </c:pt>
                <c:pt idx="47">
                  <c:v>1.3870000000000005</c:v>
                </c:pt>
                <c:pt idx="48">
                  <c:v>0.98799999999999955</c:v>
                </c:pt>
                <c:pt idx="49">
                  <c:v>0.93200000000000216</c:v>
                </c:pt>
                <c:pt idx="50">
                  <c:v>0.73599999999999</c:v>
                </c:pt>
                <c:pt idx="51">
                  <c:v>0.53700000000000614</c:v>
                </c:pt>
                <c:pt idx="52">
                  <c:v>0.79199999999998738</c:v>
                </c:pt>
                <c:pt idx="53">
                  <c:v>1.0880000000000081</c:v>
                </c:pt>
                <c:pt idx="54">
                  <c:v>0.73700000000000898</c:v>
                </c:pt>
                <c:pt idx="55">
                  <c:v>1.0550000000000068</c:v>
                </c:pt>
                <c:pt idx="56">
                  <c:v>0.79900000000000659</c:v>
                </c:pt>
                <c:pt idx="57">
                  <c:v>0.14300000000000068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0.12800000000000011</c:v>
                </c:pt>
                <c:pt idx="66">
                  <c:v>0</c:v>
                </c:pt>
                <c:pt idx="67">
                  <c:v>0.28199999999999648</c:v>
                </c:pt>
                <c:pt idx="68">
                  <c:v>2.3689999999999998</c:v>
                </c:pt>
                <c:pt idx="69">
                  <c:v>4.7740000000000009</c:v>
                </c:pt>
                <c:pt idx="70">
                  <c:v>3.0969999999999942</c:v>
                </c:pt>
                <c:pt idx="71">
                  <c:v>2.6400000000000006</c:v>
                </c:pt>
                <c:pt idx="72">
                  <c:v>2.8029999999999973</c:v>
                </c:pt>
                <c:pt idx="73">
                  <c:v>3.3860000000000099</c:v>
                </c:pt>
                <c:pt idx="74">
                  <c:v>3.0200000000000102</c:v>
                </c:pt>
                <c:pt idx="75">
                  <c:v>3.1290000000000049</c:v>
                </c:pt>
                <c:pt idx="76">
                  <c:v>2.6219999999999999</c:v>
                </c:pt>
                <c:pt idx="77">
                  <c:v>2.0859999999999985</c:v>
                </c:pt>
                <c:pt idx="78">
                  <c:v>1.9230000000000018</c:v>
                </c:pt>
                <c:pt idx="79">
                  <c:v>1.6280000000000001</c:v>
                </c:pt>
                <c:pt idx="80">
                  <c:v>0.99500000000000455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71-4126-AD6D-94B907E2D926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data_ghg_excLUC!$H$3:$H$177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0.29700000000001125</c:v>
                </c:pt>
                <c:pt idx="59">
                  <c:v>0.42700000000000671</c:v>
                </c:pt>
                <c:pt idx="60">
                  <c:v>0.15999999999999659</c:v>
                </c:pt>
                <c:pt idx="61">
                  <c:v>0.23799999999999955</c:v>
                </c:pt>
                <c:pt idx="62">
                  <c:v>0.78100000000000591</c:v>
                </c:pt>
                <c:pt idx="63">
                  <c:v>0.95600000000000307</c:v>
                </c:pt>
                <c:pt idx="64">
                  <c:v>0.29800000000000182</c:v>
                </c:pt>
                <c:pt idx="65">
                  <c:v>0</c:v>
                </c:pt>
                <c:pt idx="66">
                  <c:v>4.6999999999997044E-2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0.18500000000000227</c:v>
                </c:pt>
                <c:pt idx="82">
                  <c:v>0.97999999999998977</c:v>
                </c:pt>
                <c:pt idx="83">
                  <c:v>1.1710000000000065</c:v>
                </c:pt>
                <c:pt idx="84">
                  <c:v>2.019999999999996</c:v>
                </c:pt>
                <c:pt idx="85">
                  <c:v>2.5810000000000031</c:v>
                </c:pt>
                <c:pt idx="86">
                  <c:v>2.9209999999999923</c:v>
                </c:pt>
                <c:pt idx="87">
                  <c:v>2.7879999999999967</c:v>
                </c:pt>
                <c:pt idx="88">
                  <c:v>3.742999999999995</c:v>
                </c:pt>
                <c:pt idx="89">
                  <c:v>3.3179999999999978</c:v>
                </c:pt>
                <c:pt idx="90">
                  <c:v>6.1440000000000055</c:v>
                </c:pt>
                <c:pt idx="91">
                  <c:v>4.6380000000000052</c:v>
                </c:pt>
                <c:pt idx="92">
                  <c:v>2.2070000000000078</c:v>
                </c:pt>
                <c:pt idx="93">
                  <c:v>2.3250000000000028</c:v>
                </c:pt>
                <c:pt idx="94">
                  <c:v>2.7150000000000034</c:v>
                </c:pt>
                <c:pt idx="95">
                  <c:v>0.47799999999999443</c:v>
                </c:pt>
                <c:pt idx="96">
                  <c:v>1.4950000000000045</c:v>
                </c:pt>
                <c:pt idx="97">
                  <c:v>2.2700000000000102</c:v>
                </c:pt>
                <c:pt idx="98">
                  <c:v>2.340999999999994</c:v>
                </c:pt>
                <c:pt idx="99">
                  <c:v>3.7900000000000063</c:v>
                </c:pt>
                <c:pt idx="100">
                  <c:v>5.1780000000000115</c:v>
                </c:pt>
                <c:pt idx="101">
                  <c:v>5.554000000000002</c:v>
                </c:pt>
                <c:pt idx="102">
                  <c:v>6.5090000000000003</c:v>
                </c:pt>
                <c:pt idx="103">
                  <c:v>7.0190000000000055</c:v>
                </c:pt>
                <c:pt idx="104">
                  <c:v>8.0889999999999986</c:v>
                </c:pt>
                <c:pt idx="105">
                  <c:v>8.9480000000000075</c:v>
                </c:pt>
                <c:pt idx="106">
                  <c:v>9.5400000000000063</c:v>
                </c:pt>
                <c:pt idx="107">
                  <c:v>10.645999999999994</c:v>
                </c:pt>
                <c:pt idx="108">
                  <c:v>11.729999999999997</c:v>
                </c:pt>
                <c:pt idx="109">
                  <c:v>12.298999999999992</c:v>
                </c:pt>
                <c:pt idx="110">
                  <c:v>12.254999999999995</c:v>
                </c:pt>
                <c:pt idx="111">
                  <c:v>12.442</c:v>
                </c:pt>
                <c:pt idx="112">
                  <c:v>12.638000000000005</c:v>
                </c:pt>
                <c:pt idx="113">
                  <c:v>13.149999999999999</c:v>
                </c:pt>
                <c:pt idx="114">
                  <c:v>13.453000000000003</c:v>
                </c:pt>
                <c:pt idx="115">
                  <c:v>13.807000000000002</c:v>
                </c:pt>
                <c:pt idx="116">
                  <c:v>13.866999999999997</c:v>
                </c:pt>
                <c:pt idx="117">
                  <c:v>14.180999999999997</c:v>
                </c:pt>
                <c:pt idx="118">
                  <c:v>13.827000000000005</c:v>
                </c:pt>
                <c:pt idx="119">
                  <c:v>13.871000000000002</c:v>
                </c:pt>
                <c:pt idx="120">
                  <c:v>12.016999999999996</c:v>
                </c:pt>
                <c:pt idx="121">
                  <c:v>12.689</c:v>
                </c:pt>
                <c:pt idx="122">
                  <c:v>12.849000000000004</c:v>
                </c:pt>
                <c:pt idx="123">
                  <c:v>13.050999999999995</c:v>
                </c:pt>
                <c:pt idx="124">
                  <c:v>13.718999999999994</c:v>
                </c:pt>
                <c:pt idx="125">
                  <c:v>14.645999999999994</c:v>
                </c:pt>
                <c:pt idx="126">
                  <c:v>14.715999999999994</c:v>
                </c:pt>
                <c:pt idx="127">
                  <c:v>14.960000000000008</c:v>
                </c:pt>
                <c:pt idx="128">
                  <c:v>15.114999999999995</c:v>
                </c:pt>
                <c:pt idx="129">
                  <c:v>14.911999999999999</c:v>
                </c:pt>
                <c:pt idx="130">
                  <c:v>15.412999999999997</c:v>
                </c:pt>
                <c:pt idx="131">
                  <c:v>15.603999999999992</c:v>
                </c:pt>
                <c:pt idx="132">
                  <c:v>16.207999999999998</c:v>
                </c:pt>
                <c:pt idx="133">
                  <c:v>16.295000000000002</c:v>
                </c:pt>
                <c:pt idx="134">
                  <c:v>16.317</c:v>
                </c:pt>
                <c:pt idx="135">
                  <c:v>17.148999999999994</c:v>
                </c:pt>
                <c:pt idx="136">
                  <c:v>17.219000000000001</c:v>
                </c:pt>
                <c:pt idx="137">
                  <c:v>16.887999999999998</c:v>
                </c:pt>
                <c:pt idx="138">
                  <c:v>16.670000000000002</c:v>
                </c:pt>
                <c:pt idx="139">
                  <c:v>15.798999999999999</c:v>
                </c:pt>
                <c:pt idx="140">
                  <c:v>13.979000000000006</c:v>
                </c:pt>
                <c:pt idx="141">
                  <c:v>13.803000000000004</c:v>
                </c:pt>
                <c:pt idx="142">
                  <c:v>11.313000000000002</c:v>
                </c:pt>
                <c:pt idx="143">
                  <c:v>10.338000000000001</c:v>
                </c:pt>
                <c:pt idx="144">
                  <c:v>9.1559999999999988</c:v>
                </c:pt>
                <c:pt idx="145">
                  <c:v>8.5600000000000023</c:v>
                </c:pt>
                <c:pt idx="146">
                  <c:v>8.4939999999999998</c:v>
                </c:pt>
                <c:pt idx="147">
                  <c:v>8.203000000000003</c:v>
                </c:pt>
                <c:pt idx="148">
                  <c:v>7.365000000000002</c:v>
                </c:pt>
                <c:pt idx="149">
                  <c:v>7.6129999999999995</c:v>
                </c:pt>
                <c:pt idx="150">
                  <c:v>7.4539999999999935</c:v>
                </c:pt>
                <c:pt idx="151">
                  <c:v>7.4420000000000002</c:v>
                </c:pt>
                <c:pt idx="152">
                  <c:v>6.9430000000000049</c:v>
                </c:pt>
                <c:pt idx="153">
                  <c:v>7.4140000000000015</c:v>
                </c:pt>
                <c:pt idx="154">
                  <c:v>6.7950000000000017</c:v>
                </c:pt>
                <c:pt idx="155">
                  <c:v>6.6230000000000047</c:v>
                </c:pt>
                <c:pt idx="156">
                  <c:v>6.845000000000006</c:v>
                </c:pt>
                <c:pt idx="157">
                  <c:v>6.6289999999999978</c:v>
                </c:pt>
                <c:pt idx="158">
                  <c:v>6.8339999999999961</c:v>
                </c:pt>
                <c:pt idx="159">
                  <c:v>6.6419999999999959</c:v>
                </c:pt>
                <c:pt idx="160">
                  <c:v>6.820999999999998</c:v>
                </c:pt>
                <c:pt idx="161">
                  <c:v>7.1739999999999995</c:v>
                </c:pt>
                <c:pt idx="162">
                  <c:v>7.1119999999999983</c:v>
                </c:pt>
                <c:pt idx="163">
                  <c:v>6.4939999999999962</c:v>
                </c:pt>
                <c:pt idx="164">
                  <c:v>6.3289999999999971</c:v>
                </c:pt>
                <c:pt idx="165">
                  <c:v>6.4680000000000035</c:v>
                </c:pt>
                <c:pt idx="166">
                  <c:v>6.6039999999999992</c:v>
                </c:pt>
                <c:pt idx="167">
                  <c:v>6.7240000000000002</c:v>
                </c:pt>
                <c:pt idx="168">
                  <c:v>6.713000000000001</c:v>
                </c:pt>
                <c:pt idx="169">
                  <c:v>6.7880000000000003</c:v>
                </c:pt>
                <c:pt idx="170">
                  <c:v>6.9130000000000003</c:v>
                </c:pt>
                <c:pt idx="171">
                  <c:v>6.8099999999999987</c:v>
                </c:pt>
                <c:pt idx="172">
                  <c:v>6.7299999999999969</c:v>
                </c:pt>
                <c:pt idx="173">
                  <c:v>6.6080000000000005</c:v>
                </c:pt>
                <c:pt idx="174">
                  <c:v>5.5809999999999995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71-4126-AD6D-94B907E2D926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data_ghg_excLUC!$Q$3:$Q$177</c:f>
              <c:numCache>
                <c:formatCode>0.0</c:formatCode>
                <c:ptCount val="175"/>
                <c:pt idx="0">
                  <c:v>11.196000000000005</c:v>
                </c:pt>
                <c:pt idx="1">
                  <c:v>11.329999999999998</c:v>
                </c:pt>
                <c:pt idx="2">
                  <c:v>11.364999999999995</c:v>
                </c:pt>
                <c:pt idx="3">
                  <c:v>11.290999999999997</c:v>
                </c:pt>
                <c:pt idx="4">
                  <c:v>10.778999999999996</c:v>
                </c:pt>
                <c:pt idx="5">
                  <c:v>10.937999999999995</c:v>
                </c:pt>
                <c:pt idx="6">
                  <c:v>10.778000000000006</c:v>
                </c:pt>
                <c:pt idx="7">
                  <c:v>10.874000000000009</c:v>
                </c:pt>
                <c:pt idx="8">
                  <c:v>11.062999999999995</c:v>
                </c:pt>
                <c:pt idx="9">
                  <c:v>10.826000000000001</c:v>
                </c:pt>
                <c:pt idx="10">
                  <c:v>10.567</c:v>
                </c:pt>
                <c:pt idx="11">
                  <c:v>10.531999999999996</c:v>
                </c:pt>
                <c:pt idx="12">
                  <c:v>10.742000000000004</c:v>
                </c:pt>
                <c:pt idx="13">
                  <c:v>10.701000000000008</c:v>
                </c:pt>
                <c:pt idx="14">
                  <c:v>10.587000000000003</c:v>
                </c:pt>
                <c:pt idx="15">
                  <c:v>10.558000000000007</c:v>
                </c:pt>
                <c:pt idx="16">
                  <c:v>10.680999999999997</c:v>
                </c:pt>
                <c:pt idx="17">
                  <c:v>10.649000000000001</c:v>
                </c:pt>
                <c:pt idx="18">
                  <c:v>10.763000000000005</c:v>
                </c:pt>
                <c:pt idx="19">
                  <c:v>10.697000000000003</c:v>
                </c:pt>
                <c:pt idx="20">
                  <c:v>10.822999999999993</c:v>
                </c:pt>
                <c:pt idx="21">
                  <c:v>10.965999999999994</c:v>
                </c:pt>
                <c:pt idx="22">
                  <c:v>10.622</c:v>
                </c:pt>
                <c:pt idx="23">
                  <c:v>10.480999999999995</c:v>
                </c:pt>
                <c:pt idx="24">
                  <c:v>11.237000000000009</c:v>
                </c:pt>
                <c:pt idx="25">
                  <c:v>10.87700000000001</c:v>
                </c:pt>
                <c:pt idx="26">
                  <c:v>11.619000000000014</c:v>
                </c:pt>
                <c:pt idx="27">
                  <c:v>11.525000000000006</c:v>
                </c:pt>
                <c:pt idx="28">
                  <c:v>11.885000000000005</c:v>
                </c:pt>
                <c:pt idx="29">
                  <c:v>11.736000000000004</c:v>
                </c:pt>
                <c:pt idx="30">
                  <c:v>11.165000000000006</c:v>
                </c:pt>
                <c:pt idx="31">
                  <c:v>11.108000000000004</c:v>
                </c:pt>
                <c:pt idx="32">
                  <c:v>10.927000000000007</c:v>
                </c:pt>
                <c:pt idx="33">
                  <c:v>10.978999999999999</c:v>
                </c:pt>
                <c:pt idx="34">
                  <c:v>11.137999999999991</c:v>
                </c:pt>
                <c:pt idx="35">
                  <c:v>11.415999999999997</c:v>
                </c:pt>
                <c:pt idx="36">
                  <c:v>11.488</c:v>
                </c:pt>
                <c:pt idx="37">
                  <c:v>11.349000000000004</c:v>
                </c:pt>
                <c:pt idx="38">
                  <c:v>11.021999999999991</c:v>
                </c:pt>
                <c:pt idx="39">
                  <c:v>11.436999999999998</c:v>
                </c:pt>
                <c:pt idx="40">
                  <c:v>11.200000000000003</c:v>
                </c:pt>
                <c:pt idx="41">
                  <c:v>11.310000000000002</c:v>
                </c:pt>
                <c:pt idx="42">
                  <c:v>11.281999999999996</c:v>
                </c:pt>
                <c:pt idx="43">
                  <c:v>11.899000000000001</c:v>
                </c:pt>
                <c:pt idx="44">
                  <c:v>11.719999999999999</c:v>
                </c:pt>
                <c:pt idx="45">
                  <c:v>11.807999999999993</c:v>
                </c:pt>
                <c:pt idx="46">
                  <c:v>11.830999999999989</c:v>
                </c:pt>
                <c:pt idx="47">
                  <c:v>11.99199999999999</c:v>
                </c:pt>
                <c:pt idx="48">
                  <c:v>12.162000000000006</c:v>
                </c:pt>
                <c:pt idx="49">
                  <c:v>11.876999999999995</c:v>
                </c:pt>
                <c:pt idx="50">
                  <c:v>11.89</c:v>
                </c:pt>
                <c:pt idx="51">
                  <c:v>11.968999999999994</c:v>
                </c:pt>
                <c:pt idx="52">
                  <c:v>11.597000000000008</c:v>
                </c:pt>
                <c:pt idx="53">
                  <c:v>10.922999999999988</c:v>
                </c:pt>
                <c:pt idx="54">
                  <c:v>11.197000000000003</c:v>
                </c:pt>
                <c:pt idx="55">
                  <c:v>10.581999999999994</c:v>
                </c:pt>
                <c:pt idx="56">
                  <c:v>10.792999999999992</c:v>
                </c:pt>
                <c:pt idx="57">
                  <c:v>10.344999999999999</c:v>
                </c:pt>
                <c:pt idx="58">
                  <c:v>10.646000000000001</c:v>
                </c:pt>
                <c:pt idx="59">
                  <c:v>10.429999999999993</c:v>
                </c:pt>
                <c:pt idx="60">
                  <c:v>10.204999999999998</c:v>
                </c:pt>
                <c:pt idx="61">
                  <c:v>10.260000000000005</c:v>
                </c:pt>
                <c:pt idx="62">
                  <c:v>10.007000000000005</c:v>
                </c:pt>
                <c:pt idx="63">
                  <c:v>9.5750000000000028</c:v>
                </c:pt>
                <c:pt idx="64">
                  <c:v>10.114999999999995</c:v>
                </c:pt>
                <c:pt idx="65">
                  <c:v>10.194999999999993</c:v>
                </c:pt>
                <c:pt idx="66">
                  <c:v>9.9690000000000083</c:v>
                </c:pt>
                <c:pt idx="67">
                  <c:v>9.5450000000000017</c:v>
                </c:pt>
                <c:pt idx="68">
                  <c:v>7.5240000000000009</c:v>
                </c:pt>
                <c:pt idx="69">
                  <c:v>5.5</c:v>
                </c:pt>
                <c:pt idx="70">
                  <c:v>6.4900000000000091</c:v>
                </c:pt>
                <c:pt idx="71">
                  <c:v>7.3190000000000026</c:v>
                </c:pt>
                <c:pt idx="72">
                  <c:v>7.0889999999999986</c:v>
                </c:pt>
                <c:pt idx="73">
                  <c:v>6.1599999999999966</c:v>
                </c:pt>
                <c:pt idx="74">
                  <c:v>6.4949999999999903</c:v>
                </c:pt>
                <c:pt idx="75">
                  <c:v>6.4210000000000065</c:v>
                </c:pt>
                <c:pt idx="76">
                  <c:v>7.2040000000000077</c:v>
                </c:pt>
                <c:pt idx="77">
                  <c:v>7.480000000000004</c:v>
                </c:pt>
                <c:pt idx="78">
                  <c:v>7.8930000000000007</c:v>
                </c:pt>
                <c:pt idx="79">
                  <c:v>8.0319999999999965</c:v>
                </c:pt>
                <c:pt idx="80">
                  <c:v>9.0959999999999894</c:v>
                </c:pt>
                <c:pt idx="81">
                  <c:v>10.477000000000004</c:v>
                </c:pt>
                <c:pt idx="82">
                  <c:v>10.664000000000001</c:v>
                </c:pt>
                <c:pt idx="83">
                  <c:v>10.486000000000004</c:v>
                </c:pt>
                <c:pt idx="84">
                  <c:v>10.132000000000005</c:v>
                </c:pt>
                <c:pt idx="85">
                  <c:v>9.9150000000000063</c:v>
                </c:pt>
                <c:pt idx="86">
                  <c:v>9.7420000000000044</c:v>
                </c:pt>
                <c:pt idx="87">
                  <c:v>9.5559999999999974</c:v>
                </c:pt>
                <c:pt idx="88">
                  <c:v>9.8719999999999999</c:v>
                </c:pt>
                <c:pt idx="89">
                  <c:v>9.7169999999999987</c:v>
                </c:pt>
                <c:pt idx="90">
                  <c:v>9.3979999999999961</c:v>
                </c:pt>
                <c:pt idx="91">
                  <c:v>9.5589999999999975</c:v>
                </c:pt>
                <c:pt idx="92">
                  <c:v>9.5169999999999959</c:v>
                </c:pt>
                <c:pt idx="93">
                  <c:v>9.8239999999999981</c:v>
                </c:pt>
                <c:pt idx="94">
                  <c:v>10.330999999999989</c:v>
                </c:pt>
                <c:pt idx="95">
                  <c:v>11.460000000000008</c:v>
                </c:pt>
                <c:pt idx="96">
                  <c:v>11.483999999999995</c:v>
                </c:pt>
                <c:pt idx="97">
                  <c:v>10.762</c:v>
                </c:pt>
                <c:pt idx="98">
                  <c:v>10.799999999999997</c:v>
                </c:pt>
                <c:pt idx="99">
                  <c:v>11.285999999999987</c:v>
                </c:pt>
                <c:pt idx="100">
                  <c:v>9.5789999999999935</c:v>
                </c:pt>
                <c:pt idx="101">
                  <c:v>9.3389999999999986</c:v>
                </c:pt>
                <c:pt idx="102">
                  <c:v>9.1340000000000003</c:v>
                </c:pt>
                <c:pt idx="103">
                  <c:v>9.132000000000005</c:v>
                </c:pt>
                <c:pt idx="104">
                  <c:v>8.9050000000000011</c:v>
                </c:pt>
                <c:pt idx="105">
                  <c:v>8.1619999999999919</c:v>
                </c:pt>
                <c:pt idx="106">
                  <c:v>7.9279999999999973</c:v>
                </c:pt>
                <c:pt idx="107">
                  <c:v>7.666000000000011</c:v>
                </c:pt>
                <c:pt idx="108">
                  <c:v>7.0180000000000007</c:v>
                </c:pt>
                <c:pt idx="109">
                  <c:v>6.304000000000002</c:v>
                </c:pt>
                <c:pt idx="110">
                  <c:v>6.1380000000000052</c:v>
                </c:pt>
                <c:pt idx="111">
                  <c:v>6.5349999999999966</c:v>
                </c:pt>
                <c:pt idx="112">
                  <c:v>6.7039999999999935</c:v>
                </c:pt>
                <c:pt idx="113">
                  <c:v>6.4369999999999976</c:v>
                </c:pt>
                <c:pt idx="114">
                  <c:v>6.3249999999999886</c:v>
                </c:pt>
                <c:pt idx="115">
                  <c:v>5.9050000000000011</c:v>
                </c:pt>
                <c:pt idx="116">
                  <c:v>5.6670000000000016</c:v>
                </c:pt>
                <c:pt idx="117">
                  <c:v>5.5120000000000005</c:v>
                </c:pt>
                <c:pt idx="118">
                  <c:v>5.5529999999999973</c:v>
                </c:pt>
                <c:pt idx="119">
                  <c:v>5.0899999999999892</c:v>
                </c:pt>
                <c:pt idx="120">
                  <c:v>6.5720000000000027</c:v>
                </c:pt>
                <c:pt idx="121">
                  <c:v>6.1809999999999974</c:v>
                </c:pt>
                <c:pt idx="122">
                  <c:v>6.0849999999999937</c:v>
                </c:pt>
                <c:pt idx="123">
                  <c:v>5.7330000000000041</c:v>
                </c:pt>
                <c:pt idx="124">
                  <c:v>5.75</c:v>
                </c:pt>
                <c:pt idx="125">
                  <c:v>5.7650000000000006</c:v>
                </c:pt>
                <c:pt idx="126">
                  <c:v>5.6020000000000039</c:v>
                </c:pt>
                <c:pt idx="127">
                  <c:v>5.5139999999999958</c:v>
                </c:pt>
                <c:pt idx="128">
                  <c:v>5.3860000000000099</c:v>
                </c:pt>
                <c:pt idx="129">
                  <c:v>5.215999999999994</c:v>
                </c:pt>
                <c:pt idx="130">
                  <c:v>5.4690000000000083</c:v>
                </c:pt>
                <c:pt idx="131">
                  <c:v>5.3599999999999994</c:v>
                </c:pt>
                <c:pt idx="132">
                  <c:v>5.2550000000000097</c:v>
                </c:pt>
                <c:pt idx="133">
                  <c:v>5.2239999999999966</c:v>
                </c:pt>
                <c:pt idx="134">
                  <c:v>4.8249999999999957</c:v>
                </c:pt>
                <c:pt idx="135">
                  <c:v>4.4489999999999981</c:v>
                </c:pt>
                <c:pt idx="136">
                  <c:v>4.2320000000000064</c:v>
                </c:pt>
                <c:pt idx="137">
                  <c:v>4.1499999999999986</c:v>
                </c:pt>
                <c:pt idx="138">
                  <c:v>3.7950000000000017</c:v>
                </c:pt>
                <c:pt idx="139">
                  <c:v>3.9439999999999955</c:v>
                </c:pt>
                <c:pt idx="140">
                  <c:v>5.5919999999999916</c:v>
                </c:pt>
                <c:pt idx="141">
                  <c:v>4.2359999999999971</c:v>
                </c:pt>
                <c:pt idx="142">
                  <c:v>4.9369999999999976</c:v>
                </c:pt>
                <c:pt idx="143">
                  <c:v>4.8819999999999979</c:v>
                </c:pt>
                <c:pt idx="144">
                  <c:v>4.4969999999999999</c:v>
                </c:pt>
                <c:pt idx="145">
                  <c:v>4.6310000000000002</c:v>
                </c:pt>
                <c:pt idx="146">
                  <c:v>4.2220000000000013</c:v>
                </c:pt>
                <c:pt idx="147">
                  <c:v>3.9799999999999969</c:v>
                </c:pt>
                <c:pt idx="148">
                  <c:v>4.5820000000000007</c:v>
                </c:pt>
                <c:pt idx="149">
                  <c:v>3.9799999999999969</c:v>
                </c:pt>
                <c:pt idx="150">
                  <c:v>3.8290000000000006</c:v>
                </c:pt>
                <c:pt idx="151">
                  <c:v>3.9819999999999993</c:v>
                </c:pt>
                <c:pt idx="152">
                  <c:v>4.2269999999999968</c:v>
                </c:pt>
                <c:pt idx="153">
                  <c:v>3.5289999999999964</c:v>
                </c:pt>
                <c:pt idx="154">
                  <c:v>3.919000000000004</c:v>
                </c:pt>
                <c:pt idx="155">
                  <c:v>3.9159999999999968</c:v>
                </c:pt>
                <c:pt idx="156">
                  <c:v>3.7539999999999978</c:v>
                </c:pt>
                <c:pt idx="157">
                  <c:v>3.8780000000000001</c:v>
                </c:pt>
                <c:pt idx="158">
                  <c:v>3.4980000000000047</c:v>
                </c:pt>
                <c:pt idx="159">
                  <c:v>3.2040000000000006</c:v>
                </c:pt>
                <c:pt idx="160">
                  <c:v>2.9480000000000004</c:v>
                </c:pt>
                <c:pt idx="161">
                  <c:v>2.5600000000000023</c:v>
                </c:pt>
                <c:pt idx="162">
                  <c:v>2.5120000000000005</c:v>
                </c:pt>
                <c:pt idx="163">
                  <c:v>2.7929999999999993</c:v>
                </c:pt>
                <c:pt idx="164">
                  <c:v>2.7880000000000038</c:v>
                </c:pt>
                <c:pt idx="165">
                  <c:v>2.6389999999999958</c:v>
                </c:pt>
                <c:pt idx="166">
                  <c:v>2.6319999999999979</c:v>
                </c:pt>
                <c:pt idx="167">
                  <c:v>2.5689999999999955</c:v>
                </c:pt>
                <c:pt idx="168">
                  <c:v>2.5559999999999974</c:v>
                </c:pt>
                <c:pt idx="169">
                  <c:v>2.2650000000000006</c:v>
                </c:pt>
                <c:pt idx="170">
                  <c:v>2.1820000000000022</c:v>
                </c:pt>
                <c:pt idx="171">
                  <c:v>2.286999999999999</c:v>
                </c:pt>
                <c:pt idx="172">
                  <c:v>1.9430000000000014</c:v>
                </c:pt>
                <c:pt idx="173">
                  <c:v>2.0110000000000028</c:v>
                </c:pt>
                <c:pt idx="174">
                  <c:v>2.3230000000000004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71-4126-AD6D-94B907E2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data_ghg_excLUC!$I$2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data_ghg_excLUC!$I$3:$I$177</c:f>
              <c:numCache>
                <c:formatCode>0.0</c:formatCode>
                <c:ptCount val="175"/>
                <c:pt idx="0">
                  <c:v>55.006999999999998</c:v>
                </c:pt>
                <c:pt idx="1">
                  <c:v>55.031999999999996</c:v>
                </c:pt>
                <c:pt idx="2">
                  <c:v>55.557000000000002</c:v>
                </c:pt>
                <c:pt idx="3">
                  <c:v>56.268000000000001</c:v>
                </c:pt>
                <c:pt idx="4">
                  <c:v>58.789000000000001</c:v>
                </c:pt>
                <c:pt idx="5">
                  <c:v>58.920999999999999</c:v>
                </c:pt>
                <c:pt idx="6">
                  <c:v>59.863</c:v>
                </c:pt>
                <c:pt idx="7">
                  <c:v>59.915999999999997</c:v>
                </c:pt>
                <c:pt idx="8">
                  <c:v>59.878999999999998</c:v>
                </c:pt>
                <c:pt idx="9">
                  <c:v>60.895000000000003</c:v>
                </c:pt>
                <c:pt idx="10">
                  <c:v>62.326000000000001</c:v>
                </c:pt>
                <c:pt idx="11">
                  <c:v>62.97</c:v>
                </c:pt>
                <c:pt idx="12">
                  <c:v>62.966999999999999</c:v>
                </c:pt>
                <c:pt idx="13">
                  <c:v>63.665999999999997</c:v>
                </c:pt>
                <c:pt idx="14">
                  <c:v>64.664000000000001</c:v>
                </c:pt>
                <c:pt idx="15">
                  <c:v>65.406999999999996</c:v>
                </c:pt>
                <c:pt idx="16">
                  <c:v>65.641000000000005</c:v>
                </c:pt>
                <c:pt idx="17">
                  <c:v>66.492000000000004</c:v>
                </c:pt>
                <c:pt idx="18">
                  <c:v>66.667000000000002</c:v>
                </c:pt>
                <c:pt idx="19">
                  <c:v>67.436999999999998</c:v>
                </c:pt>
                <c:pt idx="20">
                  <c:v>67.429000000000002</c:v>
                </c:pt>
                <c:pt idx="21">
                  <c:v>67.879000000000005</c:v>
                </c:pt>
                <c:pt idx="22">
                  <c:v>69.328000000000003</c:v>
                </c:pt>
                <c:pt idx="23">
                  <c:v>70.091999999999999</c:v>
                </c:pt>
                <c:pt idx="24">
                  <c:v>68.477999999999994</c:v>
                </c:pt>
                <c:pt idx="25">
                  <c:v>69.724999999999994</c:v>
                </c:pt>
                <c:pt idx="26">
                  <c:v>69.063999999999993</c:v>
                </c:pt>
                <c:pt idx="27">
                  <c:v>69.323999999999998</c:v>
                </c:pt>
                <c:pt idx="28">
                  <c:v>68.790999999999997</c:v>
                </c:pt>
                <c:pt idx="29">
                  <c:v>69.649000000000001</c:v>
                </c:pt>
                <c:pt idx="30">
                  <c:v>71.466999999999999</c:v>
                </c:pt>
                <c:pt idx="31">
                  <c:v>71.813000000000002</c:v>
                </c:pt>
                <c:pt idx="32">
                  <c:v>72.463999999999999</c:v>
                </c:pt>
                <c:pt idx="33">
                  <c:v>72.944000000000003</c:v>
                </c:pt>
                <c:pt idx="34">
                  <c:v>72.760000000000005</c:v>
                </c:pt>
                <c:pt idx="35">
                  <c:v>72.456000000000003</c:v>
                </c:pt>
                <c:pt idx="36">
                  <c:v>72.448999999999998</c:v>
                </c:pt>
                <c:pt idx="37">
                  <c:v>72.95</c:v>
                </c:pt>
                <c:pt idx="38">
                  <c:v>74.176000000000002</c:v>
                </c:pt>
                <c:pt idx="39">
                  <c:v>73.569000000000003</c:v>
                </c:pt>
                <c:pt idx="40">
                  <c:v>74.600999999999999</c:v>
                </c:pt>
                <c:pt idx="41">
                  <c:v>74.798000000000002</c:v>
                </c:pt>
                <c:pt idx="42">
                  <c:v>74.725999999999999</c:v>
                </c:pt>
                <c:pt idx="43">
                  <c:v>73.745000000000005</c:v>
                </c:pt>
                <c:pt idx="44">
                  <c:v>74.111999999999995</c:v>
                </c:pt>
                <c:pt idx="45">
                  <c:v>74.376000000000005</c:v>
                </c:pt>
                <c:pt idx="46">
                  <c:v>74.492000000000004</c:v>
                </c:pt>
                <c:pt idx="47">
                  <c:v>74.62</c:v>
                </c:pt>
                <c:pt idx="48">
                  <c:v>74.716999999999999</c:v>
                </c:pt>
                <c:pt idx="49">
                  <c:v>75.697000000000003</c:v>
                </c:pt>
                <c:pt idx="50">
                  <c:v>76.135999999999996</c:v>
                </c:pt>
                <c:pt idx="51">
                  <c:v>76.043000000000006</c:v>
                </c:pt>
                <c:pt idx="52">
                  <c:v>76.459999999999994</c:v>
                </c:pt>
                <c:pt idx="53">
                  <c:v>77.671000000000006</c:v>
                </c:pt>
                <c:pt idx="54">
                  <c:v>77.239000000000004</c:v>
                </c:pt>
                <c:pt idx="55">
                  <c:v>78.236000000000004</c:v>
                </c:pt>
                <c:pt idx="56">
                  <c:v>77.998000000000005</c:v>
                </c:pt>
                <c:pt idx="57">
                  <c:v>78.765000000000001</c:v>
                </c:pt>
                <c:pt idx="58">
                  <c:v>77.468999999999994</c:v>
                </c:pt>
                <c:pt idx="59">
                  <c:v>77.787999999999997</c:v>
                </c:pt>
                <c:pt idx="60">
                  <c:v>78.533000000000001</c:v>
                </c:pt>
                <c:pt idx="61">
                  <c:v>78.177999999999997</c:v>
                </c:pt>
                <c:pt idx="62">
                  <c:v>78.325999999999993</c:v>
                </c:pt>
                <c:pt idx="63">
                  <c:v>78.756</c:v>
                </c:pt>
                <c:pt idx="64">
                  <c:v>77.959000000000003</c:v>
                </c:pt>
                <c:pt idx="65">
                  <c:v>77.932000000000002</c:v>
                </c:pt>
                <c:pt idx="66">
                  <c:v>78.381</c:v>
                </c:pt>
                <c:pt idx="67">
                  <c:v>78.850999999999999</c:v>
                </c:pt>
                <c:pt idx="68">
                  <c:v>80.489999999999995</c:v>
                </c:pt>
                <c:pt idx="69">
                  <c:v>80.290000000000006</c:v>
                </c:pt>
                <c:pt idx="70">
                  <c:v>80.070999999999998</c:v>
                </c:pt>
                <c:pt idx="71">
                  <c:v>77.108000000000004</c:v>
                </c:pt>
                <c:pt idx="72">
                  <c:v>77.855000000000004</c:v>
                </c:pt>
                <c:pt idx="73">
                  <c:v>79.986000000000004</c:v>
                </c:pt>
                <c:pt idx="74">
                  <c:v>79.287000000000006</c:v>
                </c:pt>
                <c:pt idx="75">
                  <c:v>79.463999999999999</c:v>
                </c:pt>
                <c:pt idx="76">
                  <c:v>78.47</c:v>
                </c:pt>
                <c:pt idx="77">
                  <c:v>79.057000000000002</c:v>
                </c:pt>
                <c:pt idx="78">
                  <c:v>78.337000000000003</c:v>
                </c:pt>
                <c:pt idx="79">
                  <c:v>78.688000000000002</c:v>
                </c:pt>
                <c:pt idx="80">
                  <c:v>76.632000000000005</c:v>
                </c:pt>
                <c:pt idx="81">
                  <c:v>73.844999999999999</c:v>
                </c:pt>
                <c:pt idx="82">
                  <c:v>71.165000000000006</c:v>
                </c:pt>
                <c:pt idx="83">
                  <c:v>71.263999999999996</c:v>
                </c:pt>
                <c:pt idx="84">
                  <c:v>70.872</c:v>
                </c:pt>
                <c:pt idx="85">
                  <c:v>70.254999999999995</c:v>
                </c:pt>
                <c:pt idx="86">
                  <c:v>70.816000000000003</c:v>
                </c:pt>
                <c:pt idx="87">
                  <c:v>71.298000000000002</c:v>
                </c:pt>
                <c:pt idx="88">
                  <c:v>68.956000000000003</c:v>
                </c:pt>
                <c:pt idx="89">
                  <c:v>69.67</c:v>
                </c:pt>
                <c:pt idx="90">
                  <c:v>67.683999999999997</c:v>
                </c:pt>
                <c:pt idx="91">
                  <c:v>69.165999999999997</c:v>
                </c:pt>
                <c:pt idx="92">
                  <c:v>71.980999999999995</c:v>
                </c:pt>
                <c:pt idx="93">
                  <c:v>71.8</c:v>
                </c:pt>
                <c:pt idx="94">
                  <c:v>70.545000000000002</c:v>
                </c:pt>
                <c:pt idx="95">
                  <c:v>69.518000000000001</c:v>
                </c:pt>
                <c:pt idx="96">
                  <c:v>68.531999999999996</c:v>
                </c:pt>
                <c:pt idx="97">
                  <c:v>69.352999999999994</c:v>
                </c:pt>
                <c:pt idx="98">
                  <c:v>70.197000000000003</c:v>
                </c:pt>
                <c:pt idx="99">
                  <c:v>67.515000000000001</c:v>
                </c:pt>
                <c:pt idx="100">
                  <c:v>68.331999999999994</c:v>
                </c:pt>
                <c:pt idx="101">
                  <c:v>68.197999999999993</c:v>
                </c:pt>
                <c:pt idx="102">
                  <c:v>66.701999999999998</c:v>
                </c:pt>
                <c:pt idx="103">
                  <c:v>66.260999999999996</c:v>
                </c:pt>
                <c:pt idx="104">
                  <c:v>64.602999999999994</c:v>
                </c:pt>
                <c:pt idx="105">
                  <c:v>63.933999999999997</c:v>
                </c:pt>
                <c:pt idx="106">
                  <c:v>63.597999999999999</c:v>
                </c:pt>
                <c:pt idx="107">
                  <c:v>61.987000000000002</c:v>
                </c:pt>
                <c:pt idx="108">
                  <c:v>58.98</c:v>
                </c:pt>
                <c:pt idx="109">
                  <c:v>57.033000000000001</c:v>
                </c:pt>
                <c:pt idx="110">
                  <c:v>56.984999999999999</c:v>
                </c:pt>
                <c:pt idx="111">
                  <c:v>58.033999999999999</c:v>
                </c:pt>
                <c:pt idx="112">
                  <c:v>58.814999999999998</c:v>
                </c:pt>
                <c:pt idx="113">
                  <c:v>58.761000000000003</c:v>
                </c:pt>
                <c:pt idx="114">
                  <c:v>58.718000000000004</c:v>
                </c:pt>
                <c:pt idx="115">
                  <c:v>58.143000000000001</c:v>
                </c:pt>
                <c:pt idx="116">
                  <c:v>57.597000000000001</c:v>
                </c:pt>
                <c:pt idx="117">
                  <c:v>58.081000000000003</c:v>
                </c:pt>
                <c:pt idx="118">
                  <c:v>58.238999999999997</c:v>
                </c:pt>
                <c:pt idx="119">
                  <c:v>57.874000000000002</c:v>
                </c:pt>
                <c:pt idx="120">
                  <c:v>57.128</c:v>
                </c:pt>
                <c:pt idx="121">
                  <c:v>56.014000000000003</c:v>
                </c:pt>
                <c:pt idx="122">
                  <c:v>55.813000000000002</c:v>
                </c:pt>
                <c:pt idx="123">
                  <c:v>55.390999999999998</c:v>
                </c:pt>
                <c:pt idx="124">
                  <c:v>54.125</c:v>
                </c:pt>
                <c:pt idx="125">
                  <c:v>52.082000000000001</c:v>
                </c:pt>
                <c:pt idx="126">
                  <c:v>52.015000000000001</c:v>
                </c:pt>
                <c:pt idx="127">
                  <c:v>51.165999999999997</c:v>
                </c:pt>
                <c:pt idx="128">
                  <c:v>50.512</c:v>
                </c:pt>
                <c:pt idx="129">
                  <c:v>50.359000000000002</c:v>
                </c:pt>
                <c:pt idx="130">
                  <c:v>49.39</c:v>
                </c:pt>
                <c:pt idx="131">
                  <c:v>49.005000000000003</c:v>
                </c:pt>
                <c:pt idx="132">
                  <c:v>47.33</c:v>
                </c:pt>
                <c:pt idx="133">
                  <c:v>46.607999999999997</c:v>
                </c:pt>
                <c:pt idx="134">
                  <c:v>46.259</c:v>
                </c:pt>
                <c:pt idx="135">
                  <c:v>45.136000000000003</c:v>
                </c:pt>
                <c:pt idx="136">
                  <c:v>44.347999999999999</c:v>
                </c:pt>
                <c:pt idx="137">
                  <c:v>44.25</c:v>
                </c:pt>
                <c:pt idx="138">
                  <c:v>43.893000000000001</c:v>
                </c:pt>
                <c:pt idx="139">
                  <c:v>44.09</c:v>
                </c:pt>
                <c:pt idx="140">
                  <c:v>44.924999999999997</c:v>
                </c:pt>
                <c:pt idx="141">
                  <c:v>44.143999999999998</c:v>
                </c:pt>
                <c:pt idx="142">
                  <c:v>45.488999999999997</c:v>
                </c:pt>
                <c:pt idx="143">
                  <c:v>45.213000000000001</c:v>
                </c:pt>
                <c:pt idx="144">
                  <c:v>45.377000000000002</c:v>
                </c:pt>
                <c:pt idx="145">
                  <c:v>44.845999999999997</c:v>
                </c:pt>
                <c:pt idx="146">
                  <c:v>44.652999999999999</c:v>
                </c:pt>
                <c:pt idx="147">
                  <c:v>44.482999999999997</c:v>
                </c:pt>
                <c:pt idx="148">
                  <c:v>44.954000000000001</c:v>
                </c:pt>
                <c:pt idx="149">
                  <c:v>44.466000000000001</c:v>
                </c:pt>
                <c:pt idx="150">
                  <c:v>44.267000000000003</c:v>
                </c:pt>
                <c:pt idx="151">
                  <c:v>43.655000000000001</c:v>
                </c:pt>
                <c:pt idx="152">
                  <c:v>43.134999999999998</c:v>
                </c:pt>
                <c:pt idx="153">
                  <c:v>41.487000000000002</c:v>
                </c:pt>
                <c:pt idx="154">
                  <c:v>40.540999999999997</c:v>
                </c:pt>
                <c:pt idx="155">
                  <c:v>39.271999999999998</c:v>
                </c:pt>
                <c:pt idx="156">
                  <c:v>37.787999999999997</c:v>
                </c:pt>
                <c:pt idx="157">
                  <c:v>37.054000000000002</c:v>
                </c:pt>
                <c:pt idx="158">
                  <c:v>35.448</c:v>
                </c:pt>
                <c:pt idx="159">
                  <c:v>33.557000000000002</c:v>
                </c:pt>
                <c:pt idx="160">
                  <c:v>32.725999999999999</c:v>
                </c:pt>
                <c:pt idx="161">
                  <c:v>31.027000000000001</c:v>
                </c:pt>
                <c:pt idx="162">
                  <c:v>30.068000000000001</c:v>
                </c:pt>
                <c:pt idx="163">
                  <c:v>30.062000000000001</c:v>
                </c:pt>
                <c:pt idx="164">
                  <c:v>29.489000000000001</c:v>
                </c:pt>
                <c:pt idx="165">
                  <c:v>29.116</c:v>
                </c:pt>
                <c:pt idx="166">
                  <c:v>28.576000000000001</c:v>
                </c:pt>
                <c:pt idx="167">
                  <c:v>27.995000000000001</c:v>
                </c:pt>
                <c:pt idx="168">
                  <c:v>27.606999999999999</c:v>
                </c:pt>
                <c:pt idx="169">
                  <c:v>26.681999999999999</c:v>
                </c:pt>
                <c:pt idx="170">
                  <c:v>25.23</c:v>
                </c:pt>
                <c:pt idx="171">
                  <c:v>25.391999999999999</c:v>
                </c:pt>
                <c:pt idx="172">
                  <c:v>24.818000000000001</c:v>
                </c:pt>
                <c:pt idx="173">
                  <c:v>23.654</c:v>
                </c:pt>
                <c:pt idx="174">
                  <c:v>23.206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471-4126-AD6D-94B907E2D926}"/>
            </c:ext>
          </c:extLst>
        </c:ser>
        <c:ser>
          <c:idx val="6"/>
          <c:order val="6"/>
          <c:tx>
            <c:strRef>
              <c:f>data_ghg_excLUC!$J$2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data_ghg_excLUC!$J$3:$J$177</c:f>
              <c:numCache>
                <c:formatCode>0.0</c:formatCode>
                <c:ptCount val="175"/>
                <c:pt idx="0">
                  <c:v>38.923999999999999</c:v>
                </c:pt>
                <c:pt idx="1">
                  <c:v>39.033000000000001</c:v>
                </c:pt>
                <c:pt idx="2">
                  <c:v>39.44</c:v>
                </c:pt>
                <c:pt idx="3">
                  <c:v>39.939</c:v>
                </c:pt>
                <c:pt idx="4">
                  <c:v>41.607999999999997</c:v>
                </c:pt>
                <c:pt idx="5">
                  <c:v>41.802999999999997</c:v>
                </c:pt>
                <c:pt idx="6">
                  <c:v>42.521000000000001</c:v>
                </c:pt>
                <c:pt idx="7">
                  <c:v>42.636000000000003</c:v>
                </c:pt>
                <c:pt idx="8">
                  <c:v>42.725999999999999</c:v>
                </c:pt>
                <c:pt idx="9">
                  <c:v>43.427999999999997</c:v>
                </c:pt>
                <c:pt idx="10">
                  <c:v>44.500999999999998</c:v>
                </c:pt>
                <c:pt idx="11">
                  <c:v>45.063000000000002</c:v>
                </c:pt>
                <c:pt idx="12">
                  <c:v>45.155999999999999</c:v>
                </c:pt>
                <c:pt idx="13">
                  <c:v>45.792999999999999</c:v>
                </c:pt>
                <c:pt idx="14">
                  <c:v>46.652999999999999</c:v>
                </c:pt>
                <c:pt idx="15">
                  <c:v>47.335999999999999</c:v>
                </c:pt>
                <c:pt idx="16">
                  <c:v>47.64</c:v>
                </c:pt>
                <c:pt idx="17">
                  <c:v>48.424999999999997</c:v>
                </c:pt>
                <c:pt idx="18">
                  <c:v>48.673000000000002</c:v>
                </c:pt>
                <c:pt idx="19">
                  <c:v>49.384999999999998</c:v>
                </c:pt>
                <c:pt idx="20">
                  <c:v>49.515999999999998</c:v>
                </c:pt>
                <c:pt idx="21">
                  <c:v>50.082999999999998</c:v>
                </c:pt>
                <c:pt idx="22">
                  <c:v>51.488</c:v>
                </c:pt>
                <c:pt idx="23">
                  <c:v>52.276000000000003</c:v>
                </c:pt>
                <c:pt idx="24">
                  <c:v>50.966000000000001</c:v>
                </c:pt>
                <c:pt idx="25">
                  <c:v>52.143000000000001</c:v>
                </c:pt>
                <c:pt idx="26">
                  <c:v>51.835000000000001</c:v>
                </c:pt>
                <c:pt idx="27">
                  <c:v>52.078000000000003</c:v>
                </c:pt>
                <c:pt idx="28">
                  <c:v>51.831000000000003</c:v>
                </c:pt>
                <c:pt idx="29">
                  <c:v>52.72</c:v>
                </c:pt>
                <c:pt idx="30">
                  <c:v>54.576000000000001</c:v>
                </c:pt>
                <c:pt idx="31">
                  <c:v>54.878</c:v>
                </c:pt>
                <c:pt idx="32">
                  <c:v>55.573</c:v>
                </c:pt>
                <c:pt idx="33">
                  <c:v>56.216000000000001</c:v>
                </c:pt>
                <c:pt idx="34">
                  <c:v>56.124000000000002</c:v>
                </c:pt>
                <c:pt idx="35">
                  <c:v>55.939</c:v>
                </c:pt>
                <c:pt idx="36">
                  <c:v>55.945999999999998</c:v>
                </c:pt>
                <c:pt idx="37">
                  <c:v>56.503</c:v>
                </c:pt>
                <c:pt idx="38">
                  <c:v>57.944000000000003</c:v>
                </c:pt>
                <c:pt idx="39">
                  <c:v>57.524999999999999</c:v>
                </c:pt>
                <c:pt idx="40">
                  <c:v>58.664999999999999</c:v>
                </c:pt>
                <c:pt idx="41">
                  <c:v>59.109000000000002</c:v>
                </c:pt>
                <c:pt idx="42">
                  <c:v>59.076999999999998</c:v>
                </c:pt>
                <c:pt idx="43">
                  <c:v>58.326999999999998</c:v>
                </c:pt>
                <c:pt idx="44">
                  <c:v>58.805999999999997</c:v>
                </c:pt>
                <c:pt idx="45">
                  <c:v>59.335999999999999</c:v>
                </c:pt>
                <c:pt idx="46">
                  <c:v>59.598999999999997</c:v>
                </c:pt>
                <c:pt idx="47">
                  <c:v>59.981999999999999</c:v>
                </c:pt>
                <c:pt idx="48">
                  <c:v>60.396000000000001</c:v>
                </c:pt>
                <c:pt idx="49">
                  <c:v>61.673000000000002</c:v>
                </c:pt>
                <c:pt idx="50">
                  <c:v>62.344000000000001</c:v>
                </c:pt>
                <c:pt idx="51">
                  <c:v>62.383000000000003</c:v>
                </c:pt>
                <c:pt idx="52">
                  <c:v>62.774999999999999</c:v>
                </c:pt>
                <c:pt idx="53">
                  <c:v>64.194000000000003</c:v>
                </c:pt>
                <c:pt idx="54">
                  <c:v>63.890999999999998</c:v>
                </c:pt>
                <c:pt idx="55">
                  <c:v>65.021000000000001</c:v>
                </c:pt>
                <c:pt idx="56">
                  <c:v>64.94</c:v>
                </c:pt>
                <c:pt idx="57">
                  <c:v>66.730999999999995</c:v>
                </c:pt>
                <c:pt idx="58">
                  <c:v>65.400999999999996</c:v>
                </c:pt>
                <c:pt idx="59">
                  <c:v>65.894000000000005</c:v>
                </c:pt>
                <c:pt idx="60">
                  <c:v>66.753</c:v>
                </c:pt>
                <c:pt idx="61">
                  <c:v>66.441999999999993</c:v>
                </c:pt>
                <c:pt idx="62">
                  <c:v>66.98</c:v>
                </c:pt>
                <c:pt idx="63">
                  <c:v>67.855000000000004</c:v>
                </c:pt>
                <c:pt idx="64">
                  <c:v>66.399000000000001</c:v>
                </c:pt>
                <c:pt idx="65">
                  <c:v>66.102000000000004</c:v>
                </c:pt>
                <c:pt idx="66">
                  <c:v>66.903000000000006</c:v>
                </c:pt>
                <c:pt idx="67">
                  <c:v>67.396000000000001</c:v>
                </c:pt>
                <c:pt idx="68">
                  <c:v>68.468999999999994</c:v>
                </c:pt>
                <c:pt idx="69">
                  <c:v>67.11</c:v>
                </c:pt>
                <c:pt idx="70">
                  <c:v>68.105999999999995</c:v>
                </c:pt>
                <c:pt idx="71">
                  <c:v>64.775999999999996</c:v>
                </c:pt>
                <c:pt idx="72">
                  <c:v>65.602000000000004</c:v>
                </c:pt>
                <c:pt idx="73">
                  <c:v>67.992999999999995</c:v>
                </c:pt>
                <c:pt idx="74">
                  <c:v>67.388000000000005</c:v>
                </c:pt>
                <c:pt idx="75">
                  <c:v>67.528000000000006</c:v>
                </c:pt>
                <c:pt idx="76">
                  <c:v>66.42</c:v>
                </c:pt>
                <c:pt idx="77">
                  <c:v>67.424000000000007</c:v>
                </c:pt>
                <c:pt idx="78">
                  <c:v>66.563000000000002</c:v>
                </c:pt>
                <c:pt idx="79">
                  <c:v>67.207999999999998</c:v>
                </c:pt>
                <c:pt idx="80">
                  <c:v>64.893000000000001</c:v>
                </c:pt>
                <c:pt idx="81">
                  <c:v>62.015999999999998</c:v>
                </c:pt>
                <c:pt idx="82">
                  <c:v>59.347999999999999</c:v>
                </c:pt>
                <c:pt idx="83">
                  <c:v>59.679000000000002</c:v>
                </c:pt>
                <c:pt idx="84">
                  <c:v>59.863</c:v>
                </c:pt>
                <c:pt idx="85">
                  <c:v>59.616</c:v>
                </c:pt>
                <c:pt idx="86">
                  <c:v>60.491999999999997</c:v>
                </c:pt>
                <c:pt idx="87">
                  <c:v>61.17</c:v>
                </c:pt>
                <c:pt idx="88">
                  <c:v>58.863999999999997</c:v>
                </c:pt>
                <c:pt idx="89">
                  <c:v>59.67</c:v>
                </c:pt>
                <c:pt idx="90">
                  <c:v>58.59</c:v>
                </c:pt>
                <c:pt idx="91">
                  <c:v>59.625999999999998</c:v>
                </c:pt>
                <c:pt idx="92">
                  <c:v>61.374000000000002</c:v>
                </c:pt>
                <c:pt idx="93">
                  <c:v>60.496000000000002</c:v>
                </c:pt>
                <c:pt idx="94">
                  <c:v>60.109000000000002</c:v>
                </c:pt>
                <c:pt idx="95">
                  <c:v>57.718000000000004</c:v>
                </c:pt>
                <c:pt idx="96">
                  <c:v>57.207000000000001</c:v>
                </c:pt>
                <c:pt idx="97">
                  <c:v>58.75</c:v>
                </c:pt>
                <c:pt idx="98">
                  <c:v>59.598999999999997</c:v>
                </c:pt>
                <c:pt idx="99">
                  <c:v>57.066000000000003</c:v>
                </c:pt>
                <c:pt idx="100">
                  <c:v>59.167999999999999</c:v>
                </c:pt>
                <c:pt idx="101">
                  <c:v>59.296999999999997</c:v>
                </c:pt>
                <c:pt idx="102">
                  <c:v>58.158000000000001</c:v>
                </c:pt>
                <c:pt idx="103">
                  <c:v>57.826000000000001</c:v>
                </c:pt>
                <c:pt idx="104">
                  <c:v>56.585999999999999</c:v>
                </c:pt>
                <c:pt idx="105">
                  <c:v>56.552</c:v>
                </c:pt>
                <c:pt idx="106">
                  <c:v>56.475000000000001</c:v>
                </c:pt>
                <c:pt idx="107">
                  <c:v>55.268000000000001</c:v>
                </c:pt>
                <c:pt idx="108">
                  <c:v>52.96</c:v>
                </c:pt>
                <c:pt idx="109">
                  <c:v>51.646999999999998</c:v>
                </c:pt>
                <c:pt idx="110">
                  <c:v>51.661000000000001</c:v>
                </c:pt>
                <c:pt idx="111">
                  <c:v>52.439</c:v>
                </c:pt>
                <c:pt idx="112">
                  <c:v>53.097000000000001</c:v>
                </c:pt>
                <c:pt idx="113">
                  <c:v>53.329000000000001</c:v>
                </c:pt>
                <c:pt idx="114">
                  <c:v>53.4</c:v>
                </c:pt>
                <c:pt idx="115">
                  <c:v>53.146000000000001</c:v>
                </c:pt>
                <c:pt idx="116">
                  <c:v>52.642000000000003</c:v>
                </c:pt>
                <c:pt idx="117">
                  <c:v>53.192999999999998</c:v>
                </c:pt>
                <c:pt idx="118">
                  <c:v>53.27</c:v>
                </c:pt>
                <c:pt idx="119">
                  <c:v>53.241</c:v>
                </c:pt>
                <c:pt idx="120">
                  <c:v>52.622999999999998</c:v>
                </c:pt>
                <c:pt idx="121">
                  <c:v>52.03</c:v>
                </c:pt>
                <c:pt idx="122">
                  <c:v>52.030999999999999</c:v>
                </c:pt>
                <c:pt idx="123">
                  <c:v>51.88</c:v>
                </c:pt>
                <c:pt idx="124">
                  <c:v>50.929000000000002</c:v>
                </c:pt>
                <c:pt idx="125">
                  <c:v>48.972999999999999</c:v>
                </c:pt>
                <c:pt idx="126">
                  <c:v>49.165999999999997</c:v>
                </c:pt>
                <c:pt idx="127">
                  <c:v>48.393999999999998</c:v>
                </c:pt>
                <c:pt idx="128">
                  <c:v>47.917999999999999</c:v>
                </c:pt>
                <c:pt idx="129">
                  <c:v>47.777999999999999</c:v>
                </c:pt>
                <c:pt idx="130">
                  <c:v>46.753999999999998</c:v>
                </c:pt>
                <c:pt idx="131">
                  <c:v>46.274000000000001</c:v>
                </c:pt>
                <c:pt idx="132">
                  <c:v>44.683999999999997</c:v>
                </c:pt>
                <c:pt idx="133">
                  <c:v>44.058</c:v>
                </c:pt>
                <c:pt idx="134">
                  <c:v>43.914999999999999</c:v>
                </c:pt>
                <c:pt idx="135">
                  <c:v>43.01</c:v>
                </c:pt>
                <c:pt idx="136">
                  <c:v>42.292999999999999</c:v>
                </c:pt>
                <c:pt idx="137">
                  <c:v>42.103999999999999</c:v>
                </c:pt>
                <c:pt idx="138">
                  <c:v>41.981999999999999</c:v>
                </c:pt>
                <c:pt idx="139">
                  <c:v>42.003999999999998</c:v>
                </c:pt>
                <c:pt idx="140">
                  <c:v>42.277000000000001</c:v>
                </c:pt>
                <c:pt idx="141">
                  <c:v>41.892000000000003</c:v>
                </c:pt>
                <c:pt idx="142">
                  <c:v>42.863</c:v>
                </c:pt>
                <c:pt idx="143">
                  <c:v>42.774999999999999</c:v>
                </c:pt>
                <c:pt idx="144">
                  <c:v>43.106999999999999</c:v>
                </c:pt>
                <c:pt idx="145">
                  <c:v>42.654000000000003</c:v>
                </c:pt>
                <c:pt idx="146">
                  <c:v>42.491</c:v>
                </c:pt>
                <c:pt idx="147">
                  <c:v>42.256999999999998</c:v>
                </c:pt>
                <c:pt idx="148">
                  <c:v>42.438000000000002</c:v>
                </c:pt>
                <c:pt idx="149">
                  <c:v>41.798999999999999</c:v>
                </c:pt>
                <c:pt idx="150">
                  <c:v>41.646999999999998</c:v>
                </c:pt>
                <c:pt idx="151">
                  <c:v>41.009</c:v>
                </c:pt>
                <c:pt idx="152">
                  <c:v>40.381</c:v>
                </c:pt>
                <c:pt idx="153">
                  <c:v>38.987000000000002</c:v>
                </c:pt>
                <c:pt idx="154">
                  <c:v>37.979999999999997</c:v>
                </c:pt>
                <c:pt idx="155">
                  <c:v>36.747999999999998</c:v>
                </c:pt>
                <c:pt idx="156">
                  <c:v>35.564</c:v>
                </c:pt>
                <c:pt idx="157">
                  <c:v>35.005000000000003</c:v>
                </c:pt>
                <c:pt idx="158">
                  <c:v>33.692</c:v>
                </c:pt>
                <c:pt idx="159">
                  <c:v>32.036000000000001</c:v>
                </c:pt>
                <c:pt idx="160">
                  <c:v>31.527000000000001</c:v>
                </c:pt>
                <c:pt idx="161">
                  <c:v>29.984000000000002</c:v>
                </c:pt>
                <c:pt idx="162">
                  <c:v>29.100999999999999</c:v>
                </c:pt>
                <c:pt idx="163">
                  <c:v>29.097000000000001</c:v>
                </c:pt>
                <c:pt idx="164">
                  <c:v>28.47</c:v>
                </c:pt>
                <c:pt idx="165">
                  <c:v>27.936</c:v>
                </c:pt>
                <c:pt idx="166">
                  <c:v>27.297999999999998</c:v>
                </c:pt>
                <c:pt idx="167">
                  <c:v>26.683</c:v>
                </c:pt>
                <c:pt idx="168">
                  <c:v>26.437000000000001</c:v>
                </c:pt>
                <c:pt idx="169">
                  <c:v>25.693000000000001</c:v>
                </c:pt>
                <c:pt idx="170">
                  <c:v>24.324000000000002</c:v>
                </c:pt>
                <c:pt idx="171">
                  <c:v>24.364000000000001</c:v>
                </c:pt>
                <c:pt idx="172">
                  <c:v>24.015999999999998</c:v>
                </c:pt>
                <c:pt idx="173">
                  <c:v>22.922000000000001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471-4126-AD6D-94B907E2D926}"/>
            </c:ext>
          </c:extLst>
        </c:ser>
        <c:ser>
          <c:idx val="7"/>
          <c:order val="7"/>
          <c:tx>
            <c:strRef>
              <c:f>data_ghg_excLUC!$K$2</c:f>
              <c:strCache>
                <c:ptCount val="1"/>
                <c:pt idx="0">
                  <c:v>pct_annex2_EDGAR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data_ghg_excLUC!$K$3:$K$177</c:f>
              <c:numCache>
                <c:formatCode>0.0</c:formatCode>
                <c:ptCount val="175"/>
                <c:pt idx="120">
                  <c:v>52.628</c:v>
                </c:pt>
                <c:pt idx="121">
                  <c:v>52.018999999999998</c:v>
                </c:pt>
                <c:pt idx="122">
                  <c:v>51.935000000000002</c:v>
                </c:pt>
                <c:pt idx="123">
                  <c:v>51.694000000000003</c:v>
                </c:pt>
                <c:pt idx="124">
                  <c:v>50.515000000000001</c:v>
                </c:pt>
                <c:pt idx="125">
                  <c:v>48.625999999999998</c:v>
                </c:pt>
                <c:pt idx="126">
                  <c:v>48.767000000000003</c:v>
                </c:pt>
                <c:pt idx="127">
                  <c:v>48.14</c:v>
                </c:pt>
                <c:pt idx="128">
                  <c:v>47.165999999999997</c:v>
                </c:pt>
                <c:pt idx="129">
                  <c:v>47.003</c:v>
                </c:pt>
                <c:pt idx="130">
                  <c:v>46.006999999999998</c:v>
                </c:pt>
                <c:pt idx="131">
                  <c:v>45.749000000000002</c:v>
                </c:pt>
                <c:pt idx="132">
                  <c:v>44.326000000000001</c:v>
                </c:pt>
                <c:pt idx="133">
                  <c:v>43.649000000000001</c:v>
                </c:pt>
                <c:pt idx="134">
                  <c:v>43.573</c:v>
                </c:pt>
                <c:pt idx="135">
                  <c:v>43.276000000000003</c:v>
                </c:pt>
                <c:pt idx="136">
                  <c:v>42.463000000000001</c:v>
                </c:pt>
                <c:pt idx="137">
                  <c:v>42.069000000000003</c:v>
                </c:pt>
                <c:pt idx="138">
                  <c:v>41.927999999999997</c:v>
                </c:pt>
                <c:pt idx="139">
                  <c:v>41.69</c:v>
                </c:pt>
                <c:pt idx="140">
                  <c:v>41.095999999999997</c:v>
                </c:pt>
                <c:pt idx="141">
                  <c:v>41.03</c:v>
                </c:pt>
                <c:pt idx="142">
                  <c:v>41.213999999999999</c:v>
                </c:pt>
                <c:pt idx="143">
                  <c:v>41.277999999999999</c:v>
                </c:pt>
                <c:pt idx="144">
                  <c:v>41.512999999999998</c:v>
                </c:pt>
                <c:pt idx="145">
                  <c:v>40.991999999999997</c:v>
                </c:pt>
                <c:pt idx="146">
                  <c:v>41.19</c:v>
                </c:pt>
                <c:pt idx="147">
                  <c:v>41.387</c:v>
                </c:pt>
                <c:pt idx="148">
                  <c:v>41.399000000000001</c:v>
                </c:pt>
                <c:pt idx="149">
                  <c:v>41.216000000000001</c:v>
                </c:pt>
                <c:pt idx="150">
                  <c:v>40.835000000000001</c:v>
                </c:pt>
                <c:pt idx="151">
                  <c:v>40.304000000000002</c:v>
                </c:pt>
                <c:pt idx="152">
                  <c:v>39.488</c:v>
                </c:pt>
                <c:pt idx="153">
                  <c:v>38.31</c:v>
                </c:pt>
                <c:pt idx="154">
                  <c:v>37.116999999999997</c:v>
                </c:pt>
                <c:pt idx="155">
                  <c:v>35.947000000000003</c:v>
                </c:pt>
                <c:pt idx="156">
                  <c:v>34.549999999999997</c:v>
                </c:pt>
                <c:pt idx="157">
                  <c:v>33.789000000000001</c:v>
                </c:pt>
                <c:pt idx="158">
                  <c:v>32.643999999999998</c:v>
                </c:pt>
                <c:pt idx="159">
                  <c:v>30.974</c:v>
                </c:pt>
                <c:pt idx="160">
                  <c:v>30.483000000000001</c:v>
                </c:pt>
                <c:pt idx="161">
                  <c:v>28.942</c:v>
                </c:pt>
                <c:pt idx="162">
                  <c:v>28.073</c:v>
                </c:pt>
                <c:pt idx="163">
                  <c:v>27.788</c:v>
                </c:pt>
                <c:pt idx="164">
                  <c:v>27.225999999999999</c:v>
                </c:pt>
                <c:pt idx="165">
                  <c:v>27.009</c:v>
                </c:pt>
                <c:pt idx="166">
                  <c:v>26.564</c:v>
                </c:pt>
                <c:pt idx="167">
                  <c:v>26.036000000000001</c:v>
                </c:pt>
                <c:pt idx="168">
                  <c:v>25.611000000000001</c:v>
                </c:pt>
                <c:pt idx="169">
                  <c:v>24.867999999999999</c:v>
                </c:pt>
                <c:pt idx="170">
                  <c:v>23.545000000000002</c:v>
                </c:pt>
                <c:pt idx="171">
                  <c:v>23.468</c:v>
                </c:pt>
                <c:pt idx="172">
                  <c:v>23.234000000000002</c:v>
                </c:pt>
                <c:pt idx="173">
                  <c:v>22.091999999999999</c:v>
                </c:pt>
                <c:pt idx="174">
                  <c:v>21.73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471-4126-AD6D-94B907E2D926}"/>
            </c:ext>
          </c:extLst>
        </c:ser>
        <c:ser>
          <c:idx val="8"/>
          <c:order val="8"/>
          <c:tx>
            <c:strRef>
              <c:f>data_ghg_excLUC!$L$2</c:f>
              <c:strCache>
                <c:ptCount val="1"/>
                <c:pt idx="0">
                  <c:v>pct_annex2_ClimateWatch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data_ghg_excLUC!$L$3:$L$177</c:f>
              <c:numCache>
                <c:formatCode>0.0</c:formatCode>
                <c:ptCount val="175"/>
                <c:pt idx="140">
                  <c:v>40.384</c:v>
                </c:pt>
                <c:pt idx="141">
                  <c:v>40.25</c:v>
                </c:pt>
                <c:pt idx="142">
                  <c:v>40.497999999999998</c:v>
                </c:pt>
                <c:pt idx="143">
                  <c:v>40.408999999999999</c:v>
                </c:pt>
                <c:pt idx="144">
                  <c:v>40.738</c:v>
                </c:pt>
                <c:pt idx="145">
                  <c:v>40.259</c:v>
                </c:pt>
                <c:pt idx="146">
                  <c:v>40.502000000000002</c:v>
                </c:pt>
                <c:pt idx="147">
                  <c:v>40.707000000000001</c:v>
                </c:pt>
                <c:pt idx="148">
                  <c:v>40.677</c:v>
                </c:pt>
                <c:pt idx="149">
                  <c:v>40.557000000000002</c:v>
                </c:pt>
                <c:pt idx="150">
                  <c:v>40.290999999999997</c:v>
                </c:pt>
                <c:pt idx="151">
                  <c:v>39.795000000000002</c:v>
                </c:pt>
                <c:pt idx="152">
                  <c:v>38.945</c:v>
                </c:pt>
                <c:pt idx="153">
                  <c:v>37.777999999999999</c:v>
                </c:pt>
                <c:pt idx="154">
                  <c:v>36.686999999999998</c:v>
                </c:pt>
                <c:pt idx="155">
                  <c:v>35.487000000000002</c:v>
                </c:pt>
                <c:pt idx="156">
                  <c:v>34.295000000000002</c:v>
                </c:pt>
                <c:pt idx="157">
                  <c:v>33.524999999999999</c:v>
                </c:pt>
                <c:pt idx="158">
                  <c:v>32.32</c:v>
                </c:pt>
                <c:pt idx="159">
                  <c:v>30.771000000000001</c:v>
                </c:pt>
                <c:pt idx="160">
                  <c:v>30.26</c:v>
                </c:pt>
                <c:pt idx="161">
                  <c:v>28.998000000000001</c:v>
                </c:pt>
                <c:pt idx="162">
                  <c:v>28.238</c:v>
                </c:pt>
                <c:pt idx="163">
                  <c:v>27.844000000000001</c:v>
                </c:pt>
                <c:pt idx="164">
                  <c:v>27.404</c:v>
                </c:pt>
                <c:pt idx="165">
                  <c:v>27.271999999999998</c:v>
                </c:pt>
                <c:pt idx="166">
                  <c:v>26.808</c:v>
                </c:pt>
                <c:pt idx="167">
                  <c:v>26.358000000000001</c:v>
                </c:pt>
                <c:pt idx="168">
                  <c:v>26.113</c:v>
                </c:pt>
                <c:pt idx="169">
                  <c:v>25.356000000000002</c:v>
                </c:pt>
                <c:pt idx="170">
                  <c:v>23.978000000000002</c:v>
                </c:pt>
                <c:pt idx="171">
                  <c:v>23.869</c:v>
                </c:pt>
                <c:pt idx="172">
                  <c:v>23.678999999999998</c:v>
                </c:pt>
                <c:pt idx="173">
                  <c:v>22.638999999999999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471-4126-AD6D-94B907E2D926}"/>
            </c:ext>
          </c:extLst>
        </c:ser>
        <c:ser>
          <c:idx val="9"/>
          <c:order val="9"/>
          <c:tx>
            <c:strRef>
              <c:f>data_ghg_excLUC!$M$2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data_ghg_excLUC!$M$3:$M$177</c:f>
              <c:numCache>
                <c:formatCode>0.0</c:formatCode>
                <c:ptCount val="175"/>
                <c:pt idx="0">
                  <c:v>66.203000000000003</c:v>
                </c:pt>
                <c:pt idx="1">
                  <c:v>66.361999999999995</c:v>
                </c:pt>
                <c:pt idx="2">
                  <c:v>66.921999999999997</c:v>
                </c:pt>
                <c:pt idx="3">
                  <c:v>67.558999999999997</c:v>
                </c:pt>
                <c:pt idx="4">
                  <c:v>69.567999999999998</c:v>
                </c:pt>
                <c:pt idx="5">
                  <c:v>69.858999999999995</c:v>
                </c:pt>
                <c:pt idx="6">
                  <c:v>70.641000000000005</c:v>
                </c:pt>
                <c:pt idx="7">
                  <c:v>70.790000000000006</c:v>
                </c:pt>
                <c:pt idx="8">
                  <c:v>70.941999999999993</c:v>
                </c:pt>
                <c:pt idx="9">
                  <c:v>71.721000000000004</c:v>
                </c:pt>
                <c:pt idx="10">
                  <c:v>72.893000000000001</c:v>
                </c:pt>
                <c:pt idx="11">
                  <c:v>73.501999999999995</c:v>
                </c:pt>
                <c:pt idx="12">
                  <c:v>73.709000000000003</c:v>
                </c:pt>
                <c:pt idx="13">
                  <c:v>74.367000000000004</c:v>
                </c:pt>
                <c:pt idx="14">
                  <c:v>75.251000000000005</c:v>
                </c:pt>
                <c:pt idx="15">
                  <c:v>75.965000000000003</c:v>
                </c:pt>
                <c:pt idx="16">
                  <c:v>76.322000000000003</c:v>
                </c:pt>
                <c:pt idx="17">
                  <c:v>77.141000000000005</c:v>
                </c:pt>
                <c:pt idx="18">
                  <c:v>77.430000000000007</c:v>
                </c:pt>
                <c:pt idx="19">
                  <c:v>78.134</c:v>
                </c:pt>
                <c:pt idx="20">
                  <c:v>78.251999999999995</c:v>
                </c:pt>
                <c:pt idx="21">
                  <c:v>78.844999999999999</c:v>
                </c:pt>
                <c:pt idx="22">
                  <c:v>79.95</c:v>
                </c:pt>
                <c:pt idx="23">
                  <c:v>80.572999999999993</c:v>
                </c:pt>
                <c:pt idx="24">
                  <c:v>79.715000000000003</c:v>
                </c:pt>
                <c:pt idx="25">
                  <c:v>80.602000000000004</c:v>
                </c:pt>
                <c:pt idx="26">
                  <c:v>80.683000000000007</c:v>
                </c:pt>
                <c:pt idx="27">
                  <c:v>80.849000000000004</c:v>
                </c:pt>
                <c:pt idx="28">
                  <c:v>80.676000000000002</c:v>
                </c:pt>
                <c:pt idx="29">
                  <c:v>81.385000000000005</c:v>
                </c:pt>
                <c:pt idx="30">
                  <c:v>82.632000000000005</c:v>
                </c:pt>
                <c:pt idx="31">
                  <c:v>82.921000000000006</c:v>
                </c:pt>
                <c:pt idx="32">
                  <c:v>83.391000000000005</c:v>
                </c:pt>
                <c:pt idx="33">
                  <c:v>83.923000000000002</c:v>
                </c:pt>
                <c:pt idx="34">
                  <c:v>83.897999999999996</c:v>
                </c:pt>
                <c:pt idx="35">
                  <c:v>83.872</c:v>
                </c:pt>
                <c:pt idx="36">
                  <c:v>83.936999999999998</c:v>
                </c:pt>
                <c:pt idx="37">
                  <c:v>84.299000000000007</c:v>
                </c:pt>
                <c:pt idx="38">
                  <c:v>85.197999999999993</c:v>
                </c:pt>
                <c:pt idx="39">
                  <c:v>85.006</c:v>
                </c:pt>
                <c:pt idx="40">
                  <c:v>85.801000000000002</c:v>
                </c:pt>
                <c:pt idx="41">
                  <c:v>86.108000000000004</c:v>
                </c:pt>
                <c:pt idx="42">
                  <c:v>86.007999999999996</c:v>
                </c:pt>
                <c:pt idx="43">
                  <c:v>85.644000000000005</c:v>
                </c:pt>
                <c:pt idx="44">
                  <c:v>85.831999999999994</c:v>
                </c:pt>
                <c:pt idx="45">
                  <c:v>86.183999999999997</c:v>
                </c:pt>
                <c:pt idx="46">
                  <c:v>86.322999999999993</c:v>
                </c:pt>
                <c:pt idx="47">
                  <c:v>86.611999999999995</c:v>
                </c:pt>
                <c:pt idx="48">
                  <c:v>86.879000000000005</c:v>
                </c:pt>
                <c:pt idx="49">
                  <c:v>87.573999999999998</c:v>
                </c:pt>
                <c:pt idx="50">
                  <c:v>88.025999999999996</c:v>
                </c:pt>
                <c:pt idx="51">
                  <c:v>88.012</c:v>
                </c:pt>
                <c:pt idx="52">
                  <c:v>88.057000000000002</c:v>
                </c:pt>
                <c:pt idx="53">
                  <c:v>88.593999999999994</c:v>
                </c:pt>
                <c:pt idx="54">
                  <c:v>88.436000000000007</c:v>
                </c:pt>
                <c:pt idx="55">
                  <c:v>88.817999999999998</c:v>
                </c:pt>
                <c:pt idx="56">
                  <c:v>88.790999999999997</c:v>
                </c:pt>
                <c:pt idx="57">
                  <c:v>89.11</c:v>
                </c:pt>
                <c:pt idx="58">
                  <c:v>88.412000000000006</c:v>
                </c:pt>
                <c:pt idx="59">
                  <c:v>88.644999999999996</c:v>
                </c:pt>
                <c:pt idx="60">
                  <c:v>88.897999999999996</c:v>
                </c:pt>
                <c:pt idx="61">
                  <c:v>88.676000000000002</c:v>
                </c:pt>
                <c:pt idx="62">
                  <c:v>89.114000000000004</c:v>
                </c:pt>
                <c:pt idx="63">
                  <c:v>89.287000000000006</c:v>
                </c:pt>
                <c:pt idx="64">
                  <c:v>88.372</c:v>
                </c:pt>
                <c:pt idx="65">
                  <c:v>88.126999999999995</c:v>
                </c:pt>
                <c:pt idx="66">
                  <c:v>88.397000000000006</c:v>
                </c:pt>
                <c:pt idx="67">
                  <c:v>88.396000000000001</c:v>
                </c:pt>
                <c:pt idx="68">
                  <c:v>88.013999999999996</c:v>
                </c:pt>
                <c:pt idx="69">
                  <c:v>85.79</c:v>
                </c:pt>
                <c:pt idx="70">
                  <c:v>86.561000000000007</c:v>
                </c:pt>
                <c:pt idx="71">
                  <c:v>84.427000000000007</c:v>
                </c:pt>
                <c:pt idx="72">
                  <c:v>84.944000000000003</c:v>
                </c:pt>
                <c:pt idx="73">
                  <c:v>86.146000000000001</c:v>
                </c:pt>
                <c:pt idx="74">
                  <c:v>85.781999999999996</c:v>
                </c:pt>
                <c:pt idx="75">
                  <c:v>85.885000000000005</c:v>
                </c:pt>
                <c:pt idx="76">
                  <c:v>85.674000000000007</c:v>
                </c:pt>
                <c:pt idx="77">
                  <c:v>86.537000000000006</c:v>
                </c:pt>
                <c:pt idx="78">
                  <c:v>86.23</c:v>
                </c:pt>
                <c:pt idx="79">
                  <c:v>86.72</c:v>
                </c:pt>
                <c:pt idx="80">
                  <c:v>85.727999999999994</c:v>
                </c:pt>
                <c:pt idx="81">
                  <c:v>84.507000000000005</c:v>
                </c:pt>
                <c:pt idx="82">
                  <c:v>82.808999999999997</c:v>
                </c:pt>
                <c:pt idx="83">
                  <c:v>82.921000000000006</c:v>
                </c:pt>
                <c:pt idx="84">
                  <c:v>83.024000000000001</c:v>
                </c:pt>
                <c:pt idx="85">
                  <c:v>82.751000000000005</c:v>
                </c:pt>
                <c:pt idx="86">
                  <c:v>83.478999999999999</c:v>
                </c:pt>
                <c:pt idx="87">
                  <c:v>83.641999999999996</c:v>
                </c:pt>
                <c:pt idx="88">
                  <c:v>82.570999999999998</c:v>
                </c:pt>
                <c:pt idx="89">
                  <c:v>82.704999999999998</c:v>
                </c:pt>
                <c:pt idx="90">
                  <c:v>83.225999999999999</c:v>
                </c:pt>
                <c:pt idx="91">
                  <c:v>83.363</c:v>
                </c:pt>
                <c:pt idx="92">
                  <c:v>83.704999999999998</c:v>
                </c:pt>
                <c:pt idx="93">
                  <c:v>83.948999999999998</c:v>
                </c:pt>
                <c:pt idx="94">
                  <c:v>83.590999999999994</c:v>
                </c:pt>
                <c:pt idx="95">
                  <c:v>81.456000000000003</c:v>
                </c:pt>
                <c:pt idx="96">
                  <c:v>81.510999999999996</c:v>
                </c:pt>
                <c:pt idx="97">
                  <c:v>82.385000000000005</c:v>
                </c:pt>
                <c:pt idx="98">
                  <c:v>83.337999999999994</c:v>
                </c:pt>
                <c:pt idx="99">
                  <c:v>82.590999999999994</c:v>
                </c:pt>
                <c:pt idx="100">
                  <c:v>83.088999999999999</c:v>
                </c:pt>
                <c:pt idx="101">
                  <c:v>83.090999999999994</c:v>
                </c:pt>
                <c:pt idx="102">
                  <c:v>82.344999999999999</c:v>
                </c:pt>
                <c:pt idx="103">
                  <c:v>82.412000000000006</c:v>
                </c:pt>
                <c:pt idx="104">
                  <c:v>81.596999999999994</c:v>
                </c:pt>
                <c:pt idx="105">
                  <c:v>81.043999999999997</c:v>
                </c:pt>
                <c:pt idx="106">
                  <c:v>81.066000000000003</c:v>
                </c:pt>
                <c:pt idx="107">
                  <c:v>80.299000000000007</c:v>
                </c:pt>
                <c:pt idx="108">
                  <c:v>77.727999999999994</c:v>
                </c:pt>
                <c:pt idx="109">
                  <c:v>75.635999999999996</c:v>
                </c:pt>
                <c:pt idx="110">
                  <c:v>75.378</c:v>
                </c:pt>
                <c:pt idx="111">
                  <c:v>77.010999999999996</c:v>
                </c:pt>
                <c:pt idx="112">
                  <c:v>78.156999999999996</c:v>
                </c:pt>
                <c:pt idx="113">
                  <c:v>78.347999999999999</c:v>
                </c:pt>
                <c:pt idx="114">
                  <c:v>78.495999999999995</c:v>
                </c:pt>
                <c:pt idx="115">
                  <c:v>77.855000000000004</c:v>
                </c:pt>
                <c:pt idx="116">
                  <c:v>77.131</c:v>
                </c:pt>
                <c:pt idx="117">
                  <c:v>77.774000000000001</c:v>
                </c:pt>
                <c:pt idx="118">
                  <c:v>77.619</c:v>
                </c:pt>
                <c:pt idx="119">
                  <c:v>76.834999999999994</c:v>
                </c:pt>
                <c:pt idx="120">
                  <c:v>75.716999999999999</c:v>
                </c:pt>
                <c:pt idx="121">
                  <c:v>74.884</c:v>
                </c:pt>
                <c:pt idx="122">
                  <c:v>74.747</c:v>
                </c:pt>
                <c:pt idx="123">
                  <c:v>74.174999999999997</c:v>
                </c:pt>
                <c:pt idx="124">
                  <c:v>73.593999999999994</c:v>
                </c:pt>
                <c:pt idx="125">
                  <c:v>72.492999999999995</c:v>
                </c:pt>
                <c:pt idx="126">
                  <c:v>72.332999999999998</c:v>
                </c:pt>
                <c:pt idx="127">
                  <c:v>71.64</c:v>
                </c:pt>
                <c:pt idx="128">
                  <c:v>71.013000000000005</c:v>
                </c:pt>
                <c:pt idx="129">
                  <c:v>70.486999999999995</c:v>
                </c:pt>
                <c:pt idx="130">
                  <c:v>70.272000000000006</c:v>
                </c:pt>
                <c:pt idx="131">
                  <c:v>69.968999999999994</c:v>
                </c:pt>
                <c:pt idx="132">
                  <c:v>68.793000000000006</c:v>
                </c:pt>
                <c:pt idx="133">
                  <c:v>68.126999999999995</c:v>
                </c:pt>
                <c:pt idx="134">
                  <c:v>67.400999999999996</c:v>
                </c:pt>
                <c:pt idx="135">
                  <c:v>66.733999999999995</c:v>
                </c:pt>
                <c:pt idx="136">
                  <c:v>65.799000000000007</c:v>
                </c:pt>
                <c:pt idx="137">
                  <c:v>65.287999999999997</c:v>
                </c:pt>
                <c:pt idx="138">
                  <c:v>64.358000000000004</c:v>
                </c:pt>
                <c:pt idx="139">
                  <c:v>63.832999999999998</c:v>
                </c:pt>
                <c:pt idx="140">
                  <c:v>64.495999999999995</c:v>
                </c:pt>
                <c:pt idx="141">
                  <c:v>62.183</c:v>
                </c:pt>
                <c:pt idx="142">
                  <c:v>61.738999999999997</c:v>
                </c:pt>
                <c:pt idx="143">
                  <c:v>60.433</c:v>
                </c:pt>
                <c:pt idx="144">
                  <c:v>59.03</c:v>
                </c:pt>
                <c:pt idx="145">
                  <c:v>58.036999999999999</c:v>
                </c:pt>
                <c:pt idx="146">
                  <c:v>57.369</c:v>
                </c:pt>
                <c:pt idx="147">
                  <c:v>56.665999999999997</c:v>
                </c:pt>
                <c:pt idx="148">
                  <c:v>56.901000000000003</c:v>
                </c:pt>
                <c:pt idx="149">
                  <c:v>56.058999999999997</c:v>
                </c:pt>
                <c:pt idx="150">
                  <c:v>55.55</c:v>
                </c:pt>
                <c:pt idx="151">
                  <c:v>55.079000000000001</c:v>
                </c:pt>
                <c:pt idx="152">
                  <c:v>54.305</c:v>
                </c:pt>
                <c:pt idx="153">
                  <c:v>52.43</c:v>
                </c:pt>
                <c:pt idx="154">
                  <c:v>51.255000000000003</c:v>
                </c:pt>
                <c:pt idx="155">
                  <c:v>49.811</c:v>
                </c:pt>
                <c:pt idx="156">
                  <c:v>48.387</c:v>
                </c:pt>
                <c:pt idx="157">
                  <c:v>47.561</c:v>
                </c:pt>
                <c:pt idx="158">
                  <c:v>45.78</c:v>
                </c:pt>
                <c:pt idx="159">
                  <c:v>43.402999999999999</c:v>
                </c:pt>
                <c:pt idx="160">
                  <c:v>42.494999999999997</c:v>
                </c:pt>
                <c:pt idx="161">
                  <c:v>40.761000000000003</c:v>
                </c:pt>
                <c:pt idx="162">
                  <c:v>39.692</c:v>
                </c:pt>
                <c:pt idx="163">
                  <c:v>39.348999999999997</c:v>
                </c:pt>
                <c:pt idx="164">
                  <c:v>38.606000000000002</c:v>
                </c:pt>
                <c:pt idx="165">
                  <c:v>38.222999999999999</c:v>
                </c:pt>
                <c:pt idx="166">
                  <c:v>37.811999999999998</c:v>
                </c:pt>
                <c:pt idx="167">
                  <c:v>37.287999999999997</c:v>
                </c:pt>
                <c:pt idx="168">
                  <c:v>36.875999999999998</c:v>
                </c:pt>
                <c:pt idx="169">
                  <c:v>35.734999999999999</c:v>
                </c:pt>
                <c:pt idx="170">
                  <c:v>34.325000000000003</c:v>
                </c:pt>
                <c:pt idx="171">
                  <c:v>34.488999999999997</c:v>
                </c:pt>
                <c:pt idx="172">
                  <c:v>33.491</c:v>
                </c:pt>
                <c:pt idx="173">
                  <c:v>32.273000000000003</c:v>
                </c:pt>
                <c:pt idx="174">
                  <c:v>31.882999999999999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471-4126-AD6D-94B907E2D926}"/>
            </c:ext>
          </c:extLst>
        </c:ser>
        <c:ser>
          <c:idx val="10"/>
          <c:order val="10"/>
          <c:tx>
            <c:strRef>
              <c:f>data_ghg_excLUC!$N$2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data_ghg_excLUC!$N$3:$N$177</c:f>
              <c:numCache>
                <c:formatCode>0.0</c:formatCode>
                <c:ptCount val="175"/>
                <c:pt idx="0">
                  <c:v>51.529000000000003</c:v>
                </c:pt>
                <c:pt idx="1">
                  <c:v>51.741</c:v>
                </c:pt>
                <c:pt idx="2">
                  <c:v>52.201000000000001</c:v>
                </c:pt>
                <c:pt idx="3">
                  <c:v>52.7</c:v>
                </c:pt>
                <c:pt idx="4">
                  <c:v>54.134999999999998</c:v>
                </c:pt>
                <c:pt idx="5">
                  <c:v>54.424999999999997</c:v>
                </c:pt>
                <c:pt idx="6">
                  <c:v>55.107999999999997</c:v>
                </c:pt>
                <c:pt idx="7">
                  <c:v>55.305999999999997</c:v>
                </c:pt>
                <c:pt idx="8">
                  <c:v>55.5</c:v>
                </c:pt>
                <c:pt idx="9">
                  <c:v>56.106000000000002</c:v>
                </c:pt>
                <c:pt idx="10">
                  <c:v>57.055</c:v>
                </c:pt>
                <c:pt idx="11">
                  <c:v>57.593000000000004</c:v>
                </c:pt>
                <c:pt idx="12">
                  <c:v>57.801000000000002</c:v>
                </c:pt>
                <c:pt idx="13">
                  <c:v>58.41</c:v>
                </c:pt>
                <c:pt idx="14">
                  <c:v>59.201999999999998</c:v>
                </c:pt>
                <c:pt idx="15">
                  <c:v>59.857999999999997</c:v>
                </c:pt>
                <c:pt idx="16">
                  <c:v>60.234000000000002</c:v>
                </c:pt>
                <c:pt idx="17">
                  <c:v>60.975999999999999</c:v>
                </c:pt>
                <c:pt idx="18">
                  <c:v>61.286999999999999</c:v>
                </c:pt>
                <c:pt idx="19">
                  <c:v>61.95</c:v>
                </c:pt>
                <c:pt idx="20">
                  <c:v>62.151000000000003</c:v>
                </c:pt>
                <c:pt idx="21">
                  <c:v>62.792000000000002</c:v>
                </c:pt>
                <c:pt idx="22">
                  <c:v>63.984000000000002</c:v>
                </c:pt>
                <c:pt idx="23">
                  <c:v>64.694999999999993</c:v>
                </c:pt>
                <c:pt idx="24">
                  <c:v>63.904000000000003</c:v>
                </c:pt>
                <c:pt idx="25">
                  <c:v>64.863</c:v>
                </c:pt>
                <c:pt idx="26">
                  <c:v>65.019000000000005</c:v>
                </c:pt>
                <c:pt idx="27">
                  <c:v>65.236999999999995</c:v>
                </c:pt>
                <c:pt idx="28">
                  <c:v>65.241</c:v>
                </c:pt>
                <c:pt idx="29">
                  <c:v>66.037999999999997</c:v>
                </c:pt>
                <c:pt idx="30">
                  <c:v>67.498000000000005</c:v>
                </c:pt>
                <c:pt idx="31">
                  <c:v>67.784999999999997</c:v>
                </c:pt>
                <c:pt idx="32">
                  <c:v>68.346999999999994</c:v>
                </c:pt>
                <c:pt idx="33">
                  <c:v>68.992999999999995</c:v>
                </c:pt>
                <c:pt idx="34">
                  <c:v>69.006</c:v>
                </c:pt>
                <c:pt idx="35">
                  <c:v>68.995999999999995</c:v>
                </c:pt>
                <c:pt idx="36">
                  <c:v>69.055999999999997</c:v>
                </c:pt>
                <c:pt idx="37">
                  <c:v>69.512</c:v>
                </c:pt>
                <c:pt idx="38">
                  <c:v>70.694999999999993</c:v>
                </c:pt>
                <c:pt idx="39">
                  <c:v>70.546000000000006</c:v>
                </c:pt>
                <c:pt idx="40">
                  <c:v>71.492000000000004</c:v>
                </c:pt>
                <c:pt idx="41">
                  <c:v>71.981999999999999</c:v>
                </c:pt>
                <c:pt idx="42">
                  <c:v>71.941000000000003</c:v>
                </c:pt>
                <c:pt idx="43">
                  <c:v>71.593000000000004</c:v>
                </c:pt>
                <c:pt idx="44">
                  <c:v>71.947000000000003</c:v>
                </c:pt>
                <c:pt idx="45">
                  <c:v>72.501000000000005</c:v>
                </c:pt>
                <c:pt idx="46">
                  <c:v>72.769000000000005</c:v>
                </c:pt>
                <c:pt idx="47">
                  <c:v>73.233000000000004</c:v>
                </c:pt>
                <c:pt idx="48">
                  <c:v>73.728999999999999</c:v>
                </c:pt>
                <c:pt idx="49">
                  <c:v>74.765000000000001</c:v>
                </c:pt>
                <c:pt idx="50">
                  <c:v>75.400000000000006</c:v>
                </c:pt>
                <c:pt idx="51">
                  <c:v>75.506</c:v>
                </c:pt>
                <c:pt idx="52">
                  <c:v>75.668000000000006</c:v>
                </c:pt>
                <c:pt idx="53">
                  <c:v>76.582999999999998</c:v>
                </c:pt>
                <c:pt idx="54">
                  <c:v>76.501999999999995</c:v>
                </c:pt>
                <c:pt idx="55">
                  <c:v>77.180999999999997</c:v>
                </c:pt>
                <c:pt idx="56">
                  <c:v>77.198999999999998</c:v>
                </c:pt>
                <c:pt idx="57">
                  <c:v>78.622</c:v>
                </c:pt>
                <c:pt idx="58">
                  <c:v>77.766000000000005</c:v>
                </c:pt>
                <c:pt idx="59">
                  <c:v>78.215000000000003</c:v>
                </c:pt>
                <c:pt idx="60">
                  <c:v>78.692999999999998</c:v>
                </c:pt>
                <c:pt idx="61">
                  <c:v>78.415999999999997</c:v>
                </c:pt>
                <c:pt idx="62">
                  <c:v>79.106999999999999</c:v>
                </c:pt>
                <c:pt idx="63">
                  <c:v>79.712000000000003</c:v>
                </c:pt>
                <c:pt idx="64">
                  <c:v>78.257000000000005</c:v>
                </c:pt>
                <c:pt idx="65">
                  <c:v>77.804000000000002</c:v>
                </c:pt>
                <c:pt idx="66">
                  <c:v>78.427999999999997</c:v>
                </c:pt>
                <c:pt idx="67">
                  <c:v>78.569000000000003</c:v>
                </c:pt>
                <c:pt idx="68">
                  <c:v>78.120999999999995</c:v>
                </c:pt>
                <c:pt idx="69">
                  <c:v>75.516000000000005</c:v>
                </c:pt>
                <c:pt idx="70">
                  <c:v>76.974000000000004</c:v>
                </c:pt>
                <c:pt idx="71">
                  <c:v>74.468000000000004</c:v>
                </c:pt>
                <c:pt idx="72">
                  <c:v>75.052000000000007</c:v>
                </c:pt>
                <c:pt idx="73">
                  <c:v>76.599999999999994</c:v>
                </c:pt>
                <c:pt idx="74">
                  <c:v>76.266999999999996</c:v>
                </c:pt>
                <c:pt idx="75">
                  <c:v>76.334999999999994</c:v>
                </c:pt>
                <c:pt idx="76">
                  <c:v>75.847999999999999</c:v>
                </c:pt>
                <c:pt idx="77">
                  <c:v>76.971000000000004</c:v>
                </c:pt>
                <c:pt idx="78">
                  <c:v>76.414000000000001</c:v>
                </c:pt>
                <c:pt idx="79">
                  <c:v>77.06</c:v>
                </c:pt>
                <c:pt idx="80">
                  <c:v>75.637</c:v>
                </c:pt>
                <c:pt idx="81">
                  <c:v>74.03</c:v>
                </c:pt>
                <c:pt idx="82">
                  <c:v>72.144999999999996</c:v>
                </c:pt>
                <c:pt idx="83">
                  <c:v>72.435000000000002</c:v>
                </c:pt>
                <c:pt idx="84">
                  <c:v>72.891999999999996</c:v>
                </c:pt>
                <c:pt idx="85">
                  <c:v>72.835999999999999</c:v>
                </c:pt>
                <c:pt idx="86">
                  <c:v>73.736999999999995</c:v>
                </c:pt>
                <c:pt idx="87">
                  <c:v>74.085999999999999</c:v>
                </c:pt>
                <c:pt idx="88">
                  <c:v>72.698999999999998</c:v>
                </c:pt>
                <c:pt idx="89">
                  <c:v>72.988</c:v>
                </c:pt>
                <c:pt idx="90">
                  <c:v>73.828000000000003</c:v>
                </c:pt>
                <c:pt idx="91">
                  <c:v>73.804000000000002</c:v>
                </c:pt>
                <c:pt idx="92">
                  <c:v>74.188000000000002</c:v>
                </c:pt>
                <c:pt idx="93">
                  <c:v>74.125</c:v>
                </c:pt>
                <c:pt idx="94">
                  <c:v>73.260000000000005</c:v>
                </c:pt>
                <c:pt idx="95">
                  <c:v>69.995999999999995</c:v>
                </c:pt>
                <c:pt idx="96">
                  <c:v>70.027000000000001</c:v>
                </c:pt>
                <c:pt idx="97">
                  <c:v>71.623000000000005</c:v>
                </c:pt>
                <c:pt idx="98">
                  <c:v>72.537999999999997</c:v>
                </c:pt>
                <c:pt idx="99">
                  <c:v>71.305000000000007</c:v>
                </c:pt>
                <c:pt idx="100">
                  <c:v>73.510000000000005</c:v>
                </c:pt>
                <c:pt idx="101">
                  <c:v>73.751999999999995</c:v>
                </c:pt>
                <c:pt idx="102">
                  <c:v>73.210999999999999</c:v>
                </c:pt>
                <c:pt idx="103">
                  <c:v>73.28</c:v>
                </c:pt>
                <c:pt idx="104">
                  <c:v>72.691999999999993</c:v>
                </c:pt>
                <c:pt idx="105">
                  <c:v>72.882000000000005</c:v>
                </c:pt>
                <c:pt idx="106">
                  <c:v>73.138000000000005</c:v>
                </c:pt>
                <c:pt idx="107">
                  <c:v>72.632999999999996</c:v>
                </c:pt>
                <c:pt idx="108">
                  <c:v>70.709999999999994</c:v>
                </c:pt>
                <c:pt idx="109">
                  <c:v>69.331999999999994</c:v>
                </c:pt>
                <c:pt idx="110">
                  <c:v>69.239999999999995</c:v>
                </c:pt>
                <c:pt idx="111">
                  <c:v>70.475999999999999</c:v>
                </c:pt>
                <c:pt idx="112">
                  <c:v>71.453000000000003</c:v>
                </c:pt>
                <c:pt idx="113">
                  <c:v>71.911000000000001</c:v>
                </c:pt>
                <c:pt idx="114">
                  <c:v>72.171000000000006</c:v>
                </c:pt>
                <c:pt idx="115">
                  <c:v>71.95</c:v>
                </c:pt>
                <c:pt idx="116">
                  <c:v>71.463999999999999</c:v>
                </c:pt>
                <c:pt idx="117">
                  <c:v>72.262</c:v>
                </c:pt>
                <c:pt idx="118">
                  <c:v>72.066000000000003</c:v>
                </c:pt>
                <c:pt idx="119">
                  <c:v>71.745000000000005</c:v>
                </c:pt>
                <c:pt idx="120">
                  <c:v>70.864000000000004</c:v>
                </c:pt>
                <c:pt idx="121">
                  <c:v>70.478999999999999</c:v>
                </c:pt>
                <c:pt idx="122">
                  <c:v>70.646000000000001</c:v>
                </c:pt>
                <c:pt idx="123">
                  <c:v>70.418000000000006</c:v>
                </c:pt>
                <c:pt idx="124">
                  <c:v>69.974000000000004</c:v>
                </c:pt>
                <c:pt idx="125">
                  <c:v>68.718999999999994</c:v>
                </c:pt>
                <c:pt idx="126">
                  <c:v>68.869</c:v>
                </c:pt>
                <c:pt idx="127">
                  <c:v>68.218000000000004</c:v>
                </c:pt>
                <c:pt idx="128">
                  <c:v>67.790000000000006</c:v>
                </c:pt>
                <c:pt idx="129">
                  <c:v>67.328000000000003</c:v>
                </c:pt>
                <c:pt idx="130">
                  <c:v>66.91</c:v>
                </c:pt>
                <c:pt idx="131">
                  <c:v>66.436999999999998</c:v>
                </c:pt>
                <c:pt idx="132">
                  <c:v>65.296999999999997</c:v>
                </c:pt>
                <c:pt idx="133">
                  <c:v>64.721999999999994</c:v>
                </c:pt>
                <c:pt idx="134">
                  <c:v>64.3</c:v>
                </c:pt>
                <c:pt idx="135">
                  <c:v>63.764000000000003</c:v>
                </c:pt>
                <c:pt idx="136">
                  <c:v>63.027999999999999</c:v>
                </c:pt>
                <c:pt idx="137">
                  <c:v>62.482999999999997</c:v>
                </c:pt>
                <c:pt idx="138">
                  <c:v>61.91</c:v>
                </c:pt>
                <c:pt idx="139">
                  <c:v>61.283999999999999</c:v>
                </c:pt>
                <c:pt idx="140">
                  <c:v>60.826999999999998</c:v>
                </c:pt>
                <c:pt idx="141">
                  <c:v>59.18</c:v>
                </c:pt>
                <c:pt idx="142">
                  <c:v>58.453000000000003</c:v>
                </c:pt>
                <c:pt idx="143">
                  <c:v>57.436</c:v>
                </c:pt>
                <c:pt idx="144">
                  <c:v>56.372999999999998</c:v>
                </c:pt>
                <c:pt idx="145">
                  <c:v>55.353000000000002</c:v>
                </c:pt>
                <c:pt idx="146">
                  <c:v>54.692</c:v>
                </c:pt>
                <c:pt idx="147">
                  <c:v>53.932000000000002</c:v>
                </c:pt>
                <c:pt idx="148">
                  <c:v>53.777000000000001</c:v>
                </c:pt>
                <c:pt idx="149">
                  <c:v>52.774000000000001</c:v>
                </c:pt>
                <c:pt idx="150">
                  <c:v>52.283999999999999</c:v>
                </c:pt>
                <c:pt idx="151">
                  <c:v>51.682000000000002</c:v>
                </c:pt>
                <c:pt idx="152">
                  <c:v>50.712000000000003</c:v>
                </c:pt>
                <c:pt idx="153">
                  <c:v>49.124000000000002</c:v>
                </c:pt>
                <c:pt idx="154">
                  <c:v>47.856000000000002</c:v>
                </c:pt>
                <c:pt idx="155">
                  <c:v>46.405999999999999</c:v>
                </c:pt>
                <c:pt idx="156">
                  <c:v>45.265999999999998</c:v>
                </c:pt>
                <c:pt idx="157">
                  <c:v>44.601999999999997</c:v>
                </c:pt>
                <c:pt idx="158">
                  <c:v>43.155000000000001</c:v>
                </c:pt>
                <c:pt idx="159">
                  <c:v>40.966000000000001</c:v>
                </c:pt>
                <c:pt idx="160">
                  <c:v>40.423999999999999</c:v>
                </c:pt>
                <c:pt idx="161">
                  <c:v>38.843000000000004</c:v>
                </c:pt>
                <c:pt idx="162">
                  <c:v>37.847999999999999</c:v>
                </c:pt>
                <c:pt idx="163">
                  <c:v>37.515000000000001</c:v>
                </c:pt>
                <c:pt idx="164">
                  <c:v>36.69</c:v>
                </c:pt>
                <c:pt idx="165">
                  <c:v>36.026000000000003</c:v>
                </c:pt>
                <c:pt idx="166">
                  <c:v>35.448</c:v>
                </c:pt>
                <c:pt idx="167">
                  <c:v>34.838999999999999</c:v>
                </c:pt>
                <c:pt idx="168">
                  <c:v>34.610999999999997</c:v>
                </c:pt>
                <c:pt idx="169">
                  <c:v>33.715000000000003</c:v>
                </c:pt>
                <c:pt idx="170">
                  <c:v>32.347000000000001</c:v>
                </c:pt>
                <c:pt idx="171">
                  <c:v>32.392000000000003</c:v>
                </c:pt>
                <c:pt idx="172">
                  <c:v>31.699000000000002</c:v>
                </c:pt>
                <c:pt idx="173">
                  <c:v>30.459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471-4126-AD6D-94B907E2D926}"/>
            </c:ext>
          </c:extLst>
        </c:ser>
        <c:ser>
          <c:idx val="11"/>
          <c:order val="11"/>
          <c:tx>
            <c:strRef>
              <c:f>data_ghg_excLUC!$O$2</c:f>
              <c:strCache>
                <c:ptCount val="1"/>
                <c:pt idx="0">
                  <c:v>pct_annex1_EDGAR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data_ghg_excLUC!$O$3:$O$177</c:f>
              <c:numCache>
                <c:formatCode>0.0</c:formatCode>
                <c:ptCount val="175"/>
                <c:pt idx="120">
                  <c:v>69.144999999999996</c:v>
                </c:pt>
                <c:pt idx="121">
                  <c:v>68.703000000000003</c:v>
                </c:pt>
                <c:pt idx="122">
                  <c:v>68.662000000000006</c:v>
                </c:pt>
                <c:pt idx="123">
                  <c:v>68.441999999999993</c:v>
                </c:pt>
                <c:pt idx="124">
                  <c:v>67.843999999999994</c:v>
                </c:pt>
                <c:pt idx="125">
                  <c:v>66.727999999999994</c:v>
                </c:pt>
                <c:pt idx="126">
                  <c:v>66.730999999999995</c:v>
                </c:pt>
                <c:pt idx="127">
                  <c:v>66.126000000000005</c:v>
                </c:pt>
                <c:pt idx="128">
                  <c:v>65.626999999999995</c:v>
                </c:pt>
                <c:pt idx="129">
                  <c:v>65.271000000000001</c:v>
                </c:pt>
                <c:pt idx="130">
                  <c:v>64.802999999999997</c:v>
                </c:pt>
                <c:pt idx="131">
                  <c:v>64.608999999999995</c:v>
                </c:pt>
                <c:pt idx="132">
                  <c:v>63.537999999999997</c:v>
                </c:pt>
                <c:pt idx="133">
                  <c:v>62.902999999999999</c:v>
                </c:pt>
                <c:pt idx="134">
                  <c:v>62.576000000000001</c:v>
                </c:pt>
                <c:pt idx="135">
                  <c:v>62.284999999999997</c:v>
                </c:pt>
                <c:pt idx="136">
                  <c:v>61.567</c:v>
                </c:pt>
                <c:pt idx="137">
                  <c:v>61.137999999999998</c:v>
                </c:pt>
                <c:pt idx="138">
                  <c:v>60.563000000000002</c:v>
                </c:pt>
                <c:pt idx="139">
                  <c:v>59.889000000000003</c:v>
                </c:pt>
                <c:pt idx="140">
                  <c:v>59.5</c:v>
                </c:pt>
                <c:pt idx="141">
                  <c:v>58.584000000000003</c:v>
                </c:pt>
                <c:pt idx="142">
                  <c:v>57.466000000000001</c:v>
                </c:pt>
                <c:pt idx="143">
                  <c:v>56.313000000000002</c:v>
                </c:pt>
                <c:pt idx="144">
                  <c:v>55.146000000000001</c:v>
                </c:pt>
                <c:pt idx="145">
                  <c:v>54.055999999999997</c:v>
                </c:pt>
                <c:pt idx="146">
                  <c:v>53.722000000000001</c:v>
                </c:pt>
                <c:pt idx="147">
                  <c:v>53.247999999999998</c:v>
                </c:pt>
                <c:pt idx="148">
                  <c:v>52.92</c:v>
                </c:pt>
                <c:pt idx="149">
                  <c:v>52.658999999999999</c:v>
                </c:pt>
                <c:pt idx="150">
                  <c:v>52.106000000000002</c:v>
                </c:pt>
                <c:pt idx="151">
                  <c:v>51.441000000000003</c:v>
                </c:pt>
                <c:pt idx="152">
                  <c:v>50.462000000000003</c:v>
                </c:pt>
                <c:pt idx="153">
                  <c:v>49.232999999999997</c:v>
                </c:pt>
                <c:pt idx="154">
                  <c:v>47.613</c:v>
                </c:pt>
                <c:pt idx="155">
                  <c:v>46.116</c:v>
                </c:pt>
                <c:pt idx="156">
                  <c:v>44.673999999999999</c:v>
                </c:pt>
                <c:pt idx="157">
                  <c:v>43.76</c:v>
                </c:pt>
                <c:pt idx="158">
                  <c:v>42.445999999999998</c:v>
                </c:pt>
                <c:pt idx="159">
                  <c:v>40.262999999999998</c:v>
                </c:pt>
                <c:pt idx="160">
                  <c:v>39.706000000000003</c:v>
                </c:pt>
                <c:pt idx="161">
                  <c:v>38.201000000000001</c:v>
                </c:pt>
                <c:pt idx="162">
                  <c:v>37.18</c:v>
                </c:pt>
                <c:pt idx="163">
                  <c:v>36.555999999999997</c:v>
                </c:pt>
                <c:pt idx="164">
                  <c:v>35.817999999999998</c:v>
                </c:pt>
                <c:pt idx="165">
                  <c:v>35.584000000000003</c:v>
                </c:pt>
                <c:pt idx="166">
                  <c:v>35.18</c:v>
                </c:pt>
                <c:pt idx="167">
                  <c:v>34.719000000000001</c:v>
                </c:pt>
                <c:pt idx="168">
                  <c:v>34.32</c:v>
                </c:pt>
                <c:pt idx="169">
                  <c:v>33.47</c:v>
                </c:pt>
                <c:pt idx="170">
                  <c:v>32.143000000000001</c:v>
                </c:pt>
                <c:pt idx="171">
                  <c:v>32.201999999999998</c:v>
                </c:pt>
                <c:pt idx="172">
                  <c:v>31.547999999999998</c:v>
                </c:pt>
                <c:pt idx="173">
                  <c:v>30.262</c:v>
                </c:pt>
                <c:pt idx="174">
                  <c:v>29.905999999999999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471-4126-AD6D-94B907E2D926}"/>
            </c:ext>
          </c:extLst>
        </c:ser>
        <c:ser>
          <c:idx val="12"/>
          <c:order val="12"/>
          <c:tx>
            <c:strRef>
              <c:f>data_ghg_excLUC!$P$2</c:f>
              <c:strCache>
                <c:ptCount val="1"/>
                <c:pt idx="0">
                  <c:v>pct_annex1_ClimateWatch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data_ghg_excLUC!$A$3:$A$177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data_ghg_excLUC!$P$3:$P$177</c:f>
              <c:numCache>
                <c:formatCode>0.0</c:formatCode>
                <c:ptCount val="175"/>
                <c:pt idx="140">
                  <c:v>58.904000000000003</c:v>
                </c:pt>
                <c:pt idx="141">
                  <c:v>57.947000000000003</c:v>
                </c:pt>
                <c:pt idx="142">
                  <c:v>56.802</c:v>
                </c:pt>
                <c:pt idx="143">
                  <c:v>55.551000000000002</c:v>
                </c:pt>
                <c:pt idx="144">
                  <c:v>54.533000000000001</c:v>
                </c:pt>
                <c:pt idx="145">
                  <c:v>53.405999999999999</c:v>
                </c:pt>
                <c:pt idx="146">
                  <c:v>53.146999999999998</c:v>
                </c:pt>
                <c:pt idx="147">
                  <c:v>52.686</c:v>
                </c:pt>
                <c:pt idx="148">
                  <c:v>52.319000000000003</c:v>
                </c:pt>
                <c:pt idx="149">
                  <c:v>52.079000000000001</c:v>
                </c:pt>
                <c:pt idx="150">
                  <c:v>51.720999999999997</c:v>
                </c:pt>
                <c:pt idx="151">
                  <c:v>51.097000000000001</c:v>
                </c:pt>
                <c:pt idx="152">
                  <c:v>50.078000000000003</c:v>
                </c:pt>
                <c:pt idx="153">
                  <c:v>48.901000000000003</c:v>
                </c:pt>
                <c:pt idx="154">
                  <c:v>47.335999999999999</c:v>
                </c:pt>
                <c:pt idx="155">
                  <c:v>45.895000000000003</c:v>
                </c:pt>
                <c:pt idx="156">
                  <c:v>44.633000000000003</c:v>
                </c:pt>
                <c:pt idx="157">
                  <c:v>43.683</c:v>
                </c:pt>
                <c:pt idx="158">
                  <c:v>42.281999999999996</c:v>
                </c:pt>
                <c:pt idx="159">
                  <c:v>40.198999999999998</c:v>
                </c:pt>
                <c:pt idx="160">
                  <c:v>39.546999999999997</c:v>
                </c:pt>
                <c:pt idx="161">
                  <c:v>38.32</c:v>
                </c:pt>
                <c:pt idx="162">
                  <c:v>37.353000000000002</c:v>
                </c:pt>
                <c:pt idx="163">
                  <c:v>36.622999999999998</c:v>
                </c:pt>
                <c:pt idx="164">
                  <c:v>35.99</c:v>
                </c:pt>
                <c:pt idx="165">
                  <c:v>35.715000000000003</c:v>
                </c:pt>
                <c:pt idx="166">
                  <c:v>35.326000000000001</c:v>
                </c:pt>
                <c:pt idx="167">
                  <c:v>34.914999999999999</c:v>
                </c:pt>
                <c:pt idx="168">
                  <c:v>34.725000000000001</c:v>
                </c:pt>
                <c:pt idx="169">
                  <c:v>33.819000000000003</c:v>
                </c:pt>
                <c:pt idx="170">
                  <c:v>32.432000000000002</c:v>
                </c:pt>
                <c:pt idx="171">
                  <c:v>32.503</c:v>
                </c:pt>
                <c:pt idx="172">
                  <c:v>31.96</c:v>
                </c:pt>
                <c:pt idx="173">
                  <c:v>30.77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471-4126-AD6D-94B907E2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CO</a:t>
            </a:r>
            <a:r>
              <a:rPr lang="en-US" baseline="-25000"/>
              <a:t>2</a:t>
            </a:r>
            <a:r>
              <a:rPr lang="en-US"/>
              <a:t>, including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data_co2_incLUC!$B$3:$B$177</c:f>
              <c:numCache>
                <c:formatCode>0.0</c:formatCode>
                <c:ptCount val="175"/>
                <c:pt idx="0">
                  <c:v>35.536000000000001</c:v>
                </c:pt>
                <c:pt idx="1">
                  <c:v>35.619</c:v>
                </c:pt>
                <c:pt idx="2">
                  <c:v>35.264000000000003</c:v>
                </c:pt>
                <c:pt idx="3">
                  <c:v>36.100999999999999</c:v>
                </c:pt>
                <c:pt idx="4">
                  <c:v>36.94</c:v>
                </c:pt>
                <c:pt idx="5">
                  <c:v>36.764000000000003</c:v>
                </c:pt>
                <c:pt idx="6">
                  <c:v>37.067</c:v>
                </c:pt>
                <c:pt idx="7">
                  <c:v>37.204000000000001</c:v>
                </c:pt>
                <c:pt idx="8">
                  <c:v>37.631</c:v>
                </c:pt>
                <c:pt idx="9">
                  <c:v>38.124000000000002</c:v>
                </c:pt>
                <c:pt idx="10">
                  <c:v>40.396999999999998</c:v>
                </c:pt>
                <c:pt idx="11">
                  <c:v>40.640999999999998</c:v>
                </c:pt>
                <c:pt idx="12">
                  <c:v>41.938000000000002</c:v>
                </c:pt>
                <c:pt idx="13">
                  <c:v>42.908000000000001</c:v>
                </c:pt>
                <c:pt idx="14">
                  <c:v>42.61</c:v>
                </c:pt>
                <c:pt idx="15">
                  <c:v>43.389000000000003</c:v>
                </c:pt>
                <c:pt idx="16">
                  <c:v>43.152000000000001</c:v>
                </c:pt>
                <c:pt idx="17">
                  <c:v>44.636000000000003</c:v>
                </c:pt>
                <c:pt idx="18">
                  <c:v>44.674999999999997</c:v>
                </c:pt>
                <c:pt idx="19">
                  <c:v>44.634</c:v>
                </c:pt>
                <c:pt idx="20">
                  <c:v>47.566000000000003</c:v>
                </c:pt>
                <c:pt idx="21">
                  <c:v>49.723999999999997</c:v>
                </c:pt>
                <c:pt idx="22">
                  <c:v>49.966000000000001</c:v>
                </c:pt>
                <c:pt idx="23">
                  <c:v>51.424999999999997</c:v>
                </c:pt>
                <c:pt idx="24">
                  <c:v>51.067</c:v>
                </c:pt>
                <c:pt idx="25">
                  <c:v>52.271000000000001</c:v>
                </c:pt>
                <c:pt idx="26">
                  <c:v>52.506</c:v>
                </c:pt>
                <c:pt idx="27">
                  <c:v>52.704000000000001</c:v>
                </c:pt>
                <c:pt idx="28">
                  <c:v>52.963999999999999</c:v>
                </c:pt>
                <c:pt idx="29">
                  <c:v>53.776000000000003</c:v>
                </c:pt>
                <c:pt idx="30">
                  <c:v>51.543999999999997</c:v>
                </c:pt>
                <c:pt idx="31">
                  <c:v>50.209000000000003</c:v>
                </c:pt>
                <c:pt idx="32">
                  <c:v>49.930999999999997</c:v>
                </c:pt>
                <c:pt idx="33">
                  <c:v>50.104999999999997</c:v>
                </c:pt>
                <c:pt idx="34">
                  <c:v>49.643999999999998</c:v>
                </c:pt>
                <c:pt idx="35">
                  <c:v>49.146999999999998</c:v>
                </c:pt>
                <c:pt idx="36">
                  <c:v>49.207999999999998</c:v>
                </c:pt>
                <c:pt idx="37">
                  <c:v>49.634</c:v>
                </c:pt>
                <c:pt idx="38">
                  <c:v>50.378999999999998</c:v>
                </c:pt>
                <c:pt idx="39">
                  <c:v>49.497999999999998</c:v>
                </c:pt>
                <c:pt idx="40">
                  <c:v>49.363999999999997</c:v>
                </c:pt>
                <c:pt idx="41">
                  <c:v>49.472000000000001</c:v>
                </c:pt>
                <c:pt idx="42">
                  <c:v>49.636000000000003</c:v>
                </c:pt>
                <c:pt idx="43">
                  <c:v>49.697000000000003</c:v>
                </c:pt>
                <c:pt idx="44">
                  <c:v>49.514000000000003</c:v>
                </c:pt>
                <c:pt idx="45">
                  <c:v>50.082999999999998</c:v>
                </c:pt>
                <c:pt idx="46">
                  <c:v>50.518999999999998</c:v>
                </c:pt>
                <c:pt idx="47">
                  <c:v>50.579000000000001</c:v>
                </c:pt>
                <c:pt idx="48">
                  <c:v>51.168999999999997</c:v>
                </c:pt>
                <c:pt idx="49">
                  <c:v>52.137999999999998</c:v>
                </c:pt>
                <c:pt idx="50">
                  <c:v>51.793999999999997</c:v>
                </c:pt>
                <c:pt idx="51">
                  <c:v>50.518999999999998</c:v>
                </c:pt>
                <c:pt idx="52">
                  <c:v>50.506999999999998</c:v>
                </c:pt>
                <c:pt idx="53">
                  <c:v>51.110999999999997</c:v>
                </c:pt>
                <c:pt idx="54">
                  <c:v>50.795999999999999</c:v>
                </c:pt>
                <c:pt idx="55">
                  <c:v>51.344999999999999</c:v>
                </c:pt>
                <c:pt idx="56">
                  <c:v>51.151000000000003</c:v>
                </c:pt>
                <c:pt idx="57">
                  <c:v>52.642000000000003</c:v>
                </c:pt>
                <c:pt idx="58">
                  <c:v>51.689</c:v>
                </c:pt>
                <c:pt idx="59">
                  <c:v>51.927999999999997</c:v>
                </c:pt>
                <c:pt idx="60">
                  <c:v>53.735999999999997</c:v>
                </c:pt>
                <c:pt idx="61">
                  <c:v>54.046999999999997</c:v>
                </c:pt>
                <c:pt idx="62">
                  <c:v>54.654000000000003</c:v>
                </c:pt>
                <c:pt idx="63">
                  <c:v>55.99</c:v>
                </c:pt>
                <c:pt idx="64">
                  <c:v>55.034999999999997</c:v>
                </c:pt>
                <c:pt idx="65">
                  <c:v>55.110999999999997</c:v>
                </c:pt>
                <c:pt idx="66">
                  <c:v>56.103000000000002</c:v>
                </c:pt>
                <c:pt idx="67">
                  <c:v>57.234000000000002</c:v>
                </c:pt>
                <c:pt idx="68">
                  <c:v>58.505000000000003</c:v>
                </c:pt>
                <c:pt idx="69">
                  <c:v>57.182000000000002</c:v>
                </c:pt>
                <c:pt idx="70">
                  <c:v>54.771000000000001</c:v>
                </c:pt>
                <c:pt idx="71">
                  <c:v>51.046999999999997</c:v>
                </c:pt>
                <c:pt idx="72">
                  <c:v>51.220999999999997</c:v>
                </c:pt>
                <c:pt idx="73">
                  <c:v>52.158999999999999</c:v>
                </c:pt>
                <c:pt idx="74">
                  <c:v>51.878999999999998</c:v>
                </c:pt>
                <c:pt idx="75">
                  <c:v>51.378</c:v>
                </c:pt>
                <c:pt idx="76">
                  <c:v>50.368000000000002</c:v>
                </c:pt>
                <c:pt idx="77">
                  <c:v>51.122</c:v>
                </c:pt>
                <c:pt idx="78">
                  <c:v>50.344999999999999</c:v>
                </c:pt>
                <c:pt idx="79">
                  <c:v>50.805</c:v>
                </c:pt>
                <c:pt idx="80">
                  <c:v>47.213000000000001</c:v>
                </c:pt>
                <c:pt idx="81">
                  <c:v>43.904000000000003</c:v>
                </c:pt>
                <c:pt idx="82">
                  <c:v>40.927</c:v>
                </c:pt>
                <c:pt idx="83">
                  <c:v>41.222000000000001</c:v>
                </c:pt>
                <c:pt idx="84">
                  <c:v>41.564</c:v>
                </c:pt>
                <c:pt idx="85">
                  <c:v>41.573</c:v>
                </c:pt>
                <c:pt idx="86">
                  <c:v>42.179000000000002</c:v>
                </c:pt>
                <c:pt idx="87">
                  <c:v>42.768999999999998</c:v>
                </c:pt>
                <c:pt idx="88">
                  <c:v>40.776000000000003</c:v>
                </c:pt>
                <c:pt idx="89">
                  <c:v>41.56</c:v>
                </c:pt>
                <c:pt idx="90">
                  <c:v>41.201000000000001</c:v>
                </c:pt>
                <c:pt idx="91">
                  <c:v>41.744</c:v>
                </c:pt>
                <c:pt idx="92">
                  <c:v>43.143000000000001</c:v>
                </c:pt>
                <c:pt idx="93">
                  <c:v>43.320999999999998</c:v>
                </c:pt>
                <c:pt idx="94">
                  <c:v>43.241</c:v>
                </c:pt>
                <c:pt idx="95">
                  <c:v>40.518000000000001</c:v>
                </c:pt>
                <c:pt idx="96">
                  <c:v>41.271999999999998</c:v>
                </c:pt>
                <c:pt idx="97">
                  <c:v>43.081000000000003</c:v>
                </c:pt>
                <c:pt idx="98">
                  <c:v>44.244</c:v>
                </c:pt>
                <c:pt idx="99">
                  <c:v>42.305999999999997</c:v>
                </c:pt>
                <c:pt idx="100">
                  <c:v>39.899000000000001</c:v>
                </c:pt>
                <c:pt idx="101">
                  <c:v>38.531999999999996</c:v>
                </c:pt>
                <c:pt idx="102">
                  <c:v>37.968000000000004</c:v>
                </c:pt>
                <c:pt idx="103">
                  <c:v>37.595999999999997</c:v>
                </c:pt>
                <c:pt idx="104">
                  <c:v>35.686</c:v>
                </c:pt>
                <c:pt idx="105">
                  <c:v>36.234999999999999</c:v>
                </c:pt>
                <c:pt idx="106">
                  <c:v>36.581000000000003</c:v>
                </c:pt>
                <c:pt idx="107">
                  <c:v>35.738</c:v>
                </c:pt>
                <c:pt idx="108">
                  <c:v>34.479999999999997</c:v>
                </c:pt>
                <c:pt idx="109">
                  <c:v>32.722000000000001</c:v>
                </c:pt>
                <c:pt idx="110">
                  <c:v>35.92</c:v>
                </c:pt>
                <c:pt idx="111">
                  <c:v>35.677</c:v>
                </c:pt>
                <c:pt idx="112">
                  <c:v>37.877000000000002</c:v>
                </c:pt>
                <c:pt idx="113">
                  <c:v>38.472000000000001</c:v>
                </c:pt>
                <c:pt idx="114">
                  <c:v>39.951999999999998</c:v>
                </c:pt>
                <c:pt idx="115">
                  <c:v>40.838000000000001</c:v>
                </c:pt>
                <c:pt idx="116">
                  <c:v>41.881999999999998</c:v>
                </c:pt>
                <c:pt idx="117">
                  <c:v>43.436</c:v>
                </c:pt>
                <c:pt idx="118">
                  <c:v>44.531999999999996</c:v>
                </c:pt>
                <c:pt idx="119">
                  <c:v>42.356999999999999</c:v>
                </c:pt>
                <c:pt idx="120">
                  <c:v>42.756999999999998</c:v>
                </c:pt>
                <c:pt idx="121">
                  <c:v>43.143000000000001</c:v>
                </c:pt>
                <c:pt idx="122">
                  <c:v>41.69</c:v>
                </c:pt>
                <c:pt idx="123">
                  <c:v>42.527000000000001</c:v>
                </c:pt>
                <c:pt idx="124">
                  <c:v>41.606999999999999</c:v>
                </c:pt>
                <c:pt idx="125">
                  <c:v>40.646000000000001</c:v>
                </c:pt>
                <c:pt idx="126">
                  <c:v>41.429000000000002</c:v>
                </c:pt>
                <c:pt idx="127">
                  <c:v>40.590000000000003</c:v>
                </c:pt>
                <c:pt idx="128">
                  <c:v>40.033999999999999</c:v>
                </c:pt>
                <c:pt idx="129">
                  <c:v>41.738999999999997</c:v>
                </c:pt>
                <c:pt idx="130">
                  <c:v>40.563000000000002</c:v>
                </c:pt>
                <c:pt idx="131">
                  <c:v>40.093000000000004</c:v>
                </c:pt>
                <c:pt idx="132">
                  <c:v>38.466999999999999</c:v>
                </c:pt>
                <c:pt idx="133">
                  <c:v>37.710999999999999</c:v>
                </c:pt>
                <c:pt idx="134">
                  <c:v>37.191000000000003</c:v>
                </c:pt>
                <c:pt idx="135">
                  <c:v>35.822000000000003</c:v>
                </c:pt>
                <c:pt idx="136">
                  <c:v>34.771999999999998</c:v>
                </c:pt>
                <c:pt idx="137">
                  <c:v>35.771000000000001</c:v>
                </c:pt>
                <c:pt idx="138">
                  <c:v>36.392000000000003</c:v>
                </c:pt>
                <c:pt idx="139">
                  <c:v>36.694000000000003</c:v>
                </c:pt>
                <c:pt idx="140">
                  <c:v>38.500999999999998</c:v>
                </c:pt>
                <c:pt idx="141">
                  <c:v>37.798999999999999</c:v>
                </c:pt>
                <c:pt idx="142">
                  <c:v>38.497</c:v>
                </c:pt>
                <c:pt idx="143">
                  <c:v>38.784999999999997</c:v>
                </c:pt>
                <c:pt idx="144">
                  <c:v>37.484000000000002</c:v>
                </c:pt>
                <c:pt idx="145">
                  <c:v>38.218000000000004</c:v>
                </c:pt>
                <c:pt idx="146">
                  <c:v>38.085000000000001</c:v>
                </c:pt>
                <c:pt idx="147">
                  <c:v>36.061</c:v>
                </c:pt>
                <c:pt idx="148">
                  <c:v>37.965000000000003</c:v>
                </c:pt>
                <c:pt idx="149">
                  <c:v>38.067</c:v>
                </c:pt>
                <c:pt idx="150">
                  <c:v>38.993000000000002</c:v>
                </c:pt>
                <c:pt idx="151">
                  <c:v>39.01</c:v>
                </c:pt>
                <c:pt idx="152">
                  <c:v>37.664000000000001</c:v>
                </c:pt>
                <c:pt idx="153">
                  <c:v>35.869</c:v>
                </c:pt>
                <c:pt idx="154">
                  <c:v>36.107999999999997</c:v>
                </c:pt>
                <c:pt idx="155">
                  <c:v>35.856999999999999</c:v>
                </c:pt>
                <c:pt idx="156">
                  <c:v>33.302999999999997</c:v>
                </c:pt>
                <c:pt idx="157">
                  <c:v>33.424999999999997</c:v>
                </c:pt>
                <c:pt idx="158">
                  <c:v>32.343000000000004</c:v>
                </c:pt>
                <c:pt idx="159">
                  <c:v>29.331</c:v>
                </c:pt>
                <c:pt idx="160">
                  <c:v>29.626000000000001</c:v>
                </c:pt>
                <c:pt idx="161">
                  <c:v>27.988</c:v>
                </c:pt>
                <c:pt idx="162">
                  <c:v>26.895</c:v>
                </c:pt>
                <c:pt idx="163">
                  <c:v>26.943000000000001</c:v>
                </c:pt>
                <c:pt idx="164">
                  <c:v>26.366</c:v>
                </c:pt>
                <c:pt idx="165">
                  <c:v>25.86</c:v>
                </c:pt>
                <c:pt idx="166">
                  <c:v>26.355</c:v>
                </c:pt>
                <c:pt idx="167">
                  <c:v>26.062000000000001</c:v>
                </c:pt>
                <c:pt idx="168">
                  <c:v>25.782</c:v>
                </c:pt>
                <c:pt idx="169">
                  <c:v>24.831</c:v>
                </c:pt>
                <c:pt idx="170">
                  <c:v>23.585999999999999</c:v>
                </c:pt>
                <c:pt idx="171">
                  <c:v>23.85</c:v>
                </c:pt>
                <c:pt idx="172">
                  <c:v>23.244</c:v>
                </c:pt>
                <c:pt idx="173">
                  <c:v>22.125</c:v>
                </c:pt>
                <c:pt idx="174">
                  <c:v>21.805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7-49A1-8560-BFC888005464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data_co2_incLUC!$F$3:$F$177</c:f>
              <c:numCache>
                <c:formatCode>0.0</c:formatCode>
                <c:ptCount val="175"/>
                <c:pt idx="0">
                  <c:v>9.3870000000000005</c:v>
                </c:pt>
                <c:pt idx="1">
                  <c:v>9.5760000000000005</c:v>
                </c:pt>
                <c:pt idx="2">
                  <c:v>16.299999999999997</c:v>
                </c:pt>
                <c:pt idx="3">
                  <c:v>17.114000000000004</c:v>
                </c:pt>
                <c:pt idx="4">
                  <c:v>18.481999999999999</c:v>
                </c:pt>
                <c:pt idx="5">
                  <c:v>20.163999999999994</c:v>
                </c:pt>
                <c:pt idx="6">
                  <c:v>20.71</c:v>
                </c:pt>
                <c:pt idx="7">
                  <c:v>20.719000000000001</c:v>
                </c:pt>
                <c:pt idx="8">
                  <c:v>20.613999999999997</c:v>
                </c:pt>
                <c:pt idx="9">
                  <c:v>20.446999999999996</c:v>
                </c:pt>
                <c:pt idx="10">
                  <c:v>20.210999999999999</c:v>
                </c:pt>
                <c:pt idx="11">
                  <c:v>20.021000000000001</c:v>
                </c:pt>
                <c:pt idx="12">
                  <c:v>16.241</c:v>
                </c:pt>
                <c:pt idx="13">
                  <c:v>15.585000000000001</c:v>
                </c:pt>
                <c:pt idx="14">
                  <c:v>16.271999999999998</c:v>
                </c:pt>
                <c:pt idx="15">
                  <c:v>15.785999999999994</c:v>
                </c:pt>
                <c:pt idx="16">
                  <c:v>16.182000000000002</c:v>
                </c:pt>
                <c:pt idx="17">
                  <c:v>15.087999999999994</c:v>
                </c:pt>
                <c:pt idx="18">
                  <c:v>15.145000000000003</c:v>
                </c:pt>
                <c:pt idx="19">
                  <c:v>15.567</c:v>
                </c:pt>
                <c:pt idx="20">
                  <c:v>12.689</c:v>
                </c:pt>
                <c:pt idx="21">
                  <c:v>9.2980000000000018</c:v>
                </c:pt>
                <c:pt idx="22">
                  <c:v>13.656999999999996</c:v>
                </c:pt>
                <c:pt idx="23">
                  <c:v>12.616</c:v>
                </c:pt>
                <c:pt idx="24">
                  <c:v>12.481000000000002</c:v>
                </c:pt>
                <c:pt idx="25">
                  <c:v>12.004000000000005</c:v>
                </c:pt>
                <c:pt idx="26">
                  <c:v>11.671000000000006</c:v>
                </c:pt>
                <c:pt idx="27">
                  <c:v>11.792999999999999</c:v>
                </c:pt>
                <c:pt idx="28">
                  <c:v>11.546999999999997</c:v>
                </c:pt>
                <c:pt idx="29">
                  <c:v>11.317999999999991</c:v>
                </c:pt>
                <c:pt idx="30">
                  <c:v>14.649000000000001</c:v>
                </c:pt>
                <c:pt idx="31">
                  <c:v>14.144999999999996</c:v>
                </c:pt>
                <c:pt idx="32">
                  <c:v>12.189</c:v>
                </c:pt>
                <c:pt idx="33">
                  <c:v>11.948</c:v>
                </c:pt>
                <c:pt idx="34">
                  <c:v>11.995000000000005</c:v>
                </c:pt>
                <c:pt idx="35">
                  <c:v>12.082000000000001</c:v>
                </c:pt>
                <c:pt idx="36">
                  <c:v>11.849000000000004</c:v>
                </c:pt>
                <c:pt idx="37">
                  <c:v>11.579000000000001</c:v>
                </c:pt>
                <c:pt idx="38">
                  <c:v>11.635000000000005</c:v>
                </c:pt>
                <c:pt idx="39">
                  <c:v>12.069000000000003</c:v>
                </c:pt>
                <c:pt idx="40">
                  <c:v>12.880000000000003</c:v>
                </c:pt>
                <c:pt idx="41">
                  <c:v>13.061</c:v>
                </c:pt>
                <c:pt idx="42">
                  <c:v>13.351999999999997</c:v>
                </c:pt>
                <c:pt idx="43">
                  <c:v>12.854999999999997</c:v>
                </c:pt>
                <c:pt idx="44">
                  <c:v>12.583999999999996</c:v>
                </c:pt>
                <c:pt idx="45">
                  <c:v>12.398000000000003</c:v>
                </c:pt>
                <c:pt idx="46">
                  <c:v>12.102000000000004</c:v>
                </c:pt>
                <c:pt idx="47">
                  <c:v>12.299999999999997</c:v>
                </c:pt>
                <c:pt idx="48">
                  <c:v>11.941000000000003</c:v>
                </c:pt>
                <c:pt idx="49">
                  <c:v>11.874000000000002</c:v>
                </c:pt>
                <c:pt idx="50">
                  <c:v>12.709000000000003</c:v>
                </c:pt>
                <c:pt idx="51">
                  <c:v>11.010000000000005</c:v>
                </c:pt>
                <c:pt idx="52">
                  <c:v>9.1350000000000051</c:v>
                </c:pt>
                <c:pt idx="53">
                  <c:v>9.1910000000000025</c:v>
                </c:pt>
                <c:pt idx="54">
                  <c:v>8.7310000000000016</c:v>
                </c:pt>
                <c:pt idx="55">
                  <c:v>9.0410000000000039</c:v>
                </c:pt>
                <c:pt idx="56">
                  <c:v>8.93</c:v>
                </c:pt>
                <c:pt idx="57">
                  <c:v>8.875</c:v>
                </c:pt>
                <c:pt idx="58">
                  <c:v>8.5020000000000024</c:v>
                </c:pt>
                <c:pt idx="59">
                  <c:v>8.152000000000001</c:v>
                </c:pt>
                <c:pt idx="60">
                  <c:v>7.4640000000000057</c:v>
                </c:pt>
                <c:pt idx="61">
                  <c:v>6.7120000000000033</c:v>
                </c:pt>
                <c:pt idx="62">
                  <c:v>6.1019999999999968</c:v>
                </c:pt>
                <c:pt idx="63">
                  <c:v>5.4789999999999992</c:v>
                </c:pt>
                <c:pt idx="64">
                  <c:v>5.3030000000000044</c:v>
                </c:pt>
                <c:pt idx="65">
                  <c:v>5.3540000000000063</c:v>
                </c:pt>
                <c:pt idx="66">
                  <c:v>5.1890000000000001</c:v>
                </c:pt>
                <c:pt idx="67">
                  <c:v>4.4339999999999975</c:v>
                </c:pt>
                <c:pt idx="68">
                  <c:v>3.8699999999999974</c:v>
                </c:pt>
                <c:pt idx="69">
                  <c:v>3.4259999999999948</c:v>
                </c:pt>
                <c:pt idx="70">
                  <c:v>6.9200000000000017</c:v>
                </c:pt>
                <c:pt idx="71">
                  <c:v>5.6140000000000043</c:v>
                </c:pt>
                <c:pt idx="72">
                  <c:v>5.6880000000000024</c:v>
                </c:pt>
                <c:pt idx="73">
                  <c:v>6.5080000000000027</c:v>
                </c:pt>
                <c:pt idx="74">
                  <c:v>6.4560000000000031</c:v>
                </c:pt>
                <c:pt idx="75">
                  <c:v>6.4690000000000012</c:v>
                </c:pt>
                <c:pt idx="76">
                  <c:v>6.705999999999996</c:v>
                </c:pt>
                <c:pt idx="77">
                  <c:v>7.2650000000000006</c:v>
                </c:pt>
                <c:pt idx="78">
                  <c:v>7.2730000000000032</c:v>
                </c:pt>
                <c:pt idx="79">
                  <c:v>8.2079999999999984</c:v>
                </c:pt>
                <c:pt idx="80">
                  <c:v>10.972999999999999</c:v>
                </c:pt>
                <c:pt idx="81">
                  <c:v>11.162999999999997</c:v>
                </c:pt>
                <c:pt idx="82">
                  <c:v>9.0039999999999978</c:v>
                </c:pt>
                <c:pt idx="83">
                  <c:v>9.2890000000000015</c:v>
                </c:pt>
                <c:pt idx="84">
                  <c:v>9.4840000000000018</c:v>
                </c:pt>
                <c:pt idx="85">
                  <c:v>9.7629999999999981</c:v>
                </c:pt>
                <c:pt idx="86">
                  <c:v>9.7040000000000006</c:v>
                </c:pt>
                <c:pt idx="87">
                  <c:v>9.8840000000000003</c:v>
                </c:pt>
                <c:pt idx="88">
                  <c:v>9.8879999999999981</c:v>
                </c:pt>
                <c:pt idx="89">
                  <c:v>10.056999999999995</c:v>
                </c:pt>
                <c:pt idx="90">
                  <c:v>9.8939999999999984</c:v>
                </c:pt>
                <c:pt idx="91">
                  <c:v>9.6499999999999986</c:v>
                </c:pt>
                <c:pt idx="92">
                  <c:v>10.061999999999998</c:v>
                </c:pt>
                <c:pt idx="93">
                  <c:v>9.4669999999999987</c:v>
                </c:pt>
                <c:pt idx="94">
                  <c:v>8.9819999999999993</c:v>
                </c:pt>
                <c:pt idx="95">
                  <c:v>8.7620000000000005</c:v>
                </c:pt>
                <c:pt idx="96">
                  <c:v>8.3230000000000004</c:v>
                </c:pt>
                <c:pt idx="97">
                  <c:v>7.8769999999999953</c:v>
                </c:pt>
                <c:pt idx="98">
                  <c:v>7.6139999999999972</c:v>
                </c:pt>
                <c:pt idx="99">
                  <c:v>7.382000000000005</c:v>
                </c:pt>
                <c:pt idx="100">
                  <c:v>8.7620000000000005</c:v>
                </c:pt>
                <c:pt idx="101">
                  <c:v>8.7910000000000039</c:v>
                </c:pt>
                <c:pt idx="102">
                  <c:v>8.4499999999999957</c:v>
                </c:pt>
                <c:pt idx="103">
                  <c:v>8.5620000000000047</c:v>
                </c:pt>
                <c:pt idx="104">
                  <c:v>8.8909999999999982</c:v>
                </c:pt>
                <c:pt idx="105">
                  <c:v>8.4320000000000022</c:v>
                </c:pt>
                <c:pt idx="106">
                  <c:v>8.1359999999999957</c:v>
                </c:pt>
                <c:pt idx="107">
                  <c:v>7.9399999999999977</c:v>
                </c:pt>
                <c:pt idx="108">
                  <c:v>7.1240000000000023</c:v>
                </c:pt>
                <c:pt idx="109">
                  <c:v>7.713000000000001</c:v>
                </c:pt>
                <c:pt idx="110">
                  <c:v>5.1689999999999969</c:v>
                </c:pt>
                <c:pt idx="111">
                  <c:v>5.982999999999997</c:v>
                </c:pt>
                <c:pt idx="112">
                  <c:v>5.3919999999999959</c:v>
                </c:pt>
                <c:pt idx="113">
                  <c:v>5.0459999999999994</c:v>
                </c:pt>
                <c:pt idx="114">
                  <c:v>4.1400000000000006</c:v>
                </c:pt>
                <c:pt idx="115">
                  <c:v>3.8819999999999979</c:v>
                </c:pt>
                <c:pt idx="116">
                  <c:v>3.5160000000000053</c:v>
                </c:pt>
                <c:pt idx="117">
                  <c:v>3.1929999999999978</c:v>
                </c:pt>
                <c:pt idx="118">
                  <c:v>2.6840000000000046</c:v>
                </c:pt>
                <c:pt idx="119">
                  <c:v>4.1370000000000005</c:v>
                </c:pt>
                <c:pt idx="120">
                  <c:v>3.0020000000000024</c:v>
                </c:pt>
                <c:pt idx="121">
                  <c:v>3.0499999999999972</c:v>
                </c:pt>
                <c:pt idx="122">
                  <c:v>4.5670000000000002</c:v>
                </c:pt>
                <c:pt idx="123">
                  <c:v>3.786999999999999</c:v>
                </c:pt>
                <c:pt idx="124">
                  <c:v>3.4919999999999973</c:v>
                </c:pt>
                <c:pt idx="125">
                  <c:v>2.8449999999999989</c:v>
                </c:pt>
                <c:pt idx="126">
                  <c:v>2.2929999999999993</c:v>
                </c:pt>
                <c:pt idx="127">
                  <c:v>2.5339999999999989</c:v>
                </c:pt>
                <c:pt idx="128">
                  <c:v>2.6180000000000021</c:v>
                </c:pt>
                <c:pt idx="129">
                  <c:v>1.5519999999999996</c:v>
                </c:pt>
                <c:pt idx="130">
                  <c:v>1.7819999999999965</c:v>
                </c:pt>
                <c:pt idx="131">
                  <c:v>1.6499999999999986</c:v>
                </c:pt>
                <c:pt idx="132">
                  <c:v>1.7800000000000011</c:v>
                </c:pt>
                <c:pt idx="133">
                  <c:v>1.6920000000000002</c:v>
                </c:pt>
                <c:pt idx="134">
                  <c:v>1.8840000000000003</c:v>
                </c:pt>
                <c:pt idx="135">
                  <c:v>1.820999999999998</c:v>
                </c:pt>
                <c:pt idx="136">
                  <c:v>2.1340000000000003</c:v>
                </c:pt>
                <c:pt idx="137">
                  <c:v>1.4909999999999997</c:v>
                </c:pt>
                <c:pt idx="138">
                  <c:v>1.0619999999999976</c:v>
                </c:pt>
                <c:pt idx="139">
                  <c:v>1.2189999999999941</c:v>
                </c:pt>
                <c:pt idx="140">
                  <c:v>2.1300000000000026</c:v>
                </c:pt>
                <c:pt idx="141">
                  <c:v>2.0619999999999976</c:v>
                </c:pt>
                <c:pt idx="142">
                  <c:v>2.3890000000000029</c:v>
                </c:pt>
                <c:pt idx="143">
                  <c:v>2.1180000000000021</c:v>
                </c:pt>
                <c:pt idx="144">
                  <c:v>8.9859999999999971</c:v>
                </c:pt>
                <c:pt idx="145">
                  <c:v>6.661999999999999</c:v>
                </c:pt>
                <c:pt idx="146">
                  <c:v>7.4969999999999999</c:v>
                </c:pt>
                <c:pt idx="147">
                  <c:v>9.2860000000000014</c:v>
                </c:pt>
                <c:pt idx="148">
                  <c:v>8.1009999999999991</c:v>
                </c:pt>
                <c:pt idx="149">
                  <c:v>8.7509999999999977</c:v>
                </c:pt>
                <c:pt idx="150">
                  <c:v>8.7899999999999991</c:v>
                </c:pt>
                <c:pt idx="151">
                  <c:v>8.0519999999999996</c:v>
                </c:pt>
                <c:pt idx="152">
                  <c:v>7.7239999999999966</c:v>
                </c:pt>
                <c:pt idx="153">
                  <c:v>5.7349999999999994</c:v>
                </c:pt>
                <c:pt idx="154">
                  <c:v>4.0110000000000028</c:v>
                </c:pt>
                <c:pt idx="155">
                  <c:v>4.0870000000000033</c:v>
                </c:pt>
                <c:pt idx="156">
                  <c:v>5.7460000000000022</c:v>
                </c:pt>
                <c:pt idx="157">
                  <c:v>5.6700000000000017</c:v>
                </c:pt>
                <c:pt idx="158">
                  <c:v>4.8169999999999931</c:v>
                </c:pt>
                <c:pt idx="159">
                  <c:v>6.4640000000000022</c:v>
                </c:pt>
                <c:pt idx="160">
                  <c:v>5.9559999999999995</c:v>
                </c:pt>
                <c:pt idx="161">
                  <c:v>3.9989999999999988</c:v>
                </c:pt>
                <c:pt idx="162">
                  <c:v>3.527000000000001</c:v>
                </c:pt>
                <c:pt idx="163">
                  <c:v>4.1069999999999993</c:v>
                </c:pt>
                <c:pt idx="164">
                  <c:v>3.625</c:v>
                </c:pt>
                <c:pt idx="165">
                  <c:v>2.8449999999999989</c:v>
                </c:pt>
                <c:pt idx="166">
                  <c:v>2.0060000000000002</c:v>
                </c:pt>
                <c:pt idx="167">
                  <c:v>2.0449999999999982</c:v>
                </c:pt>
                <c:pt idx="168">
                  <c:v>2.2809999999999988</c:v>
                </c:pt>
                <c:pt idx="169">
                  <c:v>1.9390000000000001</c:v>
                </c:pt>
                <c:pt idx="170">
                  <c:v>1.9140000000000015</c:v>
                </c:pt>
                <c:pt idx="171">
                  <c:v>0.99699999999999989</c:v>
                </c:pt>
                <c:pt idx="172">
                  <c:v>0.89000000000000057</c:v>
                </c:pt>
                <c:pt idx="173">
                  <c:v>0.63599999999999923</c:v>
                </c:pt>
                <c:pt idx="174">
                  <c:v>2.5199999999999996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7-49A1-8560-BFC888005464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6.3000000000002387E-2</c:v>
                </c:pt>
                <c:pt idx="7">
                  <c:v>0.49399999999999977</c:v>
                </c:pt>
                <c:pt idx="8">
                  <c:v>0.69700000000000273</c:v>
                </c:pt>
                <c:pt idx="9">
                  <c:v>1.1270000000000024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1.5429999999999993</c:v>
                </c:pt>
                <c:pt idx="148">
                  <c:v>0</c:v>
                </c:pt>
                <c:pt idx="149">
                  <c:v>0</c:v>
                </c:pt>
                <c:pt idx="150">
                  <c:v>0.26500000000000057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57-49A1-8560-BFC888005464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data_co2_incLUC!$H$3:$H$177</c:f>
              <c:numCache>
                <c:formatCode>0.0</c:formatCode>
                <c:ptCount val="175"/>
                <c:pt idx="0">
                  <c:v>12.744</c:v>
                </c:pt>
                <c:pt idx="1">
                  <c:v>11.825000000000003</c:v>
                </c:pt>
                <c:pt idx="2">
                  <c:v>5.4209999999999994</c:v>
                </c:pt>
                <c:pt idx="3">
                  <c:v>3.6979999999999933</c:v>
                </c:pt>
                <c:pt idx="4">
                  <c:v>2.5410000000000039</c:v>
                </c:pt>
                <c:pt idx="5">
                  <c:v>0.61200000000000188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1.169000000000004</c:v>
                </c:pt>
                <c:pt idx="11">
                  <c:v>2.25</c:v>
                </c:pt>
                <c:pt idx="12">
                  <c:v>5.3649999999999949</c:v>
                </c:pt>
                <c:pt idx="13">
                  <c:v>5.4679999999999964</c:v>
                </c:pt>
                <c:pt idx="14">
                  <c:v>5.7520000000000024</c:v>
                </c:pt>
                <c:pt idx="15">
                  <c:v>5.8800000000000097</c:v>
                </c:pt>
                <c:pt idx="16">
                  <c:v>6.4869999999999948</c:v>
                </c:pt>
                <c:pt idx="17">
                  <c:v>6.3109999999999999</c:v>
                </c:pt>
                <c:pt idx="18">
                  <c:v>6.8669999999999973</c:v>
                </c:pt>
                <c:pt idx="19">
                  <c:v>6.5080000000000027</c:v>
                </c:pt>
                <c:pt idx="20">
                  <c:v>7.7550000000000026</c:v>
                </c:pt>
                <c:pt idx="21">
                  <c:v>9.8600000000000065</c:v>
                </c:pt>
                <c:pt idx="22">
                  <c:v>5.7689999999999984</c:v>
                </c:pt>
                <c:pt idx="23">
                  <c:v>6.2040000000000077</c:v>
                </c:pt>
                <c:pt idx="24">
                  <c:v>6.7630000000000052</c:v>
                </c:pt>
                <c:pt idx="25">
                  <c:v>6.6259999999999906</c:v>
                </c:pt>
                <c:pt idx="26">
                  <c:v>6.921999999999997</c:v>
                </c:pt>
                <c:pt idx="27">
                  <c:v>6.7009999999999934</c:v>
                </c:pt>
                <c:pt idx="28">
                  <c:v>7.0260000000000105</c:v>
                </c:pt>
                <c:pt idx="29">
                  <c:v>7.1330000000000098</c:v>
                </c:pt>
                <c:pt idx="30">
                  <c:v>5.7469999999999999</c:v>
                </c:pt>
                <c:pt idx="31">
                  <c:v>6.2420000000000044</c:v>
                </c:pt>
                <c:pt idx="32">
                  <c:v>8.4550000000000054</c:v>
                </c:pt>
                <c:pt idx="33">
                  <c:v>8.7560000000000002</c:v>
                </c:pt>
                <c:pt idx="34">
                  <c:v>9.2880000000000038</c:v>
                </c:pt>
                <c:pt idx="35">
                  <c:v>9.6239999999999952</c:v>
                </c:pt>
                <c:pt idx="36">
                  <c:v>9.4620000000000033</c:v>
                </c:pt>
                <c:pt idx="37">
                  <c:v>9.2289999999999921</c:v>
                </c:pt>
                <c:pt idx="38">
                  <c:v>9.073999999999991</c:v>
                </c:pt>
                <c:pt idx="39">
                  <c:v>8.8390000000000057</c:v>
                </c:pt>
                <c:pt idx="40">
                  <c:v>8.5499999999999972</c:v>
                </c:pt>
                <c:pt idx="41">
                  <c:v>8.4809999999999945</c:v>
                </c:pt>
                <c:pt idx="42">
                  <c:v>8.4789999999999992</c:v>
                </c:pt>
                <c:pt idx="43">
                  <c:v>8.5260000000000034</c:v>
                </c:pt>
                <c:pt idx="44">
                  <c:v>9.3050000000000068</c:v>
                </c:pt>
                <c:pt idx="45">
                  <c:v>8.9949999999999974</c:v>
                </c:pt>
                <c:pt idx="46">
                  <c:v>9.017000000000003</c:v>
                </c:pt>
                <c:pt idx="47">
                  <c:v>8.8530000000000015</c:v>
                </c:pt>
                <c:pt idx="48">
                  <c:v>9.1569999999999965</c:v>
                </c:pt>
                <c:pt idx="49">
                  <c:v>8.7740000000000009</c:v>
                </c:pt>
                <c:pt idx="50">
                  <c:v>8.644999999999996</c:v>
                </c:pt>
                <c:pt idx="51">
                  <c:v>10.744999999999997</c:v>
                </c:pt>
                <c:pt idx="52">
                  <c:v>10.372999999999998</c:v>
                </c:pt>
                <c:pt idx="53">
                  <c:v>8.9880000000000067</c:v>
                </c:pt>
                <c:pt idx="54">
                  <c:v>8.1809999999999974</c:v>
                </c:pt>
                <c:pt idx="55">
                  <c:v>6.6679999999999993</c:v>
                </c:pt>
                <c:pt idx="56">
                  <c:v>5.762999999999991</c:v>
                </c:pt>
                <c:pt idx="57">
                  <c:v>5.5320000000000036</c:v>
                </c:pt>
                <c:pt idx="58">
                  <c:v>5.6009999999999991</c:v>
                </c:pt>
                <c:pt idx="59">
                  <c:v>5.9099999999999966</c:v>
                </c:pt>
                <c:pt idx="60">
                  <c:v>5.1550000000000011</c:v>
                </c:pt>
                <c:pt idx="61">
                  <c:v>7.7079999999999984</c:v>
                </c:pt>
                <c:pt idx="62">
                  <c:v>8.8029999999999973</c:v>
                </c:pt>
                <c:pt idx="63">
                  <c:v>10.374999999999993</c:v>
                </c:pt>
                <c:pt idx="64">
                  <c:v>9.7719999999999985</c:v>
                </c:pt>
                <c:pt idx="65">
                  <c:v>8.8789999999999907</c:v>
                </c:pt>
                <c:pt idx="66">
                  <c:v>8.7909999999999968</c:v>
                </c:pt>
                <c:pt idx="67">
                  <c:v>7.9310000000000045</c:v>
                </c:pt>
                <c:pt idx="68">
                  <c:v>6.9519999999999982</c:v>
                </c:pt>
                <c:pt idx="69">
                  <c:v>5.93</c:v>
                </c:pt>
                <c:pt idx="70">
                  <c:v>4.4890000000000043</c:v>
                </c:pt>
                <c:pt idx="71">
                  <c:v>6.7890000000000015</c:v>
                </c:pt>
                <c:pt idx="72">
                  <c:v>6.5930000000000035</c:v>
                </c:pt>
                <c:pt idx="73">
                  <c:v>5.5999999999999943</c:v>
                </c:pt>
                <c:pt idx="74">
                  <c:v>5.2119999999999962</c:v>
                </c:pt>
                <c:pt idx="75">
                  <c:v>5.8429999999999964</c:v>
                </c:pt>
                <c:pt idx="76">
                  <c:v>6.1189999999999998</c:v>
                </c:pt>
                <c:pt idx="77">
                  <c:v>5.6039999999999992</c:v>
                </c:pt>
                <c:pt idx="78">
                  <c:v>5.786999999999999</c:v>
                </c:pt>
                <c:pt idx="79">
                  <c:v>5.2959999999999994</c:v>
                </c:pt>
                <c:pt idx="80">
                  <c:v>5.1659999999999968</c:v>
                </c:pt>
                <c:pt idx="81">
                  <c:v>6.6580000000000013</c:v>
                </c:pt>
                <c:pt idx="82">
                  <c:v>10.100000000000001</c:v>
                </c:pt>
                <c:pt idx="83">
                  <c:v>9.8239999999999981</c:v>
                </c:pt>
                <c:pt idx="84">
                  <c:v>9.8269999999999982</c:v>
                </c:pt>
                <c:pt idx="85">
                  <c:v>10.183</c:v>
                </c:pt>
                <c:pt idx="86">
                  <c:v>10.491999999999997</c:v>
                </c:pt>
                <c:pt idx="87">
                  <c:v>10.119</c:v>
                </c:pt>
                <c:pt idx="88">
                  <c:v>11.174999999999997</c:v>
                </c:pt>
                <c:pt idx="89">
                  <c:v>10.689</c:v>
                </c:pt>
                <c:pt idx="90">
                  <c:v>7.7629999999999981</c:v>
                </c:pt>
                <c:pt idx="91">
                  <c:v>5.527000000000001</c:v>
                </c:pt>
                <c:pt idx="92">
                  <c:v>2.4420000000000002</c:v>
                </c:pt>
                <c:pt idx="93">
                  <c:v>2.1450000000000031</c:v>
                </c:pt>
                <c:pt idx="94">
                  <c:v>1.911999999999999</c:v>
                </c:pt>
                <c:pt idx="95">
                  <c:v>0.94999999999999574</c:v>
                </c:pt>
                <c:pt idx="96">
                  <c:v>1.0459999999999994</c:v>
                </c:pt>
                <c:pt idx="97">
                  <c:v>0.80300000000000438</c:v>
                </c:pt>
                <c:pt idx="98">
                  <c:v>0.46500000000000341</c:v>
                </c:pt>
                <c:pt idx="99">
                  <c:v>0.74699999999999989</c:v>
                </c:pt>
                <c:pt idx="100">
                  <c:v>0.77400000000000091</c:v>
                </c:pt>
                <c:pt idx="101">
                  <c:v>1.5640000000000001</c:v>
                </c:pt>
                <c:pt idx="102">
                  <c:v>2.7580000000000027</c:v>
                </c:pt>
                <c:pt idx="103">
                  <c:v>3.4179999999999993</c:v>
                </c:pt>
                <c:pt idx="104">
                  <c:v>3.6510000000000034</c:v>
                </c:pt>
                <c:pt idx="105">
                  <c:v>4.6569999999999965</c:v>
                </c:pt>
                <c:pt idx="106">
                  <c:v>5.4560000000000031</c:v>
                </c:pt>
                <c:pt idx="107">
                  <c:v>6.213000000000001</c:v>
                </c:pt>
                <c:pt idx="108">
                  <c:v>7.5829999999999984</c:v>
                </c:pt>
                <c:pt idx="109">
                  <c:v>9.1920000000000002</c:v>
                </c:pt>
                <c:pt idx="110">
                  <c:v>10.688000000000002</c:v>
                </c:pt>
                <c:pt idx="111">
                  <c:v>10.293000000000006</c:v>
                </c:pt>
                <c:pt idx="112">
                  <c:v>9.7439999999999998</c:v>
                </c:pt>
                <c:pt idx="113">
                  <c:v>10.274999999999999</c:v>
                </c:pt>
                <c:pt idx="114">
                  <c:v>11.36</c:v>
                </c:pt>
                <c:pt idx="115">
                  <c:v>11.734000000000002</c:v>
                </c:pt>
                <c:pt idx="116">
                  <c:v>12.311</c:v>
                </c:pt>
                <c:pt idx="117">
                  <c:v>14.026000000000003</c:v>
                </c:pt>
                <c:pt idx="118">
                  <c:v>14.994</c:v>
                </c:pt>
                <c:pt idx="119">
                  <c:v>11.183999999999997</c:v>
                </c:pt>
                <c:pt idx="120">
                  <c:v>13.210999999999999</c:v>
                </c:pt>
                <c:pt idx="121">
                  <c:v>13.086000000000006</c:v>
                </c:pt>
                <c:pt idx="122">
                  <c:v>11.081000000000003</c:v>
                </c:pt>
                <c:pt idx="123">
                  <c:v>12.255000000000003</c:v>
                </c:pt>
                <c:pt idx="124">
                  <c:v>12.966000000000001</c:v>
                </c:pt>
                <c:pt idx="125">
                  <c:v>14.456000000000003</c:v>
                </c:pt>
                <c:pt idx="126">
                  <c:v>15.232999999999997</c:v>
                </c:pt>
                <c:pt idx="127">
                  <c:v>14.418999999999997</c:v>
                </c:pt>
                <c:pt idx="128">
                  <c:v>14.594999999999999</c:v>
                </c:pt>
                <c:pt idx="129">
                  <c:v>15.832000000000001</c:v>
                </c:pt>
                <c:pt idx="130">
                  <c:v>16.625999999999998</c:v>
                </c:pt>
                <c:pt idx="131">
                  <c:v>16.14</c:v>
                </c:pt>
                <c:pt idx="132">
                  <c:v>16.872999999999998</c:v>
                </c:pt>
                <c:pt idx="133">
                  <c:v>16.863</c:v>
                </c:pt>
                <c:pt idx="134">
                  <c:v>15.837999999999994</c:v>
                </c:pt>
                <c:pt idx="135">
                  <c:v>16.327999999999996</c:v>
                </c:pt>
                <c:pt idx="136">
                  <c:v>15.850000000000001</c:v>
                </c:pt>
                <c:pt idx="137">
                  <c:v>16.400999999999996</c:v>
                </c:pt>
                <c:pt idx="138">
                  <c:v>16.628999999999998</c:v>
                </c:pt>
                <c:pt idx="139">
                  <c:v>15.721000000000004</c:v>
                </c:pt>
                <c:pt idx="140">
                  <c:v>15.212000000000003</c:v>
                </c:pt>
                <c:pt idx="141">
                  <c:v>13.155000000000001</c:v>
                </c:pt>
                <c:pt idx="142">
                  <c:v>10.795999999999999</c:v>
                </c:pt>
                <c:pt idx="143">
                  <c:v>9.2250000000000014</c:v>
                </c:pt>
                <c:pt idx="144">
                  <c:v>2.1769999999999996</c:v>
                </c:pt>
                <c:pt idx="145">
                  <c:v>3.9359999999999999</c:v>
                </c:pt>
                <c:pt idx="146">
                  <c:v>4.0519999999999996</c:v>
                </c:pt>
                <c:pt idx="147">
                  <c:v>0</c:v>
                </c:pt>
                <c:pt idx="148">
                  <c:v>1.3979999999999961</c:v>
                </c:pt>
                <c:pt idx="149">
                  <c:v>0.5800000000000054</c:v>
                </c:pt>
                <c:pt idx="150">
                  <c:v>0</c:v>
                </c:pt>
                <c:pt idx="151">
                  <c:v>0.94500000000000028</c:v>
                </c:pt>
                <c:pt idx="152">
                  <c:v>0.65500000000000114</c:v>
                </c:pt>
                <c:pt idx="153">
                  <c:v>2.4759999999999991</c:v>
                </c:pt>
                <c:pt idx="154">
                  <c:v>3.5990000000000038</c:v>
                </c:pt>
                <c:pt idx="155">
                  <c:v>3.9269999999999996</c:v>
                </c:pt>
                <c:pt idx="156">
                  <c:v>2.6259999999999977</c:v>
                </c:pt>
                <c:pt idx="157">
                  <c:v>2.9980000000000047</c:v>
                </c:pt>
                <c:pt idx="158">
                  <c:v>3.4359999999999999</c:v>
                </c:pt>
                <c:pt idx="159">
                  <c:v>1.8879999999999981</c:v>
                </c:pt>
                <c:pt idx="160">
                  <c:v>2.6880000000000024</c:v>
                </c:pt>
                <c:pt idx="161">
                  <c:v>3.9319999999999986</c:v>
                </c:pt>
                <c:pt idx="162">
                  <c:v>4.9839999999999982</c:v>
                </c:pt>
                <c:pt idx="163">
                  <c:v>3.801999999999996</c:v>
                </c:pt>
                <c:pt idx="164">
                  <c:v>3.7999999999999972</c:v>
                </c:pt>
                <c:pt idx="165">
                  <c:v>4.9650000000000034</c:v>
                </c:pt>
                <c:pt idx="166">
                  <c:v>5.5470000000000006</c:v>
                </c:pt>
                <c:pt idx="167">
                  <c:v>5.3639999999999972</c:v>
                </c:pt>
                <c:pt idx="168">
                  <c:v>5.7639999999999993</c:v>
                </c:pt>
                <c:pt idx="169">
                  <c:v>5.8210000000000015</c:v>
                </c:pt>
                <c:pt idx="170">
                  <c:v>5.3419999999999987</c:v>
                </c:pt>
                <c:pt idx="171">
                  <c:v>6.3569999999999993</c:v>
                </c:pt>
                <c:pt idx="172">
                  <c:v>4.5620000000000012</c:v>
                </c:pt>
                <c:pt idx="173">
                  <c:v>4.4819999999999993</c:v>
                </c:pt>
                <c:pt idx="174">
                  <c:v>5.1410000000000018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57-49A1-8560-BFC888005464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data_co2_incLUC!$Q$3:$Q$177</c:f>
              <c:numCache>
                <c:formatCode>0.0</c:formatCode>
                <c:ptCount val="175"/>
                <c:pt idx="0">
                  <c:v>2.0039999999999978</c:v>
                </c:pt>
                <c:pt idx="1">
                  <c:v>3.6899999999999977</c:v>
                </c:pt>
                <c:pt idx="2">
                  <c:v>9.0589999999999975</c:v>
                </c:pt>
                <c:pt idx="3">
                  <c:v>10.817000000000007</c:v>
                </c:pt>
                <c:pt idx="4">
                  <c:v>11.847000000000001</c:v>
                </c:pt>
                <c:pt idx="5">
                  <c:v>13.899999999999999</c:v>
                </c:pt>
                <c:pt idx="6">
                  <c:v>14.353999999999999</c:v>
                </c:pt>
                <c:pt idx="7">
                  <c:v>14.283000000000001</c:v>
                </c:pt>
                <c:pt idx="8">
                  <c:v>14.229999999999997</c:v>
                </c:pt>
                <c:pt idx="9">
                  <c:v>14.050000000000004</c:v>
                </c:pt>
                <c:pt idx="10">
                  <c:v>12.688999999999993</c:v>
                </c:pt>
                <c:pt idx="11">
                  <c:v>11.899999999999999</c:v>
                </c:pt>
                <c:pt idx="12">
                  <c:v>9.0060000000000002</c:v>
                </c:pt>
                <c:pt idx="13">
                  <c:v>8.9470000000000027</c:v>
                </c:pt>
                <c:pt idx="14">
                  <c:v>8.6089999999999947</c:v>
                </c:pt>
                <c:pt idx="15">
                  <c:v>8.4499999999999886</c:v>
                </c:pt>
                <c:pt idx="16">
                  <c:v>7.8840000000000003</c:v>
                </c:pt>
                <c:pt idx="17">
                  <c:v>8.0210000000000008</c:v>
                </c:pt>
                <c:pt idx="18">
                  <c:v>7.5289999999999964</c:v>
                </c:pt>
                <c:pt idx="19">
                  <c:v>7.86099999999999</c:v>
                </c:pt>
                <c:pt idx="20">
                  <c:v>6.6769999999999925</c:v>
                </c:pt>
                <c:pt idx="21">
                  <c:v>3.7839999999999918</c:v>
                </c:pt>
                <c:pt idx="22">
                  <c:v>6.1970000000000027</c:v>
                </c:pt>
                <c:pt idx="23">
                  <c:v>5.5150000000000006</c:v>
                </c:pt>
                <c:pt idx="24">
                  <c:v>5.1519999999999868</c:v>
                </c:pt>
                <c:pt idx="25">
                  <c:v>5.007000000000005</c:v>
                </c:pt>
                <c:pt idx="26">
                  <c:v>4.9380000000000024</c:v>
                </c:pt>
                <c:pt idx="27">
                  <c:v>4.9969999999999999</c:v>
                </c:pt>
                <c:pt idx="28">
                  <c:v>4.6979999999999933</c:v>
                </c:pt>
                <c:pt idx="29">
                  <c:v>4.4170000000000016</c:v>
                </c:pt>
                <c:pt idx="30">
                  <c:v>5.4549999999999983</c:v>
                </c:pt>
                <c:pt idx="31">
                  <c:v>4.5169999999999959</c:v>
                </c:pt>
                <c:pt idx="32">
                  <c:v>2.7389999999999901</c:v>
                </c:pt>
                <c:pt idx="33">
                  <c:v>2.3760000000000048</c:v>
                </c:pt>
                <c:pt idx="34">
                  <c:v>1.8289999999999935</c:v>
                </c:pt>
                <c:pt idx="35">
                  <c:v>1.5400000000000063</c:v>
                </c:pt>
                <c:pt idx="36">
                  <c:v>1.7199999999999989</c:v>
                </c:pt>
                <c:pt idx="37">
                  <c:v>1.9080000000000013</c:v>
                </c:pt>
                <c:pt idx="38">
                  <c:v>1.9430000000000121</c:v>
                </c:pt>
                <c:pt idx="39">
                  <c:v>2.4050000000000011</c:v>
                </c:pt>
                <c:pt idx="40">
                  <c:v>2.605000000000004</c:v>
                </c:pt>
                <c:pt idx="41">
                  <c:v>2.7690000000000055</c:v>
                </c:pt>
                <c:pt idx="42">
                  <c:v>2.6280000000000001</c:v>
                </c:pt>
                <c:pt idx="43">
                  <c:v>2.8580000000000041</c:v>
                </c:pt>
                <c:pt idx="44">
                  <c:v>1.8519999999999897</c:v>
                </c:pt>
                <c:pt idx="45">
                  <c:v>2.1530000000000058</c:v>
                </c:pt>
                <c:pt idx="46">
                  <c:v>2.1499999999999915</c:v>
                </c:pt>
                <c:pt idx="47">
                  <c:v>2.3659999999999997</c:v>
                </c:pt>
                <c:pt idx="48">
                  <c:v>2.1350000000000051</c:v>
                </c:pt>
                <c:pt idx="49">
                  <c:v>2.3689999999999998</c:v>
                </c:pt>
                <c:pt idx="50">
                  <c:v>2.4759999999999991</c:v>
                </c:pt>
                <c:pt idx="51">
                  <c:v>1.152000000000001</c:v>
                </c:pt>
                <c:pt idx="52">
                  <c:v>3.3289999999999935</c:v>
                </c:pt>
                <c:pt idx="53">
                  <c:v>4.7169999999999987</c:v>
                </c:pt>
                <c:pt idx="54">
                  <c:v>6.1929999999999978</c:v>
                </c:pt>
                <c:pt idx="55">
                  <c:v>7.5579999999999927</c:v>
                </c:pt>
                <c:pt idx="56">
                  <c:v>8.6150000000000091</c:v>
                </c:pt>
                <c:pt idx="57">
                  <c:v>8.6159999999999997</c:v>
                </c:pt>
                <c:pt idx="58">
                  <c:v>9.5930000000000035</c:v>
                </c:pt>
                <c:pt idx="59">
                  <c:v>9.6700000000000017</c:v>
                </c:pt>
                <c:pt idx="60">
                  <c:v>6.6869999999999976</c:v>
                </c:pt>
                <c:pt idx="61">
                  <c:v>3.4909999999999997</c:v>
                </c:pt>
                <c:pt idx="62">
                  <c:v>2.409000000000006</c:v>
                </c:pt>
                <c:pt idx="63">
                  <c:v>2.0000000000010232E-2</c:v>
                </c:pt>
                <c:pt idx="64">
                  <c:v>0.69899999999999807</c:v>
                </c:pt>
                <c:pt idx="65">
                  <c:v>1.6380000000000052</c:v>
                </c:pt>
                <c:pt idx="66">
                  <c:v>1.730000000000004</c:v>
                </c:pt>
                <c:pt idx="67">
                  <c:v>2.438999999999993</c:v>
                </c:pt>
                <c:pt idx="68">
                  <c:v>2.2690000000000055</c:v>
                </c:pt>
                <c:pt idx="69">
                  <c:v>2.2319999999999993</c:v>
                </c:pt>
                <c:pt idx="70">
                  <c:v>4.2319999999999993</c:v>
                </c:pt>
                <c:pt idx="71">
                  <c:v>2.4339999999999975</c:v>
                </c:pt>
                <c:pt idx="72">
                  <c:v>2.2119999999999962</c:v>
                </c:pt>
                <c:pt idx="73">
                  <c:v>2.8310000000000031</c:v>
                </c:pt>
                <c:pt idx="74">
                  <c:v>2.882000000000005</c:v>
                </c:pt>
                <c:pt idx="75">
                  <c:v>2.5109999999999957</c:v>
                </c:pt>
                <c:pt idx="76">
                  <c:v>2.6760000000000019</c:v>
                </c:pt>
                <c:pt idx="77">
                  <c:v>3.8430000000000035</c:v>
                </c:pt>
                <c:pt idx="78">
                  <c:v>3.9500000000000028</c:v>
                </c:pt>
                <c:pt idx="79">
                  <c:v>4.3119999999999976</c:v>
                </c:pt>
                <c:pt idx="80">
                  <c:v>4.7179999999999964</c:v>
                </c:pt>
                <c:pt idx="81">
                  <c:v>4.1139999999999972</c:v>
                </c:pt>
                <c:pt idx="82">
                  <c:v>2.1310000000000002</c:v>
                </c:pt>
                <c:pt idx="83">
                  <c:v>2.3269999999999982</c:v>
                </c:pt>
                <c:pt idx="84">
                  <c:v>2.2319999999999993</c:v>
                </c:pt>
                <c:pt idx="85">
                  <c:v>2.3190000000000026</c:v>
                </c:pt>
                <c:pt idx="86">
                  <c:v>2.3389999999999986</c:v>
                </c:pt>
                <c:pt idx="87">
                  <c:v>2.3939999999999984</c:v>
                </c:pt>
                <c:pt idx="88">
                  <c:v>2.027000000000001</c:v>
                </c:pt>
                <c:pt idx="89">
                  <c:v>2.007000000000005</c:v>
                </c:pt>
                <c:pt idx="90">
                  <c:v>5.2050000000000054</c:v>
                </c:pt>
                <c:pt idx="91">
                  <c:v>6.9969999999999999</c:v>
                </c:pt>
                <c:pt idx="92">
                  <c:v>8.5629999999999953</c:v>
                </c:pt>
                <c:pt idx="93">
                  <c:v>8.945999999999998</c:v>
                </c:pt>
                <c:pt idx="94">
                  <c:v>8.5200000000000031</c:v>
                </c:pt>
                <c:pt idx="95">
                  <c:v>8.3490000000000038</c:v>
                </c:pt>
                <c:pt idx="96">
                  <c:v>8.7650000000000006</c:v>
                </c:pt>
                <c:pt idx="97">
                  <c:v>8.89</c:v>
                </c:pt>
                <c:pt idx="98">
                  <c:v>9.0850000000000009</c:v>
                </c:pt>
                <c:pt idx="99">
                  <c:v>9.5640000000000001</c:v>
                </c:pt>
                <c:pt idx="100">
                  <c:v>10.483999999999995</c:v>
                </c:pt>
                <c:pt idx="101">
                  <c:v>12.316000000000003</c:v>
                </c:pt>
                <c:pt idx="102">
                  <c:v>10.725000000000001</c:v>
                </c:pt>
                <c:pt idx="103">
                  <c:v>10.872</c:v>
                </c:pt>
                <c:pt idx="104">
                  <c:v>11.684999999999995</c:v>
                </c:pt>
                <c:pt idx="105">
                  <c:v>11.273000000000003</c:v>
                </c:pt>
                <c:pt idx="106">
                  <c:v>11.042000000000002</c:v>
                </c:pt>
                <c:pt idx="107">
                  <c:v>11.249000000000002</c:v>
                </c:pt>
                <c:pt idx="108">
                  <c:v>11.001000000000005</c:v>
                </c:pt>
                <c:pt idx="109">
                  <c:v>9.2399999999999949</c:v>
                </c:pt>
                <c:pt idx="110">
                  <c:v>7.6559999999999988</c:v>
                </c:pt>
                <c:pt idx="111">
                  <c:v>7.0619999999999976</c:v>
                </c:pt>
                <c:pt idx="112">
                  <c:v>7.1970000000000027</c:v>
                </c:pt>
                <c:pt idx="113">
                  <c:v>6.9949999999999974</c:v>
                </c:pt>
                <c:pt idx="114">
                  <c:v>5.7929999999999993</c:v>
                </c:pt>
                <c:pt idx="115">
                  <c:v>4.7280000000000015</c:v>
                </c:pt>
                <c:pt idx="116">
                  <c:v>3.7759999999999962</c:v>
                </c:pt>
                <c:pt idx="117">
                  <c:v>2.1280000000000001</c:v>
                </c:pt>
                <c:pt idx="118">
                  <c:v>1.2890000000000015</c:v>
                </c:pt>
                <c:pt idx="119">
                  <c:v>5.7860000000000014</c:v>
                </c:pt>
                <c:pt idx="120">
                  <c:v>4.3810000000000002</c:v>
                </c:pt>
                <c:pt idx="121">
                  <c:v>3.8549999999999969</c:v>
                </c:pt>
                <c:pt idx="122">
                  <c:v>6.3530000000000015</c:v>
                </c:pt>
                <c:pt idx="123">
                  <c:v>4.9779999999999944</c:v>
                </c:pt>
                <c:pt idx="124">
                  <c:v>4.6189999999999998</c:v>
                </c:pt>
                <c:pt idx="125">
                  <c:v>3.7409999999999997</c:v>
                </c:pt>
                <c:pt idx="126">
                  <c:v>2.7439999999999998</c:v>
                </c:pt>
                <c:pt idx="127">
                  <c:v>3.7719999999999985</c:v>
                </c:pt>
                <c:pt idx="128">
                  <c:v>3.9260000000000019</c:v>
                </c:pt>
                <c:pt idx="129">
                  <c:v>2.1180000000000021</c:v>
                </c:pt>
                <c:pt idx="130">
                  <c:v>2.0300000000000011</c:v>
                </c:pt>
                <c:pt idx="131">
                  <c:v>2.0079999999999956</c:v>
                </c:pt>
                <c:pt idx="132">
                  <c:v>1.6870000000000047</c:v>
                </c:pt>
                <c:pt idx="133">
                  <c:v>1.5249999999999986</c:v>
                </c:pt>
                <c:pt idx="134">
                  <c:v>2.1400000000000006</c:v>
                </c:pt>
                <c:pt idx="135">
                  <c:v>2.1340000000000003</c:v>
                </c:pt>
                <c:pt idx="136">
                  <c:v>2.2610000000000028</c:v>
                </c:pt>
                <c:pt idx="137">
                  <c:v>1.5360000000000014</c:v>
                </c:pt>
                <c:pt idx="138">
                  <c:v>0.94899999999999807</c:v>
                </c:pt>
                <c:pt idx="139">
                  <c:v>1.2580000000000027</c:v>
                </c:pt>
                <c:pt idx="140">
                  <c:v>0.18599999999999994</c:v>
                </c:pt>
                <c:pt idx="141">
                  <c:v>1.8950000000000031</c:v>
                </c:pt>
                <c:pt idx="142">
                  <c:v>1.7279999999999944</c:v>
                </c:pt>
                <c:pt idx="143">
                  <c:v>2.0609999999999999</c:v>
                </c:pt>
                <c:pt idx="144">
                  <c:v>5.4329999999999998</c:v>
                </c:pt>
                <c:pt idx="145">
                  <c:v>2.6490000000000009</c:v>
                </c:pt>
                <c:pt idx="146">
                  <c:v>3.5080000000000027</c:v>
                </c:pt>
                <c:pt idx="147">
                  <c:v>5.911999999999999</c:v>
                </c:pt>
                <c:pt idx="148">
                  <c:v>5.3370000000000033</c:v>
                </c:pt>
                <c:pt idx="149">
                  <c:v>4.1669999999999945</c:v>
                </c:pt>
                <c:pt idx="150">
                  <c:v>5.2109999999999985</c:v>
                </c:pt>
                <c:pt idx="151">
                  <c:v>4.0399999999999991</c:v>
                </c:pt>
                <c:pt idx="152">
                  <c:v>4.2439999999999998</c:v>
                </c:pt>
                <c:pt idx="153">
                  <c:v>2.7689999999999984</c:v>
                </c:pt>
                <c:pt idx="154">
                  <c:v>1.5669999999999931</c:v>
                </c:pt>
                <c:pt idx="155">
                  <c:v>1.0019999999999953</c:v>
                </c:pt>
                <c:pt idx="156">
                  <c:v>1.588000000000001</c:v>
                </c:pt>
                <c:pt idx="157">
                  <c:v>1.1949999999999932</c:v>
                </c:pt>
                <c:pt idx="158">
                  <c:v>1.0120000000000005</c:v>
                </c:pt>
                <c:pt idx="159">
                  <c:v>1.703000000000003</c:v>
                </c:pt>
                <c:pt idx="160">
                  <c:v>1.2839999999999989</c:v>
                </c:pt>
                <c:pt idx="161">
                  <c:v>1.3220000000000027</c:v>
                </c:pt>
                <c:pt idx="162">
                  <c:v>1.3710000000000022</c:v>
                </c:pt>
                <c:pt idx="163">
                  <c:v>0.77900000000000347</c:v>
                </c:pt>
                <c:pt idx="164">
                  <c:v>1.1890000000000001</c:v>
                </c:pt>
                <c:pt idx="165">
                  <c:v>0.38599999999999568</c:v>
                </c:pt>
                <c:pt idx="166">
                  <c:v>0.93599999999999994</c:v>
                </c:pt>
                <c:pt idx="167">
                  <c:v>1.0920000000000059</c:v>
                </c:pt>
                <c:pt idx="168">
                  <c:v>0.42399999999999949</c:v>
                </c:pt>
                <c:pt idx="169">
                  <c:v>0.21000000000000085</c:v>
                </c:pt>
                <c:pt idx="170">
                  <c:v>0.78700000000000259</c:v>
                </c:pt>
                <c:pt idx="171">
                  <c:v>0.84499999999999886</c:v>
                </c:pt>
                <c:pt idx="172">
                  <c:v>2.5889999999999986</c:v>
                </c:pt>
                <c:pt idx="173">
                  <c:v>2.9420000000000002</c:v>
                </c:pt>
                <c:pt idx="174">
                  <c:v>2.7629999999999981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57-49A1-8560-BFC888005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data_co2_incLUC!$I$2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data_co2_incLUC!$I$3:$I$177</c:f>
              <c:numCache>
                <c:formatCode>0.0</c:formatCode>
                <c:ptCount val="175"/>
                <c:pt idx="0">
                  <c:v>35.536000000000001</c:v>
                </c:pt>
                <c:pt idx="1">
                  <c:v>35.619</c:v>
                </c:pt>
                <c:pt idx="2">
                  <c:v>35.264000000000003</c:v>
                </c:pt>
                <c:pt idx="3">
                  <c:v>36.100999999999999</c:v>
                </c:pt>
                <c:pt idx="4">
                  <c:v>36.94</c:v>
                </c:pt>
                <c:pt idx="5">
                  <c:v>36.764000000000003</c:v>
                </c:pt>
                <c:pt idx="6">
                  <c:v>37.067</c:v>
                </c:pt>
                <c:pt idx="7">
                  <c:v>37.204000000000001</c:v>
                </c:pt>
                <c:pt idx="8">
                  <c:v>37.631</c:v>
                </c:pt>
                <c:pt idx="9">
                  <c:v>38.124000000000002</c:v>
                </c:pt>
                <c:pt idx="10">
                  <c:v>40.396999999999998</c:v>
                </c:pt>
                <c:pt idx="11">
                  <c:v>40.640999999999998</c:v>
                </c:pt>
                <c:pt idx="12">
                  <c:v>41.938000000000002</c:v>
                </c:pt>
                <c:pt idx="13">
                  <c:v>42.908000000000001</c:v>
                </c:pt>
                <c:pt idx="14">
                  <c:v>42.61</c:v>
                </c:pt>
                <c:pt idx="15">
                  <c:v>43.389000000000003</c:v>
                </c:pt>
                <c:pt idx="16">
                  <c:v>43.152000000000001</c:v>
                </c:pt>
                <c:pt idx="17">
                  <c:v>44.636000000000003</c:v>
                </c:pt>
                <c:pt idx="18">
                  <c:v>44.674999999999997</c:v>
                </c:pt>
                <c:pt idx="19">
                  <c:v>44.634</c:v>
                </c:pt>
                <c:pt idx="20">
                  <c:v>47.566000000000003</c:v>
                </c:pt>
                <c:pt idx="21">
                  <c:v>49.723999999999997</c:v>
                </c:pt>
                <c:pt idx="22">
                  <c:v>49.966000000000001</c:v>
                </c:pt>
                <c:pt idx="23">
                  <c:v>51.424999999999997</c:v>
                </c:pt>
                <c:pt idx="24">
                  <c:v>51.067</c:v>
                </c:pt>
                <c:pt idx="25">
                  <c:v>52.271000000000001</c:v>
                </c:pt>
                <c:pt idx="26">
                  <c:v>52.506</c:v>
                </c:pt>
                <c:pt idx="27">
                  <c:v>52.704000000000001</c:v>
                </c:pt>
                <c:pt idx="28">
                  <c:v>52.963999999999999</c:v>
                </c:pt>
                <c:pt idx="29">
                  <c:v>53.776000000000003</c:v>
                </c:pt>
                <c:pt idx="30">
                  <c:v>51.543999999999997</c:v>
                </c:pt>
                <c:pt idx="31">
                  <c:v>50.209000000000003</c:v>
                </c:pt>
                <c:pt idx="32">
                  <c:v>49.930999999999997</c:v>
                </c:pt>
                <c:pt idx="33">
                  <c:v>50.104999999999997</c:v>
                </c:pt>
                <c:pt idx="34">
                  <c:v>49.643999999999998</c:v>
                </c:pt>
                <c:pt idx="35">
                  <c:v>49.146999999999998</c:v>
                </c:pt>
                <c:pt idx="36">
                  <c:v>49.207999999999998</c:v>
                </c:pt>
                <c:pt idx="37">
                  <c:v>49.634</c:v>
                </c:pt>
                <c:pt idx="38">
                  <c:v>50.378999999999998</c:v>
                </c:pt>
                <c:pt idx="39">
                  <c:v>49.497999999999998</c:v>
                </c:pt>
                <c:pt idx="40">
                  <c:v>49.363999999999997</c:v>
                </c:pt>
                <c:pt idx="41">
                  <c:v>49.472000000000001</c:v>
                </c:pt>
                <c:pt idx="42">
                  <c:v>49.636000000000003</c:v>
                </c:pt>
                <c:pt idx="43">
                  <c:v>49.697000000000003</c:v>
                </c:pt>
                <c:pt idx="44">
                  <c:v>49.514000000000003</c:v>
                </c:pt>
                <c:pt idx="45">
                  <c:v>50.082999999999998</c:v>
                </c:pt>
                <c:pt idx="46">
                  <c:v>50.518999999999998</c:v>
                </c:pt>
                <c:pt idx="47">
                  <c:v>50.579000000000001</c:v>
                </c:pt>
                <c:pt idx="48">
                  <c:v>51.168999999999997</c:v>
                </c:pt>
                <c:pt idx="49">
                  <c:v>52.137999999999998</c:v>
                </c:pt>
                <c:pt idx="50">
                  <c:v>51.793999999999997</c:v>
                </c:pt>
                <c:pt idx="51">
                  <c:v>50.518999999999998</c:v>
                </c:pt>
                <c:pt idx="52">
                  <c:v>50.506999999999998</c:v>
                </c:pt>
                <c:pt idx="53">
                  <c:v>51.110999999999997</c:v>
                </c:pt>
                <c:pt idx="54">
                  <c:v>50.795999999999999</c:v>
                </c:pt>
                <c:pt idx="55">
                  <c:v>51.344999999999999</c:v>
                </c:pt>
                <c:pt idx="56">
                  <c:v>51.151000000000003</c:v>
                </c:pt>
                <c:pt idx="57">
                  <c:v>52.642000000000003</c:v>
                </c:pt>
                <c:pt idx="58">
                  <c:v>51.689</c:v>
                </c:pt>
                <c:pt idx="59">
                  <c:v>51.927999999999997</c:v>
                </c:pt>
                <c:pt idx="60">
                  <c:v>53.735999999999997</c:v>
                </c:pt>
                <c:pt idx="61">
                  <c:v>54.046999999999997</c:v>
                </c:pt>
                <c:pt idx="62">
                  <c:v>54.654000000000003</c:v>
                </c:pt>
                <c:pt idx="63">
                  <c:v>55.99</c:v>
                </c:pt>
                <c:pt idx="64">
                  <c:v>55.034999999999997</c:v>
                </c:pt>
                <c:pt idx="65">
                  <c:v>55.110999999999997</c:v>
                </c:pt>
                <c:pt idx="66">
                  <c:v>56.103000000000002</c:v>
                </c:pt>
                <c:pt idx="67">
                  <c:v>57.234000000000002</c:v>
                </c:pt>
                <c:pt idx="68">
                  <c:v>58.505000000000003</c:v>
                </c:pt>
                <c:pt idx="69">
                  <c:v>57.182000000000002</c:v>
                </c:pt>
                <c:pt idx="70">
                  <c:v>54.771000000000001</c:v>
                </c:pt>
                <c:pt idx="71">
                  <c:v>51.046999999999997</c:v>
                </c:pt>
                <c:pt idx="72">
                  <c:v>51.220999999999997</c:v>
                </c:pt>
                <c:pt idx="73">
                  <c:v>52.158999999999999</c:v>
                </c:pt>
                <c:pt idx="74">
                  <c:v>51.878999999999998</c:v>
                </c:pt>
                <c:pt idx="75">
                  <c:v>51.378</c:v>
                </c:pt>
                <c:pt idx="76">
                  <c:v>50.368000000000002</c:v>
                </c:pt>
                <c:pt idx="77">
                  <c:v>51.122</c:v>
                </c:pt>
                <c:pt idx="78">
                  <c:v>50.344999999999999</c:v>
                </c:pt>
                <c:pt idx="79">
                  <c:v>50.805</c:v>
                </c:pt>
                <c:pt idx="80">
                  <c:v>47.213000000000001</c:v>
                </c:pt>
                <c:pt idx="81">
                  <c:v>43.904000000000003</c:v>
                </c:pt>
                <c:pt idx="82">
                  <c:v>40.927</c:v>
                </c:pt>
                <c:pt idx="83">
                  <c:v>41.222000000000001</c:v>
                </c:pt>
                <c:pt idx="84">
                  <c:v>41.564</c:v>
                </c:pt>
                <c:pt idx="85">
                  <c:v>41.573</c:v>
                </c:pt>
                <c:pt idx="86">
                  <c:v>42.179000000000002</c:v>
                </c:pt>
                <c:pt idx="87">
                  <c:v>42.768999999999998</c:v>
                </c:pt>
                <c:pt idx="88">
                  <c:v>40.776000000000003</c:v>
                </c:pt>
                <c:pt idx="89">
                  <c:v>41.56</c:v>
                </c:pt>
                <c:pt idx="90">
                  <c:v>41.201000000000001</c:v>
                </c:pt>
                <c:pt idx="91">
                  <c:v>41.744</c:v>
                </c:pt>
                <c:pt idx="92">
                  <c:v>43.143000000000001</c:v>
                </c:pt>
                <c:pt idx="93">
                  <c:v>43.320999999999998</c:v>
                </c:pt>
                <c:pt idx="94">
                  <c:v>43.241</c:v>
                </c:pt>
                <c:pt idx="95">
                  <c:v>40.518000000000001</c:v>
                </c:pt>
                <c:pt idx="96">
                  <c:v>41.271999999999998</c:v>
                </c:pt>
                <c:pt idx="97">
                  <c:v>43.081000000000003</c:v>
                </c:pt>
                <c:pt idx="98">
                  <c:v>44.244</c:v>
                </c:pt>
                <c:pt idx="99">
                  <c:v>42.305999999999997</c:v>
                </c:pt>
                <c:pt idx="100">
                  <c:v>39.899000000000001</c:v>
                </c:pt>
                <c:pt idx="101">
                  <c:v>38.531999999999996</c:v>
                </c:pt>
                <c:pt idx="102">
                  <c:v>37.968000000000004</c:v>
                </c:pt>
                <c:pt idx="103">
                  <c:v>37.595999999999997</c:v>
                </c:pt>
                <c:pt idx="104">
                  <c:v>35.686</c:v>
                </c:pt>
                <c:pt idx="105">
                  <c:v>36.234999999999999</c:v>
                </c:pt>
                <c:pt idx="106">
                  <c:v>36.581000000000003</c:v>
                </c:pt>
                <c:pt idx="107">
                  <c:v>35.738</c:v>
                </c:pt>
                <c:pt idx="108">
                  <c:v>34.479999999999997</c:v>
                </c:pt>
                <c:pt idx="109">
                  <c:v>32.722000000000001</c:v>
                </c:pt>
                <c:pt idx="110">
                  <c:v>35.92</c:v>
                </c:pt>
                <c:pt idx="111">
                  <c:v>35.677</c:v>
                </c:pt>
                <c:pt idx="112">
                  <c:v>37.877000000000002</c:v>
                </c:pt>
                <c:pt idx="113">
                  <c:v>38.472000000000001</c:v>
                </c:pt>
                <c:pt idx="114">
                  <c:v>39.951999999999998</c:v>
                </c:pt>
                <c:pt idx="115">
                  <c:v>40.838000000000001</c:v>
                </c:pt>
                <c:pt idx="116">
                  <c:v>41.881999999999998</c:v>
                </c:pt>
                <c:pt idx="117">
                  <c:v>44.795000000000002</c:v>
                </c:pt>
                <c:pt idx="118">
                  <c:v>45.848999999999997</c:v>
                </c:pt>
                <c:pt idx="119">
                  <c:v>42.356999999999999</c:v>
                </c:pt>
                <c:pt idx="120">
                  <c:v>42.756999999999998</c:v>
                </c:pt>
                <c:pt idx="121">
                  <c:v>43.143000000000001</c:v>
                </c:pt>
                <c:pt idx="122">
                  <c:v>41.69</c:v>
                </c:pt>
                <c:pt idx="123">
                  <c:v>42.527000000000001</c:v>
                </c:pt>
                <c:pt idx="124">
                  <c:v>41.606999999999999</c:v>
                </c:pt>
                <c:pt idx="125">
                  <c:v>40.646000000000001</c:v>
                </c:pt>
                <c:pt idx="126">
                  <c:v>41.429000000000002</c:v>
                </c:pt>
                <c:pt idx="127">
                  <c:v>40.590000000000003</c:v>
                </c:pt>
                <c:pt idx="128">
                  <c:v>40.033999999999999</c:v>
                </c:pt>
                <c:pt idx="129">
                  <c:v>41.738999999999997</c:v>
                </c:pt>
                <c:pt idx="130">
                  <c:v>40.563000000000002</c:v>
                </c:pt>
                <c:pt idx="131">
                  <c:v>40.093000000000004</c:v>
                </c:pt>
                <c:pt idx="132">
                  <c:v>39.057000000000002</c:v>
                </c:pt>
                <c:pt idx="133">
                  <c:v>38.473999999999997</c:v>
                </c:pt>
                <c:pt idx="134">
                  <c:v>37.191000000000003</c:v>
                </c:pt>
                <c:pt idx="135">
                  <c:v>35.822000000000003</c:v>
                </c:pt>
                <c:pt idx="136">
                  <c:v>34.771999999999998</c:v>
                </c:pt>
                <c:pt idx="137">
                  <c:v>35.771000000000001</c:v>
                </c:pt>
                <c:pt idx="138">
                  <c:v>36.392000000000003</c:v>
                </c:pt>
                <c:pt idx="139">
                  <c:v>37.088000000000001</c:v>
                </c:pt>
                <c:pt idx="140">
                  <c:v>38.500999999999998</c:v>
                </c:pt>
                <c:pt idx="141">
                  <c:v>37.798999999999999</c:v>
                </c:pt>
                <c:pt idx="142">
                  <c:v>38.497</c:v>
                </c:pt>
                <c:pt idx="143">
                  <c:v>38.784999999999997</c:v>
                </c:pt>
                <c:pt idx="144">
                  <c:v>37.484000000000002</c:v>
                </c:pt>
                <c:pt idx="145">
                  <c:v>38.218000000000004</c:v>
                </c:pt>
                <c:pt idx="146">
                  <c:v>38.085000000000001</c:v>
                </c:pt>
                <c:pt idx="147">
                  <c:v>36.061</c:v>
                </c:pt>
                <c:pt idx="148">
                  <c:v>37.965000000000003</c:v>
                </c:pt>
                <c:pt idx="149">
                  <c:v>38.067</c:v>
                </c:pt>
                <c:pt idx="150">
                  <c:v>38.993000000000002</c:v>
                </c:pt>
                <c:pt idx="151">
                  <c:v>39.01</c:v>
                </c:pt>
                <c:pt idx="152">
                  <c:v>37.664000000000001</c:v>
                </c:pt>
                <c:pt idx="153">
                  <c:v>35.869</c:v>
                </c:pt>
                <c:pt idx="154">
                  <c:v>36.107999999999997</c:v>
                </c:pt>
                <c:pt idx="155">
                  <c:v>35.856999999999999</c:v>
                </c:pt>
                <c:pt idx="156">
                  <c:v>33.302999999999997</c:v>
                </c:pt>
                <c:pt idx="157">
                  <c:v>33.424999999999997</c:v>
                </c:pt>
                <c:pt idx="158">
                  <c:v>32.343000000000004</c:v>
                </c:pt>
                <c:pt idx="159">
                  <c:v>29.331</c:v>
                </c:pt>
                <c:pt idx="160">
                  <c:v>30.143000000000001</c:v>
                </c:pt>
                <c:pt idx="161">
                  <c:v>27.988</c:v>
                </c:pt>
                <c:pt idx="162">
                  <c:v>26.895</c:v>
                </c:pt>
                <c:pt idx="163">
                  <c:v>26.943000000000001</c:v>
                </c:pt>
                <c:pt idx="164">
                  <c:v>26.366</c:v>
                </c:pt>
                <c:pt idx="165">
                  <c:v>25.86</c:v>
                </c:pt>
                <c:pt idx="166">
                  <c:v>26.355</c:v>
                </c:pt>
                <c:pt idx="167">
                  <c:v>26.062000000000001</c:v>
                </c:pt>
                <c:pt idx="168">
                  <c:v>25.908000000000001</c:v>
                </c:pt>
                <c:pt idx="169">
                  <c:v>24.86</c:v>
                </c:pt>
                <c:pt idx="170">
                  <c:v>23.716999999999999</c:v>
                </c:pt>
                <c:pt idx="171">
                  <c:v>24.04</c:v>
                </c:pt>
                <c:pt idx="172">
                  <c:v>23.399000000000001</c:v>
                </c:pt>
                <c:pt idx="173">
                  <c:v>22.305</c:v>
                </c:pt>
                <c:pt idx="174">
                  <c:v>21.925000000000001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57-49A1-8560-BFC888005464}"/>
            </c:ext>
          </c:extLst>
        </c:ser>
        <c:ser>
          <c:idx val="6"/>
          <c:order val="6"/>
          <c:tx>
            <c:strRef>
              <c:f>data_co2_incLUC!$J$2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data_co2_incLUC!$J$3:$J$177</c:f>
              <c:numCache>
                <c:formatCode>0.0</c:formatCode>
                <c:ptCount val="175"/>
                <c:pt idx="0">
                  <c:v>43.831000000000003</c:v>
                </c:pt>
                <c:pt idx="1">
                  <c:v>44.779000000000003</c:v>
                </c:pt>
                <c:pt idx="2">
                  <c:v>51.564</c:v>
                </c:pt>
                <c:pt idx="3">
                  <c:v>53.215000000000003</c:v>
                </c:pt>
                <c:pt idx="4">
                  <c:v>55.421999999999997</c:v>
                </c:pt>
                <c:pt idx="5">
                  <c:v>56.927999999999997</c:v>
                </c:pt>
                <c:pt idx="6">
                  <c:v>57.84</c:v>
                </c:pt>
                <c:pt idx="7">
                  <c:v>58.417000000000002</c:v>
                </c:pt>
                <c:pt idx="8">
                  <c:v>58.942</c:v>
                </c:pt>
                <c:pt idx="9">
                  <c:v>59.698</c:v>
                </c:pt>
                <c:pt idx="10">
                  <c:v>60.607999999999997</c:v>
                </c:pt>
                <c:pt idx="11">
                  <c:v>60.661999999999999</c:v>
                </c:pt>
                <c:pt idx="12">
                  <c:v>58.179000000000002</c:v>
                </c:pt>
                <c:pt idx="13">
                  <c:v>58.493000000000002</c:v>
                </c:pt>
                <c:pt idx="14">
                  <c:v>58.881999999999998</c:v>
                </c:pt>
                <c:pt idx="15">
                  <c:v>59.174999999999997</c:v>
                </c:pt>
                <c:pt idx="16">
                  <c:v>59.334000000000003</c:v>
                </c:pt>
                <c:pt idx="17">
                  <c:v>59.723999999999997</c:v>
                </c:pt>
                <c:pt idx="18">
                  <c:v>59.82</c:v>
                </c:pt>
                <c:pt idx="19">
                  <c:v>60.201000000000001</c:v>
                </c:pt>
                <c:pt idx="20">
                  <c:v>60.255000000000003</c:v>
                </c:pt>
                <c:pt idx="21">
                  <c:v>59.021999999999998</c:v>
                </c:pt>
                <c:pt idx="22">
                  <c:v>63.622999999999998</c:v>
                </c:pt>
                <c:pt idx="23">
                  <c:v>64.040999999999997</c:v>
                </c:pt>
                <c:pt idx="24">
                  <c:v>63.548000000000002</c:v>
                </c:pt>
                <c:pt idx="25">
                  <c:v>64.275000000000006</c:v>
                </c:pt>
                <c:pt idx="26">
                  <c:v>64.177000000000007</c:v>
                </c:pt>
                <c:pt idx="27">
                  <c:v>64.497</c:v>
                </c:pt>
                <c:pt idx="28">
                  <c:v>64.510999999999996</c:v>
                </c:pt>
                <c:pt idx="29">
                  <c:v>65.093999999999994</c:v>
                </c:pt>
                <c:pt idx="30">
                  <c:v>66.192999999999998</c:v>
                </c:pt>
                <c:pt idx="31">
                  <c:v>64.353999999999999</c:v>
                </c:pt>
                <c:pt idx="32">
                  <c:v>62.12</c:v>
                </c:pt>
                <c:pt idx="33">
                  <c:v>62.052999999999997</c:v>
                </c:pt>
                <c:pt idx="34">
                  <c:v>61.639000000000003</c:v>
                </c:pt>
                <c:pt idx="35">
                  <c:v>61.228999999999999</c:v>
                </c:pt>
                <c:pt idx="36">
                  <c:v>61.057000000000002</c:v>
                </c:pt>
                <c:pt idx="37">
                  <c:v>61.213000000000001</c:v>
                </c:pt>
                <c:pt idx="38">
                  <c:v>62.014000000000003</c:v>
                </c:pt>
                <c:pt idx="39">
                  <c:v>61.567</c:v>
                </c:pt>
                <c:pt idx="40">
                  <c:v>62.244</c:v>
                </c:pt>
                <c:pt idx="41">
                  <c:v>62.533000000000001</c:v>
                </c:pt>
                <c:pt idx="42">
                  <c:v>62.988</c:v>
                </c:pt>
                <c:pt idx="43">
                  <c:v>62.552</c:v>
                </c:pt>
                <c:pt idx="44">
                  <c:v>62.097999999999999</c:v>
                </c:pt>
                <c:pt idx="45">
                  <c:v>62.481000000000002</c:v>
                </c:pt>
                <c:pt idx="46">
                  <c:v>62.621000000000002</c:v>
                </c:pt>
                <c:pt idx="47">
                  <c:v>62.878999999999998</c:v>
                </c:pt>
                <c:pt idx="48">
                  <c:v>63.11</c:v>
                </c:pt>
                <c:pt idx="49">
                  <c:v>64.012</c:v>
                </c:pt>
                <c:pt idx="50">
                  <c:v>64.503</c:v>
                </c:pt>
                <c:pt idx="51">
                  <c:v>61.529000000000003</c:v>
                </c:pt>
                <c:pt idx="52">
                  <c:v>59.445</c:v>
                </c:pt>
                <c:pt idx="53">
                  <c:v>59.216000000000001</c:v>
                </c:pt>
                <c:pt idx="54">
                  <c:v>57.652999999999999</c:v>
                </c:pt>
                <c:pt idx="55">
                  <c:v>57.41</c:v>
                </c:pt>
                <c:pt idx="56">
                  <c:v>56.279000000000003</c:v>
                </c:pt>
                <c:pt idx="57">
                  <c:v>57.698999999999998</c:v>
                </c:pt>
                <c:pt idx="58">
                  <c:v>56.192999999999998</c:v>
                </c:pt>
                <c:pt idx="59">
                  <c:v>56.444000000000003</c:v>
                </c:pt>
                <c:pt idx="60">
                  <c:v>57.097999999999999</c:v>
                </c:pt>
                <c:pt idx="61">
                  <c:v>58.804000000000002</c:v>
                </c:pt>
                <c:pt idx="62">
                  <c:v>59.497999999999998</c:v>
                </c:pt>
                <c:pt idx="63">
                  <c:v>61.469000000000001</c:v>
                </c:pt>
                <c:pt idx="64">
                  <c:v>60.338000000000001</c:v>
                </c:pt>
                <c:pt idx="65">
                  <c:v>60.465000000000003</c:v>
                </c:pt>
                <c:pt idx="66">
                  <c:v>61.292000000000002</c:v>
                </c:pt>
                <c:pt idx="67">
                  <c:v>61.667999999999999</c:v>
                </c:pt>
                <c:pt idx="68">
                  <c:v>62.375</c:v>
                </c:pt>
                <c:pt idx="69">
                  <c:v>60.607999999999997</c:v>
                </c:pt>
                <c:pt idx="70">
                  <c:v>61.691000000000003</c:v>
                </c:pt>
                <c:pt idx="71">
                  <c:v>56.661000000000001</c:v>
                </c:pt>
                <c:pt idx="72">
                  <c:v>56.496000000000002</c:v>
                </c:pt>
                <c:pt idx="73">
                  <c:v>58.667000000000002</c:v>
                </c:pt>
                <c:pt idx="74">
                  <c:v>57.753</c:v>
                </c:pt>
                <c:pt idx="75">
                  <c:v>57.567</c:v>
                </c:pt>
                <c:pt idx="76">
                  <c:v>56.307000000000002</c:v>
                </c:pt>
                <c:pt idx="77">
                  <c:v>58.387</c:v>
                </c:pt>
                <c:pt idx="78">
                  <c:v>57.618000000000002</c:v>
                </c:pt>
                <c:pt idx="79">
                  <c:v>59.012999999999998</c:v>
                </c:pt>
                <c:pt idx="80">
                  <c:v>58.186</c:v>
                </c:pt>
                <c:pt idx="81">
                  <c:v>55.067</c:v>
                </c:pt>
                <c:pt idx="82">
                  <c:v>49.930999999999997</c:v>
                </c:pt>
                <c:pt idx="83">
                  <c:v>50.234999999999999</c:v>
                </c:pt>
                <c:pt idx="84">
                  <c:v>50.902999999999999</c:v>
                </c:pt>
                <c:pt idx="85">
                  <c:v>50.982999999999997</c:v>
                </c:pt>
                <c:pt idx="86">
                  <c:v>51.731000000000002</c:v>
                </c:pt>
                <c:pt idx="87">
                  <c:v>52.101999999999997</c:v>
                </c:pt>
                <c:pt idx="88">
                  <c:v>49.738</c:v>
                </c:pt>
                <c:pt idx="89">
                  <c:v>50.734000000000002</c:v>
                </c:pt>
                <c:pt idx="90">
                  <c:v>49.941000000000003</c:v>
                </c:pt>
                <c:pt idx="91">
                  <c:v>51.393999999999998</c:v>
                </c:pt>
                <c:pt idx="92">
                  <c:v>53.204999999999998</c:v>
                </c:pt>
                <c:pt idx="93">
                  <c:v>52.212000000000003</c:v>
                </c:pt>
                <c:pt idx="94">
                  <c:v>51.741999999999997</c:v>
                </c:pt>
                <c:pt idx="95">
                  <c:v>48.023000000000003</c:v>
                </c:pt>
                <c:pt idx="96">
                  <c:v>46.545000000000002</c:v>
                </c:pt>
                <c:pt idx="97">
                  <c:v>48.552999999999997</c:v>
                </c:pt>
                <c:pt idx="98">
                  <c:v>49.179000000000002</c:v>
                </c:pt>
                <c:pt idx="99">
                  <c:v>46.244999999999997</c:v>
                </c:pt>
                <c:pt idx="100">
                  <c:v>48.661000000000001</c:v>
                </c:pt>
                <c:pt idx="101">
                  <c:v>47.286000000000001</c:v>
                </c:pt>
                <c:pt idx="102">
                  <c:v>44.92</c:v>
                </c:pt>
                <c:pt idx="103">
                  <c:v>44.470999999999997</c:v>
                </c:pt>
                <c:pt idx="104">
                  <c:v>43.043999999999997</c:v>
                </c:pt>
                <c:pt idx="105">
                  <c:v>43.223999999999997</c:v>
                </c:pt>
                <c:pt idx="106">
                  <c:v>43.305999999999997</c:v>
                </c:pt>
                <c:pt idx="107">
                  <c:v>42.207000000000001</c:v>
                </c:pt>
                <c:pt idx="108">
                  <c:v>40.69</c:v>
                </c:pt>
                <c:pt idx="109">
                  <c:v>40.435000000000002</c:v>
                </c:pt>
                <c:pt idx="110">
                  <c:v>40.963999999999999</c:v>
                </c:pt>
                <c:pt idx="111">
                  <c:v>40.582000000000001</c:v>
                </c:pt>
                <c:pt idx="112">
                  <c:v>41.564999999999998</c:v>
                </c:pt>
                <c:pt idx="113">
                  <c:v>42.027000000000001</c:v>
                </c:pt>
                <c:pt idx="114">
                  <c:v>42.319000000000003</c:v>
                </c:pt>
                <c:pt idx="115">
                  <c:v>42.276000000000003</c:v>
                </c:pt>
                <c:pt idx="116">
                  <c:v>42.8</c:v>
                </c:pt>
                <c:pt idx="117">
                  <c:v>43.436</c:v>
                </c:pt>
                <c:pt idx="118">
                  <c:v>44.531999999999996</c:v>
                </c:pt>
                <c:pt idx="119">
                  <c:v>45.198</c:v>
                </c:pt>
                <c:pt idx="120">
                  <c:v>45.734000000000002</c:v>
                </c:pt>
                <c:pt idx="121">
                  <c:v>45.155000000000001</c:v>
                </c:pt>
                <c:pt idx="122">
                  <c:v>45.698999999999998</c:v>
                </c:pt>
                <c:pt idx="123">
                  <c:v>45.786000000000001</c:v>
                </c:pt>
                <c:pt idx="124">
                  <c:v>44.573999999999998</c:v>
                </c:pt>
                <c:pt idx="125">
                  <c:v>42.838999999999999</c:v>
                </c:pt>
                <c:pt idx="126">
                  <c:v>43.139000000000003</c:v>
                </c:pt>
                <c:pt idx="127">
                  <c:v>42.689</c:v>
                </c:pt>
                <c:pt idx="128">
                  <c:v>42.584000000000003</c:v>
                </c:pt>
                <c:pt idx="129">
                  <c:v>42.912999999999997</c:v>
                </c:pt>
                <c:pt idx="130">
                  <c:v>41.968000000000004</c:v>
                </c:pt>
                <c:pt idx="131">
                  <c:v>41.113</c:v>
                </c:pt>
                <c:pt idx="132">
                  <c:v>38.466999999999999</c:v>
                </c:pt>
                <c:pt idx="133">
                  <c:v>37.710999999999999</c:v>
                </c:pt>
                <c:pt idx="134">
                  <c:v>37.463000000000001</c:v>
                </c:pt>
                <c:pt idx="135">
                  <c:v>36.613999999999997</c:v>
                </c:pt>
                <c:pt idx="136">
                  <c:v>36.078000000000003</c:v>
                </c:pt>
                <c:pt idx="137">
                  <c:v>36.247999999999998</c:v>
                </c:pt>
                <c:pt idx="138">
                  <c:v>36.438000000000002</c:v>
                </c:pt>
                <c:pt idx="139">
                  <c:v>36.694000000000003</c:v>
                </c:pt>
                <c:pt idx="140">
                  <c:v>40.631</c:v>
                </c:pt>
                <c:pt idx="141">
                  <c:v>39.860999999999997</c:v>
                </c:pt>
                <c:pt idx="142">
                  <c:v>40.886000000000003</c:v>
                </c:pt>
                <c:pt idx="143">
                  <c:v>40.902999999999999</c:v>
                </c:pt>
                <c:pt idx="144">
                  <c:v>46.47</c:v>
                </c:pt>
                <c:pt idx="145">
                  <c:v>44.88</c:v>
                </c:pt>
                <c:pt idx="146">
                  <c:v>45.582000000000001</c:v>
                </c:pt>
                <c:pt idx="147">
                  <c:v>46.89</c:v>
                </c:pt>
                <c:pt idx="148">
                  <c:v>46.066000000000003</c:v>
                </c:pt>
                <c:pt idx="149">
                  <c:v>46.817999999999998</c:v>
                </c:pt>
                <c:pt idx="150">
                  <c:v>48.048000000000002</c:v>
                </c:pt>
                <c:pt idx="151">
                  <c:v>47.061999999999998</c:v>
                </c:pt>
                <c:pt idx="152">
                  <c:v>45.387999999999998</c:v>
                </c:pt>
                <c:pt idx="153">
                  <c:v>41.603999999999999</c:v>
                </c:pt>
                <c:pt idx="154">
                  <c:v>40.119</c:v>
                </c:pt>
                <c:pt idx="155">
                  <c:v>39.944000000000003</c:v>
                </c:pt>
                <c:pt idx="156">
                  <c:v>39.048999999999999</c:v>
                </c:pt>
                <c:pt idx="157">
                  <c:v>39.094999999999999</c:v>
                </c:pt>
                <c:pt idx="158">
                  <c:v>37.159999999999997</c:v>
                </c:pt>
                <c:pt idx="159">
                  <c:v>35.795000000000002</c:v>
                </c:pt>
                <c:pt idx="160">
                  <c:v>35.582000000000001</c:v>
                </c:pt>
                <c:pt idx="161">
                  <c:v>31.986999999999998</c:v>
                </c:pt>
                <c:pt idx="162">
                  <c:v>30.422000000000001</c:v>
                </c:pt>
                <c:pt idx="163">
                  <c:v>31.05</c:v>
                </c:pt>
                <c:pt idx="164">
                  <c:v>29.991</c:v>
                </c:pt>
                <c:pt idx="165">
                  <c:v>28.704999999999998</c:v>
                </c:pt>
                <c:pt idx="166">
                  <c:v>28.361000000000001</c:v>
                </c:pt>
                <c:pt idx="167">
                  <c:v>28.106999999999999</c:v>
                </c:pt>
                <c:pt idx="168">
                  <c:v>28.062999999999999</c:v>
                </c:pt>
                <c:pt idx="169">
                  <c:v>26.77</c:v>
                </c:pt>
                <c:pt idx="170">
                  <c:v>25.5</c:v>
                </c:pt>
                <c:pt idx="171">
                  <c:v>24.847000000000001</c:v>
                </c:pt>
                <c:pt idx="172">
                  <c:v>24.134</c:v>
                </c:pt>
                <c:pt idx="173">
                  <c:v>22.760999999999999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57-49A1-8560-BFC888005464}"/>
            </c:ext>
          </c:extLst>
        </c:ser>
        <c:ser>
          <c:idx val="7"/>
          <c:order val="7"/>
          <c:tx>
            <c:strRef>
              <c:f>data_co2_incLUC!$K$2</c:f>
              <c:strCache>
                <c:ptCount val="1"/>
                <c:pt idx="0">
                  <c:v>pct_annex2_GCP_BLUE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data_co2_incLUC!$K$3:$K$177</c:f>
              <c:numCache>
                <c:formatCode>0.0</c:formatCode>
                <c:ptCount val="175"/>
                <c:pt idx="0">
                  <c:v>35.536000000000001</c:v>
                </c:pt>
                <c:pt idx="1">
                  <c:v>35.619</c:v>
                </c:pt>
                <c:pt idx="2">
                  <c:v>35.264000000000003</c:v>
                </c:pt>
                <c:pt idx="3">
                  <c:v>36.100999999999999</c:v>
                </c:pt>
                <c:pt idx="4">
                  <c:v>36.94</c:v>
                </c:pt>
                <c:pt idx="5">
                  <c:v>36.764000000000003</c:v>
                </c:pt>
                <c:pt idx="6">
                  <c:v>37.067</c:v>
                </c:pt>
                <c:pt idx="7">
                  <c:v>37.204000000000001</c:v>
                </c:pt>
                <c:pt idx="8">
                  <c:v>37.631</c:v>
                </c:pt>
                <c:pt idx="9">
                  <c:v>38.124000000000002</c:v>
                </c:pt>
                <c:pt idx="10">
                  <c:v>40.396999999999998</c:v>
                </c:pt>
                <c:pt idx="11">
                  <c:v>40.640999999999998</c:v>
                </c:pt>
                <c:pt idx="12">
                  <c:v>41.938000000000002</c:v>
                </c:pt>
                <c:pt idx="13">
                  <c:v>42.908000000000001</c:v>
                </c:pt>
                <c:pt idx="14">
                  <c:v>42.61</c:v>
                </c:pt>
                <c:pt idx="15">
                  <c:v>43.389000000000003</c:v>
                </c:pt>
                <c:pt idx="16">
                  <c:v>43.152000000000001</c:v>
                </c:pt>
                <c:pt idx="17">
                  <c:v>44.636000000000003</c:v>
                </c:pt>
                <c:pt idx="18">
                  <c:v>44.674999999999997</c:v>
                </c:pt>
                <c:pt idx="19">
                  <c:v>44.634</c:v>
                </c:pt>
                <c:pt idx="20">
                  <c:v>47.566000000000003</c:v>
                </c:pt>
                <c:pt idx="21">
                  <c:v>49.723999999999997</c:v>
                </c:pt>
                <c:pt idx="22">
                  <c:v>49.966000000000001</c:v>
                </c:pt>
                <c:pt idx="23">
                  <c:v>51.424999999999997</c:v>
                </c:pt>
                <c:pt idx="24">
                  <c:v>51.067</c:v>
                </c:pt>
                <c:pt idx="25">
                  <c:v>52.271000000000001</c:v>
                </c:pt>
                <c:pt idx="26">
                  <c:v>52.506</c:v>
                </c:pt>
                <c:pt idx="27">
                  <c:v>52.704000000000001</c:v>
                </c:pt>
                <c:pt idx="28">
                  <c:v>52.963999999999999</c:v>
                </c:pt>
                <c:pt idx="29">
                  <c:v>53.776000000000003</c:v>
                </c:pt>
                <c:pt idx="30">
                  <c:v>51.543999999999997</c:v>
                </c:pt>
                <c:pt idx="31">
                  <c:v>50.209000000000003</c:v>
                </c:pt>
                <c:pt idx="32">
                  <c:v>49.930999999999997</c:v>
                </c:pt>
                <c:pt idx="33">
                  <c:v>50.104999999999997</c:v>
                </c:pt>
                <c:pt idx="34">
                  <c:v>49.643999999999998</c:v>
                </c:pt>
                <c:pt idx="35">
                  <c:v>49.146999999999998</c:v>
                </c:pt>
                <c:pt idx="36">
                  <c:v>49.207999999999998</c:v>
                </c:pt>
                <c:pt idx="37">
                  <c:v>49.634</c:v>
                </c:pt>
                <c:pt idx="38">
                  <c:v>50.378999999999998</c:v>
                </c:pt>
                <c:pt idx="39">
                  <c:v>49.497999999999998</c:v>
                </c:pt>
                <c:pt idx="40">
                  <c:v>49.363999999999997</c:v>
                </c:pt>
                <c:pt idx="41">
                  <c:v>49.472000000000001</c:v>
                </c:pt>
                <c:pt idx="42">
                  <c:v>49.636000000000003</c:v>
                </c:pt>
                <c:pt idx="43">
                  <c:v>49.697000000000003</c:v>
                </c:pt>
                <c:pt idx="44">
                  <c:v>49.514000000000003</c:v>
                </c:pt>
                <c:pt idx="45">
                  <c:v>50.082999999999998</c:v>
                </c:pt>
                <c:pt idx="46">
                  <c:v>50.518999999999998</c:v>
                </c:pt>
                <c:pt idx="47">
                  <c:v>50.579000000000001</c:v>
                </c:pt>
                <c:pt idx="48">
                  <c:v>51.168999999999997</c:v>
                </c:pt>
                <c:pt idx="49">
                  <c:v>52.137999999999998</c:v>
                </c:pt>
                <c:pt idx="50">
                  <c:v>51.793999999999997</c:v>
                </c:pt>
                <c:pt idx="51">
                  <c:v>50.518999999999998</c:v>
                </c:pt>
                <c:pt idx="52">
                  <c:v>50.506999999999998</c:v>
                </c:pt>
                <c:pt idx="53">
                  <c:v>51.110999999999997</c:v>
                </c:pt>
                <c:pt idx="54">
                  <c:v>50.795999999999999</c:v>
                </c:pt>
                <c:pt idx="55">
                  <c:v>51.344999999999999</c:v>
                </c:pt>
                <c:pt idx="56">
                  <c:v>51.151000000000003</c:v>
                </c:pt>
                <c:pt idx="57">
                  <c:v>52.642000000000003</c:v>
                </c:pt>
                <c:pt idx="58">
                  <c:v>51.689</c:v>
                </c:pt>
                <c:pt idx="59">
                  <c:v>51.927999999999997</c:v>
                </c:pt>
                <c:pt idx="60">
                  <c:v>53.735999999999997</c:v>
                </c:pt>
                <c:pt idx="61">
                  <c:v>54.046999999999997</c:v>
                </c:pt>
                <c:pt idx="62">
                  <c:v>54.654000000000003</c:v>
                </c:pt>
                <c:pt idx="63">
                  <c:v>55.99</c:v>
                </c:pt>
                <c:pt idx="64">
                  <c:v>55.034999999999997</c:v>
                </c:pt>
                <c:pt idx="65">
                  <c:v>55.110999999999997</c:v>
                </c:pt>
                <c:pt idx="66">
                  <c:v>56.103000000000002</c:v>
                </c:pt>
                <c:pt idx="67">
                  <c:v>57.234000000000002</c:v>
                </c:pt>
                <c:pt idx="68">
                  <c:v>58.505000000000003</c:v>
                </c:pt>
                <c:pt idx="69">
                  <c:v>57.182000000000002</c:v>
                </c:pt>
                <c:pt idx="70">
                  <c:v>54.771000000000001</c:v>
                </c:pt>
                <c:pt idx="71">
                  <c:v>51.046999999999997</c:v>
                </c:pt>
                <c:pt idx="72">
                  <c:v>51.220999999999997</c:v>
                </c:pt>
                <c:pt idx="73">
                  <c:v>52.158999999999999</c:v>
                </c:pt>
                <c:pt idx="74">
                  <c:v>51.878999999999998</c:v>
                </c:pt>
                <c:pt idx="75">
                  <c:v>51.378</c:v>
                </c:pt>
                <c:pt idx="76">
                  <c:v>50.368000000000002</c:v>
                </c:pt>
                <c:pt idx="77">
                  <c:v>51.122</c:v>
                </c:pt>
                <c:pt idx="78">
                  <c:v>50.344999999999999</c:v>
                </c:pt>
                <c:pt idx="79">
                  <c:v>50.805</c:v>
                </c:pt>
                <c:pt idx="80">
                  <c:v>47.213000000000001</c:v>
                </c:pt>
                <c:pt idx="81">
                  <c:v>43.904000000000003</c:v>
                </c:pt>
                <c:pt idx="82">
                  <c:v>40.927</c:v>
                </c:pt>
                <c:pt idx="83">
                  <c:v>41.222000000000001</c:v>
                </c:pt>
                <c:pt idx="84">
                  <c:v>41.564</c:v>
                </c:pt>
                <c:pt idx="85">
                  <c:v>41.573</c:v>
                </c:pt>
                <c:pt idx="86">
                  <c:v>42.179000000000002</c:v>
                </c:pt>
                <c:pt idx="87">
                  <c:v>42.768999999999998</c:v>
                </c:pt>
                <c:pt idx="88">
                  <c:v>40.776000000000003</c:v>
                </c:pt>
                <c:pt idx="89">
                  <c:v>41.56</c:v>
                </c:pt>
                <c:pt idx="90">
                  <c:v>41.201000000000001</c:v>
                </c:pt>
                <c:pt idx="91">
                  <c:v>41.744</c:v>
                </c:pt>
                <c:pt idx="92">
                  <c:v>43.143000000000001</c:v>
                </c:pt>
                <c:pt idx="93">
                  <c:v>43.320999999999998</c:v>
                </c:pt>
                <c:pt idx="94">
                  <c:v>43.241</c:v>
                </c:pt>
                <c:pt idx="95">
                  <c:v>40.518000000000001</c:v>
                </c:pt>
                <c:pt idx="96">
                  <c:v>41.271999999999998</c:v>
                </c:pt>
                <c:pt idx="97">
                  <c:v>43.081000000000003</c:v>
                </c:pt>
                <c:pt idx="98">
                  <c:v>44.244</c:v>
                </c:pt>
                <c:pt idx="99">
                  <c:v>42.305999999999997</c:v>
                </c:pt>
                <c:pt idx="100">
                  <c:v>39.899000000000001</c:v>
                </c:pt>
                <c:pt idx="101">
                  <c:v>38.531999999999996</c:v>
                </c:pt>
                <c:pt idx="102">
                  <c:v>37.968000000000004</c:v>
                </c:pt>
                <c:pt idx="103">
                  <c:v>37.595999999999997</c:v>
                </c:pt>
                <c:pt idx="104">
                  <c:v>35.686</c:v>
                </c:pt>
                <c:pt idx="105">
                  <c:v>36.234999999999999</c:v>
                </c:pt>
                <c:pt idx="106">
                  <c:v>36.581000000000003</c:v>
                </c:pt>
                <c:pt idx="107">
                  <c:v>35.738</c:v>
                </c:pt>
                <c:pt idx="108">
                  <c:v>34.479999999999997</c:v>
                </c:pt>
                <c:pt idx="109">
                  <c:v>32.722000000000001</c:v>
                </c:pt>
                <c:pt idx="110">
                  <c:v>35.92</c:v>
                </c:pt>
                <c:pt idx="111">
                  <c:v>35.677</c:v>
                </c:pt>
                <c:pt idx="112">
                  <c:v>37.877000000000002</c:v>
                </c:pt>
                <c:pt idx="113">
                  <c:v>38.472999999999999</c:v>
                </c:pt>
                <c:pt idx="114">
                  <c:v>39.951999999999998</c:v>
                </c:pt>
                <c:pt idx="115">
                  <c:v>40.838000000000001</c:v>
                </c:pt>
                <c:pt idx="116">
                  <c:v>41.883000000000003</c:v>
                </c:pt>
                <c:pt idx="117">
                  <c:v>44.795000000000002</c:v>
                </c:pt>
                <c:pt idx="118">
                  <c:v>45.848999999999997</c:v>
                </c:pt>
                <c:pt idx="119">
                  <c:v>42.356999999999999</c:v>
                </c:pt>
                <c:pt idx="120">
                  <c:v>42.756999999999998</c:v>
                </c:pt>
                <c:pt idx="121">
                  <c:v>43.143999999999998</c:v>
                </c:pt>
                <c:pt idx="122">
                  <c:v>41.69</c:v>
                </c:pt>
                <c:pt idx="123">
                  <c:v>42.527999999999999</c:v>
                </c:pt>
                <c:pt idx="124">
                  <c:v>41.607999999999997</c:v>
                </c:pt>
                <c:pt idx="125">
                  <c:v>40.646999999999998</c:v>
                </c:pt>
                <c:pt idx="126">
                  <c:v>41.429000000000002</c:v>
                </c:pt>
                <c:pt idx="127">
                  <c:v>40.590000000000003</c:v>
                </c:pt>
                <c:pt idx="128">
                  <c:v>40.033999999999999</c:v>
                </c:pt>
                <c:pt idx="129">
                  <c:v>41.738999999999997</c:v>
                </c:pt>
                <c:pt idx="130">
                  <c:v>40.563000000000002</c:v>
                </c:pt>
                <c:pt idx="131">
                  <c:v>40.093000000000004</c:v>
                </c:pt>
                <c:pt idx="132">
                  <c:v>39.057000000000002</c:v>
                </c:pt>
                <c:pt idx="133">
                  <c:v>38.473999999999997</c:v>
                </c:pt>
                <c:pt idx="134">
                  <c:v>37.191000000000003</c:v>
                </c:pt>
                <c:pt idx="135">
                  <c:v>35.822000000000003</c:v>
                </c:pt>
                <c:pt idx="136">
                  <c:v>34.773000000000003</c:v>
                </c:pt>
                <c:pt idx="137">
                  <c:v>35.771000000000001</c:v>
                </c:pt>
                <c:pt idx="138">
                  <c:v>36.393000000000001</c:v>
                </c:pt>
                <c:pt idx="139">
                  <c:v>37.088000000000001</c:v>
                </c:pt>
                <c:pt idx="140">
                  <c:v>38.500999999999998</c:v>
                </c:pt>
                <c:pt idx="141">
                  <c:v>38.439</c:v>
                </c:pt>
                <c:pt idx="142">
                  <c:v>38.497</c:v>
                </c:pt>
                <c:pt idx="143">
                  <c:v>38.784999999999997</c:v>
                </c:pt>
                <c:pt idx="144">
                  <c:v>37.484000000000002</c:v>
                </c:pt>
                <c:pt idx="145">
                  <c:v>38.218000000000004</c:v>
                </c:pt>
                <c:pt idx="146">
                  <c:v>38.085000000000001</c:v>
                </c:pt>
                <c:pt idx="147">
                  <c:v>36.061</c:v>
                </c:pt>
                <c:pt idx="148">
                  <c:v>37.965000000000003</c:v>
                </c:pt>
                <c:pt idx="149">
                  <c:v>38.067</c:v>
                </c:pt>
                <c:pt idx="150">
                  <c:v>38.993000000000002</c:v>
                </c:pt>
                <c:pt idx="151">
                  <c:v>39.01</c:v>
                </c:pt>
                <c:pt idx="152">
                  <c:v>37.664000000000001</c:v>
                </c:pt>
                <c:pt idx="153">
                  <c:v>35.869</c:v>
                </c:pt>
                <c:pt idx="154">
                  <c:v>36.107999999999997</c:v>
                </c:pt>
                <c:pt idx="155">
                  <c:v>35.856999999999999</c:v>
                </c:pt>
                <c:pt idx="156">
                  <c:v>33.302999999999997</c:v>
                </c:pt>
                <c:pt idx="157">
                  <c:v>33.424999999999997</c:v>
                </c:pt>
                <c:pt idx="158">
                  <c:v>32.343000000000004</c:v>
                </c:pt>
                <c:pt idx="159">
                  <c:v>29.331</c:v>
                </c:pt>
                <c:pt idx="160">
                  <c:v>30.143000000000001</c:v>
                </c:pt>
                <c:pt idx="161">
                  <c:v>27.988</c:v>
                </c:pt>
                <c:pt idx="162">
                  <c:v>26.895</c:v>
                </c:pt>
                <c:pt idx="163">
                  <c:v>26.943000000000001</c:v>
                </c:pt>
                <c:pt idx="164">
                  <c:v>26.366</c:v>
                </c:pt>
                <c:pt idx="165">
                  <c:v>25.86</c:v>
                </c:pt>
                <c:pt idx="166">
                  <c:v>26.355</c:v>
                </c:pt>
                <c:pt idx="167">
                  <c:v>26.062000000000001</c:v>
                </c:pt>
                <c:pt idx="168">
                  <c:v>25.908000000000001</c:v>
                </c:pt>
                <c:pt idx="169">
                  <c:v>24.86</c:v>
                </c:pt>
                <c:pt idx="170">
                  <c:v>23.716999999999999</c:v>
                </c:pt>
                <c:pt idx="171">
                  <c:v>24.04</c:v>
                </c:pt>
                <c:pt idx="172">
                  <c:v>23.399000000000001</c:v>
                </c:pt>
                <c:pt idx="173">
                  <c:v>22.305</c:v>
                </c:pt>
                <c:pt idx="174">
                  <c:v>21.925000000000001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E57-49A1-8560-BFC888005464}"/>
            </c:ext>
          </c:extLst>
        </c:ser>
        <c:ser>
          <c:idx val="8"/>
          <c:order val="8"/>
          <c:tx>
            <c:strRef>
              <c:f>data_co2_incLUC!$L$2</c:f>
              <c:strCache>
                <c:ptCount val="1"/>
                <c:pt idx="0">
                  <c:v>pct_annex2_GCP_OSCAR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data_co2_incLUC!$L$3:$L$177</c:f>
              <c:numCache>
                <c:formatCode>0.0</c:formatCode>
                <c:ptCount val="175"/>
                <c:pt idx="0">
                  <c:v>44.923000000000002</c:v>
                </c:pt>
                <c:pt idx="1">
                  <c:v>45.195</c:v>
                </c:pt>
                <c:pt idx="2">
                  <c:v>44.552999999999997</c:v>
                </c:pt>
                <c:pt idx="3">
                  <c:v>46.058</c:v>
                </c:pt>
                <c:pt idx="4">
                  <c:v>46.786000000000001</c:v>
                </c:pt>
                <c:pt idx="5">
                  <c:v>46.76</c:v>
                </c:pt>
                <c:pt idx="6">
                  <c:v>46.921999999999997</c:v>
                </c:pt>
                <c:pt idx="7">
                  <c:v>46.826999999999998</c:v>
                </c:pt>
                <c:pt idx="8">
                  <c:v>47.557000000000002</c:v>
                </c:pt>
                <c:pt idx="9">
                  <c:v>48.203000000000003</c:v>
                </c:pt>
                <c:pt idx="10">
                  <c:v>49.722999999999999</c:v>
                </c:pt>
                <c:pt idx="11">
                  <c:v>49.598999999999997</c:v>
                </c:pt>
                <c:pt idx="12">
                  <c:v>50.436999999999998</c:v>
                </c:pt>
                <c:pt idx="13">
                  <c:v>51.401000000000003</c:v>
                </c:pt>
                <c:pt idx="14">
                  <c:v>50.933999999999997</c:v>
                </c:pt>
                <c:pt idx="15">
                  <c:v>51.853000000000002</c:v>
                </c:pt>
                <c:pt idx="16">
                  <c:v>51.414999999999999</c:v>
                </c:pt>
                <c:pt idx="17">
                  <c:v>53.319000000000003</c:v>
                </c:pt>
                <c:pt idx="18">
                  <c:v>53.405000000000001</c:v>
                </c:pt>
                <c:pt idx="19">
                  <c:v>53.311999999999998</c:v>
                </c:pt>
                <c:pt idx="20">
                  <c:v>53.944000000000003</c:v>
                </c:pt>
                <c:pt idx="21">
                  <c:v>56.25</c:v>
                </c:pt>
                <c:pt idx="22">
                  <c:v>56.253999999999998</c:v>
                </c:pt>
                <c:pt idx="23">
                  <c:v>57.959000000000003</c:v>
                </c:pt>
                <c:pt idx="24">
                  <c:v>57.162999999999997</c:v>
                </c:pt>
                <c:pt idx="25">
                  <c:v>58.500999999999998</c:v>
                </c:pt>
                <c:pt idx="26">
                  <c:v>58.424999999999997</c:v>
                </c:pt>
                <c:pt idx="27">
                  <c:v>58.624000000000002</c:v>
                </c:pt>
                <c:pt idx="28">
                  <c:v>58.710999999999999</c:v>
                </c:pt>
                <c:pt idx="29">
                  <c:v>59.451999999999998</c:v>
                </c:pt>
                <c:pt idx="30">
                  <c:v>59.366</c:v>
                </c:pt>
                <c:pt idx="31">
                  <c:v>58.131999999999998</c:v>
                </c:pt>
                <c:pt idx="32">
                  <c:v>58.206000000000003</c:v>
                </c:pt>
                <c:pt idx="33">
                  <c:v>58.551000000000002</c:v>
                </c:pt>
                <c:pt idx="34">
                  <c:v>58.253</c:v>
                </c:pt>
                <c:pt idx="35">
                  <c:v>57.890999999999998</c:v>
                </c:pt>
                <c:pt idx="36">
                  <c:v>58.066000000000003</c:v>
                </c:pt>
                <c:pt idx="37">
                  <c:v>58.652999999999999</c:v>
                </c:pt>
                <c:pt idx="38">
                  <c:v>59.265999999999998</c:v>
                </c:pt>
                <c:pt idx="39">
                  <c:v>58.265999999999998</c:v>
                </c:pt>
                <c:pt idx="40">
                  <c:v>57.597000000000001</c:v>
                </c:pt>
                <c:pt idx="41">
                  <c:v>57.831000000000003</c:v>
                </c:pt>
                <c:pt idx="42">
                  <c:v>58.055999999999997</c:v>
                </c:pt>
                <c:pt idx="43">
                  <c:v>57.786000000000001</c:v>
                </c:pt>
                <c:pt idx="44">
                  <c:v>57.462000000000003</c:v>
                </c:pt>
                <c:pt idx="45">
                  <c:v>58.048000000000002</c:v>
                </c:pt>
                <c:pt idx="46">
                  <c:v>58.335999999999999</c:v>
                </c:pt>
                <c:pt idx="47">
                  <c:v>58.265999999999998</c:v>
                </c:pt>
                <c:pt idx="48">
                  <c:v>58.612000000000002</c:v>
                </c:pt>
                <c:pt idx="49">
                  <c:v>59.478000000000002</c:v>
                </c:pt>
                <c:pt idx="50">
                  <c:v>60.302</c:v>
                </c:pt>
                <c:pt idx="51">
                  <c:v>59.332999999999998</c:v>
                </c:pt>
                <c:pt idx="52">
                  <c:v>59.642000000000003</c:v>
                </c:pt>
                <c:pt idx="53">
                  <c:v>60.302</c:v>
                </c:pt>
                <c:pt idx="54">
                  <c:v>59.527000000000001</c:v>
                </c:pt>
                <c:pt idx="55">
                  <c:v>60.386000000000003</c:v>
                </c:pt>
                <c:pt idx="56">
                  <c:v>60.081000000000003</c:v>
                </c:pt>
                <c:pt idx="57">
                  <c:v>61.517000000000003</c:v>
                </c:pt>
                <c:pt idx="58">
                  <c:v>60.191000000000003</c:v>
                </c:pt>
                <c:pt idx="59">
                  <c:v>60.08</c:v>
                </c:pt>
                <c:pt idx="60">
                  <c:v>61.2</c:v>
                </c:pt>
                <c:pt idx="61">
                  <c:v>60.759</c:v>
                </c:pt>
                <c:pt idx="62">
                  <c:v>60.756</c:v>
                </c:pt>
                <c:pt idx="63">
                  <c:v>61.462000000000003</c:v>
                </c:pt>
                <c:pt idx="64">
                  <c:v>60.170999999999999</c:v>
                </c:pt>
                <c:pt idx="65">
                  <c:v>59.576999999999998</c:v>
                </c:pt>
                <c:pt idx="66">
                  <c:v>59.781999999999996</c:v>
                </c:pt>
                <c:pt idx="67">
                  <c:v>60.154000000000003</c:v>
                </c:pt>
                <c:pt idx="68">
                  <c:v>61.445</c:v>
                </c:pt>
                <c:pt idx="69">
                  <c:v>59.573</c:v>
                </c:pt>
                <c:pt idx="70">
                  <c:v>59.57</c:v>
                </c:pt>
                <c:pt idx="71">
                  <c:v>56.131</c:v>
                </c:pt>
                <c:pt idx="72">
                  <c:v>56.908999999999999</c:v>
                </c:pt>
                <c:pt idx="73">
                  <c:v>58.267000000000003</c:v>
                </c:pt>
                <c:pt idx="74">
                  <c:v>58.335000000000001</c:v>
                </c:pt>
                <c:pt idx="75">
                  <c:v>57.847000000000001</c:v>
                </c:pt>
                <c:pt idx="76">
                  <c:v>57.073999999999998</c:v>
                </c:pt>
                <c:pt idx="77">
                  <c:v>57.951999999999998</c:v>
                </c:pt>
                <c:pt idx="78">
                  <c:v>57.25</c:v>
                </c:pt>
                <c:pt idx="79">
                  <c:v>57.66</c:v>
                </c:pt>
                <c:pt idx="80">
                  <c:v>55.374000000000002</c:v>
                </c:pt>
                <c:pt idx="81">
                  <c:v>52.662999999999997</c:v>
                </c:pt>
                <c:pt idx="82">
                  <c:v>49.768999999999998</c:v>
                </c:pt>
                <c:pt idx="83">
                  <c:v>50.511000000000003</c:v>
                </c:pt>
                <c:pt idx="84">
                  <c:v>51.048000000000002</c:v>
                </c:pt>
                <c:pt idx="85">
                  <c:v>51.335999999999999</c:v>
                </c:pt>
                <c:pt idx="86">
                  <c:v>51.883000000000003</c:v>
                </c:pt>
                <c:pt idx="87">
                  <c:v>52.652999999999999</c:v>
                </c:pt>
                <c:pt idx="88">
                  <c:v>50.664000000000001</c:v>
                </c:pt>
                <c:pt idx="89">
                  <c:v>51.616999999999997</c:v>
                </c:pt>
                <c:pt idx="90">
                  <c:v>51.094999999999999</c:v>
                </c:pt>
                <c:pt idx="91">
                  <c:v>51.375</c:v>
                </c:pt>
                <c:pt idx="92">
                  <c:v>52.890999999999998</c:v>
                </c:pt>
                <c:pt idx="93">
                  <c:v>52.787999999999997</c:v>
                </c:pt>
                <c:pt idx="94">
                  <c:v>52.222999999999999</c:v>
                </c:pt>
                <c:pt idx="95">
                  <c:v>49.28</c:v>
                </c:pt>
                <c:pt idx="96">
                  <c:v>49.594999999999999</c:v>
                </c:pt>
                <c:pt idx="97">
                  <c:v>50.957999999999998</c:v>
                </c:pt>
                <c:pt idx="98">
                  <c:v>51.857999999999997</c:v>
                </c:pt>
                <c:pt idx="99">
                  <c:v>49.688000000000002</c:v>
                </c:pt>
                <c:pt idx="100">
                  <c:v>48.656999999999996</c:v>
                </c:pt>
                <c:pt idx="101">
                  <c:v>47.323</c:v>
                </c:pt>
                <c:pt idx="102">
                  <c:v>46.417999999999999</c:v>
                </c:pt>
                <c:pt idx="103">
                  <c:v>46.158000000000001</c:v>
                </c:pt>
                <c:pt idx="104">
                  <c:v>44.576999999999998</c:v>
                </c:pt>
                <c:pt idx="105">
                  <c:v>44.667000000000002</c:v>
                </c:pt>
                <c:pt idx="106">
                  <c:v>44.716999999999999</c:v>
                </c:pt>
                <c:pt idx="107">
                  <c:v>43.677999999999997</c:v>
                </c:pt>
                <c:pt idx="108">
                  <c:v>41.603999999999999</c:v>
                </c:pt>
                <c:pt idx="109">
                  <c:v>40.307000000000002</c:v>
                </c:pt>
                <c:pt idx="110">
                  <c:v>41.088999999999999</c:v>
                </c:pt>
                <c:pt idx="111">
                  <c:v>41.66</c:v>
                </c:pt>
                <c:pt idx="112">
                  <c:v>43.268999999999998</c:v>
                </c:pt>
                <c:pt idx="113">
                  <c:v>43.518000000000001</c:v>
                </c:pt>
                <c:pt idx="114">
                  <c:v>44.091999999999999</c:v>
                </c:pt>
                <c:pt idx="115">
                  <c:v>44.72</c:v>
                </c:pt>
                <c:pt idx="116">
                  <c:v>45.398000000000003</c:v>
                </c:pt>
                <c:pt idx="117">
                  <c:v>46.628999999999998</c:v>
                </c:pt>
                <c:pt idx="118">
                  <c:v>47.216000000000001</c:v>
                </c:pt>
                <c:pt idx="119">
                  <c:v>46.494</c:v>
                </c:pt>
                <c:pt idx="120">
                  <c:v>45.759</c:v>
                </c:pt>
                <c:pt idx="121">
                  <c:v>46.192999999999998</c:v>
                </c:pt>
                <c:pt idx="122">
                  <c:v>46.256999999999998</c:v>
                </c:pt>
                <c:pt idx="123">
                  <c:v>46.314</c:v>
                </c:pt>
                <c:pt idx="124">
                  <c:v>45.098999999999997</c:v>
                </c:pt>
                <c:pt idx="125">
                  <c:v>43.491</c:v>
                </c:pt>
                <c:pt idx="126">
                  <c:v>43.722000000000001</c:v>
                </c:pt>
                <c:pt idx="127">
                  <c:v>43.124000000000002</c:v>
                </c:pt>
                <c:pt idx="128">
                  <c:v>42.652000000000001</c:v>
                </c:pt>
                <c:pt idx="129">
                  <c:v>43.290999999999997</c:v>
                </c:pt>
                <c:pt idx="130">
                  <c:v>42.344999999999999</c:v>
                </c:pt>
                <c:pt idx="131">
                  <c:v>41.743000000000002</c:v>
                </c:pt>
                <c:pt idx="132">
                  <c:v>40.247</c:v>
                </c:pt>
                <c:pt idx="133">
                  <c:v>39.402999999999999</c:v>
                </c:pt>
                <c:pt idx="134">
                  <c:v>39.075000000000003</c:v>
                </c:pt>
                <c:pt idx="135">
                  <c:v>37.643000000000001</c:v>
                </c:pt>
                <c:pt idx="136">
                  <c:v>36.905999999999999</c:v>
                </c:pt>
                <c:pt idx="137">
                  <c:v>37.262</c:v>
                </c:pt>
                <c:pt idx="138">
                  <c:v>37.454000000000001</c:v>
                </c:pt>
                <c:pt idx="139">
                  <c:v>37.912999999999997</c:v>
                </c:pt>
                <c:pt idx="140">
                  <c:v>39.017000000000003</c:v>
                </c:pt>
                <c:pt idx="141">
                  <c:v>39.045000000000002</c:v>
                </c:pt>
                <c:pt idx="142">
                  <c:v>39.460999999999999</c:v>
                </c:pt>
                <c:pt idx="143">
                  <c:v>39.283999999999999</c:v>
                </c:pt>
                <c:pt idx="144">
                  <c:v>39.026000000000003</c:v>
                </c:pt>
                <c:pt idx="145">
                  <c:v>38.823999999999998</c:v>
                </c:pt>
                <c:pt idx="146">
                  <c:v>38.594999999999999</c:v>
                </c:pt>
                <c:pt idx="147">
                  <c:v>36.479999999999997</c:v>
                </c:pt>
                <c:pt idx="148">
                  <c:v>38.902000000000001</c:v>
                </c:pt>
                <c:pt idx="149">
                  <c:v>38.466999999999999</c:v>
                </c:pt>
                <c:pt idx="150">
                  <c:v>39.235999999999997</c:v>
                </c:pt>
                <c:pt idx="151">
                  <c:v>39.128</c:v>
                </c:pt>
                <c:pt idx="152">
                  <c:v>38.222999999999999</c:v>
                </c:pt>
                <c:pt idx="153">
                  <c:v>37.036999999999999</c:v>
                </c:pt>
                <c:pt idx="154">
                  <c:v>36.6</c:v>
                </c:pt>
                <c:pt idx="155">
                  <c:v>36.142000000000003</c:v>
                </c:pt>
                <c:pt idx="156">
                  <c:v>34.298999999999999</c:v>
                </c:pt>
                <c:pt idx="157">
                  <c:v>34.1</c:v>
                </c:pt>
                <c:pt idx="158">
                  <c:v>32.533999999999999</c:v>
                </c:pt>
                <c:pt idx="159">
                  <c:v>30.077000000000002</c:v>
                </c:pt>
                <c:pt idx="160">
                  <c:v>29.626000000000001</c:v>
                </c:pt>
                <c:pt idx="161">
                  <c:v>28.236000000000001</c:v>
                </c:pt>
                <c:pt idx="162">
                  <c:v>27.350999999999999</c:v>
                </c:pt>
                <c:pt idx="163">
                  <c:v>27.379000000000001</c:v>
                </c:pt>
                <c:pt idx="164">
                  <c:v>26.725000000000001</c:v>
                </c:pt>
                <c:pt idx="165">
                  <c:v>26.076000000000001</c:v>
                </c:pt>
                <c:pt idx="166">
                  <c:v>26.45</c:v>
                </c:pt>
                <c:pt idx="167">
                  <c:v>26.094999999999999</c:v>
                </c:pt>
                <c:pt idx="168">
                  <c:v>25.782</c:v>
                </c:pt>
                <c:pt idx="169">
                  <c:v>24.831</c:v>
                </c:pt>
                <c:pt idx="170">
                  <c:v>23.585999999999999</c:v>
                </c:pt>
                <c:pt idx="171">
                  <c:v>23.85</c:v>
                </c:pt>
                <c:pt idx="172">
                  <c:v>23.244</c:v>
                </c:pt>
                <c:pt idx="173">
                  <c:v>22.125</c:v>
                </c:pt>
                <c:pt idx="174">
                  <c:v>21.805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E57-49A1-8560-BFC888005464}"/>
            </c:ext>
          </c:extLst>
        </c:ser>
        <c:ser>
          <c:idx val="9"/>
          <c:order val="9"/>
          <c:tx>
            <c:strRef>
              <c:f>data_co2_incLUC!$M$2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data_co2_incLUC!$M$3:$M$177</c:f>
              <c:numCache>
                <c:formatCode>0.0</c:formatCode>
                <c:ptCount val="175"/>
                <c:pt idx="0">
                  <c:v>57.667000000000002</c:v>
                </c:pt>
                <c:pt idx="1">
                  <c:v>57.02</c:v>
                </c:pt>
                <c:pt idx="2">
                  <c:v>56.984999999999999</c:v>
                </c:pt>
                <c:pt idx="3">
                  <c:v>56.912999999999997</c:v>
                </c:pt>
                <c:pt idx="4">
                  <c:v>57.963000000000001</c:v>
                </c:pt>
                <c:pt idx="5">
                  <c:v>57.54</c:v>
                </c:pt>
                <c:pt idx="6">
                  <c:v>57.777000000000001</c:v>
                </c:pt>
                <c:pt idx="7">
                  <c:v>57.923000000000002</c:v>
                </c:pt>
                <c:pt idx="8">
                  <c:v>58.244999999999997</c:v>
                </c:pt>
                <c:pt idx="9">
                  <c:v>58.570999999999998</c:v>
                </c:pt>
                <c:pt idx="10">
                  <c:v>61.777000000000001</c:v>
                </c:pt>
                <c:pt idx="11">
                  <c:v>62.975000000000001</c:v>
                </c:pt>
                <c:pt idx="12">
                  <c:v>64.701999999999998</c:v>
                </c:pt>
                <c:pt idx="13">
                  <c:v>65.488</c:v>
                </c:pt>
                <c:pt idx="14">
                  <c:v>65.974999999999994</c:v>
                </c:pt>
                <c:pt idx="15">
                  <c:v>66.680000000000007</c:v>
                </c:pt>
                <c:pt idx="16">
                  <c:v>67.385000000000005</c:v>
                </c:pt>
                <c:pt idx="17">
                  <c:v>67.691999999999993</c:v>
                </c:pt>
                <c:pt idx="18">
                  <c:v>68.239999999999995</c:v>
                </c:pt>
                <c:pt idx="19">
                  <c:v>68.274000000000001</c:v>
                </c:pt>
                <c:pt idx="20">
                  <c:v>70.569999999999993</c:v>
                </c:pt>
                <c:pt idx="21">
                  <c:v>71.596999999999994</c:v>
                </c:pt>
                <c:pt idx="22">
                  <c:v>71.763999999999996</c:v>
                </c:pt>
                <c:pt idx="23">
                  <c:v>72.494</c:v>
                </c:pt>
                <c:pt idx="24">
                  <c:v>72.712000000000003</c:v>
                </c:pt>
                <c:pt idx="25">
                  <c:v>73.335999999999999</c:v>
                </c:pt>
                <c:pt idx="26">
                  <c:v>73.751000000000005</c:v>
                </c:pt>
                <c:pt idx="27">
                  <c:v>73.725999999999999</c:v>
                </c:pt>
                <c:pt idx="28">
                  <c:v>74.128</c:v>
                </c:pt>
                <c:pt idx="29">
                  <c:v>74.814999999999998</c:v>
                </c:pt>
                <c:pt idx="30">
                  <c:v>72.707999999999998</c:v>
                </c:pt>
                <c:pt idx="31">
                  <c:v>71.537000000000006</c:v>
                </c:pt>
                <c:pt idx="32">
                  <c:v>71.117999999999995</c:v>
                </c:pt>
                <c:pt idx="33">
                  <c:v>71.198999999999998</c:v>
                </c:pt>
                <c:pt idx="34">
                  <c:v>71.164000000000001</c:v>
                </c:pt>
                <c:pt idx="35">
                  <c:v>70.983999999999995</c:v>
                </c:pt>
                <c:pt idx="36">
                  <c:v>70.790999999999997</c:v>
                </c:pt>
                <c:pt idx="37">
                  <c:v>70.638999999999996</c:v>
                </c:pt>
                <c:pt idx="38">
                  <c:v>71.373000000000005</c:v>
                </c:pt>
                <c:pt idx="39">
                  <c:v>70.715000000000003</c:v>
                </c:pt>
                <c:pt idx="40">
                  <c:v>71.394999999999996</c:v>
                </c:pt>
                <c:pt idx="41">
                  <c:v>71.462999999999994</c:v>
                </c:pt>
                <c:pt idx="42">
                  <c:v>71.924000000000007</c:v>
                </c:pt>
                <c:pt idx="43">
                  <c:v>71.998999999999995</c:v>
                </c:pt>
                <c:pt idx="44">
                  <c:v>72.179000000000002</c:v>
                </c:pt>
                <c:pt idx="45">
                  <c:v>72.317999999999998</c:v>
                </c:pt>
                <c:pt idx="46">
                  <c:v>72.668999999999997</c:v>
                </c:pt>
                <c:pt idx="47">
                  <c:v>72.703000000000003</c:v>
                </c:pt>
                <c:pt idx="48">
                  <c:v>73.405000000000001</c:v>
                </c:pt>
                <c:pt idx="49">
                  <c:v>73.912999999999997</c:v>
                </c:pt>
                <c:pt idx="50">
                  <c:v>74.168999999999997</c:v>
                </c:pt>
                <c:pt idx="51">
                  <c:v>73.426000000000002</c:v>
                </c:pt>
                <c:pt idx="52">
                  <c:v>73.343999999999994</c:v>
                </c:pt>
                <c:pt idx="53">
                  <c:v>74.007000000000005</c:v>
                </c:pt>
                <c:pt idx="54">
                  <c:v>73.900999999999996</c:v>
                </c:pt>
                <c:pt idx="55">
                  <c:v>74.611999999999995</c:v>
                </c:pt>
                <c:pt idx="56">
                  <c:v>74.459000000000003</c:v>
                </c:pt>
                <c:pt idx="57">
                  <c:v>75.665000000000006</c:v>
                </c:pt>
                <c:pt idx="58">
                  <c:v>75.385000000000005</c:v>
                </c:pt>
                <c:pt idx="59">
                  <c:v>75.66</c:v>
                </c:pt>
                <c:pt idx="60">
                  <c:v>73.042000000000002</c:v>
                </c:pt>
                <c:pt idx="61">
                  <c:v>71.957999999999998</c:v>
                </c:pt>
                <c:pt idx="62">
                  <c:v>71.968000000000004</c:v>
                </c:pt>
                <c:pt idx="63">
                  <c:v>71.863</c:v>
                </c:pt>
                <c:pt idx="64">
                  <c:v>70.11</c:v>
                </c:pt>
                <c:pt idx="65">
                  <c:v>69.343999999999994</c:v>
                </c:pt>
                <c:pt idx="66">
                  <c:v>70.082999999999998</c:v>
                </c:pt>
                <c:pt idx="67">
                  <c:v>69.974999999999994</c:v>
                </c:pt>
                <c:pt idx="68">
                  <c:v>69.393000000000001</c:v>
                </c:pt>
                <c:pt idx="69">
                  <c:v>66.905000000000001</c:v>
                </c:pt>
                <c:pt idx="70">
                  <c:v>66.180000000000007</c:v>
                </c:pt>
                <c:pt idx="71">
                  <c:v>63.45</c:v>
                </c:pt>
                <c:pt idx="72">
                  <c:v>63.502000000000002</c:v>
                </c:pt>
                <c:pt idx="73">
                  <c:v>64.266999999999996</c:v>
                </c:pt>
                <c:pt idx="74">
                  <c:v>63.546999999999997</c:v>
                </c:pt>
                <c:pt idx="75">
                  <c:v>63.69</c:v>
                </c:pt>
                <c:pt idx="76">
                  <c:v>63.192999999999998</c:v>
                </c:pt>
                <c:pt idx="77">
                  <c:v>63.991</c:v>
                </c:pt>
                <c:pt idx="78">
                  <c:v>63.405000000000001</c:v>
                </c:pt>
                <c:pt idx="79">
                  <c:v>64.308999999999997</c:v>
                </c:pt>
                <c:pt idx="80">
                  <c:v>63.351999999999997</c:v>
                </c:pt>
                <c:pt idx="81">
                  <c:v>61.725000000000001</c:v>
                </c:pt>
                <c:pt idx="82">
                  <c:v>60.030999999999999</c:v>
                </c:pt>
                <c:pt idx="83">
                  <c:v>60.335000000000001</c:v>
                </c:pt>
                <c:pt idx="84">
                  <c:v>60.875</c:v>
                </c:pt>
                <c:pt idx="85">
                  <c:v>61.518999999999998</c:v>
                </c:pt>
                <c:pt idx="86">
                  <c:v>62.375</c:v>
                </c:pt>
                <c:pt idx="87">
                  <c:v>62.771999999999998</c:v>
                </c:pt>
                <c:pt idx="88">
                  <c:v>61.838999999999999</c:v>
                </c:pt>
                <c:pt idx="89">
                  <c:v>62.305999999999997</c:v>
                </c:pt>
                <c:pt idx="90">
                  <c:v>58.857999999999997</c:v>
                </c:pt>
                <c:pt idx="91">
                  <c:v>56.920999999999999</c:v>
                </c:pt>
                <c:pt idx="92">
                  <c:v>55.646999999999998</c:v>
                </c:pt>
                <c:pt idx="93">
                  <c:v>54.933</c:v>
                </c:pt>
                <c:pt idx="94">
                  <c:v>54.134999999999998</c:v>
                </c:pt>
                <c:pt idx="95">
                  <c:v>50.23</c:v>
                </c:pt>
                <c:pt idx="96">
                  <c:v>50.640999999999998</c:v>
                </c:pt>
                <c:pt idx="97">
                  <c:v>51.761000000000003</c:v>
                </c:pt>
                <c:pt idx="98">
                  <c:v>52.323</c:v>
                </c:pt>
                <c:pt idx="99">
                  <c:v>50.435000000000002</c:v>
                </c:pt>
                <c:pt idx="100">
                  <c:v>49.435000000000002</c:v>
                </c:pt>
                <c:pt idx="101">
                  <c:v>48.887</c:v>
                </c:pt>
                <c:pt idx="102">
                  <c:v>49.176000000000002</c:v>
                </c:pt>
                <c:pt idx="103">
                  <c:v>49.576000000000001</c:v>
                </c:pt>
                <c:pt idx="104">
                  <c:v>48.228000000000002</c:v>
                </c:pt>
                <c:pt idx="105">
                  <c:v>49.323999999999998</c:v>
                </c:pt>
                <c:pt idx="106">
                  <c:v>50.173000000000002</c:v>
                </c:pt>
                <c:pt idx="107">
                  <c:v>49.890999999999998</c:v>
                </c:pt>
                <c:pt idx="108">
                  <c:v>49.186999999999998</c:v>
                </c:pt>
                <c:pt idx="109">
                  <c:v>49.627000000000002</c:v>
                </c:pt>
                <c:pt idx="110">
                  <c:v>51.777000000000001</c:v>
                </c:pt>
                <c:pt idx="111">
                  <c:v>51.953000000000003</c:v>
                </c:pt>
                <c:pt idx="112">
                  <c:v>53.012999999999998</c:v>
                </c:pt>
                <c:pt idx="113">
                  <c:v>53.792999999999999</c:v>
                </c:pt>
                <c:pt idx="114">
                  <c:v>55.451999999999998</c:v>
                </c:pt>
                <c:pt idx="115">
                  <c:v>56.454000000000001</c:v>
                </c:pt>
                <c:pt idx="116">
                  <c:v>57.709000000000003</c:v>
                </c:pt>
                <c:pt idx="117">
                  <c:v>60.655000000000001</c:v>
                </c:pt>
                <c:pt idx="118">
                  <c:v>62.21</c:v>
                </c:pt>
                <c:pt idx="119">
                  <c:v>57.677999999999997</c:v>
                </c:pt>
                <c:pt idx="120">
                  <c:v>58.97</c:v>
                </c:pt>
                <c:pt idx="121">
                  <c:v>59.279000000000003</c:v>
                </c:pt>
                <c:pt idx="122">
                  <c:v>57.338000000000001</c:v>
                </c:pt>
                <c:pt idx="123">
                  <c:v>58.569000000000003</c:v>
                </c:pt>
                <c:pt idx="124">
                  <c:v>58.064999999999998</c:v>
                </c:pt>
                <c:pt idx="125">
                  <c:v>57.947000000000003</c:v>
                </c:pt>
                <c:pt idx="126">
                  <c:v>58.954999999999998</c:v>
                </c:pt>
                <c:pt idx="127">
                  <c:v>57.542999999999999</c:v>
                </c:pt>
                <c:pt idx="128">
                  <c:v>57.247</c:v>
                </c:pt>
                <c:pt idx="129">
                  <c:v>59.122999999999998</c:v>
                </c:pt>
                <c:pt idx="130">
                  <c:v>58.970999999999997</c:v>
                </c:pt>
                <c:pt idx="131">
                  <c:v>57.883000000000003</c:v>
                </c:pt>
                <c:pt idx="132">
                  <c:v>57.631999999999998</c:v>
                </c:pt>
                <c:pt idx="133">
                  <c:v>56.884</c:v>
                </c:pt>
                <c:pt idx="134">
                  <c:v>54.912999999999997</c:v>
                </c:pt>
                <c:pt idx="135">
                  <c:v>53.970999999999997</c:v>
                </c:pt>
                <c:pt idx="136">
                  <c:v>52.756</c:v>
                </c:pt>
                <c:pt idx="137">
                  <c:v>53.662999999999997</c:v>
                </c:pt>
                <c:pt idx="138">
                  <c:v>54.195</c:v>
                </c:pt>
                <c:pt idx="139">
                  <c:v>54.35</c:v>
                </c:pt>
                <c:pt idx="140">
                  <c:v>55.843000000000004</c:v>
                </c:pt>
                <c:pt idx="141">
                  <c:v>53.975000000000001</c:v>
                </c:pt>
                <c:pt idx="142">
                  <c:v>52.44</c:v>
                </c:pt>
                <c:pt idx="143">
                  <c:v>51.887</c:v>
                </c:pt>
                <c:pt idx="144">
                  <c:v>48.646999999999998</c:v>
                </c:pt>
                <c:pt idx="145">
                  <c:v>48.816000000000003</c:v>
                </c:pt>
                <c:pt idx="146">
                  <c:v>49.634</c:v>
                </c:pt>
                <c:pt idx="147">
                  <c:v>45.347000000000001</c:v>
                </c:pt>
                <c:pt idx="148">
                  <c:v>47.463999999999999</c:v>
                </c:pt>
                <c:pt idx="149">
                  <c:v>47.398000000000003</c:v>
                </c:pt>
                <c:pt idx="150">
                  <c:v>47.783000000000001</c:v>
                </c:pt>
                <c:pt idx="151">
                  <c:v>48.006999999999998</c:v>
                </c:pt>
                <c:pt idx="152">
                  <c:v>46.042999999999999</c:v>
                </c:pt>
                <c:pt idx="153">
                  <c:v>44.08</c:v>
                </c:pt>
                <c:pt idx="154">
                  <c:v>44.29</c:v>
                </c:pt>
                <c:pt idx="155">
                  <c:v>44.122</c:v>
                </c:pt>
                <c:pt idx="156">
                  <c:v>41.674999999999997</c:v>
                </c:pt>
                <c:pt idx="157">
                  <c:v>42.093000000000004</c:v>
                </c:pt>
                <c:pt idx="158">
                  <c:v>40.595999999999997</c:v>
                </c:pt>
                <c:pt idx="159">
                  <c:v>37.683</c:v>
                </c:pt>
                <c:pt idx="160">
                  <c:v>38.761000000000003</c:v>
                </c:pt>
                <c:pt idx="161">
                  <c:v>35.918999999999997</c:v>
                </c:pt>
                <c:pt idx="162">
                  <c:v>35.405999999999999</c:v>
                </c:pt>
                <c:pt idx="163">
                  <c:v>34.851999999999997</c:v>
                </c:pt>
                <c:pt idx="164">
                  <c:v>33.790999999999997</c:v>
                </c:pt>
                <c:pt idx="165">
                  <c:v>34.055999999999997</c:v>
                </c:pt>
                <c:pt idx="166">
                  <c:v>34.844000000000001</c:v>
                </c:pt>
                <c:pt idx="167">
                  <c:v>34.563000000000002</c:v>
                </c:pt>
                <c:pt idx="168">
                  <c:v>34.250999999999998</c:v>
                </c:pt>
                <c:pt idx="169">
                  <c:v>32.801000000000002</c:v>
                </c:pt>
                <c:pt idx="170">
                  <c:v>31.629000000000001</c:v>
                </c:pt>
                <c:pt idx="171">
                  <c:v>32.048999999999999</c:v>
                </c:pt>
                <c:pt idx="172">
                  <c:v>31.285</c:v>
                </c:pt>
                <c:pt idx="173">
                  <c:v>30.184999999999999</c:v>
                </c:pt>
                <c:pt idx="174">
                  <c:v>29.876999999999999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E57-49A1-8560-BFC888005464}"/>
            </c:ext>
          </c:extLst>
        </c:ser>
        <c:ser>
          <c:idx val="10"/>
          <c:order val="10"/>
          <c:tx>
            <c:strRef>
              <c:f>data_co2_incLUC!$N$2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data_co2_incLUC!$N$3:$N$177</c:f>
              <c:numCache>
                <c:formatCode>0.0</c:formatCode>
                <c:ptCount val="175"/>
                <c:pt idx="0">
                  <c:v>59.534999999999997</c:v>
                </c:pt>
                <c:pt idx="1">
                  <c:v>60.71</c:v>
                </c:pt>
                <c:pt idx="2">
                  <c:v>66.043999999999997</c:v>
                </c:pt>
                <c:pt idx="3">
                  <c:v>67.73</c:v>
                </c:pt>
                <c:pt idx="4">
                  <c:v>69.81</c:v>
                </c:pt>
                <c:pt idx="5">
                  <c:v>71.44</c:v>
                </c:pt>
                <c:pt idx="6">
                  <c:v>72.194000000000003</c:v>
                </c:pt>
                <c:pt idx="7">
                  <c:v>72.7</c:v>
                </c:pt>
                <c:pt idx="8">
                  <c:v>73.171999999999997</c:v>
                </c:pt>
                <c:pt idx="9">
                  <c:v>73.748000000000005</c:v>
                </c:pt>
                <c:pt idx="10">
                  <c:v>74.465999999999994</c:v>
                </c:pt>
                <c:pt idx="11">
                  <c:v>74.811999999999998</c:v>
                </c:pt>
                <c:pt idx="12">
                  <c:v>72.55</c:v>
                </c:pt>
                <c:pt idx="13">
                  <c:v>72.908000000000001</c:v>
                </c:pt>
                <c:pt idx="14">
                  <c:v>73.242999999999995</c:v>
                </c:pt>
                <c:pt idx="15">
                  <c:v>73.504999999999995</c:v>
                </c:pt>
                <c:pt idx="16">
                  <c:v>73.704999999999998</c:v>
                </c:pt>
                <c:pt idx="17">
                  <c:v>74.055999999999997</c:v>
                </c:pt>
                <c:pt idx="18">
                  <c:v>74.215999999999994</c:v>
                </c:pt>
                <c:pt idx="19">
                  <c:v>74.569999999999993</c:v>
                </c:pt>
                <c:pt idx="20">
                  <c:v>74.686999999999998</c:v>
                </c:pt>
                <c:pt idx="21">
                  <c:v>72.665999999999997</c:v>
                </c:pt>
                <c:pt idx="22">
                  <c:v>75.588999999999999</c:v>
                </c:pt>
                <c:pt idx="23">
                  <c:v>75.760000000000005</c:v>
                </c:pt>
                <c:pt idx="24">
                  <c:v>75.462999999999994</c:v>
                </c:pt>
                <c:pt idx="25">
                  <c:v>75.908000000000001</c:v>
                </c:pt>
                <c:pt idx="26">
                  <c:v>76.037000000000006</c:v>
                </c:pt>
                <c:pt idx="27">
                  <c:v>76.194999999999993</c:v>
                </c:pt>
                <c:pt idx="28">
                  <c:v>76.234999999999999</c:v>
                </c:pt>
                <c:pt idx="29">
                  <c:v>76.644000000000005</c:v>
                </c:pt>
                <c:pt idx="30">
                  <c:v>77.394999999999996</c:v>
                </c:pt>
                <c:pt idx="31">
                  <c:v>75.113</c:v>
                </c:pt>
                <c:pt idx="32">
                  <c:v>73.313999999999993</c:v>
                </c:pt>
                <c:pt idx="33">
                  <c:v>73.185000000000002</c:v>
                </c:pt>
                <c:pt idx="34">
                  <c:v>72.756</c:v>
                </c:pt>
                <c:pt idx="35">
                  <c:v>72.393000000000001</c:v>
                </c:pt>
                <c:pt idx="36">
                  <c:v>72.239000000000004</c:v>
                </c:pt>
                <c:pt idx="37">
                  <c:v>72.349999999999994</c:v>
                </c:pt>
                <c:pt idx="38">
                  <c:v>73.031000000000006</c:v>
                </c:pt>
                <c:pt idx="39">
                  <c:v>72.811000000000007</c:v>
                </c:pt>
                <c:pt idx="40">
                  <c:v>73.399000000000001</c:v>
                </c:pt>
                <c:pt idx="41">
                  <c:v>73.783000000000001</c:v>
                </c:pt>
                <c:pt idx="42">
                  <c:v>74.094999999999999</c:v>
                </c:pt>
                <c:pt idx="43">
                  <c:v>73.936000000000007</c:v>
                </c:pt>
                <c:pt idx="44">
                  <c:v>73.254999999999995</c:v>
                </c:pt>
                <c:pt idx="45">
                  <c:v>73.629000000000005</c:v>
                </c:pt>
                <c:pt idx="46">
                  <c:v>73.787999999999997</c:v>
                </c:pt>
                <c:pt idx="47">
                  <c:v>74.097999999999999</c:v>
                </c:pt>
                <c:pt idx="48">
                  <c:v>74.402000000000001</c:v>
                </c:pt>
                <c:pt idx="49">
                  <c:v>75.155000000000001</c:v>
                </c:pt>
                <c:pt idx="50">
                  <c:v>75.623999999999995</c:v>
                </c:pt>
                <c:pt idx="51">
                  <c:v>72.274000000000001</c:v>
                </c:pt>
                <c:pt idx="52">
                  <c:v>70.015000000000001</c:v>
                </c:pt>
                <c:pt idx="53">
                  <c:v>69.290000000000006</c:v>
                </c:pt>
                <c:pt idx="54">
                  <c:v>67.707999999999998</c:v>
                </c:pt>
                <c:pt idx="55">
                  <c:v>67.054000000000002</c:v>
                </c:pt>
                <c:pt idx="56">
                  <c:v>65.843999999999994</c:v>
                </c:pt>
                <c:pt idx="57">
                  <c:v>67.049000000000007</c:v>
                </c:pt>
                <c:pt idx="58">
                  <c:v>65.792000000000002</c:v>
                </c:pt>
                <c:pt idx="59">
                  <c:v>65.989999999999995</c:v>
                </c:pt>
                <c:pt idx="60">
                  <c:v>66.355000000000004</c:v>
                </c:pt>
                <c:pt idx="61">
                  <c:v>68.466999999999999</c:v>
                </c:pt>
                <c:pt idx="62">
                  <c:v>69.558999999999997</c:v>
                </c:pt>
                <c:pt idx="63">
                  <c:v>71.843999999999994</c:v>
                </c:pt>
                <c:pt idx="64">
                  <c:v>70.808999999999997</c:v>
                </c:pt>
                <c:pt idx="65">
                  <c:v>70.981999999999999</c:v>
                </c:pt>
                <c:pt idx="66">
                  <c:v>71.813000000000002</c:v>
                </c:pt>
                <c:pt idx="67">
                  <c:v>72.037999999999997</c:v>
                </c:pt>
                <c:pt idx="68">
                  <c:v>71.596000000000004</c:v>
                </c:pt>
                <c:pt idx="69">
                  <c:v>68.77</c:v>
                </c:pt>
                <c:pt idx="70">
                  <c:v>70.412000000000006</c:v>
                </c:pt>
                <c:pt idx="71">
                  <c:v>65.884</c:v>
                </c:pt>
                <c:pt idx="72">
                  <c:v>65.634</c:v>
                </c:pt>
                <c:pt idx="73">
                  <c:v>67.097999999999999</c:v>
                </c:pt>
                <c:pt idx="74">
                  <c:v>66.429000000000002</c:v>
                </c:pt>
                <c:pt idx="75">
                  <c:v>66.200999999999993</c:v>
                </c:pt>
                <c:pt idx="76">
                  <c:v>65.751000000000005</c:v>
                </c:pt>
                <c:pt idx="77">
                  <c:v>67.834000000000003</c:v>
                </c:pt>
                <c:pt idx="78">
                  <c:v>67.355000000000004</c:v>
                </c:pt>
                <c:pt idx="79">
                  <c:v>68.620999999999995</c:v>
                </c:pt>
                <c:pt idx="80">
                  <c:v>68.069999999999993</c:v>
                </c:pt>
                <c:pt idx="81">
                  <c:v>65.838999999999999</c:v>
                </c:pt>
                <c:pt idx="82">
                  <c:v>61.91</c:v>
                </c:pt>
                <c:pt idx="83">
                  <c:v>62.231999999999999</c:v>
                </c:pt>
                <c:pt idx="84">
                  <c:v>63.106999999999999</c:v>
                </c:pt>
                <c:pt idx="85">
                  <c:v>63.277999999999999</c:v>
                </c:pt>
                <c:pt idx="86">
                  <c:v>63.942</c:v>
                </c:pt>
                <c:pt idx="87">
                  <c:v>64.106999999999999</c:v>
                </c:pt>
                <c:pt idx="88">
                  <c:v>62.442</c:v>
                </c:pt>
                <c:pt idx="89">
                  <c:v>62.923999999999999</c:v>
                </c:pt>
                <c:pt idx="90">
                  <c:v>63.893999999999998</c:v>
                </c:pt>
                <c:pt idx="91">
                  <c:v>63.917999999999999</c:v>
                </c:pt>
                <c:pt idx="92">
                  <c:v>64.209999999999994</c:v>
                </c:pt>
                <c:pt idx="93">
                  <c:v>63.878999999999998</c:v>
                </c:pt>
                <c:pt idx="94">
                  <c:v>62.655000000000001</c:v>
                </c:pt>
                <c:pt idx="95">
                  <c:v>57.81</c:v>
                </c:pt>
                <c:pt idx="96">
                  <c:v>56.53</c:v>
                </c:pt>
                <c:pt idx="97">
                  <c:v>58.518999999999998</c:v>
                </c:pt>
                <c:pt idx="98">
                  <c:v>59.162999999999997</c:v>
                </c:pt>
                <c:pt idx="99">
                  <c:v>57.313000000000002</c:v>
                </c:pt>
                <c:pt idx="100">
                  <c:v>59.918999999999997</c:v>
                </c:pt>
                <c:pt idx="101">
                  <c:v>61.203000000000003</c:v>
                </c:pt>
                <c:pt idx="102">
                  <c:v>59.901000000000003</c:v>
                </c:pt>
                <c:pt idx="103">
                  <c:v>60.448</c:v>
                </c:pt>
                <c:pt idx="104">
                  <c:v>59.912999999999997</c:v>
                </c:pt>
                <c:pt idx="105">
                  <c:v>60.597000000000001</c:v>
                </c:pt>
                <c:pt idx="106">
                  <c:v>61.215000000000003</c:v>
                </c:pt>
                <c:pt idx="107">
                  <c:v>61.14</c:v>
                </c:pt>
                <c:pt idx="108">
                  <c:v>60.188000000000002</c:v>
                </c:pt>
                <c:pt idx="109">
                  <c:v>58.866999999999997</c:v>
                </c:pt>
                <c:pt idx="110">
                  <c:v>59.433</c:v>
                </c:pt>
                <c:pt idx="111">
                  <c:v>59.015000000000001</c:v>
                </c:pt>
                <c:pt idx="112">
                  <c:v>60.21</c:v>
                </c:pt>
                <c:pt idx="113">
                  <c:v>60.787999999999997</c:v>
                </c:pt>
                <c:pt idx="114">
                  <c:v>61.244999999999997</c:v>
                </c:pt>
                <c:pt idx="115">
                  <c:v>61.182000000000002</c:v>
                </c:pt>
                <c:pt idx="116">
                  <c:v>61.484999999999999</c:v>
                </c:pt>
                <c:pt idx="117">
                  <c:v>62.137</c:v>
                </c:pt>
                <c:pt idx="118">
                  <c:v>63.119</c:v>
                </c:pt>
                <c:pt idx="119">
                  <c:v>63.463999999999999</c:v>
                </c:pt>
                <c:pt idx="120">
                  <c:v>63.350999999999999</c:v>
                </c:pt>
                <c:pt idx="121">
                  <c:v>63.134</c:v>
                </c:pt>
                <c:pt idx="122">
                  <c:v>63.691000000000003</c:v>
                </c:pt>
                <c:pt idx="123">
                  <c:v>63.546999999999997</c:v>
                </c:pt>
                <c:pt idx="124">
                  <c:v>62.683999999999997</c:v>
                </c:pt>
                <c:pt idx="125">
                  <c:v>61.688000000000002</c:v>
                </c:pt>
                <c:pt idx="126">
                  <c:v>61.698999999999998</c:v>
                </c:pt>
                <c:pt idx="127">
                  <c:v>61.314999999999998</c:v>
                </c:pt>
                <c:pt idx="128">
                  <c:v>61.173000000000002</c:v>
                </c:pt>
                <c:pt idx="129">
                  <c:v>61.241</c:v>
                </c:pt>
                <c:pt idx="130">
                  <c:v>61.000999999999998</c:v>
                </c:pt>
                <c:pt idx="131">
                  <c:v>59.890999999999998</c:v>
                </c:pt>
                <c:pt idx="132">
                  <c:v>57.12</c:v>
                </c:pt>
                <c:pt idx="133">
                  <c:v>56.265999999999998</c:v>
                </c:pt>
                <c:pt idx="134">
                  <c:v>55.627000000000002</c:v>
                </c:pt>
                <c:pt idx="135">
                  <c:v>55.207999999999998</c:v>
                </c:pt>
                <c:pt idx="136">
                  <c:v>54.6</c:v>
                </c:pt>
                <c:pt idx="137">
                  <c:v>54.43</c:v>
                </c:pt>
                <c:pt idx="138">
                  <c:v>54.082999999999998</c:v>
                </c:pt>
                <c:pt idx="139">
                  <c:v>53.634</c:v>
                </c:pt>
                <c:pt idx="140">
                  <c:v>56.029000000000003</c:v>
                </c:pt>
                <c:pt idx="141">
                  <c:v>53.015999999999998</c:v>
                </c:pt>
                <c:pt idx="142">
                  <c:v>51.682000000000002</c:v>
                </c:pt>
                <c:pt idx="143">
                  <c:v>50.128</c:v>
                </c:pt>
                <c:pt idx="144">
                  <c:v>54.08</c:v>
                </c:pt>
                <c:pt idx="145">
                  <c:v>51.465000000000003</c:v>
                </c:pt>
                <c:pt idx="146">
                  <c:v>53.142000000000003</c:v>
                </c:pt>
                <c:pt idx="147">
                  <c:v>52.802</c:v>
                </c:pt>
                <c:pt idx="148">
                  <c:v>52.801000000000002</c:v>
                </c:pt>
                <c:pt idx="149">
                  <c:v>51.564999999999998</c:v>
                </c:pt>
                <c:pt idx="150">
                  <c:v>53.259</c:v>
                </c:pt>
                <c:pt idx="151">
                  <c:v>52.046999999999997</c:v>
                </c:pt>
                <c:pt idx="152">
                  <c:v>50.286999999999999</c:v>
                </c:pt>
                <c:pt idx="153">
                  <c:v>46.848999999999997</c:v>
                </c:pt>
                <c:pt idx="154">
                  <c:v>43.718000000000004</c:v>
                </c:pt>
                <c:pt idx="155">
                  <c:v>43.871000000000002</c:v>
                </c:pt>
                <c:pt idx="156">
                  <c:v>43.262999999999998</c:v>
                </c:pt>
                <c:pt idx="157">
                  <c:v>43.287999999999997</c:v>
                </c:pt>
                <c:pt idx="158">
                  <c:v>41.607999999999997</c:v>
                </c:pt>
                <c:pt idx="159">
                  <c:v>39.386000000000003</c:v>
                </c:pt>
                <c:pt idx="160">
                  <c:v>39.554000000000002</c:v>
                </c:pt>
                <c:pt idx="161">
                  <c:v>37.241</c:v>
                </c:pt>
                <c:pt idx="162">
                  <c:v>36.777000000000001</c:v>
                </c:pt>
                <c:pt idx="163">
                  <c:v>35.631</c:v>
                </c:pt>
                <c:pt idx="164">
                  <c:v>34.979999999999997</c:v>
                </c:pt>
                <c:pt idx="165">
                  <c:v>33.67</c:v>
                </c:pt>
                <c:pt idx="166">
                  <c:v>33.908000000000001</c:v>
                </c:pt>
                <c:pt idx="167">
                  <c:v>33.470999999999997</c:v>
                </c:pt>
                <c:pt idx="168">
                  <c:v>33.896999999999998</c:v>
                </c:pt>
                <c:pt idx="169">
                  <c:v>32.701000000000001</c:v>
                </c:pt>
                <c:pt idx="170">
                  <c:v>30.841999999999999</c:v>
                </c:pt>
                <c:pt idx="171">
                  <c:v>31.204000000000001</c:v>
                </c:pt>
                <c:pt idx="172">
                  <c:v>28.696000000000002</c:v>
                </c:pt>
                <c:pt idx="173">
                  <c:v>27.242999999999999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57-49A1-8560-BFC888005464}"/>
            </c:ext>
          </c:extLst>
        </c:ser>
        <c:ser>
          <c:idx val="11"/>
          <c:order val="11"/>
          <c:tx>
            <c:strRef>
              <c:f>data_co2_incLUC!$O$2</c:f>
              <c:strCache>
                <c:ptCount val="1"/>
                <c:pt idx="0">
                  <c:v>pct_annex1_GCP_BLUE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data_co2_incLUC!$O$3:$O$177</c:f>
              <c:numCache>
                <c:formatCode>0.0</c:formatCode>
                <c:ptCount val="175"/>
                <c:pt idx="0">
                  <c:v>57.667000000000002</c:v>
                </c:pt>
                <c:pt idx="1">
                  <c:v>57.02</c:v>
                </c:pt>
                <c:pt idx="2">
                  <c:v>56.984999999999999</c:v>
                </c:pt>
                <c:pt idx="3">
                  <c:v>56.912999999999997</c:v>
                </c:pt>
                <c:pt idx="4">
                  <c:v>57.963000000000001</c:v>
                </c:pt>
                <c:pt idx="5">
                  <c:v>57.54</c:v>
                </c:pt>
                <c:pt idx="6">
                  <c:v>57.777000000000001</c:v>
                </c:pt>
                <c:pt idx="7">
                  <c:v>57.923000000000002</c:v>
                </c:pt>
                <c:pt idx="8">
                  <c:v>58.244999999999997</c:v>
                </c:pt>
                <c:pt idx="9">
                  <c:v>58.570999999999998</c:v>
                </c:pt>
                <c:pt idx="10">
                  <c:v>61.777000000000001</c:v>
                </c:pt>
                <c:pt idx="11">
                  <c:v>62.975000000000001</c:v>
                </c:pt>
                <c:pt idx="12">
                  <c:v>64.701999999999998</c:v>
                </c:pt>
                <c:pt idx="13">
                  <c:v>65.488</c:v>
                </c:pt>
                <c:pt idx="14">
                  <c:v>65.974999999999994</c:v>
                </c:pt>
                <c:pt idx="15">
                  <c:v>66.680000000000007</c:v>
                </c:pt>
                <c:pt idx="16">
                  <c:v>67.385000000000005</c:v>
                </c:pt>
                <c:pt idx="17">
                  <c:v>67.691999999999993</c:v>
                </c:pt>
                <c:pt idx="18">
                  <c:v>68.239999999999995</c:v>
                </c:pt>
                <c:pt idx="19">
                  <c:v>68.274000000000001</c:v>
                </c:pt>
                <c:pt idx="20">
                  <c:v>70.569999999999993</c:v>
                </c:pt>
                <c:pt idx="21">
                  <c:v>71.596999999999994</c:v>
                </c:pt>
                <c:pt idx="22">
                  <c:v>71.763999999999996</c:v>
                </c:pt>
                <c:pt idx="23">
                  <c:v>72.494</c:v>
                </c:pt>
                <c:pt idx="24">
                  <c:v>72.712000000000003</c:v>
                </c:pt>
                <c:pt idx="25">
                  <c:v>73.335999999999999</c:v>
                </c:pt>
                <c:pt idx="26">
                  <c:v>73.751000000000005</c:v>
                </c:pt>
                <c:pt idx="27">
                  <c:v>73.725999999999999</c:v>
                </c:pt>
                <c:pt idx="28">
                  <c:v>74.128</c:v>
                </c:pt>
                <c:pt idx="29">
                  <c:v>74.814999999999998</c:v>
                </c:pt>
                <c:pt idx="30">
                  <c:v>72.707999999999998</c:v>
                </c:pt>
                <c:pt idx="31">
                  <c:v>71.537000000000006</c:v>
                </c:pt>
                <c:pt idx="32">
                  <c:v>71.117999999999995</c:v>
                </c:pt>
                <c:pt idx="33">
                  <c:v>71.198999999999998</c:v>
                </c:pt>
                <c:pt idx="34">
                  <c:v>71.164000000000001</c:v>
                </c:pt>
                <c:pt idx="35">
                  <c:v>70.983999999999995</c:v>
                </c:pt>
                <c:pt idx="36">
                  <c:v>70.790999999999997</c:v>
                </c:pt>
                <c:pt idx="37">
                  <c:v>70.638999999999996</c:v>
                </c:pt>
                <c:pt idx="38">
                  <c:v>71.373000000000005</c:v>
                </c:pt>
                <c:pt idx="39">
                  <c:v>70.715000000000003</c:v>
                </c:pt>
                <c:pt idx="40">
                  <c:v>71.394999999999996</c:v>
                </c:pt>
                <c:pt idx="41">
                  <c:v>71.462999999999994</c:v>
                </c:pt>
                <c:pt idx="42">
                  <c:v>71.924000000000007</c:v>
                </c:pt>
                <c:pt idx="43">
                  <c:v>71.998999999999995</c:v>
                </c:pt>
                <c:pt idx="44">
                  <c:v>72.179000000000002</c:v>
                </c:pt>
                <c:pt idx="45">
                  <c:v>72.317999999999998</c:v>
                </c:pt>
                <c:pt idx="46">
                  <c:v>72.668999999999997</c:v>
                </c:pt>
                <c:pt idx="47">
                  <c:v>72.703000000000003</c:v>
                </c:pt>
                <c:pt idx="48">
                  <c:v>73.405000000000001</c:v>
                </c:pt>
                <c:pt idx="49">
                  <c:v>73.912999999999997</c:v>
                </c:pt>
                <c:pt idx="50">
                  <c:v>74.168999999999997</c:v>
                </c:pt>
                <c:pt idx="51">
                  <c:v>73.426000000000002</c:v>
                </c:pt>
                <c:pt idx="52">
                  <c:v>73.343999999999994</c:v>
                </c:pt>
                <c:pt idx="53">
                  <c:v>74.007000000000005</c:v>
                </c:pt>
                <c:pt idx="54">
                  <c:v>73.900999999999996</c:v>
                </c:pt>
                <c:pt idx="55">
                  <c:v>74.611999999999995</c:v>
                </c:pt>
                <c:pt idx="56">
                  <c:v>74.459000000000003</c:v>
                </c:pt>
                <c:pt idx="57">
                  <c:v>75.665000000000006</c:v>
                </c:pt>
                <c:pt idx="58">
                  <c:v>75.385000000000005</c:v>
                </c:pt>
                <c:pt idx="59">
                  <c:v>75.66</c:v>
                </c:pt>
                <c:pt idx="60">
                  <c:v>73.042000000000002</c:v>
                </c:pt>
                <c:pt idx="61">
                  <c:v>71.957999999999998</c:v>
                </c:pt>
                <c:pt idx="62">
                  <c:v>71.968000000000004</c:v>
                </c:pt>
                <c:pt idx="63">
                  <c:v>71.863</c:v>
                </c:pt>
                <c:pt idx="64">
                  <c:v>70.11</c:v>
                </c:pt>
                <c:pt idx="65">
                  <c:v>69.343999999999994</c:v>
                </c:pt>
                <c:pt idx="66">
                  <c:v>70.082999999999998</c:v>
                </c:pt>
                <c:pt idx="67">
                  <c:v>69.974999999999994</c:v>
                </c:pt>
                <c:pt idx="68">
                  <c:v>69.393000000000001</c:v>
                </c:pt>
                <c:pt idx="69">
                  <c:v>66.905000000000001</c:v>
                </c:pt>
                <c:pt idx="70">
                  <c:v>66.180000000000007</c:v>
                </c:pt>
                <c:pt idx="71">
                  <c:v>63.45</c:v>
                </c:pt>
                <c:pt idx="72">
                  <c:v>63.502000000000002</c:v>
                </c:pt>
                <c:pt idx="73">
                  <c:v>64.266999999999996</c:v>
                </c:pt>
                <c:pt idx="74">
                  <c:v>63.546999999999997</c:v>
                </c:pt>
                <c:pt idx="75">
                  <c:v>63.69</c:v>
                </c:pt>
                <c:pt idx="76">
                  <c:v>63.192999999999998</c:v>
                </c:pt>
                <c:pt idx="77">
                  <c:v>63.991</c:v>
                </c:pt>
                <c:pt idx="78">
                  <c:v>63.405000000000001</c:v>
                </c:pt>
                <c:pt idx="79">
                  <c:v>64.308999999999997</c:v>
                </c:pt>
                <c:pt idx="80">
                  <c:v>63.351999999999997</c:v>
                </c:pt>
                <c:pt idx="81">
                  <c:v>61.725000000000001</c:v>
                </c:pt>
                <c:pt idx="82">
                  <c:v>60.030999999999999</c:v>
                </c:pt>
                <c:pt idx="83">
                  <c:v>60.335000000000001</c:v>
                </c:pt>
                <c:pt idx="84">
                  <c:v>60.875</c:v>
                </c:pt>
                <c:pt idx="85">
                  <c:v>61.518999999999998</c:v>
                </c:pt>
                <c:pt idx="86">
                  <c:v>62.375</c:v>
                </c:pt>
                <c:pt idx="87">
                  <c:v>62.771999999999998</c:v>
                </c:pt>
                <c:pt idx="88">
                  <c:v>61.838999999999999</c:v>
                </c:pt>
                <c:pt idx="89">
                  <c:v>62.305999999999997</c:v>
                </c:pt>
                <c:pt idx="90">
                  <c:v>58.857999999999997</c:v>
                </c:pt>
                <c:pt idx="91">
                  <c:v>56.920999999999999</c:v>
                </c:pt>
                <c:pt idx="92">
                  <c:v>55.646999999999998</c:v>
                </c:pt>
                <c:pt idx="93">
                  <c:v>54.933</c:v>
                </c:pt>
                <c:pt idx="94">
                  <c:v>54.134999999999998</c:v>
                </c:pt>
                <c:pt idx="95">
                  <c:v>50.23</c:v>
                </c:pt>
                <c:pt idx="96">
                  <c:v>50.640999999999998</c:v>
                </c:pt>
                <c:pt idx="97">
                  <c:v>51.761000000000003</c:v>
                </c:pt>
                <c:pt idx="98">
                  <c:v>52.323</c:v>
                </c:pt>
                <c:pt idx="99">
                  <c:v>50.435000000000002</c:v>
                </c:pt>
                <c:pt idx="100">
                  <c:v>49.435000000000002</c:v>
                </c:pt>
                <c:pt idx="101">
                  <c:v>48.887</c:v>
                </c:pt>
                <c:pt idx="102">
                  <c:v>49.176000000000002</c:v>
                </c:pt>
                <c:pt idx="103">
                  <c:v>49.576000000000001</c:v>
                </c:pt>
                <c:pt idx="104">
                  <c:v>48.228000000000002</c:v>
                </c:pt>
                <c:pt idx="105">
                  <c:v>49.323999999999998</c:v>
                </c:pt>
                <c:pt idx="106">
                  <c:v>50.173000000000002</c:v>
                </c:pt>
                <c:pt idx="107">
                  <c:v>49.890999999999998</c:v>
                </c:pt>
                <c:pt idx="108">
                  <c:v>49.186999999999998</c:v>
                </c:pt>
                <c:pt idx="109">
                  <c:v>49.627000000000002</c:v>
                </c:pt>
                <c:pt idx="110">
                  <c:v>51.777000000000001</c:v>
                </c:pt>
                <c:pt idx="111">
                  <c:v>51.953000000000003</c:v>
                </c:pt>
                <c:pt idx="112">
                  <c:v>53.014000000000003</c:v>
                </c:pt>
                <c:pt idx="113">
                  <c:v>53.792999999999999</c:v>
                </c:pt>
                <c:pt idx="114">
                  <c:v>55.453000000000003</c:v>
                </c:pt>
                <c:pt idx="115">
                  <c:v>56.454000000000001</c:v>
                </c:pt>
                <c:pt idx="116">
                  <c:v>57.709000000000003</c:v>
                </c:pt>
                <c:pt idx="117">
                  <c:v>60.655000000000001</c:v>
                </c:pt>
                <c:pt idx="118">
                  <c:v>62.21</c:v>
                </c:pt>
                <c:pt idx="119">
                  <c:v>57.679000000000002</c:v>
                </c:pt>
                <c:pt idx="120">
                  <c:v>58.970999999999997</c:v>
                </c:pt>
                <c:pt idx="121">
                  <c:v>59.279000000000003</c:v>
                </c:pt>
                <c:pt idx="122">
                  <c:v>57.338000000000001</c:v>
                </c:pt>
                <c:pt idx="123">
                  <c:v>58.569000000000003</c:v>
                </c:pt>
                <c:pt idx="124">
                  <c:v>58.066000000000003</c:v>
                </c:pt>
                <c:pt idx="125">
                  <c:v>57.948</c:v>
                </c:pt>
                <c:pt idx="126">
                  <c:v>58.954999999999998</c:v>
                </c:pt>
                <c:pt idx="127">
                  <c:v>57.543999999999997</c:v>
                </c:pt>
                <c:pt idx="128">
                  <c:v>57.247</c:v>
                </c:pt>
                <c:pt idx="129">
                  <c:v>59.122999999999998</c:v>
                </c:pt>
                <c:pt idx="130">
                  <c:v>58.972000000000001</c:v>
                </c:pt>
                <c:pt idx="131">
                  <c:v>57.883000000000003</c:v>
                </c:pt>
                <c:pt idx="132">
                  <c:v>57.633000000000003</c:v>
                </c:pt>
                <c:pt idx="133">
                  <c:v>56.884</c:v>
                </c:pt>
                <c:pt idx="134">
                  <c:v>54.912999999999997</c:v>
                </c:pt>
                <c:pt idx="135">
                  <c:v>53.972000000000001</c:v>
                </c:pt>
                <c:pt idx="136">
                  <c:v>52.756</c:v>
                </c:pt>
                <c:pt idx="137">
                  <c:v>53.662999999999997</c:v>
                </c:pt>
                <c:pt idx="138">
                  <c:v>54.195</c:v>
                </c:pt>
                <c:pt idx="139">
                  <c:v>54.35</c:v>
                </c:pt>
                <c:pt idx="140">
                  <c:v>55.843000000000004</c:v>
                </c:pt>
                <c:pt idx="141">
                  <c:v>54.889000000000003</c:v>
                </c:pt>
                <c:pt idx="142">
                  <c:v>52.44</c:v>
                </c:pt>
                <c:pt idx="143">
                  <c:v>51.887</c:v>
                </c:pt>
                <c:pt idx="144">
                  <c:v>48.646999999999998</c:v>
                </c:pt>
                <c:pt idx="145">
                  <c:v>48.816000000000003</c:v>
                </c:pt>
                <c:pt idx="146">
                  <c:v>49.634</c:v>
                </c:pt>
                <c:pt idx="147">
                  <c:v>45.347000000000001</c:v>
                </c:pt>
                <c:pt idx="148">
                  <c:v>47.463999999999999</c:v>
                </c:pt>
                <c:pt idx="149">
                  <c:v>47.398000000000003</c:v>
                </c:pt>
                <c:pt idx="150">
                  <c:v>47.783000000000001</c:v>
                </c:pt>
                <c:pt idx="151">
                  <c:v>48.006999999999998</c:v>
                </c:pt>
                <c:pt idx="152">
                  <c:v>46.042999999999999</c:v>
                </c:pt>
                <c:pt idx="153">
                  <c:v>44.08</c:v>
                </c:pt>
                <c:pt idx="154">
                  <c:v>44.29</c:v>
                </c:pt>
                <c:pt idx="155">
                  <c:v>44.122</c:v>
                </c:pt>
                <c:pt idx="156">
                  <c:v>41.674999999999997</c:v>
                </c:pt>
                <c:pt idx="157">
                  <c:v>42.093000000000004</c:v>
                </c:pt>
                <c:pt idx="158">
                  <c:v>40.595999999999997</c:v>
                </c:pt>
                <c:pt idx="159">
                  <c:v>37.683</c:v>
                </c:pt>
                <c:pt idx="160">
                  <c:v>38.761000000000003</c:v>
                </c:pt>
                <c:pt idx="161">
                  <c:v>35.918999999999997</c:v>
                </c:pt>
                <c:pt idx="162">
                  <c:v>35.405999999999999</c:v>
                </c:pt>
                <c:pt idx="163">
                  <c:v>34.851999999999997</c:v>
                </c:pt>
                <c:pt idx="164">
                  <c:v>33.790999999999997</c:v>
                </c:pt>
                <c:pt idx="165">
                  <c:v>34.055999999999997</c:v>
                </c:pt>
                <c:pt idx="166">
                  <c:v>34.844000000000001</c:v>
                </c:pt>
                <c:pt idx="167">
                  <c:v>34.563000000000002</c:v>
                </c:pt>
                <c:pt idx="168">
                  <c:v>34.250999999999998</c:v>
                </c:pt>
                <c:pt idx="169">
                  <c:v>32.801000000000002</c:v>
                </c:pt>
                <c:pt idx="170">
                  <c:v>31.629000000000001</c:v>
                </c:pt>
                <c:pt idx="171">
                  <c:v>32.048999999999999</c:v>
                </c:pt>
                <c:pt idx="172">
                  <c:v>31.285</c:v>
                </c:pt>
                <c:pt idx="173">
                  <c:v>30.184999999999999</c:v>
                </c:pt>
                <c:pt idx="174">
                  <c:v>29.876999999999999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57-49A1-8560-BFC888005464}"/>
            </c:ext>
          </c:extLst>
        </c:ser>
        <c:ser>
          <c:idx val="12"/>
          <c:order val="12"/>
          <c:tx>
            <c:strRef>
              <c:f>data_co2_incLUC!$P$2</c:f>
              <c:strCache>
                <c:ptCount val="1"/>
                <c:pt idx="0">
                  <c:v>pct_annex1_GCP_OSCAR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data_co2_incLUC!$A$3:$A$177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data_co2_incLUC!$P$3:$P$177</c:f>
              <c:numCache>
                <c:formatCode>0.0</c:formatCode>
                <c:ptCount val="175"/>
                <c:pt idx="0">
                  <c:v>59.670999999999999</c:v>
                </c:pt>
                <c:pt idx="1">
                  <c:v>59.209000000000003</c:v>
                </c:pt>
                <c:pt idx="2">
                  <c:v>59.43</c:v>
                </c:pt>
                <c:pt idx="3">
                  <c:v>59.649000000000001</c:v>
                </c:pt>
                <c:pt idx="4">
                  <c:v>60.777000000000001</c:v>
                </c:pt>
                <c:pt idx="5">
                  <c:v>60.625</c:v>
                </c:pt>
                <c:pt idx="6">
                  <c:v>60.670999999999999</c:v>
                </c:pt>
                <c:pt idx="7">
                  <c:v>60.612000000000002</c:v>
                </c:pt>
                <c:pt idx="8">
                  <c:v>61.234000000000002</c:v>
                </c:pt>
                <c:pt idx="9">
                  <c:v>61.747999999999998</c:v>
                </c:pt>
                <c:pt idx="10">
                  <c:v>62.521999999999998</c:v>
                </c:pt>
                <c:pt idx="11">
                  <c:v>62.911999999999999</c:v>
                </c:pt>
                <c:pt idx="12">
                  <c:v>63.543999999999997</c:v>
                </c:pt>
                <c:pt idx="13">
                  <c:v>63.960999999999999</c:v>
                </c:pt>
                <c:pt idx="14">
                  <c:v>64.634</c:v>
                </c:pt>
                <c:pt idx="15">
                  <c:v>65.055000000000007</c:v>
                </c:pt>
                <c:pt idx="16">
                  <c:v>65.820999999999998</c:v>
                </c:pt>
                <c:pt idx="17">
                  <c:v>66.034999999999997</c:v>
                </c:pt>
                <c:pt idx="18">
                  <c:v>66.686999999999998</c:v>
                </c:pt>
                <c:pt idx="19">
                  <c:v>66.709000000000003</c:v>
                </c:pt>
                <c:pt idx="20">
                  <c:v>68.010000000000005</c:v>
                </c:pt>
                <c:pt idx="21">
                  <c:v>68.882000000000005</c:v>
                </c:pt>
                <c:pt idx="22">
                  <c:v>69.391999999999996</c:v>
                </c:pt>
                <c:pt idx="23">
                  <c:v>70.245000000000005</c:v>
                </c:pt>
                <c:pt idx="24">
                  <c:v>70.311000000000007</c:v>
                </c:pt>
                <c:pt idx="25">
                  <c:v>70.900999999999996</c:v>
                </c:pt>
                <c:pt idx="26">
                  <c:v>71.099000000000004</c:v>
                </c:pt>
                <c:pt idx="27">
                  <c:v>71.197999999999993</c:v>
                </c:pt>
                <c:pt idx="28">
                  <c:v>71.537000000000006</c:v>
                </c:pt>
                <c:pt idx="29">
                  <c:v>72.227000000000004</c:v>
                </c:pt>
                <c:pt idx="30">
                  <c:v>71.94</c:v>
                </c:pt>
                <c:pt idx="31">
                  <c:v>70.596000000000004</c:v>
                </c:pt>
                <c:pt idx="32">
                  <c:v>70.575000000000003</c:v>
                </c:pt>
                <c:pt idx="33">
                  <c:v>70.808999999999997</c:v>
                </c:pt>
                <c:pt idx="34">
                  <c:v>70.927000000000007</c:v>
                </c:pt>
                <c:pt idx="35">
                  <c:v>70.852999999999994</c:v>
                </c:pt>
                <c:pt idx="36">
                  <c:v>70.519000000000005</c:v>
                </c:pt>
                <c:pt idx="37">
                  <c:v>70.441999999999993</c:v>
                </c:pt>
                <c:pt idx="38">
                  <c:v>71.087999999999994</c:v>
                </c:pt>
                <c:pt idx="39">
                  <c:v>70.406000000000006</c:v>
                </c:pt>
                <c:pt idx="40">
                  <c:v>70.793999999999997</c:v>
                </c:pt>
                <c:pt idx="41">
                  <c:v>71.013999999999996</c:v>
                </c:pt>
                <c:pt idx="42">
                  <c:v>71.466999999999999</c:v>
                </c:pt>
                <c:pt idx="43">
                  <c:v>71.078000000000003</c:v>
                </c:pt>
                <c:pt idx="44">
                  <c:v>71.403000000000006</c:v>
                </c:pt>
                <c:pt idx="45">
                  <c:v>71.475999999999999</c:v>
                </c:pt>
                <c:pt idx="46">
                  <c:v>71.638000000000005</c:v>
                </c:pt>
                <c:pt idx="47">
                  <c:v>71.731999999999999</c:v>
                </c:pt>
                <c:pt idx="48">
                  <c:v>72.266999999999996</c:v>
                </c:pt>
                <c:pt idx="49">
                  <c:v>72.786000000000001</c:v>
                </c:pt>
                <c:pt idx="50">
                  <c:v>73.147999999999996</c:v>
                </c:pt>
                <c:pt idx="51">
                  <c:v>72.570999999999998</c:v>
                </c:pt>
                <c:pt idx="52">
                  <c:v>72.62</c:v>
                </c:pt>
                <c:pt idx="53">
                  <c:v>73.081999999999994</c:v>
                </c:pt>
                <c:pt idx="54">
                  <c:v>72.287000000000006</c:v>
                </c:pt>
                <c:pt idx="55">
                  <c:v>73.319999999999993</c:v>
                </c:pt>
                <c:pt idx="56">
                  <c:v>72.978999999999999</c:v>
                </c:pt>
                <c:pt idx="57">
                  <c:v>74.378</c:v>
                </c:pt>
                <c:pt idx="58">
                  <c:v>73.494</c:v>
                </c:pt>
                <c:pt idx="59">
                  <c:v>73.433999999999997</c:v>
                </c:pt>
                <c:pt idx="60">
                  <c:v>72.296000000000006</c:v>
                </c:pt>
                <c:pt idx="61">
                  <c:v>71.460999999999999</c:v>
                </c:pt>
                <c:pt idx="62">
                  <c:v>71.947999999999993</c:v>
                </c:pt>
                <c:pt idx="63">
                  <c:v>71.864000000000004</c:v>
                </c:pt>
                <c:pt idx="64">
                  <c:v>70.238</c:v>
                </c:pt>
                <c:pt idx="65">
                  <c:v>69.423000000000002</c:v>
                </c:pt>
                <c:pt idx="66">
                  <c:v>70.108000000000004</c:v>
                </c:pt>
                <c:pt idx="67">
                  <c:v>69.599000000000004</c:v>
                </c:pt>
                <c:pt idx="68">
                  <c:v>69.326999999999998</c:v>
                </c:pt>
                <c:pt idx="69">
                  <c:v>66.537999999999997</c:v>
                </c:pt>
                <c:pt idx="70">
                  <c:v>67.781999999999996</c:v>
                </c:pt>
                <c:pt idx="71">
                  <c:v>65.108000000000004</c:v>
                </c:pt>
                <c:pt idx="72">
                  <c:v>65.713999999999999</c:v>
                </c:pt>
                <c:pt idx="73">
                  <c:v>66.796000000000006</c:v>
                </c:pt>
                <c:pt idx="74">
                  <c:v>66.081999999999994</c:v>
                </c:pt>
                <c:pt idx="75">
                  <c:v>66.188000000000002</c:v>
                </c:pt>
                <c:pt idx="76">
                  <c:v>65.869</c:v>
                </c:pt>
                <c:pt idx="77">
                  <c:v>66.811000000000007</c:v>
                </c:pt>
                <c:pt idx="78">
                  <c:v>66.216999999999999</c:v>
                </c:pt>
                <c:pt idx="79">
                  <c:v>67.247</c:v>
                </c:pt>
                <c:pt idx="80">
                  <c:v>66.08</c:v>
                </c:pt>
                <c:pt idx="81">
                  <c:v>64.503</c:v>
                </c:pt>
                <c:pt idx="82">
                  <c:v>62.161999999999999</c:v>
                </c:pt>
                <c:pt idx="83">
                  <c:v>62.661999999999999</c:v>
                </c:pt>
                <c:pt idx="84">
                  <c:v>62.991</c:v>
                </c:pt>
                <c:pt idx="85">
                  <c:v>63.838000000000001</c:v>
                </c:pt>
                <c:pt idx="86">
                  <c:v>64.713999999999999</c:v>
                </c:pt>
                <c:pt idx="87">
                  <c:v>65.165999999999997</c:v>
                </c:pt>
                <c:pt idx="88">
                  <c:v>63.866</c:v>
                </c:pt>
                <c:pt idx="89">
                  <c:v>64.313000000000002</c:v>
                </c:pt>
                <c:pt idx="90">
                  <c:v>64.063000000000002</c:v>
                </c:pt>
                <c:pt idx="91">
                  <c:v>63.064999999999998</c:v>
                </c:pt>
                <c:pt idx="92">
                  <c:v>62.536000000000001</c:v>
                </c:pt>
                <c:pt idx="93">
                  <c:v>62.365000000000002</c:v>
                </c:pt>
                <c:pt idx="94">
                  <c:v>61.970999999999997</c:v>
                </c:pt>
                <c:pt idx="95">
                  <c:v>58.579000000000001</c:v>
                </c:pt>
                <c:pt idx="96">
                  <c:v>59.405999999999999</c:v>
                </c:pt>
                <c:pt idx="97">
                  <c:v>60.651000000000003</c:v>
                </c:pt>
                <c:pt idx="98">
                  <c:v>61.408000000000001</c:v>
                </c:pt>
                <c:pt idx="99">
                  <c:v>59.999000000000002</c:v>
                </c:pt>
                <c:pt idx="100">
                  <c:v>59.536999999999999</c:v>
                </c:pt>
                <c:pt idx="101">
                  <c:v>58.582000000000001</c:v>
                </c:pt>
                <c:pt idx="102">
                  <c:v>58.256</c:v>
                </c:pt>
                <c:pt idx="103">
                  <c:v>58.317</c:v>
                </c:pt>
                <c:pt idx="104">
                  <c:v>57.427</c:v>
                </c:pt>
                <c:pt idx="105">
                  <c:v>57.820999999999998</c:v>
                </c:pt>
                <c:pt idx="106">
                  <c:v>58.189</c:v>
                </c:pt>
                <c:pt idx="107">
                  <c:v>57.639000000000003</c:v>
                </c:pt>
                <c:pt idx="108">
                  <c:v>56.119</c:v>
                </c:pt>
                <c:pt idx="109">
                  <c:v>55.082999999999998</c:v>
                </c:pt>
                <c:pt idx="110">
                  <c:v>56.22</c:v>
                </c:pt>
                <c:pt idx="111">
                  <c:v>57.09</c:v>
                </c:pt>
                <c:pt idx="112">
                  <c:v>57.972000000000001</c:v>
                </c:pt>
                <c:pt idx="113">
                  <c:v>58.798000000000002</c:v>
                </c:pt>
                <c:pt idx="114">
                  <c:v>59.561999999999998</c:v>
                </c:pt>
                <c:pt idx="115">
                  <c:v>60.521000000000001</c:v>
                </c:pt>
                <c:pt idx="116">
                  <c:v>61.32</c:v>
                </c:pt>
                <c:pt idx="117">
                  <c:v>62.783000000000001</c:v>
                </c:pt>
                <c:pt idx="118">
                  <c:v>63.499000000000002</c:v>
                </c:pt>
                <c:pt idx="119">
                  <c:v>62.542999999999999</c:v>
                </c:pt>
                <c:pt idx="120">
                  <c:v>61.828000000000003</c:v>
                </c:pt>
                <c:pt idx="121">
                  <c:v>62.124000000000002</c:v>
                </c:pt>
                <c:pt idx="122">
                  <c:v>62.374000000000002</c:v>
                </c:pt>
                <c:pt idx="123">
                  <c:v>62.46</c:v>
                </c:pt>
                <c:pt idx="124">
                  <c:v>61.81</c:v>
                </c:pt>
                <c:pt idx="125">
                  <c:v>60.749000000000002</c:v>
                </c:pt>
                <c:pt idx="126">
                  <c:v>61.177</c:v>
                </c:pt>
                <c:pt idx="127">
                  <c:v>60.677999999999997</c:v>
                </c:pt>
                <c:pt idx="128">
                  <c:v>60.204999999999998</c:v>
                </c:pt>
                <c:pt idx="129">
                  <c:v>60.7</c:v>
                </c:pt>
                <c:pt idx="130">
                  <c:v>60.762</c:v>
                </c:pt>
                <c:pt idx="131">
                  <c:v>59.731000000000002</c:v>
                </c:pt>
                <c:pt idx="132">
                  <c:v>58.807000000000002</c:v>
                </c:pt>
                <c:pt idx="133">
                  <c:v>57.790999999999997</c:v>
                </c:pt>
                <c:pt idx="134">
                  <c:v>57.052999999999997</c:v>
                </c:pt>
                <c:pt idx="135">
                  <c:v>56.104999999999997</c:v>
                </c:pt>
                <c:pt idx="136">
                  <c:v>55.017000000000003</c:v>
                </c:pt>
                <c:pt idx="137">
                  <c:v>55.198999999999998</c:v>
                </c:pt>
                <c:pt idx="138">
                  <c:v>55.031999999999996</c:v>
                </c:pt>
                <c:pt idx="139">
                  <c:v>54.892000000000003</c:v>
                </c:pt>
                <c:pt idx="140">
                  <c:v>55.884</c:v>
                </c:pt>
                <c:pt idx="141">
                  <c:v>54.911000000000001</c:v>
                </c:pt>
                <c:pt idx="142">
                  <c:v>53.41</c:v>
                </c:pt>
                <c:pt idx="143">
                  <c:v>52.189</c:v>
                </c:pt>
                <c:pt idx="144">
                  <c:v>50.326000000000001</c:v>
                </c:pt>
                <c:pt idx="145">
                  <c:v>49.639000000000003</c:v>
                </c:pt>
                <c:pt idx="146">
                  <c:v>49.988</c:v>
                </c:pt>
                <c:pt idx="147">
                  <c:v>45.886000000000003</c:v>
                </c:pt>
                <c:pt idx="148">
                  <c:v>48.771000000000001</c:v>
                </c:pt>
                <c:pt idx="149">
                  <c:v>48.030999999999999</c:v>
                </c:pt>
                <c:pt idx="150">
                  <c:v>48.438000000000002</c:v>
                </c:pt>
                <c:pt idx="151">
                  <c:v>48.502000000000002</c:v>
                </c:pt>
                <c:pt idx="152">
                  <c:v>47.170999999999999</c:v>
                </c:pt>
                <c:pt idx="153">
                  <c:v>45.93</c:v>
                </c:pt>
                <c:pt idx="154">
                  <c:v>45.284999999999997</c:v>
                </c:pt>
                <c:pt idx="155">
                  <c:v>44.872999999999998</c:v>
                </c:pt>
                <c:pt idx="156">
                  <c:v>43.011000000000003</c:v>
                </c:pt>
                <c:pt idx="157">
                  <c:v>42.968000000000004</c:v>
                </c:pt>
                <c:pt idx="158">
                  <c:v>41.029000000000003</c:v>
                </c:pt>
                <c:pt idx="159">
                  <c:v>38.429000000000002</c:v>
                </c:pt>
                <c:pt idx="160">
                  <c:v>38.270000000000003</c:v>
                </c:pt>
                <c:pt idx="161">
                  <c:v>36.277999999999999</c:v>
                </c:pt>
                <c:pt idx="162">
                  <c:v>35.773000000000003</c:v>
                </c:pt>
                <c:pt idx="163">
                  <c:v>35.277000000000001</c:v>
                </c:pt>
                <c:pt idx="164">
                  <c:v>34.192999999999998</c:v>
                </c:pt>
                <c:pt idx="165">
                  <c:v>33.909999999999997</c:v>
                </c:pt>
                <c:pt idx="166">
                  <c:v>34.576999999999998</c:v>
                </c:pt>
                <c:pt idx="167">
                  <c:v>34.212000000000003</c:v>
                </c:pt>
                <c:pt idx="168">
                  <c:v>33.826999999999998</c:v>
                </c:pt>
                <c:pt idx="169">
                  <c:v>32.591000000000001</c:v>
                </c:pt>
                <c:pt idx="170">
                  <c:v>31.224</c:v>
                </c:pt>
                <c:pt idx="171">
                  <c:v>31.616</c:v>
                </c:pt>
                <c:pt idx="172">
                  <c:v>30.815000000000001</c:v>
                </c:pt>
                <c:pt idx="173">
                  <c:v>29.706</c:v>
                </c:pt>
                <c:pt idx="174">
                  <c:v>29.466000000000001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E57-49A1-8560-BFC888005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Sofia Pro"/>
                <a:ea typeface="Sofia Pro"/>
                <a:cs typeface="Sofia Pro"/>
              </a:defRPr>
            </a:pPr>
            <a:r>
              <a:rPr lang="en-US"/>
              <a:t>CO</a:t>
            </a:r>
            <a:r>
              <a:rPr lang="en-US" baseline="-25000"/>
              <a:t>2</a:t>
            </a:r>
            <a:r>
              <a:rPr lang="en-US"/>
              <a:t>, excluding LULUCF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4597701149431E-2"/>
          <c:y val="0.18256420351302241"/>
          <c:w val="0.88505747126436785"/>
          <c:h val="0.72115384615384615"/>
        </c:manualLayout>
      </c:layout>
      <c:areaChart>
        <c:grouping val="stacked"/>
        <c:varyColors val="0"/>
        <c:ser>
          <c:idx val="0"/>
          <c:order val="0"/>
          <c:tx>
            <c:v>_Base</c:v>
          </c:tx>
          <c:spPr>
            <a:solidFill>
              <a:srgbClr val="FFFFFF">
                <a:alpha val="1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data_co2_excLUC!$B$3:$B$177</c:f>
              <c:numCache>
                <c:formatCode>0.0</c:formatCode>
                <c:ptCount val="175"/>
                <c:pt idx="0">
                  <c:v>98.268000000000001</c:v>
                </c:pt>
                <c:pt idx="1">
                  <c:v>98.066000000000003</c:v>
                </c:pt>
                <c:pt idx="2">
                  <c:v>97.757999999999996</c:v>
                </c:pt>
                <c:pt idx="3">
                  <c:v>97.796999999999997</c:v>
                </c:pt>
                <c:pt idx="4">
                  <c:v>97.893000000000001</c:v>
                </c:pt>
                <c:pt idx="5">
                  <c:v>97.475999999999999</c:v>
                </c:pt>
                <c:pt idx="6">
                  <c:v>97.216999999999999</c:v>
                </c:pt>
                <c:pt idx="7">
                  <c:v>96.972999999999999</c:v>
                </c:pt>
                <c:pt idx="8">
                  <c:v>96.397999999999996</c:v>
                </c:pt>
                <c:pt idx="9">
                  <c:v>96.656000000000006</c:v>
                </c:pt>
                <c:pt idx="10">
                  <c:v>96.593999999999994</c:v>
                </c:pt>
                <c:pt idx="11">
                  <c:v>96.483999999999995</c:v>
                </c:pt>
                <c:pt idx="12">
                  <c:v>95.983999999999995</c:v>
                </c:pt>
                <c:pt idx="13">
                  <c:v>95.741</c:v>
                </c:pt>
                <c:pt idx="14">
                  <c:v>95.492999999999995</c:v>
                </c:pt>
                <c:pt idx="15">
                  <c:v>95.259</c:v>
                </c:pt>
                <c:pt idx="16">
                  <c:v>94.727999999999994</c:v>
                </c:pt>
                <c:pt idx="17">
                  <c:v>94.671999999999997</c:v>
                </c:pt>
                <c:pt idx="18">
                  <c:v>94.361000000000004</c:v>
                </c:pt>
                <c:pt idx="19">
                  <c:v>94.28</c:v>
                </c:pt>
                <c:pt idx="20">
                  <c:v>94.021000000000001</c:v>
                </c:pt>
                <c:pt idx="21">
                  <c:v>93.509</c:v>
                </c:pt>
                <c:pt idx="22">
                  <c:v>93.6</c:v>
                </c:pt>
                <c:pt idx="23">
                  <c:v>93.611999999999995</c:v>
                </c:pt>
                <c:pt idx="24">
                  <c:v>92.56</c:v>
                </c:pt>
                <c:pt idx="25">
                  <c:v>93.018000000000001</c:v>
                </c:pt>
                <c:pt idx="26">
                  <c:v>91.801000000000002</c:v>
                </c:pt>
                <c:pt idx="27">
                  <c:v>92.003</c:v>
                </c:pt>
                <c:pt idx="28">
                  <c:v>91.158000000000001</c:v>
                </c:pt>
                <c:pt idx="29">
                  <c:v>91.262</c:v>
                </c:pt>
                <c:pt idx="30">
                  <c:v>91.789000000000001</c:v>
                </c:pt>
                <c:pt idx="31">
                  <c:v>91.805999999999997</c:v>
                </c:pt>
                <c:pt idx="32">
                  <c:v>91.93</c:v>
                </c:pt>
                <c:pt idx="33">
                  <c:v>91.66</c:v>
                </c:pt>
                <c:pt idx="34">
                  <c:v>91.41</c:v>
                </c:pt>
                <c:pt idx="35">
                  <c:v>91.057000000000002</c:v>
                </c:pt>
                <c:pt idx="36">
                  <c:v>90.965999999999994</c:v>
                </c:pt>
                <c:pt idx="37">
                  <c:v>91.016000000000005</c:v>
                </c:pt>
                <c:pt idx="38">
                  <c:v>91.15</c:v>
                </c:pt>
                <c:pt idx="39">
                  <c:v>90.403999999999996</c:v>
                </c:pt>
                <c:pt idx="40">
                  <c:v>90.638000000000005</c:v>
                </c:pt>
                <c:pt idx="41">
                  <c:v>90.367999999999995</c:v>
                </c:pt>
                <c:pt idx="42">
                  <c:v>90.293999999999997</c:v>
                </c:pt>
                <c:pt idx="43">
                  <c:v>89.370999999999995</c:v>
                </c:pt>
                <c:pt idx="44">
                  <c:v>89.367000000000004</c:v>
                </c:pt>
                <c:pt idx="45">
                  <c:v>89.093000000000004</c:v>
                </c:pt>
                <c:pt idx="46">
                  <c:v>88.887</c:v>
                </c:pt>
                <c:pt idx="47">
                  <c:v>88.570999999999998</c:v>
                </c:pt>
                <c:pt idx="48">
                  <c:v>88.147000000000006</c:v>
                </c:pt>
                <c:pt idx="49">
                  <c:v>88.412999999999997</c:v>
                </c:pt>
                <c:pt idx="50">
                  <c:v>88.507999999999996</c:v>
                </c:pt>
                <c:pt idx="51">
                  <c:v>88.201999999999998</c:v>
                </c:pt>
                <c:pt idx="52">
                  <c:v>88.525000000000006</c:v>
                </c:pt>
                <c:pt idx="53">
                  <c:v>89.111999999999995</c:v>
                </c:pt>
                <c:pt idx="54">
                  <c:v>88.593999999999994</c:v>
                </c:pt>
                <c:pt idx="55">
                  <c:v>89.125</c:v>
                </c:pt>
                <c:pt idx="56">
                  <c:v>88.245999999999995</c:v>
                </c:pt>
                <c:pt idx="57">
                  <c:v>88.257000000000005</c:v>
                </c:pt>
                <c:pt idx="58">
                  <c:v>87.215999999999994</c:v>
                </c:pt>
                <c:pt idx="59">
                  <c:v>87.29</c:v>
                </c:pt>
                <c:pt idx="60">
                  <c:v>87.822999999999993</c:v>
                </c:pt>
                <c:pt idx="61">
                  <c:v>87.372</c:v>
                </c:pt>
                <c:pt idx="62">
                  <c:v>87.177000000000007</c:v>
                </c:pt>
                <c:pt idx="63">
                  <c:v>87.058000000000007</c:v>
                </c:pt>
                <c:pt idx="64">
                  <c:v>87.174000000000007</c:v>
                </c:pt>
                <c:pt idx="65">
                  <c:v>87.418999999999997</c:v>
                </c:pt>
                <c:pt idx="66">
                  <c:v>87.325999999999993</c:v>
                </c:pt>
                <c:pt idx="67">
                  <c:v>87.495000000000005</c:v>
                </c:pt>
                <c:pt idx="68">
                  <c:v>89.491</c:v>
                </c:pt>
                <c:pt idx="69">
                  <c:v>90.783000000000001</c:v>
                </c:pt>
                <c:pt idx="70">
                  <c:v>88.941999999999993</c:v>
                </c:pt>
                <c:pt idx="71">
                  <c:v>86.816999999999993</c:v>
                </c:pt>
                <c:pt idx="72">
                  <c:v>87.373999999999995</c:v>
                </c:pt>
                <c:pt idx="73">
                  <c:v>88.924999999999997</c:v>
                </c:pt>
                <c:pt idx="74">
                  <c:v>88.25</c:v>
                </c:pt>
                <c:pt idx="75">
                  <c:v>88.608999999999995</c:v>
                </c:pt>
                <c:pt idx="76">
                  <c:v>87.884</c:v>
                </c:pt>
                <c:pt idx="77">
                  <c:v>87.91</c:v>
                </c:pt>
                <c:pt idx="78">
                  <c:v>86.968000000000004</c:v>
                </c:pt>
                <c:pt idx="79">
                  <c:v>86.802000000000007</c:v>
                </c:pt>
                <c:pt idx="80">
                  <c:v>85.150999999999996</c:v>
                </c:pt>
                <c:pt idx="81">
                  <c:v>83.265000000000001</c:v>
                </c:pt>
                <c:pt idx="82">
                  <c:v>81.478999999999999</c:v>
                </c:pt>
                <c:pt idx="83">
                  <c:v>81.27</c:v>
                </c:pt>
                <c:pt idx="84">
                  <c:v>80.244</c:v>
                </c:pt>
                <c:pt idx="85">
                  <c:v>79.231999999999999</c:v>
                </c:pt>
                <c:pt idx="86">
                  <c:v>79.195999999999998</c:v>
                </c:pt>
                <c:pt idx="87">
                  <c:v>79.241</c:v>
                </c:pt>
                <c:pt idx="88">
                  <c:v>77.031000000000006</c:v>
                </c:pt>
                <c:pt idx="89">
                  <c:v>77.507000000000005</c:v>
                </c:pt>
                <c:pt idx="90">
                  <c:v>74.837000000000003</c:v>
                </c:pt>
                <c:pt idx="91">
                  <c:v>76.22</c:v>
                </c:pt>
                <c:pt idx="92">
                  <c:v>78.962999999999994</c:v>
                </c:pt>
                <c:pt idx="93">
                  <c:v>77.355999999999995</c:v>
                </c:pt>
                <c:pt idx="94">
                  <c:v>77.378</c:v>
                </c:pt>
                <c:pt idx="95">
                  <c:v>76.777000000000001</c:v>
                </c:pt>
                <c:pt idx="96">
                  <c:v>74.927000000000007</c:v>
                </c:pt>
                <c:pt idx="97">
                  <c:v>75.593000000000004</c:v>
                </c:pt>
                <c:pt idx="98">
                  <c:v>76.135999999999996</c:v>
                </c:pt>
                <c:pt idx="99">
                  <c:v>72.866</c:v>
                </c:pt>
                <c:pt idx="100">
                  <c:v>75.271000000000001</c:v>
                </c:pt>
                <c:pt idx="101">
                  <c:v>74.596999999999994</c:v>
                </c:pt>
                <c:pt idx="102">
                  <c:v>72.882000000000005</c:v>
                </c:pt>
                <c:pt idx="103">
                  <c:v>72.179000000000002</c:v>
                </c:pt>
                <c:pt idx="104">
                  <c:v>70.143000000000001</c:v>
                </c:pt>
                <c:pt idx="105">
                  <c:v>69.373999999999995</c:v>
                </c:pt>
                <c:pt idx="106">
                  <c:v>68.647999999999996</c:v>
                </c:pt>
                <c:pt idx="107">
                  <c:v>66.671999999999997</c:v>
                </c:pt>
                <c:pt idx="108">
                  <c:v>62.869</c:v>
                </c:pt>
                <c:pt idx="109">
                  <c:v>60.899000000000001</c:v>
                </c:pt>
                <c:pt idx="110">
                  <c:v>60.534999999999997</c:v>
                </c:pt>
                <c:pt idx="111">
                  <c:v>61.624000000000002</c:v>
                </c:pt>
                <c:pt idx="112">
                  <c:v>62.207000000000001</c:v>
                </c:pt>
                <c:pt idx="113">
                  <c:v>62.155000000000001</c:v>
                </c:pt>
                <c:pt idx="114">
                  <c:v>61.881</c:v>
                </c:pt>
                <c:pt idx="115">
                  <c:v>61.316000000000003</c:v>
                </c:pt>
                <c:pt idx="116">
                  <c:v>60.704000000000001</c:v>
                </c:pt>
                <c:pt idx="117">
                  <c:v>61.106000000000002</c:v>
                </c:pt>
                <c:pt idx="118">
                  <c:v>60.908999999999999</c:v>
                </c:pt>
                <c:pt idx="119">
                  <c:v>60.601999999999997</c:v>
                </c:pt>
                <c:pt idx="120">
                  <c:v>59.81</c:v>
                </c:pt>
                <c:pt idx="121">
                  <c:v>58.634999999999998</c:v>
                </c:pt>
                <c:pt idx="122">
                  <c:v>58.539000000000001</c:v>
                </c:pt>
                <c:pt idx="123">
                  <c:v>58.302</c:v>
                </c:pt>
                <c:pt idx="124">
                  <c:v>56.982999999999997</c:v>
                </c:pt>
                <c:pt idx="125">
                  <c:v>54.615000000000002</c:v>
                </c:pt>
                <c:pt idx="126">
                  <c:v>54.698999999999998</c:v>
                </c:pt>
                <c:pt idx="127">
                  <c:v>53.863</c:v>
                </c:pt>
                <c:pt idx="128">
                  <c:v>53.268999999999998</c:v>
                </c:pt>
                <c:pt idx="129">
                  <c:v>53.179000000000002</c:v>
                </c:pt>
                <c:pt idx="130">
                  <c:v>51.853000000000002</c:v>
                </c:pt>
                <c:pt idx="131">
                  <c:v>51.136000000000003</c:v>
                </c:pt>
                <c:pt idx="132">
                  <c:v>49.283999999999999</c:v>
                </c:pt>
                <c:pt idx="133">
                  <c:v>48.616</c:v>
                </c:pt>
                <c:pt idx="134">
                  <c:v>48.381</c:v>
                </c:pt>
                <c:pt idx="135">
                  <c:v>47.085999999999999</c:v>
                </c:pt>
                <c:pt idx="136">
                  <c:v>46.331000000000003</c:v>
                </c:pt>
                <c:pt idx="137">
                  <c:v>46.326999999999998</c:v>
                </c:pt>
                <c:pt idx="138">
                  <c:v>46.100999999999999</c:v>
                </c:pt>
                <c:pt idx="139">
                  <c:v>46.408000000000001</c:v>
                </c:pt>
                <c:pt idx="140">
                  <c:v>47.018999999999998</c:v>
                </c:pt>
                <c:pt idx="141">
                  <c:v>46.337000000000003</c:v>
                </c:pt>
                <c:pt idx="142">
                  <c:v>47.773000000000003</c:v>
                </c:pt>
                <c:pt idx="143">
                  <c:v>47.558999999999997</c:v>
                </c:pt>
                <c:pt idx="144">
                  <c:v>47.987000000000002</c:v>
                </c:pt>
                <c:pt idx="145">
                  <c:v>47.442999999999998</c:v>
                </c:pt>
                <c:pt idx="146">
                  <c:v>47.234000000000002</c:v>
                </c:pt>
                <c:pt idx="147">
                  <c:v>47.017000000000003</c:v>
                </c:pt>
                <c:pt idx="148">
                  <c:v>47.555</c:v>
                </c:pt>
                <c:pt idx="149">
                  <c:v>46.932000000000002</c:v>
                </c:pt>
                <c:pt idx="150">
                  <c:v>46.814999999999998</c:v>
                </c:pt>
                <c:pt idx="151">
                  <c:v>46.026000000000003</c:v>
                </c:pt>
                <c:pt idx="152">
                  <c:v>45.194000000000003</c:v>
                </c:pt>
                <c:pt idx="153">
                  <c:v>43.493000000000002</c:v>
                </c:pt>
                <c:pt idx="154">
                  <c:v>42.338999999999999</c:v>
                </c:pt>
                <c:pt idx="155">
                  <c:v>40.831000000000003</c:v>
                </c:pt>
                <c:pt idx="156">
                  <c:v>39.378</c:v>
                </c:pt>
                <c:pt idx="157">
                  <c:v>38.601999999999997</c:v>
                </c:pt>
                <c:pt idx="158">
                  <c:v>36.999000000000002</c:v>
                </c:pt>
                <c:pt idx="159">
                  <c:v>35.015000000000001</c:v>
                </c:pt>
                <c:pt idx="160">
                  <c:v>34.436</c:v>
                </c:pt>
                <c:pt idx="161">
                  <c:v>32.548999999999999</c:v>
                </c:pt>
                <c:pt idx="162">
                  <c:v>31.533000000000001</c:v>
                </c:pt>
                <c:pt idx="163">
                  <c:v>31.463999999999999</c:v>
                </c:pt>
                <c:pt idx="164">
                  <c:v>30.667000000000002</c:v>
                </c:pt>
                <c:pt idx="165">
                  <c:v>30.053000000000001</c:v>
                </c:pt>
                <c:pt idx="166">
                  <c:v>29.451000000000001</c:v>
                </c:pt>
                <c:pt idx="167">
                  <c:v>28.683</c:v>
                </c:pt>
                <c:pt idx="168">
                  <c:v>28.356999999999999</c:v>
                </c:pt>
                <c:pt idx="169">
                  <c:v>27.548999999999999</c:v>
                </c:pt>
                <c:pt idx="170">
                  <c:v>26.026</c:v>
                </c:pt>
                <c:pt idx="171">
                  <c:v>26.215</c:v>
                </c:pt>
                <c:pt idx="172">
                  <c:v>25.891999999999999</c:v>
                </c:pt>
                <c:pt idx="173">
                  <c:v>24.553999999999998</c:v>
                </c:pt>
                <c:pt idx="174">
                  <c:v>24.181000000000001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7-4081-AAEC-375BF0A1713B}"/>
            </c:ext>
          </c:extLst>
        </c:ser>
        <c:ser>
          <c:idx val="1"/>
          <c:order val="1"/>
          <c:tx>
            <c:v>Annex II</c:v>
          </c:tx>
          <c:spPr>
            <a:solidFill>
              <a:srgbClr val="FFB52C">
                <a:alpha val="3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data_co2_excLUC!$F$3:$F$177</c:f>
              <c:numCache>
                <c:formatCode>0.0</c:formatCode>
                <c:ptCount val="175"/>
                <c:pt idx="0">
                  <c:v>4.9999999999997158E-2</c:v>
                </c:pt>
                <c:pt idx="1">
                  <c:v>2.1000000000000796E-2</c:v>
                </c:pt>
                <c:pt idx="2">
                  <c:v>4.600000000000648E-2</c:v>
                </c:pt>
                <c:pt idx="3">
                  <c:v>4.0000000000048885E-3</c:v>
                </c:pt>
                <c:pt idx="4">
                  <c:v>6.0999999999992838E-2</c:v>
                </c:pt>
                <c:pt idx="5">
                  <c:v>0.10599999999999454</c:v>
                </c:pt>
                <c:pt idx="6">
                  <c:v>0.25900000000000034</c:v>
                </c:pt>
                <c:pt idx="7">
                  <c:v>0.35299999999999443</c:v>
                </c:pt>
                <c:pt idx="8">
                  <c:v>0.50900000000000034</c:v>
                </c:pt>
                <c:pt idx="9">
                  <c:v>0.40999999999999659</c:v>
                </c:pt>
                <c:pt idx="10">
                  <c:v>0.44500000000000739</c:v>
                </c:pt>
                <c:pt idx="11">
                  <c:v>0.44300000000001205</c:v>
                </c:pt>
                <c:pt idx="12">
                  <c:v>0.46699999999999875</c:v>
                </c:pt>
                <c:pt idx="13">
                  <c:v>0.39700000000000557</c:v>
                </c:pt>
                <c:pt idx="14">
                  <c:v>0.46699999999999875</c:v>
                </c:pt>
                <c:pt idx="15">
                  <c:v>0.48399999999999466</c:v>
                </c:pt>
                <c:pt idx="16">
                  <c:v>0.56400000000000716</c:v>
                </c:pt>
                <c:pt idx="17">
                  <c:v>0.42799999999999727</c:v>
                </c:pt>
                <c:pt idx="18">
                  <c:v>0.45899999999998897</c:v>
                </c:pt>
                <c:pt idx="19">
                  <c:v>0.375</c:v>
                </c:pt>
                <c:pt idx="20">
                  <c:v>0.35500000000000398</c:v>
                </c:pt>
                <c:pt idx="21">
                  <c:v>0.34399999999999409</c:v>
                </c:pt>
                <c:pt idx="22">
                  <c:v>0.41500000000000625</c:v>
                </c:pt>
                <c:pt idx="23">
                  <c:v>0.42400000000000659</c:v>
                </c:pt>
                <c:pt idx="24">
                  <c:v>0.48099999999999454</c:v>
                </c:pt>
                <c:pt idx="25">
                  <c:v>0.375</c:v>
                </c:pt>
                <c:pt idx="26">
                  <c:v>0.3019999999999925</c:v>
                </c:pt>
                <c:pt idx="27">
                  <c:v>0.26200000000000045</c:v>
                </c:pt>
                <c:pt idx="28">
                  <c:v>0.46599999999999397</c:v>
                </c:pt>
                <c:pt idx="29">
                  <c:v>0.45799999999999841</c:v>
                </c:pt>
                <c:pt idx="30">
                  <c:v>0.47100000000000364</c:v>
                </c:pt>
                <c:pt idx="31">
                  <c:v>0.44400000000000261</c:v>
                </c:pt>
                <c:pt idx="32">
                  <c:v>0.43699999999999761</c:v>
                </c:pt>
                <c:pt idx="33">
                  <c:v>0.43300000000000693</c:v>
                </c:pt>
                <c:pt idx="34">
                  <c:v>0.47700000000000387</c:v>
                </c:pt>
                <c:pt idx="35">
                  <c:v>0.49500000000000455</c:v>
                </c:pt>
                <c:pt idx="36">
                  <c:v>0.44500000000000739</c:v>
                </c:pt>
                <c:pt idx="37">
                  <c:v>0.38599999999999568</c:v>
                </c:pt>
                <c:pt idx="38">
                  <c:v>0.46399999999999864</c:v>
                </c:pt>
                <c:pt idx="39">
                  <c:v>0.50600000000000023</c:v>
                </c:pt>
                <c:pt idx="40">
                  <c:v>0.41599999999999682</c:v>
                </c:pt>
                <c:pt idx="41">
                  <c:v>0.44899999999999807</c:v>
                </c:pt>
                <c:pt idx="42">
                  <c:v>0.45499999999999829</c:v>
                </c:pt>
                <c:pt idx="43">
                  <c:v>0.44700000000000273</c:v>
                </c:pt>
                <c:pt idx="44">
                  <c:v>0.52700000000000102</c:v>
                </c:pt>
                <c:pt idx="45">
                  <c:v>0.43899999999999295</c:v>
                </c:pt>
                <c:pt idx="46">
                  <c:v>0.45399999999999352</c:v>
                </c:pt>
                <c:pt idx="47">
                  <c:v>0.43099999999999739</c:v>
                </c:pt>
                <c:pt idx="48">
                  <c:v>0.43799999999998818</c:v>
                </c:pt>
                <c:pt idx="49">
                  <c:v>0.42600000000000193</c:v>
                </c:pt>
                <c:pt idx="50">
                  <c:v>0.41600000000001103</c:v>
                </c:pt>
                <c:pt idx="51">
                  <c:v>0.23699999999999477</c:v>
                </c:pt>
                <c:pt idx="52">
                  <c:v>0.20599999999998886</c:v>
                </c:pt>
                <c:pt idx="53">
                  <c:v>0.1530000000000058</c:v>
                </c:pt>
                <c:pt idx="54">
                  <c:v>0.12199999999999989</c:v>
                </c:pt>
                <c:pt idx="55">
                  <c:v>0.19299999999999784</c:v>
                </c:pt>
                <c:pt idx="56">
                  <c:v>0.32600000000000762</c:v>
                </c:pt>
                <c:pt idx="57">
                  <c:v>0.39300000000000068</c:v>
                </c:pt>
                <c:pt idx="58">
                  <c:v>0.25600000000000023</c:v>
                </c:pt>
                <c:pt idx="59">
                  <c:v>0.3539999999999992</c:v>
                </c:pt>
                <c:pt idx="60">
                  <c:v>0.36599999999999966</c:v>
                </c:pt>
                <c:pt idx="61">
                  <c:v>0.14100000000000534</c:v>
                </c:pt>
                <c:pt idx="62">
                  <c:v>0.42099999999999227</c:v>
                </c:pt>
                <c:pt idx="63">
                  <c:v>0.52499999999999147</c:v>
                </c:pt>
                <c:pt idx="64">
                  <c:v>0.41599999999999682</c:v>
                </c:pt>
                <c:pt idx="65">
                  <c:v>0.26500000000000057</c:v>
                </c:pt>
                <c:pt idx="66">
                  <c:v>0.31500000000001194</c:v>
                </c:pt>
                <c:pt idx="67">
                  <c:v>0.30400000000000205</c:v>
                </c:pt>
                <c:pt idx="68">
                  <c:v>0.41100000000000136</c:v>
                </c:pt>
                <c:pt idx="69">
                  <c:v>0.42799999999999727</c:v>
                </c:pt>
                <c:pt idx="70">
                  <c:v>0.54200000000000159</c:v>
                </c:pt>
                <c:pt idx="71">
                  <c:v>0.59100000000000819</c:v>
                </c:pt>
                <c:pt idx="72">
                  <c:v>0.52500000000000568</c:v>
                </c:pt>
                <c:pt idx="73">
                  <c:v>0.40800000000000125</c:v>
                </c:pt>
                <c:pt idx="74">
                  <c:v>0.36199999999999477</c:v>
                </c:pt>
                <c:pt idx="75">
                  <c:v>0.34100000000000819</c:v>
                </c:pt>
                <c:pt idx="76">
                  <c:v>8.1999999999993634E-2</c:v>
                </c:pt>
                <c:pt idx="77">
                  <c:v>5.5999999999997385E-2</c:v>
                </c:pt>
                <c:pt idx="78">
                  <c:v>0.39399999999999125</c:v>
                </c:pt>
                <c:pt idx="79">
                  <c:v>0.54499999999998749</c:v>
                </c:pt>
                <c:pt idx="80">
                  <c:v>0.84100000000000819</c:v>
                </c:pt>
                <c:pt idx="81">
                  <c:v>0.78400000000000603</c:v>
                </c:pt>
                <c:pt idx="82">
                  <c:v>0.79000000000000625</c:v>
                </c:pt>
                <c:pt idx="83">
                  <c:v>0.79900000000000659</c:v>
                </c:pt>
                <c:pt idx="84">
                  <c:v>0.87399999999999523</c:v>
                </c:pt>
                <c:pt idx="85">
                  <c:v>1.0100000000000051</c:v>
                </c:pt>
                <c:pt idx="86">
                  <c:v>1.097999999999999</c:v>
                </c:pt>
                <c:pt idx="87">
                  <c:v>1.1659999999999968</c:v>
                </c:pt>
                <c:pt idx="88">
                  <c:v>1.4050000000000011</c:v>
                </c:pt>
                <c:pt idx="89">
                  <c:v>1.4080000000000013</c:v>
                </c:pt>
                <c:pt idx="90">
                  <c:v>1.097999999999999</c:v>
                </c:pt>
                <c:pt idx="91">
                  <c:v>1.3499999999999943</c:v>
                </c:pt>
                <c:pt idx="92">
                  <c:v>1.9250000000000114</c:v>
                </c:pt>
                <c:pt idx="93">
                  <c:v>3.3950000000000102</c:v>
                </c:pt>
                <c:pt idx="94">
                  <c:v>1.8599999999999994</c:v>
                </c:pt>
                <c:pt idx="95">
                  <c:v>2.8149999999999977</c:v>
                </c:pt>
                <c:pt idx="96">
                  <c:v>3.4629999999999939</c:v>
                </c:pt>
                <c:pt idx="97">
                  <c:v>2.5379999999999967</c:v>
                </c:pt>
                <c:pt idx="98">
                  <c:v>2.3880000000000052</c:v>
                </c:pt>
                <c:pt idx="99">
                  <c:v>2.9980000000000047</c:v>
                </c:pt>
                <c:pt idx="100">
                  <c:v>0.61199999999999477</c:v>
                </c:pt>
                <c:pt idx="101">
                  <c:v>0.70300000000000296</c:v>
                </c:pt>
                <c:pt idx="102">
                  <c:v>0.71399999999999864</c:v>
                </c:pt>
                <c:pt idx="103">
                  <c:v>0.82099999999999795</c:v>
                </c:pt>
                <c:pt idx="104">
                  <c:v>0.86599999999999966</c:v>
                </c:pt>
                <c:pt idx="105">
                  <c:v>0.81400000000000716</c:v>
                </c:pt>
                <c:pt idx="106">
                  <c:v>0.83299999999999841</c:v>
                </c:pt>
                <c:pt idx="107">
                  <c:v>0.99099999999999966</c:v>
                </c:pt>
                <c:pt idx="108">
                  <c:v>1.0300000000000011</c:v>
                </c:pt>
                <c:pt idx="109">
                  <c:v>0.97800000000000153</c:v>
                </c:pt>
                <c:pt idx="110">
                  <c:v>1.0930000000000035</c:v>
                </c:pt>
                <c:pt idx="111">
                  <c:v>1.2539999999999978</c:v>
                </c:pt>
                <c:pt idx="112">
                  <c:v>1.2950000000000017</c:v>
                </c:pt>
                <c:pt idx="113">
                  <c:v>1.2040000000000006</c:v>
                </c:pt>
                <c:pt idx="114">
                  <c:v>1.1629999999999967</c:v>
                </c:pt>
                <c:pt idx="115">
                  <c:v>1.046999999999997</c:v>
                </c:pt>
                <c:pt idx="116">
                  <c:v>1.2490000000000023</c:v>
                </c:pt>
                <c:pt idx="117">
                  <c:v>1.1159999999999997</c:v>
                </c:pt>
                <c:pt idx="118">
                  <c:v>1.1950000000000003</c:v>
                </c:pt>
                <c:pt idx="119">
                  <c:v>1.1310000000000002</c:v>
                </c:pt>
                <c:pt idx="120">
                  <c:v>1.1879999999999953</c:v>
                </c:pt>
                <c:pt idx="121">
                  <c:v>0.94900000000000517</c:v>
                </c:pt>
                <c:pt idx="122">
                  <c:v>0.92499999999999716</c:v>
                </c:pt>
                <c:pt idx="123">
                  <c:v>0.84100000000000108</c:v>
                </c:pt>
                <c:pt idx="124">
                  <c:v>0.74600000000000222</c:v>
                </c:pt>
                <c:pt idx="125">
                  <c:v>0.76999999999999602</c:v>
                </c:pt>
                <c:pt idx="126">
                  <c:v>0.5660000000000025</c:v>
                </c:pt>
                <c:pt idx="127">
                  <c:v>0.4930000000000021</c:v>
                </c:pt>
                <c:pt idx="128">
                  <c:v>0.31700000000000017</c:v>
                </c:pt>
                <c:pt idx="129">
                  <c:v>0.27400000000000091</c:v>
                </c:pt>
                <c:pt idx="130">
                  <c:v>0.242999999999995</c:v>
                </c:pt>
                <c:pt idx="131">
                  <c:v>0.2359999999999971</c:v>
                </c:pt>
                <c:pt idx="132">
                  <c:v>0.24799999999999756</c:v>
                </c:pt>
                <c:pt idx="133">
                  <c:v>0.14200000000000301</c:v>
                </c:pt>
                <c:pt idx="134">
                  <c:v>0.14999999999999858</c:v>
                </c:pt>
                <c:pt idx="135">
                  <c:v>0.10000000000000142</c:v>
                </c:pt>
                <c:pt idx="136">
                  <c:v>8.2999999999998408E-2</c:v>
                </c:pt>
                <c:pt idx="137">
                  <c:v>4.1000000000003922E-2</c:v>
                </c:pt>
                <c:pt idx="138">
                  <c:v>0.10500000000000398</c:v>
                </c:pt>
                <c:pt idx="139">
                  <c:v>7.0999999999997954E-2</c:v>
                </c:pt>
                <c:pt idx="140">
                  <c:v>0.47299999999999898</c:v>
                </c:pt>
                <c:pt idx="141">
                  <c:v>1.0670000000000002</c:v>
                </c:pt>
                <c:pt idx="142">
                  <c:v>0.37299999999999756</c:v>
                </c:pt>
                <c:pt idx="143">
                  <c:v>0.2780000000000058</c:v>
                </c:pt>
                <c:pt idx="144">
                  <c:v>0.11599999999999966</c:v>
                </c:pt>
                <c:pt idx="145">
                  <c:v>0.1840000000000046</c:v>
                </c:pt>
                <c:pt idx="146">
                  <c:v>0.29999999999999716</c:v>
                </c:pt>
                <c:pt idx="147">
                  <c:v>0.40399999999999636</c:v>
                </c:pt>
                <c:pt idx="148">
                  <c:v>0.51500000000000057</c:v>
                </c:pt>
                <c:pt idx="149">
                  <c:v>0.56799999999999784</c:v>
                </c:pt>
                <c:pt idx="150">
                  <c:v>0.61700000000000443</c:v>
                </c:pt>
                <c:pt idx="151">
                  <c:v>0.742999999999995</c:v>
                </c:pt>
                <c:pt idx="152">
                  <c:v>0.867999999999995</c:v>
                </c:pt>
                <c:pt idx="153">
                  <c:v>0.81799999999999784</c:v>
                </c:pt>
                <c:pt idx="154">
                  <c:v>0.96500000000000341</c:v>
                </c:pt>
                <c:pt idx="155">
                  <c:v>1.0769999999999982</c:v>
                </c:pt>
                <c:pt idx="156">
                  <c:v>0.83400000000000318</c:v>
                </c:pt>
                <c:pt idx="157">
                  <c:v>0.72200000000000131</c:v>
                </c:pt>
                <c:pt idx="158">
                  <c:v>0.50099999999999767</c:v>
                </c:pt>
                <c:pt idx="159">
                  <c:v>0.41799999999999926</c:v>
                </c:pt>
                <c:pt idx="160">
                  <c:v>0.11500000000000199</c:v>
                </c:pt>
                <c:pt idx="161">
                  <c:v>0.16100000000000136</c:v>
                </c:pt>
                <c:pt idx="162">
                  <c:v>0.15700000000000003</c:v>
                </c:pt>
                <c:pt idx="163">
                  <c:v>0.20700000000000074</c:v>
                </c:pt>
                <c:pt idx="164">
                  <c:v>0.35199999999999676</c:v>
                </c:pt>
                <c:pt idx="165">
                  <c:v>0.57999999999999829</c:v>
                </c:pt>
                <c:pt idx="166">
                  <c:v>0.67800000000000082</c:v>
                </c:pt>
                <c:pt idx="167">
                  <c:v>0.79100000000000037</c:v>
                </c:pt>
                <c:pt idx="168">
                  <c:v>0.68299999999999983</c:v>
                </c:pt>
                <c:pt idx="169">
                  <c:v>0.4220000000000006</c:v>
                </c:pt>
                <c:pt idx="170">
                  <c:v>0.39100000000000179</c:v>
                </c:pt>
                <c:pt idx="171">
                  <c:v>0.35600000000000165</c:v>
                </c:pt>
                <c:pt idx="172">
                  <c:v>8.2000000000000739E-2</c:v>
                </c:pt>
                <c:pt idx="173">
                  <c:v>0.10500000000000043</c:v>
                </c:pt>
                <c:pt idx="174">
                  <c:v>0.14399999999999835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7-4081-AAEC-375BF0A1713B}"/>
            </c:ext>
          </c:extLst>
        </c:ser>
        <c:ser>
          <c:idx val="2"/>
          <c:order val="2"/>
          <c:tx>
            <c:v>Overlap</c:v>
          </c:tx>
          <c:spPr>
            <a:solidFill>
              <a:srgbClr val="858144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data_co2_excLUC!$G$3:$G$177</c:f>
              <c:numCache>
                <c:formatCode>0.0</c:formatCode>
                <c:ptCount val="1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7-4081-AAEC-375BF0A1713B}"/>
            </c:ext>
          </c:extLst>
        </c:ser>
        <c:ser>
          <c:idx val="3"/>
          <c:order val="3"/>
          <c:tx>
            <c:v>_AI_Gap</c:v>
          </c:tx>
          <c:spPr>
            <a:solidFill>
              <a:srgbClr val="FFFFFF">
                <a:alpha val="1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data_co2_excLUC!$H$3:$H$177</c:f>
              <c:numCache>
                <c:formatCode>0.0</c:formatCode>
                <c:ptCount val="175"/>
                <c:pt idx="0">
                  <c:v>1.6260000000000048</c:v>
                </c:pt>
                <c:pt idx="1">
                  <c:v>1.8569999999999993</c:v>
                </c:pt>
                <c:pt idx="2">
                  <c:v>2.1089999999999947</c:v>
                </c:pt>
                <c:pt idx="3">
                  <c:v>2.144999999999996</c:v>
                </c:pt>
                <c:pt idx="4">
                  <c:v>2.0190000000000055</c:v>
                </c:pt>
                <c:pt idx="5">
                  <c:v>2.342000000000013</c:v>
                </c:pt>
                <c:pt idx="6">
                  <c:v>2.1830000000000069</c:v>
                </c:pt>
                <c:pt idx="7">
                  <c:v>2.230000000000004</c:v>
                </c:pt>
                <c:pt idx="8">
                  <c:v>2.4699999999999989</c:v>
                </c:pt>
                <c:pt idx="9">
                  <c:v>2.3419999999999987</c:v>
                </c:pt>
                <c:pt idx="10">
                  <c:v>2.3370000000000033</c:v>
                </c:pt>
                <c:pt idx="11">
                  <c:v>2.4939999999999998</c:v>
                </c:pt>
                <c:pt idx="12">
                  <c:v>2.9420000000000073</c:v>
                </c:pt>
                <c:pt idx="13">
                  <c:v>3.313999999999993</c:v>
                </c:pt>
                <c:pt idx="14">
                  <c:v>3.429000000000002</c:v>
                </c:pt>
                <c:pt idx="15">
                  <c:v>3.6410000000000053</c:v>
                </c:pt>
                <c:pt idx="16">
                  <c:v>3.9200000000000017</c:v>
                </c:pt>
                <c:pt idx="17">
                  <c:v>4.257000000000005</c:v>
                </c:pt>
                <c:pt idx="18">
                  <c:v>4.5110000000000099</c:v>
                </c:pt>
                <c:pt idx="19">
                  <c:v>4.7210000000000036</c:v>
                </c:pt>
                <c:pt idx="20">
                  <c:v>5.0039999999999907</c:v>
                </c:pt>
                <c:pt idx="21">
                  <c:v>5.5130000000000052</c:v>
                </c:pt>
                <c:pt idx="22">
                  <c:v>5.2860000000000014</c:v>
                </c:pt>
                <c:pt idx="23">
                  <c:v>5.2650000000000006</c:v>
                </c:pt>
                <c:pt idx="24">
                  <c:v>6.1189999999999998</c:v>
                </c:pt>
                <c:pt idx="25">
                  <c:v>5.8850000000000051</c:v>
                </c:pt>
                <c:pt idx="26">
                  <c:v>7.1700000000000017</c:v>
                </c:pt>
                <c:pt idx="27">
                  <c:v>7.0430000000000064</c:v>
                </c:pt>
                <c:pt idx="28">
                  <c:v>7.3800000000000097</c:v>
                </c:pt>
                <c:pt idx="29">
                  <c:v>7.3380000000000081</c:v>
                </c:pt>
                <c:pt idx="30">
                  <c:v>6.8099999999999881</c:v>
                </c:pt>
                <c:pt idx="31">
                  <c:v>6.8130000000000024</c:v>
                </c:pt>
                <c:pt idx="32">
                  <c:v>6.6850000000000023</c:v>
                </c:pt>
                <c:pt idx="33">
                  <c:v>6.9380000000000024</c:v>
                </c:pt>
                <c:pt idx="34">
                  <c:v>7.0669999999999931</c:v>
                </c:pt>
                <c:pt idx="35">
                  <c:v>7.3909999999999911</c:v>
                </c:pt>
                <c:pt idx="36">
                  <c:v>7.5409999999999968</c:v>
                </c:pt>
                <c:pt idx="37">
                  <c:v>7.4779999999999944</c:v>
                </c:pt>
                <c:pt idx="38">
                  <c:v>7.2269999999999897</c:v>
                </c:pt>
                <c:pt idx="39">
                  <c:v>7.7469999999999999</c:v>
                </c:pt>
                <c:pt idx="40">
                  <c:v>7.7069999999999936</c:v>
                </c:pt>
                <c:pt idx="41">
                  <c:v>7.8680000000000092</c:v>
                </c:pt>
                <c:pt idx="42">
                  <c:v>7.7950000000000017</c:v>
                </c:pt>
                <c:pt idx="43">
                  <c:v>8.5019999999999953</c:v>
                </c:pt>
                <c:pt idx="44">
                  <c:v>8.3009999999999877</c:v>
                </c:pt>
                <c:pt idx="45">
                  <c:v>8.5379999999999967</c:v>
                </c:pt>
                <c:pt idx="46">
                  <c:v>8.6260000000000048</c:v>
                </c:pt>
                <c:pt idx="47">
                  <c:v>8.9060000000000059</c:v>
                </c:pt>
                <c:pt idx="48">
                  <c:v>9.1650000000000063</c:v>
                </c:pt>
                <c:pt idx="49">
                  <c:v>8.9510000000000076</c:v>
                </c:pt>
                <c:pt idx="50">
                  <c:v>9.0049999999999955</c:v>
                </c:pt>
                <c:pt idx="51">
                  <c:v>9.2720000000000056</c:v>
                </c:pt>
                <c:pt idx="52">
                  <c:v>8.8870000000000005</c:v>
                </c:pt>
                <c:pt idx="53">
                  <c:v>8.3289999999999935</c:v>
                </c:pt>
                <c:pt idx="54">
                  <c:v>8.6630000000000109</c:v>
                </c:pt>
                <c:pt idx="55">
                  <c:v>8.0630000000000024</c:v>
                </c:pt>
                <c:pt idx="56">
                  <c:v>8.1499999999999915</c:v>
                </c:pt>
                <c:pt idx="57">
                  <c:v>7.840999999999994</c:v>
                </c:pt>
                <c:pt idx="58">
                  <c:v>8.5930000000000035</c:v>
                </c:pt>
                <c:pt idx="59">
                  <c:v>8.4299999999999926</c:v>
                </c:pt>
                <c:pt idx="60">
                  <c:v>7.8920000000000101</c:v>
                </c:pt>
                <c:pt idx="61">
                  <c:v>8.3379999999999939</c:v>
                </c:pt>
                <c:pt idx="62">
                  <c:v>8.4689999999999941</c:v>
                </c:pt>
                <c:pt idx="63">
                  <c:v>8.2150000000000034</c:v>
                </c:pt>
                <c:pt idx="64">
                  <c:v>8.0039999999999907</c:v>
                </c:pt>
                <c:pt idx="65">
                  <c:v>7.9150000000000063</c:v>
                </c:pt>
                <c:pt idx="66">
                  <c:v>7.875</c:v>
                </c:pt>
                <c:pt idx="67">
                  <c:v>7.5419999999999874</c:v>
                </c:pt>
                <c:pt idx="68">
                  <c:v>5.2830000000000013</c:v>
                </c:pt>
                <c:pt idx="69">
                  <c:v>2.5160000000000053</c:v>
                </c:pt>
                <c:pt idx="70">
                  <c:v>4.0500000000000114</c:v>
                </c:pt>
                <c:pt idx="71">
                  <c:v>4.7309999999999945</c:v>
                </c:pt>
                <c:pt idx="72">
                  <c:v>4.6269999999999953</c:v>
                </c:pt>
                <c:pt idx="73">
                  <c:v>3.8530000000000086</c:v>
                </c:pt>
                <c:pt idx="74">
                  <c:v>4.2670000000000101</c:v>
                </c:pt>
                <c:pt idx="75">
                  <c:v>4.1859999999999928</c:v>
                </c:pt>
                <c:pt idx="76">
                  <c:v>5.2390000000000043</c:v>
                </c:pt>
                <c:pt idx="77">
                  <c:v>5.7110000000000127</c:v>
                </c:pt>
                <c:pt idx="78">
                  <c:v>5.7780000000000058</c:v>
                </c:pt>
                <c:pt idx="79">
                  <c:v>5.8210000000000122</c:v>
                </c:pt>
                <c:pt idx="80">
                  <c:v>6.3979999999999961</c:v>
                </c:pt>
                <c:pt idx="81">
                  <c:v>7.9619999999999891</c:v>
                </c:pt>
                <c:pt idx="82">
                  <c:v>8.9619999999999891</c:v>
                </c:pt>
                <c:pt idx="83">
                  <c:v>9.0150000000000006</c:v>
                </c:pt>
                <c:pt idx="84">
                  <c:v>9.5240000000000009</c:v>
                </c:pt>
                <c:pt idx="85">
                  <c:v>9.7929999999999922</c:v>
                </c:pt>
                <c:pt idx="86">
                  <c:v>9.9450000000000074</c:v>
                </c:pt>
                <c:pt idx="87">
                  <c:v>9.5690000000000026</c:v>
                </c:pt>
                <c:pt idx="88">
                  <c:v>10.678999999999988</c:v>
                </c:pt>
                <c:pt idx="89">
                  <c:v>10.012</c:v>
                </c:pt>
                <c:pt idx="90">
                  <c:v>13.378</c:v>
                </c:pt>
                <c:pt idx="91">
                  <c:v>11.762</c:v>
                </c:pt>
                <c:pt idx="92">
                  <c:v>9.3909999999999911</c:v>
                </c:pt>
                <c:pt idx="93">
                  <c:v>9.367999999999995</c:v>
                </c:pt>
                <c:pt idx="94">
                  <c:v>10.192999999999998</c:v>
                </c:pt>
                <c:pt idx="95">
                  <c:v>8.0529999999999973</c:v>
                </c:pt>
                <c:pt idx="96">
                  <c:v>8.5430000000000064</c:v>
                </c:pt>
                <c:pt idx="97">
                  <c:v>9.6850000000000023</c:v>
                </c:pt>
                <c:pt idx="98">
                  <c:v>10.009</c:v>
                </c:pt>
                <c:pt idx="99">
                  <c:v>11.530999999999992</c:v>
                </c:pt>
                <c:pt idx="100">
                  <c:v>14.155000000000001</c:v>
                </c:pt>
                <c:pt idx="101">
                  <c:v>14.25</c:v>
                </c:pt>
                <c:pt idx="102">
                  <c:v>15.177999999999997</c:v>
                </c:pt>
                <c:pt idx="103">
                  <c:v>15.703000000000003</c:v>
                </c:pt>
                <c:pt idx="104">
                  <c:v>16.679999999999993</c:v>
                </c:pt>
                <c:pt idx="105">
                  <c:v>17.027000000000001</c:v>
                </c:pt>
                <c:pt idx="106">
                  <c:v>17.426000000000002</c:v>
                </c:pt>
                <c:pt idx="107">
                  <c:v>18.305000000000007</c:v>
                </c:pt>
                <c:pt idx="108">
                  <c:v>18.771000000000001</c:v>
                </c:pt>
                <c:pt idx="109">
                  <c:v>18.821999999999996</c:v>
                </c:pt>
                <c:pt idx="110">
                  <c:v>18.537000000000006</c:v>
                </c:pt>
                <c:pt idx="111">
                  <c:v>19.099000000000004</c:v>
                </c:pt>
                <c:pt idx="112">
                  <c:v>19.411999999999999</c:v>
                </c:pt>
                <c:pt idx="113">
                  <c:v>19.765999999999998</c:v>
                </c:pt>
                <c:pt idx="114">
                  <c:v>20.108000000000004</c:v>
                </c:pt>
                <c:pt idx="115">
                  <c:v>20.296000000000006</c:v>
                </c:pt>
                <c:pt idx="116">
                  <c:v>20.146999999999991</c:v>
                </c:pt>
                <c:pt idx="117">
                  <c:v>20.565999999999995</c:v>
                </c:pt>
                <c:pt idx="118">
                  <c:v>20.116</c:v>
                </c:pt>
                <c:pt idx="119">
                  <c:v>19.836000000000006</c:v>
                </c:pt>
                <c:pt idx="120">
                  <c:v>19.274999999999999</c:v>
                </c:pt>
                <c:pt idx="121">
                  <c:v>19.625999999999991</c:v>
                </c:pt>
                <c:pt idx="122">
                  <c:v>19.763000000000005</c:v>
                </c:pt>
                <c:pt idx="123">
                  <c:v>19.661000000000001</c:v>
                </c:pt>
                <c:pt idx="124">
                  <c:v>20.381</c:v>
                </c:pt>
                <c:pt idx="125">
                  <c:v>21.405000000000008</c:v>
                </c:pt>
                <c:pt idx="126">
                  <c:v>21.403999999999996</c:v>
                </c:pt>
                <c:pt idx="127">
                  <c:v>21.616999999999997</c:v>
                </c:pt>
                <c:pt idx="128">
                  <c:v>21.597000000000008</c:v>
                </c:pt>
                <c:pt idx="129">
                  <c:v>21.188999999999993</c:v>
                </c:pt>
                <c:pt idx="130">
                  <c:v>22.014000000000003</c:v>
                </c:pt>
                <c:pt idx="131">
                  <c:v>22.045000000000002</c:v>
                </c:pt>
                <c:pt idx="132">
                  <c:v>22.599000000000004</c:v>
                </c:pt>
                <c:pt idx="133">
                  <c:v>22.672000000000004</c:v>
                </c:pt>
                <c:pt idx="134">
                  <c:v>22.231000000000002</c:v>
                </c:pt>
                <c:pt idx="135">
                  <c:v>22.797999999999995</c:v>
                </c:pt>
                <c:pt idx="136">
                  <c:v>22.661000000000001</c:v>
                </c:pt>
                <c:pt idx="137">
                  <c:v>22.170999999999999</c:v>
                </c:pt>
                <c:pt idx="138">
                  <c:v>21.429000000000002</c:v>
                </c:pt>
                <c:pt idx="139">
                  <c:v>20.799999999999997</c:v>
                </c:pt>
                <c:pt idx="140">
                  <c:v>19.942</c:v>
                </c:pt>
                <c:pt idx="141">
                  <c:v>17.814</c:v>
                </c:pt>
                <c:pt idx="142">
                  <c:v>16.448999999999998</c:v>
                </c:pt>
                <c:pt idx="143">
                  <c:v>15.474999999999994</c:v>
                </c:pt>
                <c:pt idx="144">
                  <c:v>13.998999999999995</c:v>
                </c:pt>
                <c:pt idx="145">
                  <c:v>13.396999999999998</c:v>
                </c:pt>
                <c:pt idx="146">
                  <c:v>12.764000000000003</c:v>
                </c:pt>
                <c:pt idx="147">
                  <c:v>12.012999999999998</c:v>
                </c:pt>
                <c:pt idx="148">
                  <c:v>11.603000000000002</c:v>
                </c:pt>
                <c:pt idx="149">
                  <c:v>11.055999999999997</c:v>
                </c:pt>
                <c:pt idx="150">
                  <c:v>10.625</c:v>
                </c:pt>
                <c:pt idx="151">
                  <c:v>10.585999999999999</c:v>
                </c:pt>
                <c:pt idx="152">
                  <c:v>10.085000000000001</c:v>
                </c:pt>
                <c:pt idx="153">
                  <c:v>9.9189999999999969</c:v>
                </c:pt>
                <c:pt idx="154">
                  <c:v>9.4759999999999991</c:v>
                </c:pt>
                <c:pt idx="155">
                  <c:v>9.115000000000002</c:v>
                </c:pt>
                <c:pt idx="156">
                  <c:v>9.4739999999999966</c:v>
                </c:pt>
                <c:pt idx="157">
                  <c:v>9.4770000000000039</c:v>
                </c:pt>
                <c:pt idx="158">
                  <c:v>9.5619999999999976</c:v>
                </c:pt>
                <c:pt idx="159">
                  <c:v>9.1049999999999969</c:v>
                </c:pt>
                <c:pt idx="160">
                  <c:v>9.3810000000000002</c:v>
                </c:pt>
                <c:pt idx="161">
                  <c:v>9.286999999999999</c:v>
                </c:pt>
                <c:pt idx="162">
                  <c:v>9.1509999999999998</c:v>
                </c:pt>
                <c:pt idx="163">
                  <c:v>8.6929999999999978</c:v>
                </c:pt>
                <c:pt idx="164">
                  <c:v>8.3410000000000011</c:v>
                </c:pt>
                <c:pt idx="165">
                  <c:v>8.0329999999999977</c:v>
                </c:pt>
                <c:pt idx="166">
                  <c:v>8.0059999999999967</c:v>
                </c:pt>
                <c:pt idx="167">
                  <c:v>7.9199999999999982</c:v>
                </c:pt>
                <c:pt idx="168">
                  <c:v>8.0069999999999979</c:v>
                </c:pt>
                <c:pt idx="169">
                  <c:v>8.0659999999999989</c:v>
                </c:pt>
                <c:pt idx="170">
                  <c:v>8.1189999999999998</c:v>
                </c:pt>
                <c:pt idx="171">
                  <c:v>8.1519999999999975</c:v>
                </c:pt>
                <c:pt idx="172">
                  <c:v>8.0729999999999968</c:v>
                </c:pt>
                <c:pt idx="173">
                  <c:v>7.9089999999999989</c:v>
                </c:pt>
                <c:pt idx="174">
                  <c:v>7.9039999999999999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47-4081-AAEC-375BF0A1713B}"/>
            </c:ext>
          </c:extLst>
        </c:ser>
        <c:ser>
          <c:idx val="4"/>
          <c:order val="4"/>
          <c:tx>
            <c:v>Annex I</c:v>
          </c:tx>
          <c:spPr>
            <a:solidFill>
              <a:srgbClr val="1A8A9E">
                <a:alpha val="50000"/>
              </a:srgbClr>
            </a:solidFill>
            <a:ln w="25400">
              <a:noFill/>
            </a:ln>
          </c:spP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data_co2_excLUC!$Q$3:$Q$177</c:f>
              <c:numCache>
                <c:formatCode>0.0</c:formatCode>
                <c:ptCount val="175"/>
                <c:pt idx="0">
                  <c:v>3.4999999999996589E-2</c:v>
                </c:pt>
                <c:pt idx="1">
                  <c:v>3.3999999999991815E-2</c:v>
                </c:pt>
                <c:pt idx="2">
                  <c:v>6.3000000000002387E-2</c:v>
                </c:pt>
                <c:pt idx="3">
                  <c:v>2.8000000000005798E-2</c:v>
                </c:pt>
                <c:pt idx="4">
                  <c:v>2.5000000000005684E-2</c:v>
                </c:pt>
                <c:pt idx="5">
                  <c:v>4.5999999999992269E-2</c:v>
                </c:pt>
                <c:pt idx="6">
                  <c:v>0.31099999999999284</c:v>
                </c:pt>
                <c:pt idx="7">
                  <c:v>0.41200000000000614</c:v>
                </c:pt>
                <c:pt idx="8">
                  <c:v>0.44700000000000273</c:v>
                </c:pt>
                <c:pt idx="9">
                  <c:v>0.34099999999999397</c:v>
                </c:pt>
                <c:pt idx="10">
                  <c:v>0.38499999999999091</c:v>
                </c:pt>
                <c:pt idx="11">
                  <c:v>0.38700000000000045</c:v>
                </c:pt>
                <c:pt idx="12">
                  <c:v>0.40600000000000591</c:v>
                </c:pt>
                <c:pt idx="13">
                  <c:v>0.34199999999999875</c:v>
                </c:pt>
                <c:pt idx="14">
                  <c:v>0.42400000000000659</c:v>
                </c:pt>
                <c:pt idx="15">
                  <c:v>0.44199999999999307</c:v>
                </c:pt>
                <c:pt idx="16">
                  <c:v>0.54299999999999216</c:v>
                </c:pt>
                <c:pt idx="17">
                  <c:v>0.39000000000000057</c:v>
                </c:pt>
                <c:pt idx="18">
                  <c:v>0.41700000000000159</c:v>
                </c:pt>
                <c:pt idx="19">
                  <c:v>0.33899999999999864</c:v>
                </c:pt>
                <c:pt idx="20">
                  <c:v>0.31000000000000227</c:v>
                </c:pt>
                <c:pt idx="21">
                  <c:v>0.28700000000000614</c:v>
                </c:pt>
                <c:pt idx="22">
                  <c:v>0.36299999999999955</c:v>
                </c:pt>
                <c:pt idx="23">
                  <c:v>0.37099999999999511</c:v>
                </c:pt>
                <c:pt idx="24">
                  <c:v>0.44899999999999807</c:v>
                </c:pt>
                <c:pt idx="25">
                  <c:v>0.32899999999999352</c:v>
                </c:pt>
                <c:pt idx="26">
                  <c:v>0.29399999999999693</c:v>
                </c:pt>
                <c:pt idx="27">
                  <c:v>0.25699999999999079</c:v>
                </c:pt>
                <c:pt idx="28">
                  <c:v>0.49499999999999034</c:v>
                </c:pt>
                <c:pt idx="29">
                  <c:v>0.4789999999999992</c:v>
                </c:pt>
                <c:pt idx="30">
                  <c:v>0.46300000000000807</c:v>
                </c:pt>
                <c:pt idx="31">
                  <c:v>0.47400000000000375</c:v>
                </c:pt>
                <c:pt idx="32">
                  <c:v>0.45899999999998897</c:v>
                </c:pt>
                <c:pt idx="33">
                  <c:v>0.45099999999999341</c:v>
                </c:pt>
                <c:pt idx="34">
                  <c:v>0.49500000000000455</c:v>
                </c:pt>
                <c:pt idx="35">
                  <c:v>0.50900000000000034</c:v>
                </c:pt>
                <c:pt idx="36">
                  <c:v>0.4690000000000083</c:v>
                </c:pt>
                <c:pt idx="37">
                  <c:v>0.41500000000000625</c:v>
                </c:pt>
                <c:pt idx="38">
                  <c:v>0.49399999999999977</c:v>
                </c:pt>
                <c:pt idx="39">
                  <c:v>0.52600000000001046</c:v>
                </c:pt>
                <c:pt idx="40">
                  <c:v>0.43300000000000693</c:v>
                </c:pt>
                <c:pt idx="41">
                  <c:v>0.46800000000000352</c:v>
                </c:pt>
                <c:pt idx="42">
                  <c:v>0.4789999999999992</c:v>
                </c:pt>
                <c:pt idx="43">
                  <c:v>0.45900000000000318</c:v>
                </c:pt>
                <c:pt idx="44">
                  <c:v>0.5350000000000108</c:v>
                </c:pt>
                <c:pt idx="45">
                  <c:v>0.44900000000001228</c:v>
                </c:pt>
                <c:pt idx="46">
                  <c:v>0.4620000000000033</c:v>
                </c:pt>
                <c:pt idx="47">
                  <c:v>0.43800000000000239</c:v>
                </c:pt>
                <c:pt idx="48">
                  <c:v>0.43500000000000227</c:v>
                </c:pt>
                <c:pt idx="49">
                  <c:v>0.42299999999998761</c:v>
                </c:pt>
                <c:pt idx="50">
                  <c:v>0.38700000000000045</c:v>
                </c:pt>
                <c:pt idx="51">
                  <c:v>0.20900000000000318</c:v>
                </c:pt>
                <c:pt idx="52">
                  <c:v>0.18700000000001182</c:v>
                </c:pt>
                <c:pt idx="53">
                  <c:v>0.13000000000000966</c:v>
                </c:pt>
                <c:pt idx="54">
                  <c:v>0.10599999999999454</c:v>
                </c:pt>
                <c:pt idx="55">
                  <c:v>0.17100000000000648</c:v>
                </c:pt>
                <c:pt idx="56">
                  <c:v>0.40400000000001057</c:v>
                </c:pt>
                <c:pt idx="57">
                  <c:v>0.38100000000000023</c:v>
                </c:pt>
                <c:pt idx="58">
                  <c:v>0.20100000000000762</c:v>
                </c:pt>
                <c:pt idx="59">
                  <c:v>0.33400000000000318</c:v>
                </c:pt>
                <c:pt idx="60">
                  <c:v>0.34499999999999886</c:v>
                </c:pt>
                <c:pt idx="61">
                  <c:v>9.0000000000003411E-2</c:v>
                </c:pt>
                <c:pt idx="62">
                  <c:v>0.37000000000000455</c:v>
                </c:pt>
                <c:pt idx="63">
                  <c:v>0.48399999999999466</c:v>
                </c:pt>
                <c:pt idx="64">
                  <c:v>0.3960000000000008</c:v>
                </c:pt>
                <c:pt idx="65">
                  <c:v>0.23799999999999955</c:v>
                </c:pt>
                <c:pt idx="66">
                  <c:v>0.32799999999998875</c:v>
                </c:pt>
                <c:pt idx="67">
                  <c:v>0.36500000000000909</c:v>
                </c:pt>
                <c:pt idx="68">
                  <c:v>0.41599999999999682</c:v>
                </c:pt>
                <c:pt idx="69">
                  <c:v>0.50099999999999056</c:v>
                </c:pt>
                <c:pt idx="70">
                  <c:v>0.56399999999999295</c:v>
                </c:pt>
                <c:pt idx="71">
                  <c:v>0.60600000000000875</c:v>
                </c:pt>
                <c:pt idx="72">
                  <c:v>0.507000000000005</c:v>
                </c:pt>
                <c:pt idx="73">
                  <c:v>0.40699999999999648</c:v>
                </c:pt>
                <c:pt idx="74">
                  <c:v>0.367999999999995</c:v>
                </c:pt>
                <c:pt idx="75">
                  <c:v>0.31400000000000716</c:v>
                </c:pt>
                <c:pt idx="76">
                  <c:v>3.7999999999996703E-2</c:v>
                </c:pt>
                <c:pt idx="77">
                  <c:v>5.5999999999997385E-2</c:v>
                </c:pt>
                <c:pt idx="78">
                  <c:v>0.44700000000000273</c:v>
                </c:pt>
                <c:pt idx="79">
                  <c:v>0.63199999999999079</c:v>
                </c:pt>
                <c:pt idx="80">
                  <c:v>0.90999999999999659</c:v>
                </c:pt>
                <c:pt idx="81">
                  <c:v>0.85600000000000875</c:v>
                </c:pt>
                <c:pt idx="82">
                  <c:v>0.87400000000000944</c:v>
                </c:pt>
                <c:pt idx="83">
                  <c:v>0.88499999999999091</c:v>
                </c:pt>
                <c:pt idx="84">
                  <c:v>0.97100000000000364</c:v>
                </c:pt>
                <c:pt idx="85">
                  <c:v>1.1300000000000097</c:v>
                </c:pt>
                <c:pt idx="86">
                  <c:v>1.2119999999999891</c:v>
                </c:pt>
                <c:pt idx="87">
                  <c:v>1.2939999999999969</c:v>
                </c:pt>
                <c:pt idx="88">
                  <c:v>1.5690000000000026</c:v>
                </c:pt>
                <c:pt idx="89">
                  <c:v>1.6019999999999897</c:v>
                </c:pt>
                <c:pt idx="90">
                  <c:v>1.2439999999999998</c:v>
                </c:pt>
                <c:pt idx="91">
                  <c:v>1.4310000000000116</c:v>
                </c:pt>
                <c:pt idx="92">
                  <c:v>0.98700000000000898</c:v>
                </c:pt>
                <c:pt idx="93">
                  <c:v>1.4899999999999949</c:v>
                </c:pt>
                <c:pt idx="94">
                  <c:v>1.8359999999999985</c:v>
                </c:pt>
                <c:pt idx="95">
                  <c:v>2.8310000000000031</c:v>
                </c:pt>
                <c:pt idx="96">
                  <c:v>3.722999999999999</c:v>
                </c:pt>
                <c:pt idx="97">
                  <c:v>2.664999999999992</c:v>
                </c:pt>
                <c:pt idx="98">
                  <c:v>2.4539999999999935</c:v>
                </c:pt>
                <c:pt idx="99">
                  <c:v>3.2280000000000086</c:v>
                </c:pt>
                <c:pt idx="100">
                  <c:v>0.20700000000000784</c:v>
                </c:pt>
                <c:pt idx="101">
                  <c:v>0.28400000000000603</c:v>
                </c:pt>
                <c:pt idx="102">
                  <c:v>0.2289999999999992</c:v>
                </c:pt>
                <c:pt idx="103">
                  <c:v>0.29699999999999704</c:v>
                </c:pt>
                <c:pt idx="104">
                  <c:v>0.3160000000000025</c:v>
                </c:pt>
                <c:pt idx="105">
                  <c:v>0.17399999999999238</c:v>
                </c:pt>
                <c:pt idx="106">
                  <c:v>0.14800000000001035</c:v>
                </c:pt>
                <c:pt idx="107">
                  <c:v>0.29200000000000159</c:v>
                </c:pt>
                <c:pt idx="108">
                  <c:v>0.31499999999999773</c:v>
                </c:pt>
                <c:pt idx="109">
                  <c:v>0.25199999999999534</c:v>
                </c:pt>
                <c:pt idx="110">
                  <c:v>0.31299999999998818</c:v>
                </c:pt>
                <c:pt idx="111">
                  <c:v>0.49099999999999966</c:v>
                </c:pt>
                <c:pt idx="112">
                  <c:v>0.57999999999999829</c:v>
                </c:pt>
                <c:pt idx="113">
                  <c:v>0.58799999999999386</c:v>
                </c:pt>
                <c:pt idx="114">
                  <c:v>0.48199999999999932</c:v>
                </c:pt>
                <c:pt idx="115">
                  <c:v>0.34799999999999898</c:v>
                </c:pt>
                <c:pt idx="116">
                  <c:v>0.49500000000000455</c:v>
                </c:pt>
                <c:pt idx="117">
                  <c:v>0.29699999999999704</c:v>
                </c:pt>
                <c:pt idx="118">
                  <c:v>0.41800000000000637</c:v>
                </c:pt>
                <c:pt idx="119">
                  <c:v>0.36199999999999477</c:v>
                </c:pt>
                <c:pt idx="120">
                  <c:v>0.44700000000000273</c:v>
                </c:pt>
                <c:pt idx="121">
                  <c:v>0.38400000000000034</c:v>
                </c:pt>
                <c:pt idx="122">
                  <c:v>0.28900000000000148</c:v>
                </c:pt>
                <c:pt idx="123">
                  <c:v>0.19199999999999307</c:v>
                </c:pt>
                <c:pt idx="124">
                  <c:v>0.20900000000000318</c:v>
                </c:pt>
                <c:pt idx="125">
                  <c:v>0.25699999999999079</c:v>
                </c:pt>
                <c:pt idx="126">
                  <c:v>6.7000000000007276E-2</c:v>
                </c:pt>
                <c:pt idx="127">
                  <c:v>2.2999999999996135E-2</c:v>
                </c:pt>
                <c:pt idx="128">
                  <c:v>0.14299999999998647</c:v>
                </c:pt>
                <c:pt idx="129">
                  <c:v>0.20400000000000773</c:v>
                </c:pt>
                <c:pt idx="130">
                  <c:v>0.24200000000000443</c:v>
                </c:pt>
                <c:pt idx="131">
                  <c:v>0.18299999999999272</c:v>
                </c:pt>
                <c:pt idx="132">
                  <c:v>0.27599999999999625</c:v>
                </c:pt>
                <c:pt idx="133">
                  <c:v>0.3539999999999992</c:v>
                </c:pt>
                <c:pt idx="134">
                  <c:v>0.31300000000000239</c:v>
                </c:pt>
                <c:pt idx="135">
                  <c:v>0.28800000000001091</c:v>
                </c:pt>
                <c:pt idx="136">
                  <c:v>0.40800000000000125</c:v>
                </c:pt>
                <c:pt idx="137">
                  <c:v>0.42499999999999716</c:v>
                </c:pt>
                <c:pt idx="138">
                  <c:v>0.54899999999999238</c:v>
                </c:pt>
                <c:pt idx="139">
                  <c:v>0.28000000000000114</c:v>
                </c:pt>
                <c:pt idx="140">
                  <c:v>0.66800000000000637</c:v>
                </c:pt>
                <c:pt idx="141">
                  <c:v>1.4959999999999951</c:v>
                </c:pt>
                <c:pt idx="142">
                  <c:v>0.49699999999999989</c:v>
                </c:pt>
                <c:pt idx="143">
                  <c:v>0.36500000000000199</c:v>
                </c:pt>
                <c:pt idx="144">
                  <c:v>0.14400000000000546</c:v>
                </c:pt>
                <c:pt idx="145">
                  <c:v>0.22999999999999687</c:v>
                </c:pt>
                <c:pt idx="146">
                  <c:v>0.37699999999999534</c:v>
                </c:pt>
                <c:pt idx="147">
                  <c:v>0.50600000000000023</c:v>
                </c:pt>
                <c:pt idx="148">
                  <c:v>0.64399999999999835</c:v>
                </c:pt>
                <c:pt idx="149">
                  <c:v>0.70400000000000063</c:v>
                </c:pt>
                <c:pt idx="150">
                  <c:v>0.76200000000000045</c:v>
                </c:pt>
                <c:pt idx="151">
                  <c:v>0.92300000000000182</c:v>
                </c:pt>
                <c:pt idx="152">
                  <c:v>1.0760000000000005</c:v>
                </c:pt>
                <c:pt idx="153">
                  <c:v>1.0190000000000055</c:v>
                </c:pt>
                <c:pt idx="154">
                  <c:v>1.2019999999999982</c:v>
                </c:pt>
                <c:pt idx="155">
                  <c:v>1.3439999999999941</c:v>
                </c:pt>
                <c:pt idx="156">
                  <c:v>1.0510000000000019</c:v>
                </c:pt>
                <c:pt idx="157">
                  <c:v>0.91100000000000136</c:v>
                </c:pt>
                <c:pt idx="158">
                  <c:v>0.63600000000000279</c:v>
                </c:pt>
                <c:pt idx="159">
                  <c:v>0.53300000000000125</c:v>
                </c:pt>
                <c:pt idx="160">
                  <c:v>0.14799999999999613</c:v>
                </c:pt>
                <c:pt idx="161">
                  <c:v>0.21000000000000085</c:v>
                </c:pt>
                <c:pt idx="162">
                  <c:v>0.20499999999999829</c:v>
                </c:pt>
                <c:pt idx="163">
                  <c:v>0.26900000000000546</c:v>
                </c:pt>
                <c:pt idx="164">
                  <c:v>0.45400000000000063</c:v>
                </c:pt>
                <c:pt idx="165">
                  <c:v>0.74600000000000222</c:v>
                </c:pt>
                <c:pt idx="166">
                  <c:v>0.87700000000000244</c:v>
                </c:pt>
                <c:pt idx="167">
                  <c:v>1.0320000000000036</c:v>
                </c:pt>
                <c:pt idx="168">
                  <c:v>0.89200000000000301</c:v>
                </c:pt>
                <c:pt idx="169">
                  <c:v>0.55499999999999972</c:v>
                </c:pt>
                <c:pt idx="170">
                  <c:v>0.5210000000000008</c:v>
                </c:pt>
                <c:pt idx="171">
                  <c:v>0.47500000000000142</c:v>
                </c:pt>
                <c:pt idx="172">
                  <c:v>0.12400000000000233</c:v>
                </c:pt>
                <c:pt idx="173">
                  <c:v>0.257000000000005</c:v>
                </c:pt>
                <c:pt idx="174">
                  <c:v>0.17900000000000205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47-4081-AAEC-375BF0A1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166751"/>
        <c:axId val="1513166271"/>
      </c:areaChart>
      <c:lineChart>
        <c:grouping val="standard"/>
        <c:varyColors val="0"/>
        <c:ser>
          <c:idx val="5"/>
          <c:order val="5"/>
          <c:tx>
            <c:strRef>
              <c:f>data_co2_excLUC!$I$2</c:f>
              <c:strCache>
                <c:ptCount val="1"/>
                <c:pt idx="0">
                  <c:v>pct_annex2_OWID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data_co2_excLUC!$I$3:$I$177</c:f>
              <c:numCache>
                <c:formatCode>0.0</c:formatCode>
                <c:ptCount val="175"/>
                <c:pt idx="0">
                  <c:v>98.268000000000001</c:v>
                </c:pt>
                <c:pt idx="1">
                  <c:v>98.066000000000003</c:v>
                </c:pt>
                <c:pt idx="2">
                  <c:v>97.757999999999996</c:v>
                </c:pt>
                <c:pt idx="3">
                  <c:v>97.801000000000002</c:v>
                </c:pt>
                <c:pt idx="4">
                  <c:v>97.953999999999994</c:v>
                </c:pt>
                <c:pt idx="5">
                  <c:v>97.475999999999999</c:v>
                </c:pt>
                <c:pt idx="6">
                  <c:v>97.216999999999999</c:v>
                </c:pt>
                <c:pt idx="7">
                  <c:v>96.972999999999999</c:v>
                </c:pt>
                <c:pt idx="8">
                  <c:v>96.397999999999996</c:v>
                </c:pt>
                <c:pt idx="9">
                  <c:v>96.656000000000006</c:v>
                </c:pt>
                <c:pt idx="10">
                  <c:v>96.593999999999994</c:v>
                </c:pt>
                <c:pt idx="11">
                  <c:v>96.483999999999995</c:v>
                </c:pt>
                <c:pt idx="12">
                  <c:v>95.983999999999995</c:v>
                </c:pt>
                <c:pt idx="13">
                  <c:v>95.741</c:v>
                </c:pt>
                <c:pt idx="14">
                  <c:v>95.492999999999995</c:v>
                </c:pt>
                <c:pt idx="15">
                  <c:v>95.259</c:v>
                </c:pt>
                <c:pt idx="16">
                  <c:v>94.727999999999994</c:v>
                </c:pt>
                <c:pt idx="17">
                  <c:v>94.671999999999997</c:v>
                </c:pt>
                <c:pt idx="18">
                  <c:v>94.361000000000004</c:v>
                </c:pt>
                <c:pt idx="19">
                  <c:v>94.28</c:v>
                </c:pt>
                <c:pt idx="20">
                  <c:v>94.021000000000001</c:v>
                </c:pt>
                <c:pt idx="21">
                  <c:v>93.509</c:v>
                </c:pt>
                <c:pt idx="22">
                  <c:v>93.6</c:v>
                </c:pt>
                <c:pt idx="23">
                  <c:v>93.611999999999995</c:v>
                </c:pt>
                <c:pt idx="24">
                  <c:v>92.56</c:v>
                </c:pt>
                <c:pt idx="25">
                  <c:v>93.018000000000001</c:v>
                </c:pt>
                <c:pt idx="26">
                  <c:v>91.801000000000002</c:v>
                </c:pt>
                <c:pt idx="27">
                  <c:v>92.003</c:v>
                </c:pt>
                <c:pt idx="28">
                  <c:v>91.158000000000001</c:v>
                </c:pt>
                <c:pt idx="29">
                  <c:v>91.262</c:v>
                </c:pt>
                <c:pt idx="30">
                  <c:v>91.789000000000001</c:v>
                </c:pt>
                <c:pt idx="31">
                  <c:v>91.805999999999997</c:v>
                </c:pt>
                <c:pt idx="32">
                  <c:v>91.93</c:v>
                </c:pt>
                <c:pt idx="33">
                  <c:v>91.66</c:v>
                </c:pt>
                <c:pt idx="34">
                  <c:v>91.41</c:v>
                </c:pt>
                <c:pt idx="35">
                  <c:v>91.057000000000002</c:v>
                </c:pt>
                <c:pt idx="36">
                  <c:v>90.965999999999994</c:v>
                </c:pt>
                <c:pt idx="37">
                  <c:v>91.016000000000005</c:v>
                </c:pt>
                <c:pt idx="38">
                  <c:v>91.15</c:v>
                </c:pt>
                <c:pt idx="39">
                  <c:v>90.403999999999996</c:v>
                </c:pt>
                <c:pt idx="40">
                  <c:v>90.638000000000005</c:v>
                </c:pt>
                <c:pt idx="41">
                  <c:v>90.367999999999995</c:v>
                </c:pt>
                <c:pt idx="42">
                  <c:v>90.293999999999997</c:v>
                </c:pt>
                <c:pt idx="43">
                  <c:v>89.370999999999995</c:v>
                </c:pt>
                <c:pt idx="44">
                  <c:v>89.367000000000004</c:v>
                </c:pt>
                <c:pt idx="45">
                  <c:v>89.093000000000004</c:v>
                </c:pt>
                <c:pt idx="46">
                  <c:v>88.887</c:v>
                </c:pt>
                <c:pt idx="47">
                  <c:v>88.570999999999998</c:v>
                </c:pt>
                <c:pt idx="48">
                  <c:v>88.147000000000006</c:v>
                </c:pt>
                <c:pt idx="49">
                  <c:v>88.412999999999997</c:v>
                </c:pt>
                <c:pt idx="50">
                  <c:v>88.507999999999996</c:v>
                </c:pt>
                <c:pt idx="51">
                  <c:v>88.201999999999998</c:v>
                </c:pt>
                <c:pt idx="52">
                  <c:v>88.525000000000006</c:v>
                </c:pt>
                <c:pt idx="53">
                  <c:v>89.111999999999995</c:v>
                </c:pt>
                <c:pt idx="54">
                  <c:v>88.593999999999994</c:v>
                </c:pt>
                <c:pt idx="55">
                  <c:v>89.125</c:v>
                </c:pt>
                <c:pt idx="56">
                  <c:v>88.572000000000003</c:v>
                </c:pt>
                <c:pt idx="57">
                  <c:v>88.257000000000005</c:v>
                </c:pt>
                <c:pt idx="58">
                  <c:v>87.215999999999994</c:v>
                </c:pt>
                <c:pt idx="59">
                  <c:v>87.29</c:v>
                </c:pt>
                <c:pt idx="60">
                  <c:v>87.822999999999993</c:v>
                </c:pt>
                <c:pt idx="61">
                  <c:v>87.372</c:v>
                </c:pt>
                <c:pt idx="62">
                  <c:v>87.177000000000007</c:v>
                </c:pt>
                <c:pt idx="63">
                  <c:v>87.058000000000007</c:v>
                </c:pt>
                <c:pt idx="64">
                  <c:v>87.174000000000007</c:v>
                </c:pt>
                <c:pt idx="65">
                  <c:v>87.418999999999997</c:v>
                </c:pt>
                <c:pt idx="66">
                  <c:v>87.325999999999993</c:v>
                </c:pt>
                <c:pt idx="67">
                  <c:v>87.495000000000005</c:v>
                </c:pt>
                <c:pt idx="68">
                  <c:v>89.491</c:v>
                </c:pt>
                <c:pt idx="69">
                  <c:v>90.783000000000001</c:v>
                </c:pt>
                <c:pt idx="70">
                  <c:v>88.941999999999993</c:v>
                </c:pt>
                <c:pt idx="71">
                  <c:v>86.816999999999993</c:v>
                </c:pt>
                <c:pt idx="72">
                  <c:v>87.373999999999995</c:v>
                </c:pt>
                <c:pt idx="73">
                  <c:v>88.924999999999997</c:v>
                </c:pt>
                <c:pt idx="74">
                  <c:v>88.25</c:v>
                </c:pt>
                <c:pt idx="75">
                  <c:v>88.608999999999995</c:v>
                </c:pt>
                <c:pt idx="76">
                  <c:v>87.884</c:v>
                </c:pt>
                <c:pt idx="77">
                  <c:v>87.965999999999994</c:v>
                </c:pt>
                <c:pt idx="78">
                  <c:v>87.361999999999995</c:v>
                </c:pt>
                <c:pt idx="79">
                  <c:v>87.346999999999994</c:v>
                </c:pt>
                <c:pt idx="80">
                  <c:v>85.992000000000004</c:v>
                </c:pt>
                <c:pt idx="81">
                  <c:v>84.049000000000007</c:v>
                </c:pt>
                <c:pt idx="82">
                  <c:v>82.269000000000005</c:v>
                </c:pt>
                <c:pt idx="83">
                  <c:v>82.069000000000003</c:v>
                </c:pt>
                <c:pt idx="84">
                  <c:v>81.117999999999995</c:v>
                </c:pt>
                <c:pt idx="85">
                  <c:v>80.242000000000004</c:v>
                </c:pt>
                <c:pt idx="86">
                  <c:v>80.293999999999997</c:v>
                </c:pt>
                <c:pt idx="87">
                  <c:v>80.406999999999996</c:v>
                </c:pt>
                <c:pt idx="88">
                  <c:v>78.436000000000007</c:v>
                </c:pt>
                <c:pt idx="89">
                  <c:v>78.915000000000006</c:v>
                </c:pt>
                <c:pt idx="90">
                  <c:v>75.935000000000002</c:v>
                </c:pt>
                <c:pt idx="91">
                  <c:v>77.569999999999993</c:v>
                </c:pt>
                <c:pt idx="92">
                  <c:v>80.888000000000005</c:v>
                </c:pt>
                <c:pt idx="93">
                  <c:v>80.751000000000005</c:v>
                </c:pt>
                <c:pt idx="94">
                  <c:v>79.238</c:v>
                </c:pt>
                <c:pt idx="95">
                  <c:v>79.591999999999999</c:v>
                </c:pt>
                <c:pt idx="96">
                  <c:v>78.39</c:v>
                </c:pt>
                <c:pt idx="97">
                  <c:v>78.131</c:v>
                </c:pt>
                <c:pt idx="98">
                  <c:v>78.524000000000001</c:v>
                </c:pt>
                <c:pt idx="99">
                  <c:v>75.864000000000004</c:v>
                </c:pt>
                <c:pt idx="100">
                  <c:v>75.882999999999996</c:v>
                </c:pt>
                <c:pt idx="101">
                  <c:v>75.3</c:v>
                </c:pt>
                <c:pt idx="102">
                  <c:v>73.596000000000004</c:v>
                </c:pt>
                <c:pt idx="103">
                  <c:v>73</c:v>
                </c:pt>
                <c:pt idx="104">
                  <c:v>71.009</c:v>
                </c:pt>
                <c:pt idx="105">
                  <c:v>70.188000000000002</c:v>
                </c:pt>
                <c:pt idx="106">
                  <c:v>69.480999999999995</c:v>
                </c:pt>
                <c:pt idx="107">
                  <c:v>67.662999999999997</c:v>
                </c:pt>
                <c:pt idx="108">
                  <c:v>63.899000000000001</c:v>
                </c:pt>
                <c:pt idx="109">
                  <c:v>61.875999999999998</c:v>
                </c:pt>
                <c:pt idx="110">
                  <c:v>61.628</c:v>
                </c:pt>
                <c:pt idx="111">
                  <c:v>62.877000000000002</c:v>
                </c:pt>
                <c:pt idx="112">
                  <c:v>63.500999999999998</c:v>
                </c:pt>
                <c:pt idx="113">
                  <c:v>63.359000000000002</c:v>
                </c:pt>
                <c:pt idx="114">
                  <c:v>63.042999999999999</c:v>
                </c:pt>
                <c:pt idx="115">
                  <c:v>62.363</c:v>
                </c:pt>
                <c:pt idx="116">
                  <c:v>61.953000000000003</c:v>
                </c:pt>
                <c:pt idx="117">
                  <c:v>62.220999999999997</c:v>
                </c:pt>
                <c:pt idx="118">
                  <c:v>62.103000000000002</c:v>
                </c:pt>
                <c:pt idx="119">
                  <c:v>61.731999999999999</c:v>
                </c:pt>
                <c:pt idx="120">
                  <c:v>60.997</c:v>
                </c:pt>
                <c:pt idx="121">
                  <c:v>59.582999999999998</c:v>
                </c:pt>
                <c:pt idx="122">
                  <c:v>59.463000000000001</c:v>
                </c:pt>
                <c:pt idx="123">
                  <c:v>59.142000000000003</c:v>
                </c:pt>
                <c:pt idx="124">
                  <c:v>57.728000000000002</c:v>
                </c:pt>
                <c:pt idx="125">
                  <c:v>55.383000000000003</c:v>
                </c:pt>
                <c:pt idx="126">
                  <c:v>55.264000000000003</c:v>
                </c:pt>
                <c:pt idx="127">
                  <c:v>54.354999999999997</c:v>
                </c:pt>
                <c:pt idx="128">
                  <c:v>53.585000000000001</c:v>
                </c:pt>
                <c:pt idx="129">
                  <c:v>53.451999999999998</c:v>
                </c:pt>
                <c:pt idx="130">
                  <c:v>52.094999999999999</c:v>
                </c:pt>
                <c:pt idx="131">
                  <c:v>51.371000000000002</c:v>
                </c:pt>
                <c:pt idx="132">
                  <c:v>49.530999999999999</c:v>
                </c:pt>
                <c:pt idx="133">
                  <c:v>48.756999999999998</c:v>
                </c:pt>
                <c:pt idx="134">
                  <c:v>48.530999999999999</c:v>
                </c:pt>
                <c:pt idx="135">
                  <c:v>47.186</c:v>
                </c:pt>
                <c:pt idx="136">
                  <c:v>46.414000000000001</c:v>
                </c:pt>
                <c:pt idx="137">
                  <c:v>46.368000000000002</c:v>
                </c:pt>
                <c:pt idx="138">
                  <c:v>46.100999999999999</c:v>
                </c:pt>
                <c:pt idx="139">
                  <c:v>46.478000000000002</c:v>
                </c:pt>
                <c:pt idx="140">
                  <c:v>47.491999999999997</c:v>
                </c:pt>
                <c:pt idx="141">
                  <c:v>46.404000000000003</c:v>
                </c:pt>
                <c:pt idx="142">
                  <c:v>48.146000000000001</c:v>
                </c:pt>
                <c:pt idx="143">
                  <c:v>47.837000000000003</c:v>
                </c:pt>
                <c:pt idx="144">
                  <c:v>48.103000000000002</c:v>
                </c:pt>
                <c:pt idx="145">
                  <c:v>47.627000000000002</c:v>
                </c:pt>
                <c:pt idx="146">
                  <c:v>47.533999999999999</c:v>
                </c:pt>
                <c:pt idx="147">
                  <c:v>47.420999999999999</c:v>
                </c:pt>
                <c:pt idx="148">
                  <c:v>48.07</c:v>
                </c:pt>
                <c:pt idx="149">
                  <c:v>47.5</c:v>
                </c:pt>
                <c:pt idx="150">
                  <c:v>47.432000000000002</c:v>
                </c:pt>
                <c:pt idx="151">
                  <c:v>46.768999999999998</c:v>
                </c:pt>
                <c:pt idx="152">
                  <c:v>46.061999999999998</c:v>
                </c:pt>
                <c:pt idx="153">
                  <c:v>44.311</c:v>
                </c:pt>
                <c:pt idx="154">
                  <c:v>43.304000000000002</c:v>
                </c:pt>
                <c:pt idx="155">
                  <c:v>41.908000000000001</c:v>
                </c:pt>
                <c:pt idx="156">
                  <c:v>40.212000000000003</c:v>
                </c:pt>
                <c:pt idx="157">
                  <c:v>39.323999999999998</c:v>
                </c:pt>
                <c:pt idx="158">
                  <c:v>37.5</c:v>
                </c:pt>
                <c:pt idx="159">
                  <c:v>35.433</c:v>
                </c:pt>
                <c:pt idx="160">
                  <c:v>34.551000000000002</c:v>
                </c:pt>
                <c:pt idx="161">
                  <c:v>32.71</c:v>
                </c:pt>
                <c:pt idx="162">
                  <c:v>31.69</c:v>
                </c:pt>
                <c:pt idx="163">
                  <c:v>31.670999999999999</c:v>
                </c:pt>
                <c:pt idx="164">
                  <c:v>31.018999999999998</c:v>
                </c:pt>
                <c:pt idx="165">
                  <c:v>30.632999999999999</c:v>
                </c:pt>
                <c:pt idx="166">
                  <c:v>30.129000000000001</c:v>
                </c:pt>
                <c:pt idx="167">
                  <c:v>29.474</c:v>
                </c:pt>
                <c:pt idx="168">
                  <c:v>29.04</c:v>
                </c:pt>
                <c:pt idx="169">
                  <c:v>27.971</c:v>
                </c:pt>
                <c:pt idx="170">
                  <c:v>26.417000000000002</c:v>
                </c:pt>
                <c:pt idx="171">
                  <c:v>26.571000000000002</c:v>
                </c:pt>
                <c:pt idx="172">
                  <c:v>25.974</c:v>
                </c:pt>
                <c:pt idx="173">
                  <c:v>24.658999999999999</c:v>
                </c:pt>
                <c:pt idx="174">
                  <c:v>24.181000000000001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47-4081-AAEC-375BF0A1713B}"/>
            </c:ext>
          </c:extLst>
        </c:ser>
        <c:ser>
          <c:idx val="6"/>
          <c:order val="6"/>
          <c:tx>
            <c:strRef>
              <c:f>data_co2_excLUC!$J$2</c:f>
              <c:strCache>
                <c:ptCount val="1"/>
                <c:pt idx="0">
                  <c:v>pct_annex2_PRIMAP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data_co2_excLUC!$J$3:$J$177</c:f>
              <c:numCache>
                <c:formatCode>0.0</c:formatCode>
                <c:ptCount val="175"/>
                <c:pt idx="0">
                  <c:v>98.317999999999998</c:v>
                </c:pt>
                <c:pt idx="1">
                  <c:v>98.087000000000003</c:v>
                </c:pt>
                <c:pt idx="2">
                  <c:v>97.804000000000002</c:v>
                </c:pt>
                <c:pt idx="3">
                  <c:v>97.796999999999997</c:v>
                </c:pt>
                <c:pt idx="4">
                  <c:v>97.893000000000001</c:v>
                </c:pt>
                <c:pt idx="5">
                  <c:v>97.581999999999994</c:v>
                </c:pt>
                <c:pt idx="6">
                  <c:v>97.475999999999999</c:v>
                </c:pt>
                <c:pt idx="7">
                  <c:v>97.325999999999993</c:v>
                </c:pt>
                <c:pt idx="8">
                  <c:v>96.906999999999996</c:v>
                </c:pt>
                <c:pt idx="9">
                  <c:v>97.066000000000003</c:v>
                </c:pt>
                <c:pt idx="10">
                  <c:v>97.039000000000001</c:v>
                </c:pt>
                <c:pt idx="11">
                  <c:v>96.927000000000007</c:v>
                </c:pt>
                <c:pt idx="12">
                  <c:v>96.450999999999993</c:v>
                </c:pt>
                <c:pt idx="13">
                  <c:v>96.138000000000005</c:v>
                </c:pt>
                <c:pt idx="14">
                  <c:v>95.96</c:v>
                </c:pt>
                <c:pt idx="15">
                  <c:v>95.742999999999995</c:v>
                </c:pt>
                <c:pt idx="16">
                  <c:v>95.292000000000002</c:v>
                </c:pt>
                <c:pt idx="17">
                  <c:v>95.1</c:v>
                </c:pt>
                <c:pt idx="18">
                  <c:v>94.82</c:v>
                </c:pt>
                <c:pt idx="19">
                  <c:v>94.655000000000001</c:v>
                </c:pt>
                <c:pt idx="20">
                  <c:v>94.376000000000005</c:v>
                </c:pt>
                <c:pt idx="21">
                  <c:v>93.852999999999994</c:v>
                </c:pt>
                <c:pt idx="22">
                  <c:v>94.015000000000001</c:v>
                </c:pt>
                <c:pt idx="23">
                  <c:v>94.036000000000001</c:v>
                </c:pt>
                <c:pt idx="24">
                  <c:v>93.040999999999997</c:v>
                </c:pt>
                <c:pt idx="25">
                  <c:v>93.393000000000001</c:v>
                </c:pt>
                <c:pt idx="26">
                  <c:v>92.102999999999994</c:v>
                </c:pt>
                <c:pt idx="27">
                  <c:v>92.265000000000001</c:v>
                </c:pt>
                <c:pt idx="28">
                  <c:v>91.623999999999995</c:v>
                </c:pt>
                <c:pt idx="29">
                  <c:v>91.72</c:v>
                </c:pt>
                <c:pt idx="30">
                  <c:v>92.26</c:v>
                </c:pt>
                <c:pt idx="31">
                  <c:v>92.25</c:v>
                </c:pt>
                <c:pt idx="32">
                  <c:v>92.367000000000004</c:v>
                </c:pt>
                <c:pt idx="33">
                  <c:v>92.093000000000004</c:v>
                </c:pt>
                <c:pt idx="34">
                  <c:v>91.887</c:v>
                </c:pt>
                <c:pt idx="35">
                  <c:v>91.552000000000007</c:v>
                </c:pt>
                <c:pt idx="36">
                  <c:v>91.411000000000001</c:v>
                </c:pt>
                <c:pt idx="37">
                  <c:v>91.402000000000001</c:v>
                </c:pt>
                <c:pt idx="38">
                  <c:v>91.614000000000004</c:v>
                </c:pt>
                <c:pt idx="39">
                  <c:v>90.91</c:v>
                </c:pt>
                <c:pt idx="40">
                  <c:v>91.054000000000002</c:v>
                </c:pt>
                <c:pt idx="41">
                  <c:v>90.816999999999993</c:v>
                </c:pt>
                <c:pt idx="42">
                  <c:v>90.748999999999995</c:v>
                </c:pt>
                <c:pt idx="43">
                  <c:v>89.817999999999998</c:v>
                </c:pt>
                <c:pt idx="44">
                  <c:v>89.894000000000005</c:v>
                </c:pt>
                <c:pt idx="45">
                  <c:v>89.531999999999996</c:v>
                </c:pt>
                <c:pt idx="46">
                  <c:v>89.340999999999994</c:v>
                </c:pt>
                <c:pt idx="47">
                  <c:v>89.001999999999995</c:v>
                </c:pt>
                <c:pt idx="48">
                  <c:v>88.584999999999994</c:v>
                </c:pt>
                <c:pt idx="49">
                  <c:v>88.838999999999999</c:v>
                </c:pt>
                <c:pt idx="50">
                  <c:v>88.924000000000007</c:v>
                </c:pt>
                <c:pt idx="51">
                  <c:v>88.438999999999993</c:v>
                </c:pt>
                <c:pt idx="52">
                  <c:v>88.730999999999995</c:v>
                </c:pt>
                <c:pt idx="53">
                  <c:v>89.265000000000001</c:v>
                </c:pt>
                <c:pt idx="54">
                  <c:v>88.715999999999994</c:v>
                </c:pt>
                <c:pt idx="55">
                  <c:v>89.317999999999998</c:v>
                </c:pt>
                <c:pt idx="56">
                  <c:v>88.245999999999995</c:v>
                </c:pt>
                <c:pt idx="57">
                  <c:v>88.65</c:v>
                </c:pt>
                <c:pt idx="58">
                  <c:v>87.471999999999994</c:v>
                </c:pt>
                <c:pt idx="59">
                  <c:v>87.644000000000005</c:v>
                </c:pt>
                <c:pt idx="60">
                  <c:v>88.188999999999993</c:v>
                </c:pt>
                <c:pt idx="61">
                  <c:v>87.513000000000005</c:v>
                </c:pt>
                <c:pt idx="62">
                  <c:v>87.597999999999999</c:v>
                </c:pt>
                <c:pt idx="63">
                  <c:v>87.582999999999998</c:v>
                </c:pt>
                <c:pt idx="64">
                  <c:v>87.59</c:v>
                </c:pt>
                <c:pt idx="65">
                  <c:v>87.683999999999997</c:v>
                </c:pt>
                <c:pt idx="66">
                  <c:v>87.641000000000005</c:v>
                </c:pt>
                <c:pt idx="67">
                  <c:v>87.799000000000007</c:v>
                </c:pt>
                <c:pt idx="68">
                  <c:v>89.902000000000001</c:v>
                </c:pt>
                <c:pt idx="69">
                  <c:v>91.210999999999999</c:v>
                </c:pt>
                <c:pt idx="70">
                  <c:v>89.483999999999995</c:v>
                </c:pt>
                <c:pt idx="71">
                  <c:v>87.408000000000001</c:v>
                </c:pt>
                <c:pt idx="72">
                  <c:v>87.899000000000001</c:v>
                </c:pt>
                <c:pt idx="73">
                  <c:v>89.332999999999998</c:v>
                </c:pt>
                <c:pt idx="74">
                  <c:v>88.611999999999995</c:v>
                </c:pt>
                <c:pt idx="75">
                  <c:v>88.95</c:v>
                </c:pt>
                <c:pt idx="76">
                  <c:v>87.965999999999994</c:v>
                </c:pt>
                <c:pt idx="77">
                  <c:v>87.91</c:v>
                </c:pt>
                <c:pt idx="78">
                  <c:v>86.968000000000004</c:v>
                </c:pt>
                <c:pt idx="79">
                  <c:v>86.802000000000007</c:v>
                </c:pt>
                <c:pt idx="80">
                  <c:v>85.150999999999996</c:v>
                </c:pt>
                <c:pt idx="81">
                  <c:v>83.265000000000001</c:v>
                </c:pt>
                <c:pt idx="82">
                  <c:v>81.478999999999999</c:v>
                </c:pt>
                <c:pt idx="83">
                  <c:v>81.27</c:v>
                </c:pt>
                <c:pt idx="84">
                  <c:v>80.244</c:v>
                </c:pt>
                <c:pt idx="85">
                  <c:v>79.231999999999999</c:v>
                </c:pt>
                <c:pt idx="86">
                  <c:v>79.195999999999998</c:v>
                </c:pt>
                <c:pt idx="87">
                  <c:v>79.241</c:v>
                </c:pt>
                <c:pt idx="88">
                  <c:v>77.031000000000006</c:v>
                </c:pt>
                <c:pt idx="89">
                  <c:v>77.507000000000005</c:v>
                </c:pt>
                <c:pt idx="90">
                  <c:v>74.837000000000003</c:v>
                </c:pt>
                <c:pt idx="91">
                  <c:v>76.22</c:v>
                </c:pt>
                <c:pt idx="92">
                  <c:v>78.962999999999994</c:v>
                </c:pt>
                <c:pt idx="93">
                  <c:v>77.355999999999995</c:v>
                </c:pt>
                <c:pt idx="94">
                  <c:v>77.378</c:v>
                </c:pt>
                <c:pt idx="95">
                  <c:v>76.777000000000001</c:v>
                </c:pt>
                <c:pt idx="96">
                  <c:v>74.927000000000007</c:v>
                </c:pt>
                <c:pt idx="97">
                  <c:v>75.593000000000004</c:v>
                </c:pt>
                <c:pt idx="98">
                  <c:v>76.135999999999996</c:v>
                </c:pt>
                <c:pt idx="99">
                  <c:v>72.866</c:v>
                </c:pt>
                <c:pt idx="100">
                  <c:v>75.271000000000001</c:v>
                </c:pt>
                <c:pt idx="101">
                  <c:v>74.596999999999994</c:v>
                </c:pt>
                <c:pt idx="102">
                  <c:v>72.882000000000005</c:v>
                </c:pt>
                <c:pt idx="103">
                  <c:v>72.179000000000002</c:v>
                </c:pt>
                <c:pt idx="104">
                  <c:v>70.143000000000001</c:v>
                </c:pt>
                <c:pt idx="105">
                  <c:v>69.373999999999995</c:v>
                </c:pt>
                <c:pt idx="106">
                  <c:v>68.647999999999996</c:v>
                </c:pt>
                <c:pt idx="107">
                  <c:v>66.671999999999997</c:v>
                </c:pt>
                <c:pt idx="108">
                  <c:v>62.869</c:v>
                </c:pt>
                <c:pt idx="109">
                  <c:v>60.899000000000001</c:v>
                </c:pt>
                <c:pt idx="110">
                  <c:v>60.534999999999997</c:v>
                </c:pt>
                <c:pt idx="111">
                  <c:v>61.624000000000002</c:v>
                </c:pt>
                <c:pt idx="112">
                  <c:v>62.207000000000001</c:v>
                </c:pt>
                <c:pt idx="113">
                  <c:v>62.155000000000001</c:v>
                </c:pt>
                <c:pt idx="114">
                  <c:v>61.881</c:v>
                </c:pt>
                <c:pt idx="115">
                  <c:v>61.316000000000003</c:v>
                </c:pt>
                <c:pt idx="116">
                  <c:v>60.704000000000001</c:v>
                </c:pt>
                <c:pt idx="117">
                  <c:v>61.106000000000002</c:v>
                </c:pt>
                <c:pt idx="118">
                  <c:v>60.908999999999999</c:v>
                </c:pt>
                <c:pt idx="119">
                  <c:v>60.601999999999997</c:v>
                </c:pt>
                <c:pt idx="120">
                  <c:v>59.81</c:v>
                </c:pt>
                <c:pt idx="121">
                  <c:v>58.634999999999998</c:v>
                </c:pt>
                <c:pt idx="122">
                  <c:v>58.539000000000001</c:v>
                </c:pt>
                <c:pt idx="123">
                  <c:v>58.302</c:v>
                </c:pt>
                <c:pt idx="124">
                  <c:v>56.982999999999997</c:v>
                </c:pt>
                <c:pt idx="125">
                  <c:v>54.615000000000002</c:v>
                </c:pt>
                <c:pt idx="126">
                  <c:v>54.698999999999998</c:v>
                </c:pt>
                <c:pt idx="127">
                  <c:v>53.863</c:v>
                </c:pt>
                <c:pt idx="128">
                  <c:v>53.268999999999998</c:v>
                </c:pt>
                <c:pt idx="129">
                  <c:v>53.179000000000002</c:v>
                </c:pt>
                <c:pt idx="130">
                  <c:v>51.853000000000002</c:v>
                </c:pt>
                <c:pt idx="131">
                  <c:v>51.136000000000003</c:v>
                </c:pt>
                <c:pt idx="132">
                  <c:v>49.283999999999999</c:v>
                </c:pt>
                <c:pt idx="133">
                  <c:v>48.616</c:v>
                </c:pt>
                <c:pt idx="134">
                  <c:v>48.381</c:v>
                </c:pt>
                <c:pt idx="135">
                  <c:v>47.085999999999999</c:v>
                </c:pt>
                <c:pt idx="136">
                  <c:v>46.331000000000003</c:v>
                </c:pt>
                <c:pt idx="137">
                  <c:v>46.326999999999998</c:v>
                </c:pt>
                <c:pt idx="138">
                  <c:v>46.206000000000003</c:v>
                </c:pt>
                <c:pt idx="139">
                  <c:v>46.408000000000001</c:v>
                </c:pt>
                <c:pt idx="140">
                  <c:v>47.018999999999998</c:v>
                </c:pt>
                <c:pt idx="141">
                  <c:v>46.337000000000003</c:v>
                </c:pt>
                <c:pt idx="142">
                  <c:v>47.773000000000003</c:v>
                </c:pt>
                <c:pt idx="143">
                  <c:v>47.558999999999997</c:v>
                </c:pt>
                <c:pt idx="144">
                  <c:v>47.987000000000002</c:v>
                </c:pt>
                <c:pt idx="145">
                  <c:v>47.442999999999998</c:v>
                </c:pt>
                <c:pt idx="146">
                  <c:v>47.234000000000002</c:v>
                </c:pt>
                <c:pt idx="147">
                  <c:v>47.017000000000003</c:v>
                </c:pt>
                <c:pt idx="148">
                  <c:v>47.555</c:v>
                </c:pt>
                <c:pt idx="149">
                  <c:v>46.932000000000002</c:v>
                </c:pt>
                <c:pt idx="150">
                  <c:v>46.814999999999998</c:v>
                </c:pt>
                <c:pt idx="151">
                  <c:v>46.026000000000003</c:v>
                </c:pt>
                <c:pt idx="152">
                  <c:v>45.194000000000003</c:v>
                </c:pt>
                <c:pt idx="153">
                  <c:v>43.493000000000002</c:v>
                </c:pt>
                <c:pt idx="154">
                  <c:v>42.338999999999999</c:v>
                </c:pt>
                <c:pt idx="155">
                  <c:v>40.831000000000003</c:v>
                </c:pt>
                <c:pt idx="156">
                  <c:v>39.378</c:v>
                </c:pt>
                <c:pt idx="157">
                  <c:v>38.601999999999997</c:v>
                </c:pt>
                <c:pt idx="158">
                  <c:v>36.999000000000002</c:v>
                </c:pt>
                <c:pt idx="159">
                  <c:v>35.015000000000001</c:v>
                </c:pt>
                <c:pt idx="160">
                  <c:v>34.436</c:v>
                </c:pt>
                <c:pt idx="161">
                  <c:v>32.548999999999999</c:v>
                </c:pt>
                <c:pt idx="162">
                  <c:v>31.533000000000001</c:v>
                </c:pt>
                <c:pt idx="163">
                  <c:v>31.463999999999999</c:v>
                </c:pt>
                <c:pt idx="164">
                  <c:v>30.667000000000002</c:v>
                </c:pt>
                <c:pt idx="165">
                  <c:v>30.053000000000001</c:v>
                </c:pt>
                <c:pt idx="166">
                  <c:v>29.451000000000001</c:v>
                </c:pt>
                <c:pt idx="167">
                  <c:v>28.683</c:v>
                </c:pt>
                <c:pt idx="168">
                  <c:v>28.356999999999999</c:v>
                </c:pt>
                <c:pt idx="169">
                  <c:v>27.548999999999999</c:v>
                </c:pt>
                <c:pt idx="170">
                  <c:v>26.026</c:v>
                </c:pt>
                <c:pt idx="171">
                  <c:v>26.215</c:v>
                </c:pt>
                <c:pt idx="172">
                  <c:v>25.891999999999999</c:v>
                </c:pt>
                <c:pt idx="173">
                  <c:v>24.553999999999998</c:v>
                </c:pt>
                <c:pt idx="174">
                  <c:v>24.324999999999999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47-4081-AAEC-375BF0A1713B}"/>
            </c:ext>
          </c:extLst>
        </c:ser>
        <c:ser>
          <c:idx val="7"/>
          <c:order val="7"/>
          <c:tx>
            <c:strRef>
              <c:f>data_co2_excLUC!$K$2</c:f>
              <c:strCache>
                <c:ptCount val="1"/>
                <c:pt idx="0">
                  <c:v>pct_annex2_GCP_fossil</c:v>
                </c:pt>
              </c:strCache>
            </c:strRef>
          </c:tx>
          <c:spPr>
            <a:ln w="19050">
              <a:solidFill>
                <a:srgbClr val="CC8E00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data_co2_excLUC!$K$3:$K$177</c:f>
              <c:numCache>
                <c:formatCode>0.0</c:formatCode>
                <c:ptCount val="175"/>
                <c:pt idx="0">
                  <c:v>98.268000000000001</c:v>
                </c:pt>
                <c:pt idx="1">
                  <c:v>98.066000000000003</c:v>
                </c:pt>
                <c:pt idx="2">
                  <c:v>97.757999999999996</c:v>
                </c:pt>
                <c:pt idx="3">
                  <c:v>97.801000000000002</c:v>
                </c:pt>
                <c:pt idx="4">
                  <c:v>97.953999999999994</c:v>
                </c:pt>
                <c:pt idx="5">
                  <c:v>97.475999999999999</c:v>
                </c:pt>
                <c:pt idx="6">
                  <c:v>97.216999999999999</c:v>
                </c:pt>
                <c:pt idx="7">
                  <c:v>96.972999999999999</c:v>
                </c:pt>
                <c:pt idx="8">
                  <c:v>96.397999999999996</c:v>
                </c:pt>
                <c:pt idx="9">
                  <c:v>96.656000000000006</c:v>
                </c:pt>
                <c:pt idx="10">
                  <c:v>96.593999999999994</c:v>
                </c:pt>
                <c:pt idx="11">
                  <c:v>96.483999999999995</c:v>
                </c:pt>
                <c:pt idx="12">
                  <c:v>95.983999999999995</c:v>
                </c:pt>
                <c:pt idx="13">
                  <c:v>95.741</c:v>
                </c:pt>
                <c:pt idx="14">
                  <c:v>95.492999999999995</c:v>
                </c:pt>
                <c:pt idx="15">
                  <c:v>95.259</c:v>
                </c:pt>
                <c:pt idx="16">
                  <c:v>94.727999999999994</c:v>
                </c:pt>
                <c:pt idx="17">
                  <c:v>94.671999999999997</c:v>
                </c:pt>
                <c:pt idx="18">
                  <c:v>94.361000000000004</c:v>
                </c:pt>
                <c:pt idx="19">
                  <c:v>94.28</c:v>
                </c:pt>
                <c:pt idx="20">
                  <c:v>94.021000000000001</c:v>
                </c:pt>
                <c:pt idx="21">
                  <c:v>93.509</c:v>
                </c:pt>
                <c:pt idx="22">
                  <c:v>93.6</c:v>
                </c:pt>
                <c:pt idx="23">
                  <c:v>93.611999999999995</c:v>
                </c:pt>
                <c:pt idx="24">
                  <c:v>92.56</c:v>
                </c:pt>
                <c:pt idx="25">
                  <c:v>93.018000000000001</c:v>
                </c:pt>
                <c:pt idx="26">
                  <c:v>91.801000000000002</c:v>
                </c:pt>
                <c:pt idx="27">
                  <c:v>92.003</c:v>
                </c:pt>
                <c:pt idx="28">
                  <c:v>91.158000000000001</c:v>
                </c:pt>
                <c:pt idx="29">
                  <c:v>91.262</c:v>
                </c:pt>
                <c:pt idx="30">
                  <c:v>91.789000000000001</c:v>
                </c:pt>
                <c:pt idx="31">
                  <c:v>91.805999999999997</c:v>
                </c:pt>
                <c:pt idx="32">
                  <c:v>91.93</c:v>
                </c:pt>
                <c:pt idx="33">
                  <c:v>91.66</c:v>
                </c:pt>
                <c:pt idx="34">
                  <c:v>91.41</c:v>
                </c:pt>
                <c:pt idx="35">
                  <c:v>91.057000000000002</c:v>
                </c:pt>
                <c:pt idx="36">
                  <c:v>90.965999999999994</c:v>
                </c:pt>
                <c:pt idx="37">
                  <c:v>91.016000000000005</c:v>
                </c:pt>
                <c:pt idx="38">
                  <c:v>91.15</c:v>
                </c:pt>
                <c:pt idx="39">
                  <c:v>90.403999999999996</c:v>
                </c:pt>
                <c:pt idx="40">
                  <c:v>90.638000000000005</c:v>
                </c:pt>
                <c:pt idx="41">
                  <c:v>90.367999999999995</c:v>
                </c:pt>
                <c:pt idx="42">
                  <c:v>90.293999999999997</c:v>
                </c:pt>
                <c:pt idx="43">
                  <c:v>89.370999999999995</c:v>
                </c:pt>
                <c:pt idx="44">
                  <c:v>89.367000000000004</c:v>
                </c:pt>
                <c:pt idx="45">
                  <c:v>89.093000000000004</c:v>
                </c:pt>
                <c:pt idx="46">
                  <c:v>88.887</c:v>
                </c:pt>
                <c:pt idx="47">
                  <c:v>88.570999999999998</c:v>
                </c:pt>
                <c:pt idx="48">
                  <c:v>88.147000000000006</c:v>
                </c:pt>
                <c:pt idx="49">
                  <c:v>88.412999999999997</c:v>
                </c:pt>
                <c:pt idx="50">
                  <c:v>88.507999999999996</c:v>
                </c:pt>
                <c:pt idx="51">
                  <c:v>88.201999999999998</c:v>
                </c:pt>
                <c:pt idx="52">
                  <c:v>88.525000000000006</c:v>
                </c:pt>
                <c:pt idx="53">
                  <c:v>89.111999999999995</c:v>
                </c:pt>
                <c:pt idx="54">
                  <c:v>88.593999999999994</c:v>
                </c:pt>
                <c:pt idx="55">
                  <c:v>89.125</c:v>
                </c:pt>
                <c:pt idx="56">
                  <c:v>88.572000000000003</c:v>
                </c:pt>
                <c:pt idx="57">
                  <c:v>88.257000000000005</c:v>
                </c:pt>
                <c:pt idx="58">
                  <c:v>87.215999999999994</c:v>
                </c:pt>
                <c:pt idx="59">
                  <c:v>87.29</c:v>
                </c:pt>
                <c:pt idx="60">
                  <c:v>87.822999999999993</c:v>
                </c:pt>
                <c:pt idx="61">
                  <c:v>87.372</c:v>
                </c:pt>
                <c:pt idx="62">
                  <c:v>87.177000000000007</c:v>
                </c:pt>
                <c:pt idx="63">
                  <c:v>87.058000000000007</c:v>
                </c:pt>
                <c:pt idx="64">
                  <c:v>87.174000000000007</c:v>
                </c:pt>
                <c:pt idx="65">
                  <c:v>87.418999999999997</c:v>
                </c:pt>
                <c:pt idx="66">
                  <c:v>87.325999999999993</c:v>
                </c:pt>
                <c:pt idx="67">
                  <c:v>87.495000000000005</c:v>
                </c:pt>
                <c:pt idx="68">
                  <c:v>89.491</c:v>
                </c:pt>
                <c:pt idx="69">
                  <c:v>90.783000000000001</c:v>
                </c:pt>
                <c:pt idx="70">
                  <c:v>88.941999999999993</c:v>
                </c:pt>
                <c:pt idx="71">
                  <c:v>86.816999999999993</c:v>
                </c:pt>
                <c:pt idx="72">
                  <c:v>87.373999999999995</c:v>
                </c:pt>
                <c:pt idx="73">
                  <c:v>88.924999999999997</c:v>
                </c:pt>
                <c:pt idx="74">
                  <c:v>88.25</c:v>
                </c:pt>
                <c:pt idx="75">
                  <c:v>88.608999999999995</c:v>
                </c:pt>
                <c:pt idx="76">
                  <c:v>87.884</c:v>
                </c:pt>
                <c:pt idx="77">
                  <c:v>87.965999999999994</c:v>
                </c:pt>
                <c:pt idx="78">
                  <c:v>87.361999999999995</c:v>
                </c:pt>
                <c:pt idx="79">
                  <c:v>87.346999999999994</c:v>
                </c:pt>
                <c:pt idx="80">
                  <c:v>85.992000000000004</c:v>
                </c:pt>
                <c:pt idx="81">
                  <c:v>84.049000000000007</c:v>
                </c:pt>
                <c:pt idx="82">
                  <c:v>82.269000000000005</c:v>
                </c:pt>
                <c:pt idx="83">
                  <c:v>82.069000000000003</c:v>
                </c:pt>
                <c:pt idx="84">
                  <c:v>81.117999999999995</c:v>
                </c:pt>
                <c:pt idx="85">
                  <c:v>80.242000000000004</c:v>
                </c:pt>
                <c:pt idx="86">
                  <c:v>80.293999999999997</c:v>
                </c:pt>
                <c:pt idx="87">
                  <c:v>80.406999999999996</c:v>
                </c:pt>
                <c:pt idx="88">
                  <c:v>78.436000000000007</c:v>
                </c:pt>
                <c:pt idx="89">
                  <c:v>78.915000000000006</c:v>
                </c:pt>
                <c:pt idx="90">
                  <c:v>75.935000000000002</c:v>
                </c:pt>
                <c:pt idx="91">
                  <c:v>77.569999999999993</c:v>
                </c:pt>
                <c:pt idx="92">
                  <c:v>80.888000000000005</c:v>
                </c:pt>
                <c:pt idx="93">
                  <c:v>80.751000000000005</c:v>
                </c:pt>
                <c:pt idx="94">
                  <c:v>79.238</c:v>
                </c:pt>
                <c:pt idx="95">
                  <c:v>79.591999999999999</c:v>
                </c:pt>
                <c:pt idx="96">
                  <c:v>78.39</c:v>
                </c:pt>
                <c:pt idx="97">
                  <c:v>78.131</c:v>
                </c:pt>
                <c:pt idx="98">
                  <c:v>78.524000000000001</c:v>
                </c:pt>
                <c:pt idx="99">
                  <c:v>75.864000000000004</c:v>
                </c:pt>
                <c:pt idx="100">
                  <c:v>75.882999999999996</c:v>
                </c:pt>
                <c:pt idx="101">
                  <c:v>75.3</c:v>
                </c:pt>
                <c:pt idx="102">
                  <c:v>73.596000000000004</c:v>
                </c:pt>
                <c:pt idx="103">
                  <c:v>73</c:v>
                </c:pt>
                <c:pt idx="104">
                  <c:v>71.009</c:v>
                </c:pt>
                <c:pt idx="105">
                  <c:v>70.188000000000002</c:v>
                </c:pt>
                <c:pt idx="106">
                  <c:v>69.480999999999995</c:v>
                </c:pt>
                <c:pt idx="107">
                  <c:v>67.662999999999997</c:v>
                </c:pt>
                <c:pt idx="108">
                  <c:v>63.899000000000001</c:v>
                </c:pt>
                <c:pt idx="109">
                  <c:v>61.877000000000002</c:v>
                </c:pt>
                <c:pt idx="110">
                  <c:v>61.628</c:v>
                </c:pt>
                <c:pt idx="111">
                  <c:v>62.878</c:v>
                </c:pt>
                <c:pt idx="112">
                  <c:v>63.502000000000002</c:v>
                </c:pt>
                <c:pt idx="113">
                  <c:v>63.359000000000002</c:v>
                </c:pt>
                <c:pt idx="114">
                  <c:v>63.043999999999997</c:v>
                </c:pt>
                <c:pt idx="115">
                  <c:v>62.363</c:v>
                </c:pt>
                <c:pt idx="116">
                  <c:v>61.953000000000003</c:v>
                </c:pt>
                <c:pt idx="117">
                  <c:v>62.222000000000001</c:v>
                </c:pt>
                <c:pt idx="118">
                  <c:v>62.103999999999999</c:v>
                </c:pt>
                <c:pt idx="119">
                  <c:v>61.732999999999997</c:v>
                </c:pt>
                <c:pt idx="120">
                  <c:v>60.997999999999998</c:v>
                </c:pt>
                <c:pt idx="121">
                  <c:v>59.584000000000003</c:v>
                </c:pt>
                <c:pt idx="122">
                  <c:v>59.463999999999999</c:v>
                </c:pt>
                <c:pt idx="123">
                  <c:v>59.143000000000001</c:v>
                </c:pt>
                <c:pt idx="124">
                  <c:v>57.728999999999999</c:v>
                </c:pt>
                <c:pt idx="125">
                  <c:v>55.384999999999998</c:v>
                </c:pt>
                <c:pt idx="126">
                  <c:v>55.265000000000001</c:v>
                </c:pt>
                <c:pt idx="127">
                  <c:v>54.356000000000002</c:v>
                </c:pt>
                <c:pt idx="128">
                  <c:v>53.585999999999999</c:v>
                </c:pt>
                <c:pt idx="129">
                  <c:v>53.453000000000003</c:v>
                </c:pt>
                <c:pt idx="130">
                  <c:v>52.095999999999997</c:v>
                </c:pt>
                <c:pt idx="131">
                  <c:v>51.372</c:v>
                </c:pt>
                <c:pt idx="132">
                  <c:v>49.531999999999996</c:v>
                </c:pt>
                <c:pt idx="133">
                  <c:v>48.758000000000003</c:v>
                </c:pt>
                <c:pt idx="134">
                  <c:v>48.530999999999999</c:v>
                </c:pt>
                <c:pt idx="135">
                  <c:v>47.186</c:v>
                </c:pt>
                <c:pt idx="136">
                  <c:v>46.414000000000001</c:v>
                </c:pt>
                <c:pt idx="137">
                  <c:v>46.368000000000002</c:v>
                </c:pt>
                <c:pt idx="138">
                  <c:v>46.100999999999999</c:v>
                </c:pt>
                <c:pt idx="139">
                  <c:v>46.478999999999999</c:v>
                </c:pt>
                <c:pt idx="140">
                  <c:v>47.491999999999997</c:v>
                </c:pt>
                <c:pt idx="141">
                  <c:v>47.404000000000003</c:v>
                </c:pt>
                <c:pt idx="142">
                  <c:v>48.146000000000001</c:v>
                </c:pt>
                <c:pt idx="143">
                  <c:v>47.837000000000003</c:v>
                </c:pt>
                <c:pt idx="144">
                  <c:v>48.103000000000002</c:v>
                </c:pt>
                <c:pt idx="145">
                  <c:v>47.627000000000002</c:v>
                </c:pt>
                <c:pt idx="146">
                  <c:v>47.533999999999999</c:v>
                </c:pt>
                <c:pt idx="147">
                  <c:v>47.420999999999999</c:v>
                </c:pt>
                <c:pt idx="148">
                  <c:v>48.07</c:v>
                </c:pt>
                <c:pt idx="149">
                  <c:v>47.5</c:v>
                </c:pt>
                <c:pt idx="150">
                  <c:v>47.432000000000002</c:v>
                </c:pt>
                <c:pt idx="151">
                  <c:v>46.768999999999998</c:v>
                </c:pt>
                <c:pt idx="152">
                  <c:v>46.061999999999998</c:v>
                </c:pt>
                <c:pt idx="153">
                  <c:v>44.311</c:v>
                </c:pt>
                <c:pt idx="154">
                  <c:v>43.304000000000002</c:v>
                </c:pt>
                <c:pt idx="155">
                  <c:v>41.908000000000001</c:v>
                </c:pt>
                <c:pt idx="156">
                  <c:v>40.212000000000003</c:v>
                </c:pt>
                <c:pt idx="157">
                  <c:v>39.323999999999998</c:v>
                </c:pt>
                <c:pt idx="158">
                  <c:v>37.5</c:v>
                </c:pt>
                <c:pt idx="159">
                  <c:v>35.433</c:v>
                </c:pt>
                <c:pt idx="160">
                  <c:v>34.551000000000002</c:v>
                </c:pt>
                <c:pt idx="161">
                  <c:v>32.71</c:v>
                </c:pt>
                <c:pt idx="162">
                  <c:v>31.69</c:v>
                </c:pt>
                <c:pt idx="163">
                  <c:v>31.670999999999999</c:v>
                </c:pt>
                <c:pt idx="164">
                  <c:v>31.018999999999998</c:v>
                </c:pt>
                <c:pt idx="165">
                  <c:v>30.632999999999999</c:v>
                </c:pt>
                <c:pt idx="166">
                  <c:v>30.129000000000001</c:v>
                </c:pt>
                <c:pt idx="167">
                  <c:v>29.474</c:v>
                </c:pt>
                <c:pt idx="168">
                  <c:v>29.04</c:v>
                </c:pt>
                <c:pt idx="169">
                  <c:v>27.971</c:v>
                </c:pt>
                <c:pt idx="170">
                  <c:v>26.417000000000002</c:v>
                </c:pt>
                <c:pt idx="171">
                  <c:v>26.571000000000002</c:v>
                </c:pt>
                <c:pt idx="172">
                  <c:v>25.974</c:v>
                </c:pt>
                <c:pt idx="173">
                  <c:v>24.658999999999999</c:v>
                </c:pt>
                <c:pt idx="174">
                  <c:v>24.181000000000001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47-4081-AAEC-375BF0A1713B}"/>
            </c:ext>
          </c:extLst>
        </c:ser>
        <c:ser>
          <c:idx val="8"/>
          <c:order val="8"/>
          <c:tx>
            <c:strRef>
              <c:f>data_co2_excLUC!$L$2</c:f>
              <c:strCache>
                <c:ptCount val="1"/>
              </c:strCache>
            </c:strRef>
          </c:tx>
          <c:spPr>
            <a:ln w="19050">
              <a:solidFill>
                <a:srgbClr val="CC8E00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data_co2_excLUC!$L$3:$L$177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47-4081-AAEC-375BF0A1713B}"/>
            </c:ext>
          </c:extLst>
        </c:ser>
        <c:ser>
          <c:idx val="9"/>
          <c:order val="9"/>
          <c:tx>
            <c:strRef>
              <c:f>data_co2_excLUC!$M$2</c:f>
              <c:strCache>
                <c:ptCount val="1"/>
                <c:pt idx="0">
                  <c:v>pct_annex1_OWID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olid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data_co2_excLUC!$M$3:$M$177</c:f>
              <c:numCache>
                <c:formatCode>0.0</c:formatCode>
                <c:ptCount val="175"/>
                <c:pt idx="0">
                  <c:v>99.944000000000003</c:v>
                </c:pt>
                <c:pt idx="1">
                  <c:v>99.944000000000003</c:v>
                </c:pt>
                <c:pt idx="2">
                  <c:v>99.912999999999997</c:v>
                </c:pt>
                <c:pt idx="3">
                  <c:v>99.945999999999998</c:v>
                </c:pt>
                <c:pt idx="4">
                  <c:v>99.998000000000005</c:v>
                </c:pt>
                <c:pt idx="5">
                  <c:v>99.924000000000007</c:v>
                </c:pt>
                <c:pt idx="6">
                  <c:v>99.659000000000006</c:v>
                </c:pt>
                <c:pt idx="7">
                  <c:v>99.555999999999997</c:v>
                </c:pt>
                <c:pt idx="8">
                  <c:v>99.376999999999995</c:v>
                </c:pt>
                <c:pt idx="9">
                  <c:v>99.408000000000001</c:v>
                </c:pt>
                <c:pt idx="10">
                  <c:v>99.376000000000005</c:v>
                </c:pt>
                <c:pt idx="11">
                  <c:v>99.421000000000006</c:v>
                </c:pt>
                <c:pt idx="12">
                  <c:v>99.393000000000001</c:v>
                </c:pt>
                <c:pt idx="13">
                  <c:v>99.451999999999998</c:v>
                </c:pt>
                <c:pt idx="14">
                  <c:v>99.388999999999996</c:v>
                </c:pt>
                <c:pt idx="15">
                  <c:v>99.384</c:v>
                </c:pt>
                <c:pt idx="16">
                  <c:v>99.212000000000003</c:v>
                </c:pt>
                <c:pt idx="17">
                  <c:v>99.356999999999999</c:v>
                </c:pt>
                <c:pt idx="18">
                  <c:v>99.331000000000003</c:v>
                </c:pt>
                <c:pt idx="19">
                  <c:v>99.376000000000005</c:v>
                </c:pt>
                <c:pt idx="20">
                  <c:v>99.38</c:v>
                </c:pt>
                <c:pt idx="21">
                  <c:v>99.366</c:v>
                </c:pt>
                <c:pt idx="22">
                  <c:v>99.301000000000002</c:v>
                </c:pt>
                <c:pt idx="23">
                  <c:v>99.301000000000002</c:v>
                </c:pt>
                <c:pt idx="24">
                  <c:v>99.16</c:v>
                </c:pt>
                <c:pt idx="25">
                  <c:v>99.278000000000006</c:v>
                </c:pt>
                <c:pt idx="26">
                  <c:v>99.272999999999996</c:v>
                </c:pt>
                <c:pt idx="27">
                  <c:v>99.308000000000007</c:v>
                </c:pt>
                <c:pt idx="28">
                  <c:v>99.004000000000005</c:v>
                </c:pt>
                <c:pt idx="29">
                  <c:v>99.058000000000007</c:v>
                </c:pt>
                <c:pt idx="30">
                  <c:v>99.07</c:v>
                </c:pt>
                <c:pt idx="31">
                  <c:v>99.063000000000002</c:v>
                </c:pt>
                <c:pt idx="32">
                  <c:v>99.052000000000007</c:v>
                </c:pt>
                <c:pt idx="33">
                  <c:v>99.031000000000006</c:v>
                </c:pt>
                <c:pt idx="34">
                  <c:v>98.953999999999994</c:v>
                </c:pt>
                <c:pt idx="35">
                  <c:v>98.942999999999998</c:v>
                </c:pt>
                <c:pt idx="36">
                  <c:v>98.951999999999998</c:v>
                </c:pt>
                <c:pt idx="37">
                  <c:v>98.88</c:v>
                </c:pt>
                <c:pt idx="38">
                  <c:v>98.840999999999994</c:v>
                </c:pt>
                <c:pt idx="39">
                  <c:v>98.656999999999996</c:v>
                </c:pt>
                <c:pt idx="40">
                  <c:v>98.760999999999996</c:v>
                </c:pt>
                <c:pt idx="41">
                  <c:v>98.685000000000002</c:v>
                </c:pt>
                <c:pt idx="42">
                  <c:v>98.543999999999997</c:v>
                </c:pt>
                <c:pt idx="43">
                  <c:v>98.32</c:v>
                </c:pt>
                <c:pt idx="44">
                  <c:v>98.194999999999993</c:v>
                </c:pt>
                <c:pt idx="45">
                  <c:v>98.07</c:v>
                </c:pt>
                <c:pt idx="46">
                  <c:v>97.966999999999999</c:v>
                </c:pt>
                <c:pt idx="47">
                  <c:v>97.908000000000001</c:v>
                </c:pt>
                <c:pt idx="48">
                  <c:v>97.75</c:v>
                </c:pt>
                <c:pt idx="49">
                  <c:v>97.79</c:v>
                </c:pt>
                <c:pt idx="50">
                  <c:v>97.929000000000002</c:v>
                </c:pt>
                <c:pt idx="51">
                  <c:v>97.710999999999999</c:v>
                </c:pt>
                <c:pt idx="52">
                  <c:v>97.617999999999995</c:v>
                </c:pt>
                <c:pt idx="53">
                  <c:v>97.593999999999994</c:v>
                </c:pt>
                <c:pt idx="54">
                  <c:v>97.379000000000005</c:v>
                </c:pt>
                <c:pt idx="55">
                  <c:v>97.381</c:v>
                </c:pt>
                <c:pt idx="56">
                  <c:v>97.126000000000005</c:v>
                </c:pt>
                <c:pt idx="57">
                  <c:v>96.491</c:v>
                </c:pt>
                <c:pt idx="58">
                  <c:v>96.064999999999998</c:v>
                </c:pt>
                <c:pt idx="59">
                  <c:v>96.073999999999998</c:v>
                </c:pt>
                <c:pt idx="60">
                  <c:v>96.081000000000003</c:v>
                </c:pt>
                <c:pt idx="61">
                  <c:v>95.850999999999999</c:v>
                </c:pt>
                <c:pt idx="62">
                  <c:v>96.066999999999993</c:v>
                </c:pt>
                <c:pt idx="63">
                  <c:v>95.798000000000002</c:v>
                </c:pt>
                <c:pt idx="64">
                  <c:v>95.593999999999994</c:v>
                </c:pt>
                <c:pt idx="65">
                  <c:v>95.599000000000004</c:v>
                </c:pt>
                <c:pt idx="66">
                  <c:v>95.516000000000005</c:v>
                </c:pt>
                <c:pt idx="67">
                  <c:v>95.340999999999994</c:v>
                </c:pt>
                <c:pt idx="68">
                  <c:v>95.185000000000002</c:v>
                </c:pt>
                <c:pt idx="69">
                  <c:v>93.727000000000004</c:v>
                </c:pt>
                <c:pt idx="70">
                  <c:v>93.534000000000006</c:v>
                </c:pt>
                <c:pt idx="71">
                  <c:v>92.138999999999996</c:v>
                </c:pt>
                <c:pt idx="72">
                  <c:v>92.525999999999996</c:v>
                </c:pt>
                <c:pt idx="73">
                  <c:v>93.186000000000007</c:v>
                </c:pt>
                <c:pt idx="74">
                  <c:v>92.879000000000005</c:v>
                </c:pt>
                <c:pt idx="75">
                  <c:v>93.135999999999996</c:v>
                </c:pt>
                <c:pt idx="76">
                  <c:v>93.204999999999998</c:v>
                </c:pt>
                <c:pt idx="77">
                  <c:v>93.733000000000004</c:v>
                </c:pt>
                <c:pt idx="78">
                  <c:v>93.587000000000003</c:v>
                </c:pt>
                <c:pt idx="79">
                  <c:v>93.8</c:v>
                </c:pt>
                <c:pt idx="80">
                  <c:v>93.3</c:v>
                </c:pt>
                <c:pt idx="81">
                  <c:v>92.867000000000004</c:v>
                </c:pt>
                <c:pt idx="82">
                  <c:v>92.105000000000004</c:v>
                </c:pt>
                <c:pt idx="83">
                  <c:v>91.968999999999994</c:v>
                </c:pt>
                <c:pt idx="84">
                  <c:v>91.613</c:v>
                </c:pt>
                <c:pt idx="85">
                  <c:v>91.165000000000006</c:v>
                </c:pt>
                <c:pt idx="86">
                  <c:v>91.450999999999993</c:v>
                </c:pt>
                <c:pt idx="87">
                  <c:v>91.27</c:v>
                </c:pt>
                <c:pt idx="88">
                  <c:v>90.683999999999997</c:v>
                </c:pt>
                <c:pt idx="89">
                  <c:v>90.528999999999996</c:v>
                </c:pt>
                <c:pt idx="90">
                  <c:v>90.557000000000002</c:v>
                </c:pt>
                <c:pt idx="91">
                  <c:v>90.763000000000005</c:v>
                </c:pt>
                <c:pt idx="92">
                  <c:v>91.266000000000005</c:v>
                </c:pt>
                <c:pt idx="93">
                  <c:v>91.608999999999995</c:v>
                </c:pt>
                <c:pt idx="94">
                  <c:v>91.266999999999996</c:v>
                </c:pt>
                <c:pt idx="95">
                  <c:v>90.475999999999999</c:v>
                </c:pt>
                <c:pt idx="96">
                  <c:v>90.656000000000006</c:v>
                </c:pt>
                <c:pt idx="97">
                  <c:v>90.480999999999995</c:v>
                </c:pt>
                <c:pt idx="98">
                  <c:v>90.986999999999995</c:v>
                </c:pt>
                <c:pt idx="99">
                  <c:v>90.623000000000005</c:v>
                </c:pt>
                <c:pt idx="100">
                  <c:v>90.245000000000005</c:v>
                </c:pt>
                <c:pt idx="101">
                  <c:v>89.834000000000003</c:v>
                </c:pt>
                <c:pt idx="102">
                  <c:v>89.003</c:v>
                </c:pt>
                <c:pt idx="103">
                  <c:v>89</c:v>
                </c:pt>
                <c:pt idx="104">
                  <c:v>88.004999999999995</c:v>
                </c:pt>
                <c:pt idx="105">
                  <c:v>87.388999999999996</c:v>
                </c:pt>
                <c:pt idx="106">
                  <c:v>87.055000000000007</c:v>
                </c:pt>
                <c:pt idx="107">
                  <c:v>86.26</c:v>
                </c:pt>
                <c:pt idx="108">
                  <c:v>82.984999999999999</c:v>
                </c:pt>
                <c:pt idx="109">
                  <c:v>80.950999999999993</c:v>
                </c:pt>
                <c:pt idx="110">
                  <c:v>80.477999999999994</c:v>
                </c:pt>
                <c:pt idx="111">
                  <c:v>82.466999999999999</c:v>
                </c:pt>
                <c:pt idx="112">
                  <c:v>83.494</c:v>
                </c:pt>
                <c:pt idx="113">
                  <c:v>83.712000000000003</c:v>
                </c:pt>
                <c:pt idx="114">
                  <c:v>83.632999999999996</c:v>
                </c:pt>
                <c:pt idx="115">
                  <c:v>83.006</c:v>
                </c:pt>
                <c:pt idx="116">
                  <c:v>82.594999999999999</c:v>
                </c:pt>
                <c:pt idx="117">
                  <c:v>83.084999999999994</c:v>
                </c:pt>
                <c:pt idx="118">
                  <c:v>82.638000000000005</c:v>
                </c:pt>
                <c:pt idx="119">
                  <c:v>81.93</c:v>
                </c:pt>
                <c:pt idx="120">
                  <c:v>80.718999999999994</c:v>
                </c:pt>
                <c:pt idx="121">
                  <c:v>79.593000000000004</c:v>
                </c:pt>
                <c:pt idx="122">
                  <c:v>79.513999999999996</c:v>
                </c:pt>
                <c:pt idx="123">
                  <c:v>78.994</c:v>
                </c:pt>
                <c:pt idx="124">
                  <c:v>78.317999999999998</c:v>
                </c:pt>
                <c:pt idx="125">
                  <c:v>77.045000000000002</c:v>
                </c:pt>
                <c:pt idx="126">
                  <c:v>76.733999999999995</c:v>
                </c:pt>
                <c:pt idx="127">
                  <c:v>75.995000000000005</c:v>
                </c:pt>
                <c:pt idx="128">
                  <c:v>75.183000000000007</c:v>
                </c:pt>
                <c:pt idx="129">
                  <c:v>74.641999999999996</c:v>
                </c:pt>
                <c:pt idx="130">
                  <c:v>74.11</c:v>
                </c:pt>
                <c:pt idx="131">
                  <c:v>73.417000000000002</c:v>
                </c:pt>
                <c:pt idx="132">
                  <c:v>72.131</c:v>
                </c:pt>
                <c:pt idx="133">
                  <c:v>71.430000000000007</c:v>
                </c:pt>
                <c:pt idx="134">
                  <c:v>70.762</c:v>
                </c:pt>
                <c:pt idx="135">
                  <c:v>69.983999999999995</c:v>
                </c:pt>
                <c:pt idx="136">
                  <c:v>69.075000000000003</c:v>
                </c:pt>
                <c:pt idx="137">
                  <c:v>68.539000000000001</c:v>
                </c:pt>
                <c:pt idx="138">
                  <c:v>67.635000000000005</c:v>
                </c:pt>
                <c:pt idx="139">
                  <c:v>67.278999999999996</c:v>
                </c:pt>
                <c:pt idx="140">
                  <c:v>68.100999999999999</c:v>
                </c:pt>
                <c:pt idx="141">
                  <c:v>65.305999999999997</c:v>
                </c:pt>
                <c:pt idx="142">
                  <c:v>65.091999999999999</c:v>
                </c:pt>
                <c:pt idx="143">
                  <c:v>63.677</c:v>
                </c:pt>
                <c:pt idx="144">
                  <c:v>62.246000000000002</c:v>
                </c:pt>
                <c:pt idx="145">
                  <c:v>61.253999999999998</c:v>
                </c:pt>
                <c:pt idx="146">
                  <c:v>60.674999999999997</c:v>
                </c:pt>
                <c:pt idx="147">
                  <c:v>59.94</c:v>
                </c:pt>
                <c:pt idx="148">
                  <c:v>60.317</c:v>
                </c:pt>
                <c:pt idx="149">
                  <c:v>59.26</c:v>
                </c:pt>
                <c:pt idx="150">
                  <c:v>58.819000000000003</c:v>
                </c:pt>
                <c:pt idx="151">
                  <c:v>58.277999999999999</c:v>
                </c:pt>
                <c:pt idx="152">
                  <c:v>57.222999999999999</c:v>
                </c:pt>
                <c:pt idx="153">
                  <c:v>55.249000000000002</c:v>
                </c:pt>
                <c:pt idx="154">
                  <c:v>53.981999999999999</c:v>
                </c:pt>
                <c:pt idx="155">
                  <c:v>52.366999999999997</c:v>
                </c:pt>
                <c:pt idx="156">
                  <c:v>50.737000000000002</c:v>
                </c:pt>
                <c:pt idx="157">
                  <c:v>49.712000000000003</c:v>
                </c:pt>
                <c:pt idx="158">
                  <c:v>47.698</c:v>
                </c:pt>
                <c:pt idx="159">
                  <c:v>45.070999999999998</c:v>
                </c:pt>
                <c:pt idx="160">
                  <c:v>44.08</c:v>
                </c:pt>
                <c:pt idx="161">
                  <c:v>42.207000000000001</c:v>
                </c:pt>
                <c:pt idx="162">
                  <c:v>41.045999999999999</c:v>
                </c:pt>
                <c:pt idx="163">
                  <c:v>40.633000000000003</c:v>
                </c:pt>
                <c:pt idx="164">
                  <c:v>39.814</c:v>
                </c:pt>
                <c:pt idx="165">
                  <c:v>39.411999999999999</c:v>
                </c:pt>
                <c:pt idx="166">
                  <c:v>39.012</c:v>
                </c:pt>
                <c:pt idx="167">
                  <c:v>38.426000000000002</c:v>
                </c:pt>
                <c:pt idx="168">
                  <c:v>37.939</c:v>
                </c:pt>
                <c:pt idx="169">
                  <c:v>36.591999999999999</c:v>
                </c:pt>
                <c:pt idx="170">
                  <c:v>35.057000000000002</c:v>
                </c:pt>
                <c:pt idx="171">
                  <c:v>35.198</c:v>
                </c:pt>
                <c:pt idx="172">
                  <c:v>34.170999999999999</c:v>
                </c:pt>
                <c:pt idx="173">
                  <c:v>32.825000000000003</c:v>
                </c:pt>
                <c:pt idx="174">
                  <c:v>32.408000000000001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47-4081-AAEC-375BF0A1713B}"/>
            </c:ext>
          </c:extLst>
        </c:ser>
        <c:ser>
          <c:idx val="10"/>
          <c:order val="10"/>
          <c:tx>
            <c:strRef>
              <c:f>data_co2_excLUC!$N$2</c:f>
              <c:strCache>
                <c:ptCount val="1"/>
                <c:pt idx="0">
                  <c:v>pct_annex1_PRIMAP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ash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data_co2_excLUC!$N$3:$N$177</c:f>
              <c:numCache>
                <c:formatCode>0.0</c:formatCode>
                <c:ptCount val="175"/>
                <c:pt idx="0">
                  <c:v>99.978999999999999</c:v>
                </c:pt>
                <c:pt idx="1">
                  <c:v>99.977999999999994</c:v>
                </c:pt>
                <c:pt idx="2">
                  <c:v>99.975999999999999</c:v>
                </c:pt>
                <c:pt idx="3">
                  <c:v>99.974000000000004</c:v>
                </c:pt>
                <c:pt idx="4">
                  <c:v>99.972999999999999</c:v>
                </c:pt>
                <c:pt idx="5">
                  <c:v>99.97</c:v>
                </c:pt>
                <c:pt idx="6">
                  <c:v>99.97</c:v>
                </c:pt>
                <c:pt idx="7">
                  <c:v>99.968000000000004</c:v>
                </c:pt>
                <c:pt idx="8">
                  <c:v>99.823999999999998</c:v>
                </c:pt>
                <c:pt idx="9">
                  <c:v>99.748999999999995</c:v>
                </c:pt>
                <c:pt idx="10">
                  <c:v>99.760999999999996</c:v>
                </c:pt>
                <c:pt idx="11">
                  <c:v>99.808000000000007</c:v>
                </c:pt>
                <c:pt idx="12">
                  <c:v>99.799000000000007</c:v>
                </c:pt>
                <c:pt idx="13">
                  <c:v>99.793999999999997</c:v>
                </c:pt>
                <c:pt idx="14">
                  <c:v>99.813000000000002</c:v>
                </c:pt>
                <c:pt idx="15">
                  <c:v>99.825999999999993</c:v>
                </c:pt>
                <c:pt idx="16">
                  <c:v>99.754999999999995</c:v>
                </c:pt>
                <c:pt idx="17">
                  <c:v>99.747</c:v>
                </c:pt>
                <c:pt idx="18">
                  <c:v>99.748000000000005</c:v>
                </c:pt>
                <c:pt idx="19">
                  <c:v>99.715000000000003</c:v>
                </c:pt>
                <c:pt idx="20">
                  <c:v>99.69</c:v>
                </c:pt>
                <c:pt idx="21">
                  <c:v>99.653000000000006</c:v>
                </c:pt>
                <c:pt idx="22">
                  <c:v>99.664000000000001</c:v>
                </c:pt>
                <c:pt idx="23">
                  <c:v>99.671999999999997</c:v>
                </c:pt>
                <c:pt idx="24">
                  <c:v>99.608999999999995</c:v>
                </c:pt>
                <c:pt idx="25">
                  <c:v>99.606999999999999</c:v>
                </c:pt>
                <c:pt idx="26">
                  <c:v>99.566999999999993</c:v>
                </c:pt>
                <c:pt idx="27">
                  <c:v>99.564999999999998</c:v>
                </c:pt>
                <c:pt idx="28">
                  <c:v>99.498999999999995</c:v>
                </c:pt>
                <c:pt idx="29">
                  <c:v>99.537000000000006</c:v>
                </c:pt>
                <c:pt idx="30">
                  <c:v>99.533000000000001</c:v>
                </c:pt>
                <c:pt idx="31">
                  <c:v>99.537000000000006</c:v>
                </c:pt>
                <c:pt idx="32">
                  <c:v>99.510999999999996</c:v>
                </c:pt>
                <c:pt idx="33">
                  <c:v>99.481999999999999</c:v>
                </c:pt>
                <c:pt idx="34">
                  <c:v>99.448999999999998</c:v>
                </c:pt>
                <c:pt idx="35">
                  <c:v>99.451999999999998</c:v>
                </c:pt>
                <c:pt idx="36">
                  <c:v>99.421000000000006</c:v>
                </c:pt>
                <c:pt idx="37">
                  <c:v>99.295000000000002</c:v>
                </c:pt>
                <c:pt idx="38">
                  <c:v>99.334999999999994</c:v>
                </c:pt>
                <c:pt idx="39">
                  <c:v>99.183000000000007</c:v>
                </c:pt>
                <c:pt idx="40">
                  <c:v>99.194000000000003</c:v>
                </c:pt>
                <c:pt idx="41">
                  <c:v>99.153000000000006</c:v>
                </c:pt>
                <c:pt idx="42">
                  <c:v>99.022999999999996</c:v>
                </c:pt>
                <c:pt idx="43">
                  <c:v>98.778999999999996</c:v>
                </c:pt>
                <c:pt idx="44">
                  <c:v>98.73</c:v>
                </c:pt>
                <c:pt idx="45">
                  <c:v>98.519000000000005</c:v>
                </c:pt>
                <c:pt idx="46">
                  <c:v>98.429000000000002</c:v>
                </c:pt>
                <c:pt idx="47">
                  <c:v>98.346000000000004</c:v>
                </c:pt>
                <c:pt idx="48">
                  <c:v>98.185000000000002</c:v>
                </c:pt>
                <c:pt idx="49">
                  <c:v>98.212999999999994</c:v>
                </c:pt>
                <c:pt idx="50">
                  <c:v>98.316000000000003</c:v>
                </c:pt>
                <c:pt idx="51">
                  <c:v>97.92</c:v>
                </c:pt>
                <c:pt idx="52">
                  <c:v>97.805000000000007</c:v>
                </c:pt>
                <c:pt idx="53">
                  <c:v>97.724000000000004</c:v>
                </c:pt>
                <c:pt idx="54">
                  <c:v>97.484999999999999</c:v>
                </c:pt>
                <c:pt idx="55">
                  <c:v>97.552000000000007</c:v>
                </c:pt>
                <c:pt idx="56">
                  <c:v>96.721999999999994</c:v>
                </c:pt>
                <c:pt idx="57">
                  <c:v>96.872</c:v>
                </c:pt>
                <c:pt idx="58">
                  <c:v>96.266000000000005</c:v>
                </c:pt>
                <c:pt idx="59">
                  <c:v>96.408000000000001</c:v>
                </c:pt>
                <c:pt idx="60">
                  <c:v>96.426000000000002</c:v>
                </c:pt>
                <c:pt idx="61">
                  <c:v>95.941000000000003</c:v>
                </c:pt>
                <c:pt idx="62">
                  <c:v>96.436999999999998</c:v>
                </c:pt>
                <c:pt idx="63">
                  <c:v>96.281999999999996</c:v>
                </c:pt>
                <c:pt idx="64">
                  <c:v>95.99</c:v>
                </c:pt>
                <c:pt idx="65">
                  <c:v>95.837000000000003</c:v>
                </c:pt>
                <c:pt idx="66">
                  <c:v>95.843999999999994</c:v>
                </c:pt>
                <c:pt idx="67">
                  <c:v>95.706000000000003</c:v>
                </c:pt>
                <c:pt idx="68">
                  <c:v>95.600999999999999</c:v>
                </c:pt>
                <c:pt idx="69">
                  <c:v>94.227999999999994</c:v>
                </c:pt>
                <c:pt idx="70">
                  <c:v>94.097999999999999</c:v>
                </c:pt>
                <c:pt idx="71">
                  <c:v>92.745000000000005</c:v>
                </c:pt>
                <c:pt idx="72">
                  <c:v>93.033000000000001</c:v>
                </c:pt>
                <c:pt idx="73">
                  <c:v>93.593000000000004</c:v>
                </c:pt>
                <c:pt idx="74">
                  <c:v>93.247</c:v>
                </c:pt>
                <c:pt idx="75">
                  <c:v>93.45</c:v>
                </c:pt>
                <c:pt idx="76">
                  <c:v>93.242999999999995</c:v>
                </c:pt>
                <c:pt idx="77">
                  <c:v>93.677000000000007</c:v>
                </c:pt>
                <c:pt idx="78">
                  <c:v>93.14</c:v>
                </c:pt>
                <c:pt idx="79">
                  <c:v>93.168000000000006</c:v>
                </c:pt>
                <c:pt idx="80">
                  <c:v>92.39</c:v>
                </c:pt>
                <c:pt idx="81">
                  <c:v>92.010999999999996</c:v>
                </c:pt>
                <c:pt idx="82">
                  <c:v>91.230999999999995</c:v>
                </c:pt>
                <c:pt idx="83">
                  <c:v>91.084000000000003</c:v>
                </c:pt>
                <c:pt idx="84">
                  <c:v>90.641999999999996</c:v>
                </c:pt>
                <c:pt idx="85">
                  <c:v>90.034999999999997</c:v>
                </c:pt>
                <c:pt idx="86">
                  <c:v>90.239000000000004</c:v>
                </c:pt>
                <c:pt idx="87">
                  <c:v>89.975999999999999</c:v>
                </c:pt>
                <c:pt idx="88">
                  <c:v>89.114999999999995</c:v>
                </c:pt>
                <c:pt idx="89">
                  <c:v>88.927000000000007</c:v>
                </c:pt>
                <c:pt idx="90">
                  <c:v>89.313000000000002</c:v>
                </c:pt>
                <c:pt idx="91">
                  <c:v>89.331999999999994</c:v>
                </c:pt>
                <c:pt idx="92">
                  <c:v>90.278999999999996</c:v>
                </c:pt>
                <c:pt idx="93">
                  <c:v>90.119</c:v>
                </c:pt>
                <c:pt idx="94">
                  <c:v>89.430999999999997</c:v>
                </c:pt>
                <c:pt idx="95">
                  <c:v>87.644999999999996</c:v>
                </c:pt>
                <c:pt idx="96">
                  <c:v>86.933000000000007</c:v>
                </c:pt>
                <c:pt idx="97">
                  <c:v>87.816000000000003</c:v>
                </c:pt>
                <c:pt idx="98">
                  <c:v>88.533000000000001</c:v>
                </c:pt>
                <c:pt idx="99">
                  <c:v>87.394999999999996</c:v>
                </c:pt>
                <c:pt idx="100">
                  <c:v>90.037999999999997</c:v>
                </c:pt>
                <c:pt idx="101">
                  <c:v>89.55</c:v>
                </c:pt>
                <c:pt idx="102">
                  <c:v>88.774000000000001</c:v>
                </c:pt>
                <c:pt idx="103">
                  <c:v>88.703000000000003</c:v>
                </c:pt>
                <c:pt idx="104">
                  <c:v>87.688999999999993</c:v>
                </c:pt>
                <c:pt idx="105">
                  <c:v>87.215000000000003</c:v>
                </c:pt>
                <c:pt idx="106">
                  <c:v>86.906999999999996</c:v>
                </c:pt>
                <c:pt idx="107">
                  <c:v>85.968000000000004</c:v>
                </c:pt>
                <c:pt idx="108">
                  <c:v>82.67</c:v>
                </c:pt>
                <c:pt idx="109">
                  <c:v>80.698999999999998</c:v>
                </c:pt>
                <c:pt idx="110">
                  <c:v>80.165000000000006</c:v>
                </c:pt>
                <c:pt idx="111">
                  <c:v>81.977000000000004</c:v>
                </c:pt>
                <c:pt idx="112">
                  <c:v>82.914000000000001</c:v>
                </c:pt>
                <c:pt idx="113">
                  <c:v>83.125</c:v>
                </c:pt>
                <c:pt idx="114">
                  <c:v>83.152000000000001</c:v>
                </c:pt>
                <c:pt idx="115">
                  <c:v>82.659000000000006</c:v>
                </c:pt>
                <c:pt idx="116">
                  <c:v>82.1</c:v>
                </c:pt>
                <c:pt idx="117">
                  <c:v>82.787999999999997</c:v>
                </c:pt>
                <c:pt idx="118">
                  <c:v>82.22</c:v>
                </c:pt>
                <c:pt idx="119">
                  <c:v>81.569000000000003</c:v>
                </c:pt>
                <c:pt idx="120">
                  <c:v>80.272999999999996</c:v>
                </c:pt>
                <c:pt idx="121">
                  <c:v>79.209999999999994</c:v>
                </c:pt>
                <c:pt idx="122">
                  <c:v>79.227000000000004</c:v>
                </c:pt>
                <c:pt idx="123">
                  <c:v>78.804000000000002</c:v>
                </c:pt>
                <c:pt idx="124">
                  <c:v>78.11</c:v>
                </c:pt>
                <c:pt idx="125">
                  <c:v>76.790000000000006</c:v>
                </c:pt>
                <c:pt idx="126">
                  <c:v>76.668999999999997</c:v>
                </c:pt>
                <c:pt idx="127">
                  <c:v>75.972999999999999</c:v>
                </c:pt>
                <c:pt idx="128">
                  <c:v>75.325999999999993</c:v>
                </c:pt>
                <c:pt idx="129">
                  <c:v>74.846000000000004</c:v>
                </c:pt>
                <c:pt idx="130">
                  <c:v>74.352000000000004</c:v>
                </c:pt>
                <c:pt idx="131">
                  <c:v>73.599999999999994</c:v>
                </c:pt>
                <c:pt idx="132">
                  <c:v>72.406999999999996</c:v>
                </c:pt>
                <c:pt idx="133">
                  <c:v>71.784000000000006</c:v>
                </c:pt>
                <c:pt idx="134">
                  <c:v>71.075000000000003</c:v>
                </c:pt>
                <c:pt idx="135">
                  <c:v>70.272000000000006</c:v>
                </c:pt>
                <c:pt idx="136">
                  <c:v>69.483000000000004</c:v>
                </c:pt>
                <c:pt idx="137">
                  <c:v>68.963999999999999</c:v>
                </c:pt>
                <c:pt idx="138">
                  <c:v>68.183999999999997</c:v>
                </c:pt>
                <c:pt idx="139">
                  <c:v>67.558999999999997</c:v>
                </c:pt>
                <c:pt idx="140">
                  <c:v>67.433999999999997</c:v>
                </c:pt>
                <c:pt idx="141">
                  <c:v>65.218000000000004</c:v>
                </c:pt>
                <c:pt idx="142">
                  <c:v>64.594999999999999</c:v>
                </c:pt>
                <c:pt idx="143">
                  <c:v>63.311999999999998</c:v>
                </c:pt>
                <c:pt idx="144">
                  <c:v>62.101999999999997</c:v>
                </c:pt>
                <c:pt idx="145">
                  <c:v>61.024000000000001</c:v>
                </c:pt>
                <c:pt idx="146">
                  <c:v>60.298000000000002</c:v>
                </c:pt>
                <c:pt idx="147">
                  <c:v>59.433999999999997</c:v>
                </c:pt>
                <c:pt idx="148">
                  <c:v>59.673000000000002</c:v>
                </c:pt>
                <c:pt idx="149">
                  <c:v>58.555999999999997</c:v>
                </c:pt>
                <c:pt idx="150">
                  <c:v>58.057000000000002</c:v>
                </c:pt>
                <c:pt idx="151">
                  <c:v>57.354999999999997</c:v>
                </c:pt>
                <c:pt idx="152">
                  <c:v>56.146999999999998</c:v>
                </c:pt>
                <c:pt idx="153">
                  <c:v>54.23</c:v>
                </c:pt>
                <c:pt idx="154">
                  <c:v>52.78</c:v>
                </c:pt>
                <c:pt idx="155">
                  <c:v>51.023000000000003</c:v>
                </c:pt>
                <c:pt idx="156">
                  <c:v>49.686</c:v>
                </c:pt>
                <c:pt idx="157">
                  <c:v>48.801000000000002</c:v>
                </c:pt>
                <c:pt idx="158">
                  <c:v>47.061999999999998</c:v>
                </c:pt>
                <c:pt idx="159">
                  <c:v>44.537999999999997</c:v>
                </c:pt>
                <c:pt idx="160">
                  <c:v>43.932000000000002</c:v>
                </c:pt>
                <c:pt idx="161">
                  <c:v>41.997</c:v>
                </c:pt>
                <c:pt idx="162">
                  <c:v>40.841000000000001</c:v>
                </c:pt>
                <c:pt idx="163">
                  <c:v>40.363999999999997</c:v>
                </c:pt>
                <c:pt idx="164">
                  <c:v>39.36</c:v>
                </c:pt>
                <c:pt idx="165">
                  <c:v>38.665999999999997</c:v>
                </c:pt>
                <c:pt idx="166">
                  <c:v>38.134999999999998</c:v>
                </c:pt>
                <c:pt idx="167">
                  <c:v>37.393999999999998</c:v>
                </c:pt>
                <c:pt idx="168">
                  <c:v>37.046999999999997</c:v>
                </c:pt>
                <c:pt idx="169">
                  <c:v>36.036999999999999</c:v>
                </c:pt>
                <c:pt idx="170">
                  <c:v>34.536000000000001</c:v>
                </c:pt>
                <c:pt idx="171">
                  <c:v>34.722999999999999</c:v>
                </c:pt>
                <c:pt idx="172">
                  <c:v>34.046999999999997</c:v>
                </c:pt>
                <c:pt idx="173">
                  <c:v>32.567999999999998</c:v>
                </c:pt>
                <c:pt idx="174">
                  <c:v>32.228999999999999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47-4081-AAEC-375BF0A1713B}"/>
            </c:ext>
          </c:extLst>
        </c:ser>
        <c:ser>
          <c:idx val="11"/>
          <c:order val="11"/>
          <c:tx>
            <c:strRef>
              <c:f>data_co2_excLUC!$O$2</c:f>
              <c:strCache>
                <c:ptCount val="1"/>
                <c:pt idx="0">
                  <c:v>pct_annex1_GCP_fossil</c:v>
                </c:pt>
              </c:strCache>
            </c:strRef>
          </c:tx>
          <c:spPr>
            <a:ln w="19050">
              <a:solidFill>
                <a:srgbClr val="0B4C5B"/>
              </a:solidFill>
              <a:prstDash val="sys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data_co2_excLUC!$O$3:$O$177</c:f>
              <c:numCache>
                <c:formatCode>0.0</c:formatCode>
                <c:ptCount val="175"/>
                <c:pt idx="0">
                  <c:v>99.944000000000003</c:v>
                </c:pt>
                <c:pt idx="1">
                  <c:v>99.944000000000003</c:v>
                </c:pt>
                <c:pt idx="2">
                  <c:v>99.912999999999997</c:v>
                </c:pt>
                <c:pt idx="3">
                  <c:v>99.945999999999998</c:v>
                </c:pt>
                <c:pt idx="4">
                  <c:v>99.998000000000005</c:v>
                </c:pt>
                <c:pt idx="5">
                  <c:v>99.924000000000007</c:v>
                </c:pt>
                <c:pt idx="6">
                  <c:v>99.659000000000006</c:v>
                </c:pt>
                <c:pt idx="7">
                  <c:v>99.555999999999997</c:v>
                </c:pt>
                <c:pt idx="8">
                  <c:v>99.376999999999995</c:v>
                </c:pt>
                <c:pt idx="9">
                  <c:v>99.408000000000001</c:v>
                </c:pt>
                <c:pt idx="10">
                  <c:v>99.376000000000005</c:v>
                </c:pt>
                <c:pt idx="11">
                  <c:v>99.421000000000006</c:v>
                </c:pt>
                <c:pt idx="12">
                  <c:v>99.393000000000001</c:v>
                </c:pt>
                <c:pt idx="13">
                  <c:v>99.451999999999998</c:v>
                </c:pt>
                <c:pt idx="14">
                  <c:v>99.388999999999996</c:v>
                </c:pt>
                <c:pt idx="15">
                  <c:v>99.384</c:v>
                </c:pt>
                <c:pt idx="16">
                  <c:v>99.212000000000003</c:v>
                </c:pt>
                <c:pt idx="17">
                  <c:v>99.356999999999999</c:v>
                </c:pt>
                <c:pt idx="18">
                  <c:v>99.331000000000003</c:v>
                </c:pt>
                <c:pt idx="19">
                  <c:v>99.376000000000005</c:v>
                </c:pt>
                <c:pt idx="20">
                  <c:v>99.38</c:v>
                </c:pt>
                <c:pt idx="21">
                  <c:v>99.366</c:v>
                </c:pt>
                <c:pt idx="22">
                  <c:v>99.301000000000002</c:v>
                </c:pt>
                <c:pt idx="23">
                  <c:v>99.301000000000002</c:v>
                </c:pt>
                <c:pt idx="24">
                  <c:v>99.16</c:v>
                </c:pt>
                <c:pt idx="25">
                  <c:v>99.278000000000006</c:v>
                </c:pt>
                <c:pt idx="26">
                  <c:v>99.272999999999996</c:v>
                </c:pt>
                <c:pt idx="27">
                  <c:v>99.308000000000007</c:v>
                </c:pt>
                <c:pt idx="28">
                  <c:v>99.004000000000005</c:v>
                </c:pt>
                <c:pt idx="29">
                  <c:v>99.058000000000007</c:v>
                </c:pt>
                <c:pt idx="30">
                  <c:v>99.07</c:v>
                </c:pt>
                <c:pt idx="31">
                  <c:v>99.063000000000002</c:v>
                </c:pt>
                <c:pt idx="32">
                  <c:v>99.052000000000007</c:v>
                </c:pt>
                <c:pt idx="33">
                  <c:v>99.031000000000006</c:v>
                </c:pt>
                <c:pt idx="34">
                  <c:v>98.953999999999994</c:v>
                </c:pt>
                <c:pt idx="35">
                  <c:v>98.942999999999998</c:v>
                </c:pt>
                <c:pt idx="36">
                  <c:v>98.951999999999998</c:v>
                </c:pt>
                <c:pt idx="37">
                  <c:v>98.88</c:v>
                </c:pt>
                <c:pt idx="38">
                  <c:v>98.840999999999994</c:v>
                </c:pt>
                <c:pt idx="39">
                  <c:v>98.656999999999996</c:v>
                </c:pt>
                <c:pt idx="40">
                  <c:v>98.760999999999996</c:v>
                </c:pt>
                <c:pt idx="41">
                  <c:v>98.685000000000002</c:v>
                </c:pt>
                <c:pt idx="42">
                  <c:v>98.543999999999997</c:v>
                </c:pt>
                <c:pt idx="43">
                  <c:v>98.32</c:v>
                </c:pt>
                <c:pt idx="44">
                  <c:v>98.194999999999993</c:v>
                </c:pt>
                <c:pt idx="45">
                  <c:v>98.07</c:v>
                </c:pt>
                <c:pt idx="46">
                  <c:v>97.966999999999999</c:v>
                </c:pt>
                <c:pt idx="47">
                  <c:v>97.908000000000001</c:v>
                </c:pt>
                <c:pt idx="48">
                  <c:v>97.75</c:v>
                </c:pt>
                <c:pt idx="49">
                  <c:v>97.79</c:v>
                </c:pt>
                <c:pt idx="50">
                  <c:v>97.929000000000002</c:v>
                </c:pt>
                <c:pt idx="51">
                  <c:v>97.710999999999999</c:v>
                </c:pt>
                <c:pt idx="52">
                  <c:v>97.617999999999995</c:v>
                </c:pt>
                <c:pt idx="53">
                  <c:v>97.593999999999994</c:v>
                </c:pt>
                <c:pt idx="54">
                  <c:v>97.379000000000005</c:v>
                </c:pt>
                <c:pt idx="55">
                  <c:v>97.381</c:v>
                </c:pt>
                <c:pt idx="56">
                  <c:v>97.126000000000005</c:v>
                </c:pt>
                <c:pt idx="57">
                  <c:v>96.491</c:v>
                </c:pt>
                <c:pt idx="58">
                  <c:v>96.064999999999998</c:v>
                </c:pt>
                <c:pt idx="59">
                  <c:v>96.073999999999998</c:v>
                </c:pt>
                <c:pt idx="60">
                  <c:v>96.081000000000003</c:v>
                </c:pt>
                <c:pt idx="61">
                  <c:v>95.850999999999999</c:v>
                </c:pt>
                <c:pt idx="62">
                  <c:v>96.066999999999993</c:v>
                </c:pt>
                <c:pt idx="63">
                  <c:v>95.798000000000002</c:v>
                </c:pt>
                <c:pt idx="64">
                  <c:v>95.593999999999994</c:v>
                </c:pt>
                <c:pt idx="65">
                  <c:v>95.599000000000004</c:v>
                </c:pt>
                <c:pt idx="66">
                  <c:v>95.516000000000005</c:v>
                </c:pt>
                <c:pt idx="67">
                  <c:v>95.340999999999994</c:v>
                </c:pt>
                <c:pt idx="68">
                  <c:v>95.185000000000002</c:v>
                </c:pt>
                <c:pt idx="69">
                  <c:v>93.727000000000004</c:v>
                </c:pt>
                <c:pt idx="70">
                  <c:v>93.534000000000006</c:v>
                </c:pt>
                <c:pt idx="71">
                  <c:v>92.138999999999996</c:v>
                </c:pt>
                <c:pt idx="72">
                  <c:v>92.525999999999996</c:v>
                </c:pt>
                <c:pt idx="73">
                  <c:v>93.186000000000007</c:v>
                </c:pt>
                <c:pt idx="74">
                  <c:v>92.879000000000005</c:v>
                </c:pt>
                <c:pt idx="75">
                  <c:v>93.135999999999996</c:v>
                </c:pt>
                <c:pt idx="76">
                  <c:v>93.204999999999998</c:v>
                </c:pt>
                <c:pt idx="77">
                  <c:v>93.733000000000004</c:v>
                </c:pt>
                <c:pt idx="78">
                  <c:v>93.587000000000003</c:v>
                </c:pt>
                <c:pt idx="79">
                  <c:v>93.8</c:v>
                </c:pt>
                <c:pt idx="80">
                  <c:v>93.3</c:v>
                </c:pt>
                <c:pt idx="81">
                  <c:v>92.867000000000004</c:v>
                </c:pt>
                <c:pt idx="82">
                  <c:v>92.105000000000004</c:v>
                </c:pt>
                <c:pt idx="83">
                  <c:v>91.968999999999994</c:v>
                </c:pt>
                <c:pt idx="84">
                  <c:v>91.613</c:v>
                </c:pt>
                <c:pt idx="85">
                  <c:v>91.165000000000006</c:v>
                </c:pt>
                <c:pt idx="86">
                  <c:v>91.450999999999993</c:v>
                </c:pt>
                <c:pt idx="87">
                  <c:v>91.27</c:v>
                </c:pt>
                <c:pt idx="88">
                  <c:v>90.683999999999997</c:v>
                </c:pt>
                <c:pt idx="89">
                  <c:v>90.528999999999996</c:v>
                </c:pt>
                <c:pt idx="90">
                  <c:v>90.557000000000002</c:v>
                </c:pt>
                <c:pt idx="91">
                  <c:v>90.763000000000005</c:v>
                </c:pt>
                <c:pt idx="92">
                  <c:v>91.266000000000005</c:v>
                </c:pt>
                <c:pt idx="93">
                  <c:v>91.608999999999995</c:v>
                </c:pt>
                <c:pt idx="94">
                  <c:v>91.266999999999996</c:v>
                </c:pt>
                <c:pt idx="95">
                  <c:v>90.475999999999999</c:v>
                </c:pt>
                <c:pt idx="96">
                  <c:v>90.656000000000006</c:v>
                </c:pt>
                <c:pt idx="97">
                  <c:v>90.480999999999995</c:v>
                </c:pt>
                <c:pt idx="98">
                  <c:v>90.986999999999995</c:v>
                </c:pt>
                <c:pt idx="99">
                  <c:v>90.623000000000005</c:v>
                </c:pt>
                <c:pt idx="100">
                  <c:v>90.245000000000005</c:v>
                </c:pt>
                <c:pt idx="101">
                  <c:v>89.834000000000003</c:v>
                </c:pt>
                <c:pt idx="102">
                  <c:v>89.003</c:v>
                </c:pt>
                <c:pt idx="103">
                  <c:v>89</c:v>
                </c:pt>
                <c:pt idx="104">
                  <c:v>88.004999999999995</c:v>
                </c:pt>
                <c:pt idx="105">
                  <c:v>87.388999999999996</c:v>
                </c:pt>
                <c:pt idx="106">
                  <c:v>87.055000000000007</c:v>
                </c:pt>
                <c:pt idx="107">
                  <c:v>86.26</c:v>
                </c:pt>
                <c:pt idx="108">
                  <c:v>82.984999999999999</c:v>
                </c:pt>
                <c:pt idx="109">
                  <c:v>80.950999999999993</c:v>
                </c:pt>
                <c:pt idx="110">
                  <c:v>80.477999999999994</c:v>
                </c:pt>
                <c:pt idx="111">
                  <c:v>82.468000000000004</c:v>
                </c:pt>
                <c:pt idx="112">
                  <c:v>83.494</c:v>
                </c:pt>
                <c:pt idx="113">
                  <c:v>83.712999999999994</c:v>
                </c:pt>
                <c:pt idx="114">
                  <c:v>83.634</c:v>
                </c:pt>
                <c:pt idx="115">
                  <c:v>83.007000000000005</c:v>
                </c:pt>
                <c:pt idx="116">
                  <c:v>82.594999999999999</c:v>
                </c:pt>
                <c:pt idx="117">
                  <c:v>83.084999999999994</c:v>
                </c:pt>
                <c:pt idx="118">
                  <c:v>82.638000000000005</c:v>
                </c:pt>
                <c:pt idx="119">
                  <c:v>81.930999999999997</c:v>
                </c:pt>
                <c:pt idx="120">
                  <c:v>80.72</c:v>
                </c:pt>
                <c:pt idx="121">
                  <c:v>79.593999999999994</c:v>
                </c:pt>
                <c:pt idx="122">
                  <c:v>79.516000000000005</c:v>
                </c:pt>
                <c:pt idx="123">
                  <c:v>78.995999999999995</c:v>
                </c:pt>
                <c:pt idx="124">
                  <c:v>78.319000000000003</c:v>
                </c:pt>
                <c:pt idx="125">
                  <c:v>77.046999999999997</c:v>
                </c:pt>
                <c:pt idx="126">
                  <c:v>76.736000000000004</c:v>
                </c:pt>
                <c:pt idx="127">
                  <c:v>75.995999999999995</c:v>
                </c:pt>
                <c:pt idx="128">
                  <c:v>75.183999999999997</c:v>
                </c:pt>
                <c:pt idx="129">
                  <c:v>74.643000000000001</c:v>
                </c:pt>
                <c:pt idx="130">
                  <c:v>74.111000000000004</c:v>
                </c:pt>
                <c:pt idx="131">
                  <c:v>73.418000000000006</c:v>
                </c:pt>
                <c:pt idx="132">
                  <c:v>72.132000000000005</c:v>
                </c:pt>
                <c:pt idx="133">
                  <c:v>71.430999999999997</c:v>
                </c:pt>
                <c:pt idx="134">
                  <c:v>70.763000000000005</c:v>
                </c:pt>
                <c:pt idx="135">
                  <c:v>69.983999999999995</c:v>
                </c:pt>
                <c:pt idx="136">
                  <c:v>69.075000000000003</c:v>
                </c:pt>
                <c:pt idx="137">
                  <c:v>68.539000000000001</c:v>
                </c:pt>
                <c:pt idx="138">
                  <c:v>67.635000000000005</c:v>
                </c:pt>
                <c:pt idx="139">
                  <c:v>67.28</c:v>
                </c:pt>
                <c:pt idx="140">
                  <c:v>68.102000000000004</c:v>
                </c:pt>
                <c:pt idx="141">
                  <c:v>66.713999999999999</c:v>
                </c:pt>
                <c:pt idx="142">
                  <c:v>65.091999999999999</c:v>
                </c:pt>
                <c:pt idx="143">
                  <c:v>63.677</c:v>
                </c:pt>
                <c:pt idx="144">
                  <c:v>62.246000000000002</c:v>
                </c:pt>
                <c:pt idx="145">
                  <c:v>61.253999999999998</c:v>
                </c:pt>
                <c:pt idx="146">
                  <c:v>60.674999999999997</c:v>
                </c:pt>
                <c:pt idx="147">
                  <c:v>59.94</c:v>
                </c:pt>
                <c:pt idx="148">
                  <c:v>60.317</c:v>
                </c:pt>
                <c:pt idx="149">
                  <c:v>59.26</c:v>
                </c:pt>
                <c:pt idx="150">
                  <c:v>58.819000000000003</c:v>
                </c:pt>
                <c:pt idx="151">
                  <c:v>58.277999999999999</c:v>
                </c:pt>
                <c:pt idx="152">
                  <c:v>57.222999999999999</c:v>
                </c:pt>
                <c:pt idx="153">
                  <c:v>55.249000000000002</c:v>
                </c:pt>
                <c:pt idx="154">
                  <c:v>53.981999999999999</c:v>
                </c:pt>
                <c:pt idx="155">
                  <c:v>52.366999999999997</c:v>
                </c:pt>
                <c:pt idx="156">
                  <c:v>50.737000000000002</c:v>
                </c:pt>
                <c:pt idx="157">
                  <c:v>49.712000000000003</c:v>
                </c:pt>
                <c:pt idx="158">
                  <c:v>47.698</c:v>
                </c:pt>
                <c:pt idx="159">
                  <c:v>45.070999999999998</c:v>
                </c:pt>
                <c:pt idx="160">
                  <c:v>44.08</c:v>
                </c:pt>
                <c:pt idx="161">
                  <c:v>42.207000000000001</c:v>
                </c:pt>
                <c:pt idx="162">
                  <c:v>41.045999999999999</c:v>
                </c:pt>
                <c:pt idx="163">
                  <c:v>40.633000000000003</c:v>
                </c:pt>
                <c:pt idx="164">
                  <c:v>39.814</c:v>
                </c:pt>
                <c:pt idx="165">
                  <c:v>39.411999999999999</c:v>
                </c:pt>
                <c:pt idx="166">
                  <c:v>39.012</c:v>
                </c:pt>
                <c:pt idx="167">
                  <c:v>38.426000000000002</c:v>
                </c:pt>
                <c:pt idx="168">
                  <c:v>37.939</c:v>
                </c:pt>
                <c:pt idx="169">
                  <c:v>36.591999999999999</c:v>
                </c:pt>
                <c:pt idx="170">
                  <c:v>35.057000000000002</c:v>
                </c:pt>
                <c:pt idx="171">
                  <c:v>35.198</c:v>
                </c:pt>
                <c:pt idx="172">
                  <c:v>34.170999999999999</c:v>
                </c:pt>
                <c:pt idx="173">
                  <c:v>32.825000000000003</c:v>
                </c:pt>
                <c:pt idx="174">
                  <c:v>32.408000000000001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47-4081-AAEC-375BF0A1713B}"/>
            </c:ext>
          </c:extLst>
        </c:ser>
        <c:ser>
          <c:idx val="12"/>
          <c:order val="12"/>
          <c:tx>
            <c:strRef>
              <c:f>data_co2_excLUC!$P$2</c:f>
              <c:strCache>
                <c:ptCount val="1"/>
              </c:strCache>
            </c:strRef>
          </c:tx>
          <c:spPr>
            <a:ln w="19050">
              <a:solidFill>
                <a:srgbClr val="0B4C5B"/>
              </a:solidFill>
              <a:prstDash val="sysDashDot"/>
            </a:ln>
          </c:spPr>
          <c:marker>
            <c:symbol val="none"/>
          </c:marker>
          <c:cat>
            <c:numRef>
              <c:f>data_co2_excLUC!$A$3:$A$177</c:f>
              <c:numCache>
                <c:formatCode>0</c:formatCode>
                <c:ptCount val="175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1858</c:v>
                </c:pt>
                <c:pt idx="9">
                  <c:v>1859</c:v>
                </c:pt>
                <c:pt idx="10">
                  <c:v>1860</c:v>
                </c:pt>
                <c:pt idx="11">
                  <c:v>1861</c:v>
                </c:pt>
                <c:pt idx="12">
                  <c:v>1862</c:v>
                </c:pt>
                <c:pt idx="13">
                  <c:v>1863</c:v>
                </c:pt>
                <c:pt idx="14">
                  <c:v>1864</c:v>
                </c:pt>
                <c:pt idx="15">
                  <c:v>1865</c:v>
                </c:pt>
                <c:pt idx="16">
                  <c:v>1866</c:v>
                </c:pt>
                <c:pt idx="17">
                  <c:v>1867</c:v>
                </c:pt>
                <c:pt idx="18">
                  <c:v>1868</c:v>
                </c:pt>
                <c:pt idx="19">
                  <c:v>1869</c:v>
                </c:pt>
                <c:pt idx="20">
                  <c:v>1870</c:v>
                </c:pt>
                <c:pt idx="21">
                  <c:v>1871</c:v>
                </c:pt>
                <c:pt idx="22">
                  <c:v>1872</c:v>
                </c:pt>
                <c:pt idx="23">
                  <c:v>1873</c:v>
                </c:pt>
                <c:pt idx="24">
                  <c:v>1874</c:v>
                </c:pt>
                <c:pt idx="25">
                  <c:v>1875</c:v>
                </c:pt>
                <c:pt idx="26">
                  <c:v>1876</c:v>
                </c:pt>
                <c:pt idx="27">
                  <c:v>1877</c:v>
                </c:pt>
                <c:pt idx="28">
                  <c:v>1878</c:v>
                </c:pt>
                <c:pt idx="29">
                  <c:v>1879</c:v>
                </c:pt>
                <c:pt idx="30">
                  <c:v>1880</c:v>
                </c:pt>
                <c:pt idx="31">
                  <c:v>1881</c:v>
                </c:pt>
                <c:pt idx="32">
                  <c:v>1882</c:v>
                </c:pt>
                <c:pt idx="33">
                  <c:v>1883</c:v>
                </c:pt>
                <c:pt idx="34">
                  <c:v>1884</c:v>
                </c:pt>
                <c:pt idx="35">
                  <c:v>1885</c:v>
                </c:pt>
                <c:pt idx="36">
                  <c:v>1886</c:v>
                </c:pt>
                <c:pt idx="37">
                  <c:v>1887</c:v>
                </c:pt>
                <c:pt idx="38">
                  <c:v>1888</c:v>
                </c:pt>
                <c:pt idx="39">
                  <c:v>1889</c:v>
                </c:pt>
                <c:pt idx="40">
                  <c:v>1890</c:v>
                </c:pt>
                <c:pt idx="41">
                  <c:v>1891</c:v>
                </c:pt>
                <c:pt idx="42">
                  <c:v>1892</c:v>
                </c:pt>
                <c:pt idx="43">
                  <c:v>1893</c:v>
                </c:pt>
                <c:pt idx="44">
                  <c:v>1894</c:v>
                </c:pt>
                <c:pt idx="45">
                  <c:v>1895</c:v>
                </c:pt>
                <c:pt idx="46">
                  <c:v>1896</c:v>
                </c:pt>
                <c:pt idx="47">
                  <c:v>1897</c:v>
                </c:pt>
                <c:pt idx="48">
                  <c:v>1898</c:v>
                </c:pt>
                <c:pt idx="49">
                  <c:v>1899</c:v>
                </c:pt>
                <c:pt idx="50">
                  <c:v>1900</c:v>
                </c:pt>
                <c:pt idx="51">
                  <c:v>1901</c:v>
                </c:pt>
                <c:pt idx="52">
                  <c:v>1902</c:v>
                </c:pt>
                <c:pt idx="53">
                  <c:v>1903</c:v>
                </c:pt>
                <c:pt idx="54">
                  <c:v>1904</c:v>
                </c:pt>
                <c:pt idx="55">
                  <c:v>1905</c:v>
                </c:pt>
                <c:pt idx="56">
                  <c:v>1906</c:v>
                </c:pt>
                <c:pt idx="57">
                  <c:v>1907</c:v>
                </c:pt>
                <c:pt idx="58">
                  <c:v>1908</c:v>
                </c:pt>
                <c:pt idx="59">
                  <c:v>1909</c:v>
                </c:pt>
                <c:pt idx="60">
                  <c:v>1910</c:v>
                </c:pt>
                <c:pt idx="61">
                  <c:v>1911</c:v>
                </c:pt>
                <c:pt idx="62">
                  <c:v>1912</c:v>
                </c:pt>
                <c:pt idx="63">
                  <c:v>1913</c:v>
                </c:pt>
                <c:pt idx="64">
                  <c:v>1914</c:v>
                </c:pt>
                <c:pt idx="65">
                  <c:v>1915</c:v>
                </c:pt>
                <c:pt idx="66">
                  <c:v>1916</c:v>
                </c:pt>
                <c:pt idx="67">
                  <c:v>1917</c:v>
                </c:pt>
                <c:pt idx="68">
                  <c:v>1918</c:v>
                </c:pt>
                <c:pt idx="69">
                  <c:v>1919</c:v>
                </c:pt>
                <c:pt idx="70">
                  <c:v>1920</c:v>
                </c:pt>
                <c:pt idx="71">
                  <c:v>1921</c:v>
                </c:pt>
                <c:pt idx="72">
                  <c:v>1922</c:v>
                </c:pt>
                <c:pt idx="73">
                  <c:v>1923</c:v>
                </c:pt>
                <c:pt idx="74">
                  <c:v>1924</c:v>
                </c:pt>
                <c:pt idx="75">
                  <c:v>1925</c:v>
                </c:pt>
                <c:pt idx="76">
                  <c:v>1926</c:v>
                </c:pt>
                <c:pt idx="77">
                  <c:v>1927</c:v>
                </c:pt>
                <c:pt idx="78">
                  <c:v>1928</c:v>
                </c:pt>
                <c:pt idx="79">
                  <c:v>1929</c:v>
                </c:pt>
                <c:pt idx="80">
                  <c:v>1930</c:v>
                </c:pt>
                <c:pt idx="81">
                  <c:v>1931</c:v>
                </c:pt>
                <c:pt idx="82">
                  <c:v>1932</c:v>
                </c:pt>
                <c:pt idx="83">
                  <c:v>1933</c:v>
                </c:pt>
                <c:pt idx="84">
                  <c:v>1934</c:v>
                </c:pt>
                <c:pt idx="85">
                  <c:v>1935</c:v>
                </c:pt>
                <c:pt idx="86">
                  <c:v>1936</c:v>
                </c:pt>
                <c:pt idx="87">
                  <c:v>1937</c:v>
                </c:pt>
                <c:pt idx="88">
                  <c:v>1938</c:v>
                </c:pt>
                <c:pt idx="89">
                  <c:v>1939</c:v>
                </c:pt>
                <c:pt idx="90">
                  <c:v>1940</c:v>
                </c:pt>
                <c:pt idx="91">
                  <c:v>1941</c:v>
                </c:pt>
                <c:pt idx="92">
                  <c:v>1942</c:v>
                </c:pt>
                <c:pt idx="93">
                  <c:v>1943</c:v>
                </c:pt>
                <c:pt idx="94">
                  <c:v>1944</c:v>
                </c:pt>
                <c:pt idx="95">
                  <c:v>1945</c:v>
                </c:pt>
                <c:pt idx="96">
                  <c:v>1946</c:v>
                </c:pt>
                <c:pt idx="97">
                  <c:v>1947</c:v>
                </c:pt>
                <c:pt idx="98">
                  <c:v>1948</c:v>
                </c:pt>
                <c:pt idx="99">
                  <c:v>1949</c:v>
                </c:pt>
                <c:pt idx="100">
                  <c:v>1950</c:v>
                </c:pt>
                <c:pt idx="101">
                  <c:v>1951</c:v>
                </c:pt>
                <c:pt idx="102">
                  <c:v>1952</c:v>
                </c:pt>
                <c:pt idx="103">
                  <c:v>1953</c:v>
                </c:pt>
                <c:pt idx="104">
                  <c:v>1954</c:v>
                </c:pt>
                <c:pt idx="105">
                  <c:v>1955</c:v>
                </c:pt>
                <c:pt idx="106">
                  <c:v>1956</c:v>
                </c:pt>
                <c:pt idx="107">
                  <c:v>1957</c:v>
                </c:pt>
                <c:pt idx="108">
                  <c:v>1958</c:v>
                </c:pt>
                <c:pt idx="109">
                  <c:v>1959</c:v>
                </c:pt>
                <c:pt idx="110">
                  <c:v>1960</c:v>
                </c:pt>
                <c:pt idx="111">
                  <c:v>1961</c:v>
                </c:pt>
                <c:pt idx="112">
                  <c:v>1962</c:v>
                </c:pt>
                <c:pt idx="113">
                  <c:v>1963</c:v>
                </c:pt>
                <c:pt idx="114">
                  <c:v>1964</c:v>
                </c:pt>
                <c:pt idx="115">
                  <c:v>1965</c:v>
                </c:pt>
                <c:pt idx="116">
                  <c:v>1966</c:v>
                </c:pt>
                <c:pt idx="117">
                  <c:v>1967</c:v>
                </c:pt>
                <c:pt idx="118">
                  <c:v>1968</c:v>
                </c:pt>
                <c:pt idx="119">
                  <c:v>1969</c:v>
                </c:pt>
                <c:pt idx="120">
                  <c:v>1970</c:v>
                </c:pt>
                <c:pt idx="121">
                  <c:v>1971</c:v>
                </c:pt>
                <c:pt idx="122">
                  <c:v>1972</c:v>
                </c:pt>
                <c:pt idx="123">
                  <c:v>1973</c:v>
                </c:pt>
                <c:pt idx="124">
                  <c:v>1974</c:v>
                </c:pt>
                <c:pt idx="125">
                  <c:v>1975</c:v>
                </c:pt>
                <c:pt idx="126">
                  <c:v>1976</c:v>
                </c:pt>
                <c:pt idx="127">
                  <c:v>1977</c:v>
                </c:pt>
                <c:pt idx="128">
                  <c:v>1978</c:v>
                </c:pt>
                <c:pt idx="129">
                  <c:v>1979</c:v>
                </c:pt>
                <c:pt idx="130">
                  <c:v>1980</c:v>
                </c:pt>
                <c:pt idx="131">
                  <c:v>1981</c:v>
                </c:pt>
                <c:pt idx="132">
                  <c:v>1982</c:v>
                </c:pt>
                <c:pt idx="133">
                  <c:v>1983</c:v>
                </c:pt>
                <c:pt idx="134">
                  <c:v>1984</c:v>
                </c:pt>
                <c:pt idx="135">
                  <c:v>1985</c:v>
                </c:pt>
                <c:pt idx="136">
                  <c:v>1986</c:v>
                </c:pt>
                <c:pt idx="137">
                  <c:v>1987</c:v>
                </c:pt>
                <c:pt idx="138">
                  <c:v>1988</c:v>
                </c:pt>
                <c:pt idx="139">
                  <c:v>1989</c:v>
                </c:pt>
                <c:pt idx="140">
                  <c:v>1990</c:v>
                </c:pt>
                <c:pt idx="141">
                  <c:v>1991</c:v>
                </c:pt>
                <c:pt idx="142">
                  <c:v>1992</c:v>
                </c:pt>
                <c:pt idx="143">
                  <c:v>1993</c:v>
                </c:pt>
                <c:pt idx="144">
                  <c:v>1994</c:v>
                </c:pt>
                <c:pt idx="145">
                  <c:v>1995</c:v>
                </c:pt>
                <c:pt idx="146">
                  <c:v>1996</c:v>
                </c:pt>
                <c:pt idx="147">
                  <c:v>1997</c:v>
                </c:pt>
                <c:pt idx="148">
                  <c:v>1998</c:v>
                </c:pt>
                <c:pt idx="149">
                  <c:v>1999</c:v>
                </c:pt>
                <c:pt idx="150">
                  <c:v>2000</c:v>
                </c:pt>
                <c:pt idx="151">
                  <c:v>2001</c:v>
                </c:pt>
                <c:pt idx="152">
                  <c:v>2002</c:v>
                </c:pt>
                <c:pt idx="153">
                  <c:v>2003</c:v>
                </c:pt>
                <c:pt idx="154">
                  <c:v>2004</c:v>
                </c:pt>
                <c:pt idx="155">
                  <c:v>2005</c:v>
                </c:pt>
                <c:pt idx="156">
                  <c:v>2006</c:v>
                </c:pt>
                <c:pt idx="157">
                  <c:v>2007</c:v>
                </c:pt>
                <c:pt idx="158">
                  <c:v>2008</c:v>
                </c:pt>
                <c:pt idx="159">
                  <c:v>2009</c:v>
                </c:pt>
                <c:pt idx="160">
                  <c:v>2010</c:v>
                </c:pt>
                <c:pt idx="161">
                  <c:v>2011</c:v>
                </c:pt>
                <c:pt idx="162">
                  <c:v>2012</c:v>
                </c:pt>
                <c:pt idx="163">
                  <c:v>2013</c:v>
                </c:pt>
                <c:pt idx="164">
                  <c:v>2014</c:v>
                </c:pt>
                <c:pt idx="165">
                  <c:v>2015</c:v>
                </c:pt>
                <c:pt idx="166">
                  <c:v>2016</c:v>
                </c:pt>
                <c:pt idx="167">
                  <c:v>2017</c:v>
                </c:pt>
                <c:pt idx="168">
                  <c:v>2018</c:v>
                </c:pt>
                <c:pt idx="169">
                  <c:v>2019</c:v>
                </c:pt>
                <c:pt idx="170">
                  <c:v>2020</c:v>
                </c:pt>
                <c:pt idx="171">
                  <c:v>2021</c:v>
                </c:pt>
                <c:pt idx="172">
                  <c:v>2022</c:v>
                </c:pt>
                <c:pt idx="173">
                  <c:v>2023</c:v>
                </c:pt>
                <c:pt idx="174">
                  <c:v>2024</c:v>
                </c:pt>
              </c:numCache>
            </c:numRef>
          </c:cat>
          <c:val>
            <c:numRef>
              <c:f>data_co2_excLUC!$P$3:$P$177</c:f>
              <c:numCache>
                <c:formatCode>0.0</c:formatCode>
                <c:ptCount val="17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47-4081-AAEC-375BF0A1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3166751"/>
        <c:axId val="1513166271"/>
      </c:lineChart>
      <c:catAx>
        <c:axId val="1513166751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271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513166271"/>
        <c:scaling>
          <c:orientation val="minMax"/>
          <c:max val="100"/>
          <c:min val="0"/>
        </c:scaling>
        <c:delete val="0"/>
        <c:axPos val="l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US"/>
                  <a:t>Annual emissions share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1513166751"/>
        <c:crosses val="autoZero"/>
        <c:crossBetween val="between"/>
        <c:majorUnit val="1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CBEA4-A059-42A9-A5BC-296EFB81A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660275-6974-4230-8A4D-28CD63D7D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5168A9-9440-4778-9E27-08A28FA7B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B40777-1CE6-8BED-B5A7-C90BCC70C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279400</xdr:colOff>
      <xdr:row>72</xdr:row>
      <xdr:rowOff>76200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BDC94B13-3016-BD50-333E-3445E3E3AB9A}"/>
            </a:ext>
          </a:extLst>
        </xdr:cNvPr>
        <xdr:cNvGrpSpPr/>
      </xdr:nvGrpSpPr>
      <xdr:grpSpPr>
        <a:xfrm>
          <a:off x="0" y="0"/>
          <a:ext cx="22225000" cy="13335000"/>
          <a:chOff x="0" y="0"/>
          <a:chExt cx="22225000" cy="13335000"/>
        </a:xfrm>
      </xdr:grpSpPr>
      <xdr:sp macro="" textlink="">
        <xdr:nvSpPr>
          <xdr:cNvPr id="6" name="CanvasBg">
            <a:extLst>
              <a:ext uri="{FF2B5EF4-FFF2-40B4-BE49-F238E27FC236}">
                <a16:creationId xmlns:a16="http://schemas.microsoft.com/office/drawing/2014/main" id="{E11044D3-52B1-6598-C68A-C90773D975C2}"/>
              </a:ext>
            </a:extLst>
          </xdr:cNvPr>
          <xdr:cNvSpPr/>
        </xdr:nvSpPr>
        <xdr:spPr>
          <a:xfrm>
            <a:off x="0" y="0"/>
            <a:ext cx="22225000" cy="13335000"/>
          </a:xfrm>
          <a:prstGeom prst="rect">
            <a:avLst/>
          </a:prstGeom>
          <a:solidFill>
            <a:srgbClr val="FFFFFF"/>
          </a:solidFill>
          <a:ln w="19050" cap="flat" cmpd="sng" algn="ctr">
            <a:noFill/>
            <a:prstDash val="solid"/>
            <a:miter lim="800000"/>
          </a:ln>
          <a:effectLst/>
          <a:extLst>
            <a:ext uri="{91240B29-F687-4F45-9708-019B960494DF}">
              <a14:hiddenLine xmlns:a14="http://schemas.microsoft.com/office/drawing/2010/main" w="1905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aphicFrame macro="">
        <xdr:nvGraphicFramePr>
          <xdr:cNvPr id="2" name="Panel_1">
            <a:extLst>
              <a:ext uri="{FF2B5EF4-FFF2-40B4-BE49-F238E27FC236}">
                <a16:creationId xmlns:a16="http://schemas.microsoft.com/office/drawing/2014/main" id="{CBA42527-F808-AB5C-5EB0-87B03303A8D7}"/>
              </a:ext>
            </a:extLst>
          </xdr:cNvPr>
          <xdr:cNvGraphicFramePr/>
        </xdr:nvGraphicFramePr>
        <xdr:xfrm>
          <a:off x="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Panel_2">
            <a:extLst>
              <a:ext uri="{FF2B5EF4-FFF2-40B4-BE49-F238E27FC236}">
                <a16:creationId xmlns:a16="http://schemas.microsoft.com/office/drawing/2014/main" id="{4D033E75-6A68-0640-C34A-F5F2B3EA8416}"/>
              </a:ext>
            </a:extLst>
          </xdr:cNvPr>
          <xdr:cNvGraphicFramePr/>
        </xdr:nvGraphicFramePr>
        <xdr:xfrm>
          <a:off x="11176000" y="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Panel_3">
            <a:extLst>
              <a:ext uri="{FF2B5EF4-FFF2-40B4-BE49-F238E27FC236}">
                <a16:creationId xmlns:a16="http://schemas.microsoft.com/office/drawing/2014/main" id="{03DF494C-B042-A390-9904-0C44849B6BA6}"/>
              </a:ext>
            </a:extLst>
          </xdr:cNvPr>
          <xdr:cNvGraphicFramePr/>
        </xdr:nvGraphicFramePr>
        <xdr:xfrm>
          <a:off x="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Panel_4">
            <a:extLst>
              <a:ext uri="{FF2B5EF4-FFF2-40B4-BE49-F238E27FC236}">
                <a16:creationId xmlns:a16="http://schemas.microsoft.com/office/drawing/2014/main" id="{79F232E4-1E82-153F-26F9-1F4D4C918C38}"/>
              </a:ext>
            </a:extLst>
          </xdr:cNvPr>
          <xdr:cNvGraphicFramePr/>
        </xdr:nvGraphicFramePr>
        <xdr:xfrm>
          <a:off x="11176000" y="6731000"/>
          <a:ext cx="11049000" cy="6604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67C5-0EAF-4AB7-82D0-2B39318EAA5A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4FAD-CD78-4327-86B3-122FAEF9275F}">
  <sheetPr>
    <tabColor rgb="FF0B4C5B"/>
  </sheetPr>
  <dimension ref="A1:Q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7" ht="30" customHeight="1" x14ac:dyDescent="0.35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9</v>
      </c>
      <c r="J2" s="1" t="s">
        <v>11</v>
      </c>
      <c r="K2" s="1" t="s">
        <v>19</v>
      </c>
      <c r="L2" s="1"/>
      <c r="M2" s="1" t="s">
        <v>10</v>
      </c>
      <c r="N2" s="1" t="s">
        <v>12</v>
      </c>
      <c r="O2" s="1" t="s">
        <v>20</v>
      </c>
      <c r="P2" s="1"/>
      <c r="Q2" s="2" t="s">
        <v>8</v>
      </c>
    </row>
    <row r="3" spans="1:17" x14ac:dyDescent="0.35">
      <c r="A3" s="6">
        <v>1850</v>
      </c>
      <c r="B3" s="7">
        <f t="shared" ref="B3:B34" si="0">IFERROR(MIN(I3:L3),"")</f>
        <v>36.118000000000002</v>
      </c>
      <c r="C3" s="7">
        <f t="shared" ref="C3:C34" si="1">IFERROR(MAX(I3:L3),"")</f>
        <v>41.506</v>
      </c>
      <c r="D3" s="7">
        <f t="shared" ref="D3:D34" si="2">IFERROR(MIN(M3:P3),"")</f>
        <v>54.173999999999999</v>
      </c>
      <c r="E3" s="7">
        <f t="shared" ref="E3:E34" si="3">IFERROR(MAX(M3:P3),"")</f>
        <v>55.774999999999999</v>
      </c>
      <c r="F3" s="7">
        <f t="shared" ref="F3:F34" si="4">IFERROR(MIN(C3,D3)-B3,"")</f>
        <v>5.3879999999999981</v>
      </c>
      <c r="G3" s="7">
        <f t="shared" ref="G3:G34" si="5">IFERROR(MAX(0,C3-D3),"")</f>
        <v>0</v>
      </c>
      <c r="H3" s="7">
        <f t="shared" ref="H3:H34" si="6">IFERROR(MAX(0,D3-C3),"")</f>
        <v>12.667999999999999</v>
      </c>
      <c r="I3" s="8">
        <v>36.118000000000002</v>
      </c>
      <c r="J3" s="8">
        <v>41.506</v>
      </c>
      <c r="K3" s="8"/>
      <c r="L3" s="8"/>
      <c r="M3" s="8">
        <v>54.173999999999999</v>
      </c>
      <c r="N3" s="8">
        <v>55.774999999999999</v>
      </c>
      <c r="O3" s="8"/>
      <c r="P3" s="8"/>
      <c r="Q3" s="10">
        <f t="shared" ref="Q3:Q34" si="7">IFERROR(MAX(0,$E3-MAX($C3,$D3)),"")</f>
        <v>1.6009999999999991</v>
      </c>
    </row>
    <row r="4" spans="1:17" x14ac:dyDescent="0.35">
      <c r="A4" s="3">
        <v>1851</v>
      </c>
      <c r="B4" s="4">
        <f t="shared" si="0"/>
        <v>36.279000000000003</v>
      </c>
      <c r="C4" s="4">
        <f t="shared" si="1"/>
        <v>42.009</v>
      </c>
      <c r="D4" s="4">
        <f t="shared" si="2"/>
        <v>53.896000000000001</v>
      </c>
      <c r="E4" s="4">
        <f t="shared" si="3"/>
        <v>56.424999999999997</v>
      </c>
      <c r="F4" s="4">
        <f t="shared" si="4"/>
        <v>5.7299999999999969</v>
      </c>
      <c r="G4" s="4">
        <f t="shared" si="5"/>
        <v>0</v>
      </c>
      <c r="H4" s="4">
        <f t="shared" si="6"/>
        <v>11.887</v>
      </c>
      <c r="I4" s="5">
        <v>36.279000000000003</v>
      </c>
      <c r="J4" s="5">
        <v>42.009</v>
      </c>
      <c r="K4" s="5"/>
      <c r="L4" s="5"/>
      <c r="M4" s="5">
        <v>53.896000000000001</v>
      </c>
      <c r="N4" s="5">
        <v>56.424999999999997</v>
      </c>
      <c r="O4" s="5"/>
      <c r="P4" s="5"/>
      <c r="Q4" s="10">
        <f t="shared" si="7"/>
        <v>2.5289999999999964</v>
      </c>
    </row>
    <row r="5" spans="1:17" x14ac:dyDescent="0.35">
      <c r="A5" s="6">
        <v>1852</v>
      </c>
      <c r="B5" s="7">
        <f t="shared" si="0"/>
        <v>36.048000000000002</v>
      </c>
      <c r="C5" s="7">
        <f t="shared" si="1"/>
        <v>46.02</v>
      </c>
      <c r="D5" s="7">
        <f t="shared" si="2"/>
        <v>54.095999999999997</v>
      </c>
      <c r="E5" s="7">
        <f t="shared" si="3"/>
        <v>59.725999999999999</v>
      </c>
      <c r="F5" s="7">
        <f t="shared" si="4"/>
        <v>9.9720000000000013</v>
      </c>
      <c r="G5" s="7">
        <f t="shared" si="5"/>
        <v>0</v>
      </c>
      <c r="H5" s="7">
        <f t="shared" si="6"/>
        <v>8.0759999999999934</v>
      </c>
      <c r="I5" s="8">
        <v>36.048000000000002</v>
      </c>
      <c r="J5" s="8">
        <v>46.02</v>
      </c>
      <c r="K5" s="8"/>
      <c r="L5" s="8"/>
      <c r="M5" s="8">
        <v>54.095999999999997</v>
      </c>
      <c r="N5" s="8">
        <v>59.725999999999999</v>
      </c>
      <c r="O5" s="8"/>
      <c r="P5" s="8"/>
      <c r="Q5" s="10">
        <f t="shared" si="7"/>
        <v>5.6300000000000026</v>
      </c>
    </row>
    <row r="6" spans="1:17" x14ac:dyDescent="0.35">
      <c r="A6" s="3">
        <v>1853</v>
      </c>
      <c r="B6" s="4">
        <f t="shared" si="0"/>
        <v>36.9</v>
      </c>
      <c r="C6" s="4">
        <f t="shared" si="1"/>
        <v>46.987000000000002</v>
      </c>
      <c r="D6" s="4">
        <f t="shared" si="2"/>
        <v>54.268999999999998</v>
      </c>
      <c r="E6" s="4">
        <f t="shared" si="3"/>
        <v>60.738999999999997</v>
      </c>
      <c r="F6" s="4">
        <f t="shared" si="4"/>
        <v>10.087000000000003</v>
      </c>
      <c r="G6" s="4">
        <f t="shared" si="5"/>
        <v>0</v>
      </c>
      <c r="H6" s="4">
        <f t="shared" si="6"/>
        <v>7.2819999999999965</v>
      </c>
      <c r="I6" s="5">
        <v>36.9</v>
      </c>
      <c r="J6" s="5">
        <v>46.987000000000002</v>
      </c>
      <c r="K6" s="5"/>
      <c r="L6" s="5"/>
      <c r="M6" s="5">
        <v>54.268999999999998</v>
      </c>
      <c r="N6" s="5">
        <v>60.738999999999997</v>
      </c>
      <c r="O6" s="5"/>
      <c r="P6" s="5"/>
      <c r="Q6" s="10">
        <f t="shared" si="7"/>
        <v>6.4699999999999989</v>
      </c>
    </row>
    <row r="7" spans="1:17" x14ac:dyDescent="0.35">
      <c r="A7" s="6">
        <v>1854</v>
      </c>
      <c r="B7" s="7">
        <f t="shared" si="0"/>
        <v>37.71</v>
      </c>
      <c r="C7" s="7">
        <f t="shared" si="1"/>
        <v>48.374000000000002</v>
      </c>
      <c r="D7" s="7">
        <f t="shared" si="2"/>
        <v>55.323999999999998</v>
      </c>
      <c r="E7" s="7">
        <f t="shared" si="3"/>
        <v>62.069000000000003</v>
      </c>
      <c r="F7" s="7">
        <f t="shared" si="4"/>
        <v>10.664000000000001</v>
      </c>
      <c r="G7" s="7">
        <f t="shared" si="5"/>
        <v>0</v>
      </c>
      <c r="H7" s="7">
        <f t="shared" si="6"/>
        <v>6.9499999999999957</v>
      </c>
      <c r="I7" s="8">
        <v>37.71</v>
      </c>
      <c r="J7" s="8">
        <v>48.374000000000002</v>
      </c>
      <c r="K7" s="8"/>
      <c r="L7" s="8"/>
      <c r="M7" s="8">
        <v>55.323999999999998</v>
      </c>
      <c r="N7" s="8">
        <v>62.069000000000003</v>
      </c>
      <c r="O7" s="8"/>
      <c r="P7" s="8"/>
      <c r="Q7" s="10">
        <f t="shared" si="7"/>
        <v>6.7450000000000045</v>
      </c>
    </row>
    <row r="8" spans="1:17" x14ac:dyDescent="0.35">
      <c r="A8" s="3">
        <v>1855</v>
      </c>
      <c r="B8" s="4">
        <f t="shared" si="0"/>
        <v>37.610999999999997</v>
      </c>
      <c r="C8" s="4">
        <f t="shared" si="1"/>
        <v>49.223999999999997</v>
      </c>
      <c r="D8" s="4">
        <f t="shared" si="2"/>
        <v>55.113999999999997</v>
      </c>
      <c r="E8" s="4">
        <f t="shared" si="3"/>
        <v>63.018999999999998</v>
      </c>
      <c r="F8" s="4">
        <f t="shared" si="4"/>
        <v>11.613</v>
      </c>
      <c r="G8" s="4">
        <f t="shared" si="5"/>
        <v>0</v>
      </c>
      <c r="H8" s="4">
        <f t="shared" si="6"/>
        <v>5.8900000000000006</v>
      </c>
      <c r="I8" s="5">
        <v>37.610999999999997</v>
      </c>
      <c r="J8" s="5">
        <v>49.223999999999997</v>
      </c>
      <c r="K8" s="5"/>
      <c r="L8" s="5"/>
      <c r="M8" s="5">
        <v>55.113999999999997</v>
      </c>
      <c r="N8" s="5">
        <v>63.018999999999998</v>
      </c>
      <c r="O8" s="5"/>
      <c r="P8" s="5"/>
      <c r="Q8" s="10">
        <f t="shared" si="7"/>
        <v>7.9050000000000011</v>
      </c>
    </row>
    <row r="9" spans="1:17" x14ac:dyDescent="0.35">
      <c r="A9" s="6">
        <v>1856</v>
      </c>
      <c r="B9" s="7">
        <f t="shared" si="0"/>
        <v>37.923000000000002</v>
      </c>
      <c r="C9" s="7">
        <f t="shared" si="1"/>
        <v>49.85</v>
      </c>
      <c r="D9" s="7">
        <f t="shared" si="2"/>
        <v>55.427999999999997</v>
      </c>
      <c r="E9" s="7">
        <f t="shared" si="3"/>
        <v>63.582000000000001</v>
      </c>
      <c r="F9" s="7">
        <f t="shared" si="4"/>
        <v>11.927</v>
      </c>
      <c r="G9" s="7">
        <f t="shared" si="5"/>
        <v>0</v>
      </c>
      <c r="H9" s="7">
        <f t="shared" si="6"/>
        <v>5.5779999999999959</v>
      </c>
      <c r="I9" s="8">
        <v>37.923000000000002</v>
      </c>
      <c r="J9" s="8">
        <v>49.85</v>
      </c>
      <c r="K9" s="8"/>
      <c r="L9" s="8"/>
      <c r="M9" s="8">
        <v>55.427999999999997</v>
      </c>
      <c r="N9" s="8">
        <v>63.582000000000001</v>
      </c>
      <c r="O9" s="8"/>
      <c r="P9" s="8"/>
      <c r="Q9" s="10">
        <f t="shared" si="7"/>
        <v>8.1540000000000035</v>
      </c>
    </row>
    <row r="10" spans="1:17" x14ac:dyDescent="0.35">
      <c r="A10" s="3">
        <v>1857</v>
      </c>
      <c r="B10" s="4">
        <f t="shared" si="0"/>
        <v>37.997</v>
      </c>
      <c r="C10" s="4">
        <f t="shared" si="1"/>
        <v>50.225000000000001</v>
      </c>
      <c r="D10" s="4">
        <f t="shared" si="2"/>
        <v>55.558</v>
      </c>
      <c r="E10" s="4">
        <f t="shared" si="3"/>
        <v>63.95</v>
      </c>
      <c r="F10" s="4">
        <f t="shared" si="4"/>
        <v>12.228000000000002</v>
      </c>
      <c r="G10" s="4">
        <f t="shared" si="5"/>
        <v>0</v>
      </c>
      <c r="H10" s="4">
        <f t="shared" si="6"/>
        <v>5.3329999999999984</v>
      </c>
      <c r="I10" s="5">
        <v>37.997</v>
      </c>
      <c r="J10" s="5">
        <v>50.225000000000001</v>
      </c>
      <c r="K10" s="5"/>
      <c r="L10" s="5"/>
      <c r="M10" s="5">
        <v>55.558</v>
      </c>
      <c r="N10" s="5">
        <v>63.95</v>
      </c>
      <c r="O10" s="5"/>
      <c r="P10" s="5"/>
      <c r="Q10" s="10">
        <f t="shared" si="7"/>
        <v>8.392000000000003</v>
      </c>
    </row>
    <row r="11" spans="1:17" x14ac:dyDescent="0.35">
      <c r="A11" s="6">
        <v>1858</v>
      </c>
      <c r="B11" s="7">
        <f t="shared" si="0"/>
        <v>38.378</v>
      </c>
      <c r="C11" s="7">
        <f t="shared" si="1"/>
        <v>50.564</v>
      </c>
      <c r="D11" s="7">
        <f t="shared" si="2"/>
        <v>55.905999999999999</v>
      </c>
      <c r="E11" s="7">
        <f t="shared" si="3"/>
        <v>64.293999999999997</v>
      </c>
      <c r="F11" s="7">
        <f t="shared" si="4"/>
        <v>12.186</v>
      </c>
      <c r="G11" s="7">
        <f t="shared" si="5"/>
        <v>0</v>
      </c>
      <c r="H11" s="7">
        <f t="shared" si="6"/>
        <v>5.3419999999999987</v>
      </c>
      <c r="I11" s="8">
        <v>38.378</v>
      </c>
      <c r="J11" s="8">
        <v>50.564</v>
      </c>
      <c r="K11" s="8"/>
      <c r="L11" s="8"/>
      <c r="M11" s="8">
        <v>55.905999999999999</v>
      </c>
      <c r="N11" s="8">
        <v>64.293999999999997</v>
      </c>
      <c r="O11" s="8"/>
      <c r="P11" s="8"/>
      <c r="Q11" s="10">
        <f t="shared" si="7"/>
        <v>8.3879999999999981</v>
      </c>
    </row>
    <row r="12" spans="1:17" x14ac:dyDescent="0.35">
      <c r="A12" s="3">
        <v>1859</v>
      </c>
      <c r="B12" s="4">
        <f t="shared" si="0"/>
        <v>38.863</v>
      </c>
      <c r="C12" s="4">
        <f t="shared" si="1"/>
        <v>51.106000000000002</v>
      </c>
      <c r="D12" s="4">
        <f t="shared" si="2"/>
        <v>56.305</v>
      </c>
      <c r="E12" s="4">
        <f t="shared" si="3"/>
        <v>64.754000000000005</v>
      </c>
      <c r="F12" s="4">
        <f t="shared" si="4"/>
        <v>12.243000000000002</v>
      </c>
      <c r="G12" s="4">
        <f t="shared" si="5"/>
        <v>0</v>
      </c>
      <c r="H12" s="4">
        <f t="shared" si="6"/>
        <v>5.1989999999999981</v>
      </c>
      <c r="I12" s="5">
        <v>38.863</v>
      </c>
      <c r="J12" s="5">
        <v>51.106000000000002</v>
      </c>
      <c r="K12" s="5"/>
      <c r="L12" s="5"/>
      <c r="M12" s="5">
        <v>56.305</v>
      </c>
      <c r="N12" s="5">
        <v>64.754000000000005</v>
      </c>
      <c r="O12" s="5"/>
      <c r="P12" s="5"/>
      <c r="Q12" s="10">
        <f t="shared" si="7"/>
        <v>8.4490000000000052</v>
      </c>
    </row>
    <row r="13" spans="1:17" x14ac:dyDescent="0.35">
      <c r="A13" s="6">
        <v>1860</v>
      </c>
      <c r="B13" s="7">
        <f t="shared" si="0"/>
        <v>40.182000000000002</v>
      </c>
      <c r="C13" s="7">
        <f t="shared" si="1"/>
        <v>51.779000000000003</v>
      </c>
      <c r="D13" s="7">
        <f t="shared" si="2"/>
        <v>57.786999999999999</v>
      </c>
      <c r="E13" s="7">
        <f t="shared" si="3"/>
        <v>65.332999999999998</v>
      </c>
      <c r="F13" s="7">
        <f t="shared" si="4"/>
        <v>11.597000000000001</v>
      </c>
      <c r="G13" s="7">
        <f t="shared" si="5"/>
        <v>0</v>
      </c>
      <c r="H13" s="7">
        <f t="shared" si="6"/>
        <v>6.0079999999999956</v>
      </c>
      <c r="I13" s="8">
        <v>40.182000000000002</v>
      </c>
      <c r="J13" s="8">
        <v>51.779000000000003</v>
      </c>
      <c r="K13" s="8"/>
      <c r="L13" s="8"/>
      <c r="M13" s="8">
        <v>57.786999999999999</v>
      </c>
      <c r="N13" s="8">
        <v>65.332999999999998</v>
      </c>
      <c r="O13" s="8"/>
      <c r="P13" s="8"/>
      <c r="Q13" s="10">
        <f t="shared" si="7"/>
        <v>7.5459999999999994</v>
      </c>
    </row>
    <row r="14" spans="1:17" x14ac:dyDescent="0.35">
      <c r="A14" s="3">
        <v>1861</v>
      </c>
      <c r="B14" s="4">
        <f t="shared" si="0"/>
        <v>40.095999999999997</v>
      </c>
      <c r="C14" s="4">
        <f t="shared" si="1"/>
        <v>51.932000000000002</v>
      </c>
      <c r="D14" s="4">
        <f t="shared" si="2"/>
        <v>58.191000000000003</v>
      </c>
      <c r="E14" s="4">
        <f t="shared" si="3"/>
        <v>65.676000000000002</v>
      </c>
      <c r="F14" s="4">
        <f t="shared" si="4"/>
        <v>11.836000000000006</v>
      </c>
      <c r="G14" s="4">
        <f t="shared" si="5"/>
        <v>0</v>
      </c>
      <c r="H14" s="4">
        <f t="shared" si="6"/>
        <v>6.2590000000000003</v>
      </c>
      <c r="I14" s="5">
        <v>40.095999999999997</v>
      </c>
      <c r="J14" s="5">
        <v>51.932000000000002</v>
      </c>
      <c r="K14" s="5"/>
      <c r="L14" s="5"/>
      <c r="M14" s="5">
        <v>58.191000000000003</v>
      </c>
      <c r="N14" s="5">
        <v>65.676000000000002</v>
      </c>
      <c r="O14" s="5"/>
      <c r="P14" s="5"/>
      <c r="Q14" s="10">
        <f t="shared" si="7"/>
        <v>7.4849999999999994</v>
      </c>
    </row>
    <row r="15" spans="1:17" x14ac:dyDescent="0.35">
      <c r="A15" s="6">
        <v>1862</v>
      </c>
      <c r="B15" s="7">
        <f t="shared" si="0"/>
        <v>40.817</v>
      </c>
      <c r="C15" s="7">
        <f t="shared" si="1"/>
        <v>50.085999999999999</v>
      </c>
      <c r="D15" s="7">
        <f t="shared" si="2"/>
        <v>59.027999999999999</v>
      </c>
      <c r="E15" s="7">
        <f t="shared" si="3"/>
        <v>63.954999999999998</v>
      </c>
      <c r="F15" s="7">
        <f t="shared" si="4"/>
        <v>9.2689999999999984</v>
      </c>
      <c r="G15" s="7">
        <f t="shared" si="5"/>
        <v>0</v>
      </c>
      <c r="H15" s="7">
        <f t="shared" si="6"/>
        <v>8.9420000000000002</v>
      </c>
      <c r="I15" s="8">
        <v>40.817</v>
      </c>
      <c r="J15" s="8">
        <v>50.085999999999999</v>
      </c>
      <c r="K15" s="8"/>
      <c r="L15" s="8"/>
      <c r="M15" s="8">
        <v>59.027999999999999</v>
      </c>
      <c r="N15" s="8">
        <v>63.954999999999998</v>
      </c>
      <c r="O15" s="8"/>
      <c r="P15" s="8"/>
      <c r="Q15" s="10">
        <f t="shared" si="7"/>
        <v>4.9269999999999996</v>
      </c>
    </row>
    <row r="16" spans="1:17" x14ac:dyDescent="0.35">
      <c r="A16" s="3">
        <v>1863</v>
      </c>
      <c r="B16" s="4">
        <f t="shared" si="0"/>
        <v>41.436999999999998</v>
      </c>
      <c r="C16" s="4">
        <f t="shared" si="1"/>
        <v>50.31</v>
      </c>
      <c r="D16" s="4">
        <f t="shared" si="2"/>
        <v>59.399000000000001</v>
      </c>
      <c r="E16" s="4">
        <f t="shared" si="3"/>
        <v>64.215000000000003</v>
      </c>
      <c r="F16" s="4">
        <f t="shared" si="4"/>
        <v>8.8730000000000047</v>
      </c>
      <c r="G16" s="4">
        <f t="shared" si="5"/>
        <v>0</v>
      </c>
      <c r="H16" s="4">
        <f t="shared" si="6"/>
        <v>9.0889999999999986</v>
      </c>
      <c r="I16" s="5">
        <v>41.436999999999998</v>
      </c>
      <c r="J16" s="5">
        <v>50.31</v>
      </c>
      <c r="K16" s="5"/>
      <c r="L16" s="5"/>
      <c r="M16" s="5">
        <v>59.399000000000001</v>
      </c>
      <c r="N16" s="5">
        <v>64.215000000000003</v>
      </c>
      <c r="O16" s="5"/>
      <c r="P16" s="5"/>
      <c r="Q16" s="10">
        <f t="shared" si="7"/>
        <v>4.8160000000000025</v>
      </c>
    </row>
    <row r="17" spans="1:17" x14ac:dyDescent="0.35">
      <c r="A17" s="6">
        <v>1864</v>
      </c>
      <c r="B17" s="7">
        <f t="shared" si="0"/>
        <v>41.207000000000001</v>
      </c>
      <c r="C17" s="7">
        <f t="shared" si="1"/>
        <v>50.622</v>
      </c>
      <c r="D17" s="7">
        <f t="shared" si="2"/>
        <v>59.811</v>
      </c>
      <c r="E17" s="7">
        <f t="shared" si="3"/>
        <v>64.510999999999996</v>
      </c>
      <c r="F17" s="7">
        <f t="shared" si="4"/>
        <v>9.4149999999999991</v>
      </c>
      <c r="G17" s="7">
        <f t="shared" si="5"/>
        <v>0</v>
      </c>
      <c r="H17" s="7">
        <f t="shared" si="6"/>
        <v>9.1890000000000001</v>
      </c>
      <c r="I17" s="8">
        <v>41.207000000000001</v>
      </c>
      <c r="J17" s="8">
        <v>50.622</v>
      </c>
      <c r="K17" s="8"/>
      <c r="L17" s="8"/>
      <c r="M17" s="8">
        <v>59.811</v>
      </c>
      <c r="N17" s="8">
        <v>64.510999999999996</v>
      </c>
      <c r="O17" s="8"/>
      <c r="P17" s="8"/>
      <c r="Q17" s="10">
        <f t="shared" si="7"/>
        <v>4.6999999999999957</v>
      </c>
    </row>
    <row r="18" spans="1:17" x14ac:dyDescent="0.35">
      <c r="A18" s="3">
        <v>1865</v>
      </c>
      <c r="B18" s="4">
        <f t="shared" si="0"/>
        <v>41.728000000000002</v>
      </c>
      <c r="C18" s="4">
        <f t="shared" si="1"/>
        <v>50.863999999999997</v>
      </c>
      <c r="D18" s="4">
        <f t="shared" si="2"/>
        <v>60.158999999999999</v>
      </c>
      <c r="E18" s="4">
        <f t="shared" si="3"/>
        <v>64.751999999999995</v>
      </c>
      <c r="F18" s="4">
        <f t="shared" si="4"/>
        <v>9.1359999999999957</v>
      </c>
      <c r="G18" s="4">
        <f t="shared" si="5"/>
        <v>0</v>
      </c>
      <c r="H18" s="4">
        <f t="shared" si="6"/>
        <v>9.2950000000000017</v>
      </c>
      <c r="I18" s="5">
        <v>41.728000000000002</v>
      </c>
      <c r="J18" s="5">
        <v>50.863999999999997</v>
      </c>
      <c r="K18" s="5"/>
      <c r="L18" s="5"/>
      <c r="M18" s="5">
        <v>60.158999999999999</v>
      </c>
      <c r="N18" s="5">
        <v>64.751999999999995</v>
      </c>
      <c r="O18" s="5"/>
      <c r="P18" s="5"/>
      <c r="Q18" s="10">
        <f t="shared" si="7"/>
        <v>4.5929999999999964</v>
      </c>
    </row>
    <row r="19" spans="1:17" x14ac:dyDescent="0.35">
      <c r="A19" s="6">
        <v>1866</v>
      </c>
      <c r="B19" s="7">
        <f t="shared" si="0"/>
        <v>41.533000000000001</v>
      </c>
      <c r="C19" s="7">
        <f t="shared" si="1"/>
        <v>51.000999999999998</v>
      </c>
      <c r="D19" s="7">
        <f t="shared" si="2"/>
        <v>60.698</v>
      </c>
      <c r="E19" s="7">
        <f t="shared" si="3"/>
        <v>64.929000000000002</v>
      </c>
      <c r="F19" s="7">
        <f t="shared" si="4"/>
        <v>9.4679999999999964</v>
      </c>
      <c r="G19" s="7">
        <f t="shared" si="5"/>
        <v>0</v>
      </c>
      <c r="H19" s="7">
        <f t="shared" si="6"/>
        <v>9.6970000000000027</v>
      </c>
      <c r="I19" s="8">
        <v>41.533000000000001</v>
      </c>
      <c r="J19" s="8">
        <v>51.000999999999998</v>
      </c>
      <c r="K19" s="8"/>
      <c r="L19" s="8"/>
      <c r="M19" s="8">
        <v>60.698</v>
      </c>
      <c r="N19" s="8">
        <v>64.929000000000002</v>
      </c>
      <c r="O19" s="8"/>
      <c r="P19" s="8"/>
      <c r="Q19" s="10">
        <f t="shared" si="7"/>
        <v>4.2310000000000016</v>
      </c>
    </row>
    <row r="20" spans="1:17" x14ac:dyDescent="0.35">
      <c r="A20" s="3">
        <v>1867</v>
      </c>
      <c r="B20" s="4">
        <f t="shared" si="0"/>
        <v>42.655000000000001</v>
      </c>
      <c r="C20" s="4">
        <f t="shared" si="1"/>
        <v>51.274999999999999</v>
      </c>
      <c r="D20" s="4">
        <f t="shared" si="2"/>
        <v>60.874000000000002</v>
      </c>
      <c r="E20" s="4">
        <f t="shared" si="3"/>
        <v>65.204999999999998</v>
      </c>
      <c r="F20" s="4">
        <f t="shared" si="4"/>
        <v>8.6199999999999974</v>
      </c>
      <c r="G20" s="4">
        <f t="shared" si="5"/>
        <v>0</v>
      </c>
      <c r="H20" s="4">
        <f t="shared" si="6"/>
        <v>9.5990000000000038</v>
      </c>
      <c r="I20" s="5">
        <v>42.655000000000001</v>
      </c>
      <c r="J20" s="5">
        <v>51.274999999999999</v>
      </c>
      <c r="K20" s="5"/>
      <c r="L20" s="5"/>
      <c r="M20" s="5">
        <v>60.874000000000002</v>
      </c>
      <c r="N20" s="5">
        <v>65.204999999999998</v>
      </c>
      <c r="O20" s="5"/>
      <c r="P20" s="5"/>
      <c r="Q20" s="10">
        <f t="shared" si="7"/>
        <v>4.330999999999996</v>
      </c>
    </row>
    <row r="21" spans="1:17" x14ac:dyDescent="0.35">
      <c r="A21" s="6">
        <v>1868</v>
      </c>
      <c r="B21" s="7">
        <f t="shared" si="0"/>
        <v>42.658000000000001</v>
      </c>
      <c r="C21" s="7">
        <f t="shared" si="1"/>
        <v>51.334000000000003</v>
      </c>
      <c r="D21" s="7">
        <f t="shared" si="2"/>
        <v>61.256999999999998</v>
      </c>
      <c r="E21" s="7">
        <f t="shared" si="3"/>
        <v>65.320999999999998</v>
      </c>
      <c r="F21" s="7">
        <f t="shared" si="4"/>
        <v>8.6760000000000019</v>
      </c>
      <c r="G21" s="7">
        <f t="shared" si="5"/>
        <v>0</v>
      </c>
      <c r="H21" s="7">
        <f t="shared" si="6"/>
        <v>9.9229999999999947</v>
      </c>
      <c r="I21" s="8">
        <v>42.658000000000001</v>
      </c>
      <c r="J21" s="8">
        <v>51.334000000000003</v>
      </c>
      <c r="K21" s="8"/>
      <c r="L21" s="8"/>
      <c r="M21" s="8">
        <v>61.256999999999998</v>
      </c>
      <c r="N21" s="8">
        <v>65.320999999999998</v>
      </c>
      <c r="O21" s="8"/>
      <c r="P21" s="8"/>
      <c r="Q21" s="10">
        <f t="shared" si="7"/>
        <v>4.0640000000000001</v>
      </c>
    </row>
    <row r="22" spans="1:17" x14ac:dyDescent="0.35">
      <c r="A22" s="3">
        <v>1869</v>
      </c>
      <c r="B22" s="4">
        <f t="shared" si="0"/>
        <v>42.682000000000002</v>
      </c>
      <c r="C22" s="4">
        <f t="shared" si="1"/>
        <v>51.619</v>
      </c>
      <c r="D22" s="4">
        <f t="shared" si="2"/>
        <v>61.36</v>
      </c>
      <c r="E22" s="4">
        <f t="shared" si="3"/>
        <v>65.603999999999999</v>
      </c>
      <c r="F22" s="4">
        <f t="shared" si="4"/>
        <v>8.9369999999999976</v>
      </c>
      <c r="G22" s="4">
        <f t="shared" si="5"/>
        <v>0</v>
      </c>
      <c r="H22" s="4">
        <f t="shared" si="6"/>
        <v>9.7409999999999997</v>
      </c>
      <c r="I22" s="5">
        <v>42.682000000000002</v>
      </c>
      <c r="J22" s="5">
        <v>51.619</v>
      </c>
      <c r="K22" s="5"/>
      <c r="L22" s="5"/>
      <c r="M22" s="5">
        <v>61.36</v>
      </c>
      <c r="N22" s="5">
        <v>65.603999999999999</v>
      </c>
      <c r="O22" s="5"/>
      <c r="P22" s="5"/>
      <c r="Q22" s="10">
        <f t="shared" si="7"/>
        <v>4.2439999999999998</v>
      </c>
    </row>
    <row r="23" spans="1:17" x14ac:dyDescent="0.35">
      <c r="A23" s="6">
        <v>1870</v>
      </c>
      <c r="B23" s="7">
        <f t="shared" si="0"/>
        <v>44.509</v>
      </c>
      <c r="C23" s="7">
        <f t="shared" si="1"/>
        <v>51.625</v>
      </c>
      <c r="D23" s="7">
        <f t="shared" si="2"/>
        <v>63.201000000000001</v>
      </c>
      <c r="E23" s="7">
        <f t="shared" si="3"/>
        <v>65.667000000000002</v>
      </c>
      <c r="F23" s="7">
        <f t="shared" si="4"/>
        <v>7.1159999999999997</v>
      </c>
      <c r="G23" s="7">
        <f t="shared" si="5"/>
        <v>0</v>
      </c>
      <c r="H23" s="7">
        <f t="shared" si="6"/>
        <v>11.576000000000001</v>
      </c>
      <c r="I23" s="8">
        <v>44.509</v>
      </c>
      <c r="J23" s="8">
        <v>51.625</v>
      </c>
      <c r="K23" s="8"/>
      <c r="L23" s="8"/>
      <c r="M23" s="8">
        <v>63.201000000000001</v>
      </c>
      <c r="N23" s="8">
        <v>65.667000000000002</v>
      </c>
      <c r="O23" s="8"/>
      <c r="P23" s="8"/>
      <c r="Q23" s="10">
        <f t="shared" si="7"/>
        <v>2.4660000000000011</v>
      </c>
    </row>
    <row r="24" spans="1:17" x14ac:dyDescent="0.35">
      <c r="A24" s="3">
        <v>1871</v>
      </c>
      <c r="B24" s="4">
        <f t="shared" si="0"/>
        <v>46.197000000000003</v>
      </c>
      <c r="C24" s="4">
        <f t="shared" si="1"/>
        <v>51.107999999999997</v>
      </c>
      <c r="D24" s="4">
        <f t="shared" si="2"/>
        <v>64.081000000000003</v>
      </c>
      <c r="E24" s="4">
        <f t="shared" si="3"/>
        <v>64.730999999999995</v>
      </c>
      <c r="F24" s="4">
        <f t="shared" si="4"/>
        <v>4.9109999999999943</v>
      </c>
      <c r="G24" s="4">
        <f t="shared" si="5"/>
        <v>0</v>
      </c>
      <c r="H24" s="4">
        <f t="shared" si="6"/>
        <v>12.973000000000006</v>
      </c>
      <c r="I24" s="5">
        <v>46.197000000000003</v>
      </c>
      <c r="J24" s="5">
        <v>51.107999999999997</v>
      </c>
      <c r="K24" s="5"/>
      <c r="L24" s="5"/>
      <c r="M24" s="5">
        <v>64.081000000000003</v>
      </c>
      <c r="N24" s="5">
        <v>64.730999999999995</v>
      </c>
      <c r="O24" s="5"/>
      <c r="P24" s="5"/>
      <c r="Q24" s="10">
        <f t="shared" si="7"/>
        <v>0.64999999999999147</v>
      </c>
    </row>
    <row r="25" spans="1:17" x14ac:dyDescent="0.35">
      <c r="A25" s="6">
        <v>1872</v>
      </c>
      <c r="B25" s="7">
        <f t="shared" si="0"/>
        <v>46.567</v>
      </c>
      <c r="C25" s="7">
        <f t="shared" si="1"/>
        <v>54.551000000000002</v>
      </c>
      <c r="D25" s="7">
        <f t="shared" si="2"/>
        <v>64.573999999999998</v>
      </c>
      <c r="E25" s="7">
        <f t="shared" si="3"/>
        <v>67.17</v>
      </c>
      <c r="F25" s="7">
        <f t="shared" si="4"/>
        <v>7.9840000000000018</v>
      </c>
      <c r="G25" s="7">
        <f t="shared" si="5"/>
        <v>0</v>
      </c>
      <c r="H25" s="7">
        <f t="shared" si="6"/>
        <v>10.022999999999996</v>
      </c>
      <c r="I25" s="8">
        <v>46.567</v>
      </c>
      <c r="J25" s="8">
        <v>54.551000000000002</v>
      </c>
      <c r="K25" s="8"/>
      <c r="L25" s="8"/>
      <c r="M25" s="8">
        <v>64.573999999999998</v>
      </c>
      <c r="N25" s="8">
        <v>67.17</v>
      </c>
      <c r="O25" s="8"/>
      <c r="P25" s="8"/>
      <c r="Q25" s="10">
        <f t="shared" si="7"/>
        <v>2.5960000000000036</v>
      </c>
    </row>
    <row r="26" spans="1:17" x14ac:dyDescent="0.35">
      <c r="A26" s="3">
        <v>1873</v>
      </c>
      <c r="B26" s="4">
        <f t="shared" si="0"/>
        <v>47.795000000000002</v>
      </c>
      <c r="C26" s="4">
        <f t="shared" si="1"/>
        <v>54.948</v>
      </c>
      <c r="D26" s="4">
        <f t="shared" si="2"/>
        <v>65.266999999999996</v>
      </c>
      <c r="E26" s="4">
        <f t="shared" si="3"/>
        <v>67.427999999999997</v>
      </c>
      <c r="F26" s="4">
        <f t="shared" si="4"/>
        <v>7.1529999999999987</v>
      </c>
      <c r="G26" s="4">
        <f t="shared" si="5"/>
        <v>0</v>
      </c>
      <c r="H26" s="4">
        <f t="shared" si="6"/>
        <v>10.318999999999996</v>
      </c>
      <c r="I26" s="5">
        <v>47.795000000000002</v>
      </c>
      <c r="J26" s="5">
        <v>54.948</v>
      </c>
      <c r="K26" s="5"/>
      <c r="L26" s="5"/>
      <c r="M26" s="5">
        <v>65.266999999999996</v>
      </c>
      <c r="N26" s="5">
        <v>67.427999999999997</v>
      </c>
      <c r="O26" s="5"/>
      <c r="P26" s="5"/>
      <c r="Q26" s="10">
        <f t="shared" si="7"/>
        <v>2.1610000000000014</v>
      </c>
    </row>
    <row r="27" spans="1:17" x14ac:dyDescent="0.35">
      <c r="A27" s="6">
        <v>1874</v>
      </c>
      <c r="B27" s="7">
        <f t="shared" si="0"/>
        <v>47.395000000000003</v>
      </c>
      <c r="C27" s="7">
        <f t="shared" si="1"/>
        <v>54.515000000000001</v>
      </c>
      <c r="D27" s="7">
        <f t="shared" si="2"/>
        <v>65.423000000000002</v>
      </c>
      <c r="E27" s="7">
        <f t="shared" si="3"/>
        <v>67.168000000000006</v>
      </c>
      <c r="F27" s="7">
        <f t="shared" si="4"/>
        <v>7.1199999999999974</v>
      </c>
      <c r="G27" s="7">
        <f t="shared" si="5"/>
        <v>0</v>
      </c>
      <c r="H27" s="7">
        <f t="shared" si="6"/>
        <v>10.908000000000001</v>
      </c>
      <c r="I27" s="8">
        <v>47.395000000000003</v>
      </c>
      <c r="J27" s="8">
        <v>54.515000000000001</v>
      </c>
      <c r="K27" s="8"/>
      <c r="L27" s="8"/>
      <c r="M27" s="8">
        <v>65.423000000000002</v>
      </c>
      <c r="N27" s="8">
        <v>67.168000000000006</v>
      </c>
      <c r="O27" s="8"/>
      <c r="P27" s="8"/>
      <c r="Q27" s="10">
        <f t="shared" si="7"/>
        <v>1.7450000000000045</v>
      </c>
    </row>
    <row r="28" spans="1:17" x14ac:dyDescent="0.35">
      <c r="A28" s="3">
        <v>1875</v>
      </c>
      <c r="B28" s="4">
        <f t="shared" si="0"/>
        <v>48.390999999999998</v>
      </c>
      <c r="C28" s="4">
        <f t="shared" si="1"/>
        <v>55.109000000000002</v>
      </c>
      <c r="D28" s="4">
        <f t="shared" si="2"/>
        <v>65.962000000000003</v>
      </c>
      <c r="E28" s="4">
        <f t="shared" si="3"/>
        <v>67.600999999999999</v>
      </c>
      <c r="F28" s="4">
        <f t="shared" si="4"/>
        <v>6.7180000000000035</v>
      </c>
      <c r="G28" s="4">
        <f t="shared" si="5"/>
        <v>0</v>
      </c>
      <c r="H28" s="4">
        <f t="shared" si="6"/>
        <v>10.853000000000002</v>
      </c>
      <c r="I28" s="5">
        <v>48.390999999999998</v>
      </c>
      <c r="J28" s="5">
        <v>55.109000000000002</v>
      </c>
      <c r="K28" s="5"/>
      <c r="L28" s="5"/>
      <c r="M28" s="5">
        <v>65.962000000000003</v>
      </c>
      <c r="N28" s="5">
        <v>67.600999999999999</v>
      </c>
      <c r="O28" s="5"/>
      <c r="P28" s="5"/>
      <c r="Q28" s="10">
        <f t="shared" si="7"/>
        <v>1.6389999999999958</v>
      </c>
    </row>
    <row r="29" spans="1:17" x14ac:dyDescent="0.35">
      <c r="A29" s="6">
        <v>1876</v>
      </c>
      <c r="B29" s="7">
        <f t="shared" si="0"/>
        <v>48.505000000000003</v>
      </c>
      <c r="C29" s="7">
        <f t="shared" si="1"/>
        <v>55.051000000000002</v>
      </c>
      <c r="D29" s="7">
        <f t="shared" si="2"/>
        <v>66.27</v>
      </c>
      <c r="E29" s="7">
        <f t="shared" si="3"/>
        <v>67.727999999999994</v>
      </c>
      <c r="F29" s="7">
        <f t="shared" si="4"/>
        <v>6.5459999999999994</v>
      </c>
      <c r="G29" s="7">
        <f t="shared" si="5"/>
        <v>0</v>
      </c>
      <c r="H29" s="7">
        <f t="shared" si="6"/>
        <v>11.218999999999994</v>
      </c>
      <c r="I29" s="8">
        <v>48.505000000000003</v>
      </c>
      <c r="J29" s="8">
        <v>55.051000000000002</v>
      </c>
      <c r="K29" s="8"/>
      <c r="L29" s="8"/>
      <c r="M29" s="8">
        <v>66.27</v>
      </c>
      <c r="N29" s="8">
        <v>67.727999999999994</v>
      </c>
      <c r="O29" s="8"/>
      <c r="P29" s="8"/>
      <c r="Q29" s="10">
        <f t="shared" si="7"/>
        <v>1.4579999999999984</v>
      </c>
    </row>
    <row r="30" spans="1:17" x14ac:dyDescent="0.35">
      <c r="A30" s="3">
        <v>1877</v>
      </c>
      <c r="B30" s="4">
        <f t="shared" si="0"/>
        <v>48.710999999999999</v>
      </c>
      <c r="C30" s="4">
        <f t="shared" si="1"/>
        <v>55.279000000000003</v>
      </c>
      <c r="D30" s="4">
        <f t="shared" si="2"/>
        <v>66.358000000000004</v>
      </c>
      <c r="E30" s="4">
        <f t="shared" si="3"/>
        <v>67.88</v>
      </c>
      <c r="F30" s="4">
        <f t="shared" si="4"/>
        <v>6.5680000000000049</v>
      </c>
      <c r="G30" s="4">
        <f t="shared" si="5"/>
        <v>0</v>
      </c>
      <c r="H30" s="4">
        <f t="shared" si="6"/>
        <v>11.079000000000001</v>
      </c>
      <c r="I30" s="5">
        <v>48.710999999999999</v>
      </c>
      <c r="J30" s="5">
        <v>55.279000000000003</v>
      </c>
      <c r="K30" s="5"/>
      <c r="L30" s="5"/>
      <c r="M30" s="5">
        <v>66.358000000000004</v>
      </c>
      <c r="N30" s="5">
        <v>67.88</v>
      </c>
      <c r="O30" s="5"/>
      <c r="P30" s="5"/>
      <c r="Q30" s="10">
        <f t="shared" si="7"/>
        <v>1.5219999999999914</v>
      </c>
    </row>
    <row r="31" spans="1:17" x14ac:dyDescent="0.35">
      <c r="A31" s="6">
        <v>1878</v>
      </c>
      <c r="B31" s="7">
        <f t="shared" si="0"/>
        <v>48.902999999999999</v>
      </c>
      <c r="C31" s="7">
        <f t="shared" si="1"/>
        <v>55.274999999999999</v>
      </c>
      <c r="D31" s="7">
        <f t="shared" si="2"/>
        <v>66.72</v>
      </c>
      <c r="E31" s="7">
        <f t="shared" si="3"/>
        <v>67.929000000000002</v>
      </c>
      <c r="F31" s="7">
        <f t="shared" si="4"/>
        <v>6.3719999999999999</v>
      </c>
      <c r="G31" s="7">
        <f t="shared" si="5"/>
        <v>0</v>
      </c>
      <c r="H31" s="7">
        <f t="shared" si="6"/>
        <v>11.445</v>
      </c>
      <c r="I31" s="8">
        <v>48.902999999999999</v>
      </c>
      <c r="J31" s="8">
        <v>55.274999999999999</v>
      </c>
      <c r="K31" s="8"/>
      <c r="L31" s="8"/>
      <c r="M31" s="8">
        <v>66.72</v>
      </c>
      <c r="N31" s="8">
        <v>67.929000000000002</v>
      </c>
      <c r="O31" s="8"/>
      <c r="P31" s="8"/>
      <c r="Q31" s="10">
        <f t="shared" si="7"/>
        <v>1.2090000000000032</v>
      </c>
    </row>
    <row r="32" spans="1:17" x14ac:dyDescent="0.35">
      <c r="A32" s="3">
        <v>1879</v>
      </c>
      <c r="B32" s="4">
        <f t="shared" si="0"/>
        <v>49.575000000000003</v>
      </c>
      <c r="C32" s="4">
        <f t="shared" si="1"/>
        <v>55.76</v>
      </c>
      <c r="D32" s="4">
        <f t="shared" si="2"/>
        <v>67.314999999999998</v>
      </c>
      <c r="E32" s="4">
        <f t="shared" si="3"/>
        <v>68.314999999999998</v>
      </c>
      <c r="F32" s="4">
        <f t="shared" si="4"/>
        <v>6.1849999999999952</v>
      </c>
      <c r="G32" s="4">
        <f t="shared" si="5"/>
        <v>0</v>
      </c>
      <c r="H32" s="4">
        <f t="shared" si="6"/>
        <v>11.555</v>
      </c>
      <c r="I32" s="5">
        <v>49.575000000000003</v>
      </c>
      <c r="J32" s="5">
        <v>55.76</v>
      </c>
      <c r="K32" s="5"/>
      <c r="L32" s="5"/>
      <c r="M32" s="5">
        <v>67.314999999999998</v>
      </c>
      <c r="N32" s="5">
        <v>68.314999999999998</v>
      </c>
      <c r="O32" s="5"/>
      <c r="P32" s="5"/>
      <c r="Q32" s="10">
        <f t="shared" si="7"/>
        <v>1</v>
      </c>
    </row>
    <row r="33" spans="1:17" x14ac:dyDescent="0.35">
      <c r="A33" s="6">
        <v>1880</v>
      </c>
      <c r="B33" s="7">
        <f t="shared" si="0"/>
        <v>48.662999999999997</v>
      </c>
      <c r="C33" s="7">
        <f t="shared" si="1"/>
        <v>56.692999999999998</v>
      </c>
      <c r="D33" s="7">
        <f t="shared" si="2"/>
        <v>66.409000000000006</v>
      </c>
      <c r="E33" s="7">
        <f t="shared" si="3"/>
        <v>69.019000000000005</v>
      </c>
      <c r="F33" s="7">
        <f t="shared" si="4"/>
        <v>8.0300000000000011</v>
      </c>
      <c r="G33" s="7">
        <f t="shared" si="5"/>
        <v>0</v>
      </c>
      <c r="H33" s="7">
        <f t="shared" si="6"/>
        <v>9.7160000000000082</v>
      </c>
      <c r="I33" s="8">
        <v>48.662999999999997</v>
      </c>
      <c r="J33" s="8">
        <v>56.692999999999998</v>
      </c>
      <c r="K33" s="8"/>
      <c r="L33" s="8"/>
      <c r="M33" s="8">
        <v>66.409000000000006</v>
      </c>
      <c r="N33" s="8">
        <v>69.019000000000005</v>
      </c>
      <c r="O33" s="8"/>
      <c r="P33" s="8"/>
      <c r="Q33" s="10">
        <f t="shared" si="7"/>
        <v>2.6099999999999994</v>
      </c>
    </row>
    <row r="34" spans="1:17" x14ac:dyDescent="0.35">
      <c r="A34" s="3">
        <v>1881</v>
      </c>
      <c r="B34" s="4">
        <f t="shared" si="0"/>
        <v>47.771999999999998</v>
      </c>
      <c r="C34" s="4">
        <f t="shared" si="1"/>
        <v>55.761000000000003</v>
      </c>
      <c r="D34" s="4">
        <f t="shared" si="2"/>
        <v>65.563000000000002</v>
      </c>
      <c r="E34" s="4">
        <f t="shared" si="3"/>
        <v>67.795000000000002</v>
      </c>
      <c r="F34" s="4">
        <f t="shared" si="4"/>
        <v>7.9890000000000043</v>
      </c>
      <c r="G34" s="4">
        <f t="shared" si="5"/>
        <v>0</v>
      </c>
      <c r="H34" s="4">
        <f t="shared" si="6"/>
        <v>9.8019999999999996</v>
      </c>
      <c r="I34" s="5">
        <v>47.771999999999998</v>
      </c>
      <c r="J34" s="5">
        <v>55.761000000000003</v>
      </c>
      <c r="K34" s="5"/>
      <c r="L34" s="5"/>
      <c r="M34" s="5">
        <v>65.563000000000002</v>
      </c>
      <c r="N34" s="5">
        <v>67.795000000000002</v>
      </c>
      <c r="O34" s="5"/>
      <c r="P34" s="5"/>
      <c r="Q34" s="10">
        <f t="shared" si="7"/>
        <v>2.2319999999999993</v>
      </c>
    </row>
    <row r="35" spans="1:17" x14ac:dyDescent="0.35">
      <c r="A35" s="6">
        <v>1882</v>
      </c>
      <c r="B35" s="7">
        <f t="shared" ref="B35:B66" si="8">IFERROR(MIN(I35:L35),"")</f>
        <v>47.790999999999997</v>
      </c>
      <c r="C35" s="7">
        <f t="shared" ref="C35:C66" si="9">IFERROR(MAX(I35:L35),"")</f>
        <v>54.164999999999999</v>
      </c>
      <c r="D35" s="7">
        <f t="shared" ref="D35:D66" si="10">IFERROR(MIN(M35:P35),"")</f>
        <v>65.494</v>
      </c>
      <c r="E35" s="7">
        <f t="shared" ref="E35:E66" si="11">IFERROR(MAX(M35:P35),"")</f>
        <v>66.510000000000005</v>
      </c>
      <c r="F35" s="7">
        <f t="shared" ref="F35:F66" si="12">IFERROR(MIN(C35,D35)-B35,"")</f>
        <v>6.3740000000000023</v>
      </c>
      <c r="G35" s="7">
        <f t="shared" ref="G35:G66" si="13">IFERROR(MAX(0,C35-D35),"")</f>
        <v>0</v>
      </c>
      <c r="H35" s="7">
        <f t="shared" ref="H35:H66" si="14">IFERROR(MAX(0,D35-C35),"")</f>
        <v>11.329000000000001</v>
      </c>
      <c r="I35" s="8">
        <v>47.790999999999997</v>
      </c>
      <c r="J35" s="8">
        <v>54.164999999999999</v>
      </c>
      <c r="K35" s="8"/>
      <c r="L35" s="8"/>
      <c r="M35" s="8">
        <v>65.494</v>
      </c>
      <c r="N35" s="8">
        <v>66.510000000000005</v>
      </c>
      <c r="O35" s="8"/>
      <c r="P35" s="8"/>
      <c r="Q35" s="10">
        <f t="shared" ref="Q35:Q66" si="15">IFERROR(MAX(0,$E35-MAX($C35,$D35)),"")</f>
        <v>1.0160000000000053</v>
      </c>
    </row>
    <row r="36" spans="1:17" x14ac:dyDescent="0.35">
      <c r="A36" s="3">
        <v>1883</v>
      </c>
      <c r="B36" s="4">
        <f t="shared" si="8"/>
        <v>48.112000000000002</v>
      </c>
      <c r="C36" s="4">
        <f t="shared" si="9"/>
        <v>54.209000000000003</v>
      </c>
      <c r="D36" s="4">
        <f t="shared" si="10"/>
        <v>65.739000000000004</v>
      </c>
      <c r="E36" s="4">
        <f t="shared" si="11"/>
        <v>66.519000000000005</v>
      </c>
      <c r="F36" s="4">
        <f t="shared" si="12"/>
        <v>6.0970000000000013</v>
      </c>
      <c r="G36" s="4">
        <f t="shared" si="13"/>
        <v>0</v>
      </c>
      <c r="H36" s="4">
        <f t="shared" si="14"/>
        <v>11.530000000000001</v>
      </c>
      <c r="I36" s="5">
        <v>48.112000000000002</v>
      </c>
      <c r="J36" s="5">
        <v>54.209000000000003</v>
      </c>
      <c r="K36" s="5"/>
      <c r="L36" s="5"/>
      <c r="M36" s="5">
        <v>65.739000000000004</v>
      </c>
      <c r="N36" s="5">
        <v>66.519000000000005</v>
      </c>
      <c r="O36" s="5"/>
      <c r="P36" s="5"/>
      <c r="Q36" s="10">
        <f t="shared" si="15"/>
        <v>0.78000000000000114</v>
      </c>
    </row>
    <row r="37" spans="1:17" x14ac:dyDescent="0.35">
      <c r="A37" s="6">
        <v>1884</v>
      </c>
      <c r="B37" s="7">
        <f t="shared" si="8"/>
        <v>47.811999999999998</v>
      </c>
      <c r="C37" s="7">
        <f t="shared" si="9"/>
        <v>53.911000000000001</v>
      </c>
      <c r="D37" s="7">
        <f t="shared" si="10"/>
        <v>65.775000000000006</v>
      </c>
      <c r="E37" s="7">
        <f t="shared" si="11"/>
        <v>66.238</v>
      </c>
      <c r="F37" s="7">
        <f t="shared" si="12"/>
        <v>6.0990000000000038</v>
      </c>
      <c r="G37" s="7">
        <f t="shared" si="13"/>
        <v>0</v>
      </c>
      <c r="H37" s="7">
        <f t="shared" si="14"/>
        <v>11.864000000000004</v>
      </c>
      <c r="I37" s="8">
        <v>47.811999999999998</v>
      </c>
      <c r="J37" s="8">
        <v>53.911000000000001</v>
      </c>
      <c r="K37" s="8"/>
      <c r="L37" s="8"/>
      <c r="M37" s="8">
        <v>65.775000000000006</v>
      </c>
      <c r="N37" s="8">
        <v>66.238</v>
      </c>
      <c r="O37" s="8"/>
      <c r="P37" s="8"/>
      <c r="Q37" s="10">
        <f t="shared" si="15"/>
        <v>0.46299999999999386</v>
      </c>
    </row>
    <row r="38" spans="1:17" x14ac:dyDescent="0.35">
      <c r="A38" s="3">
        <v>1885</v>
      </c>
      <c r="B38" s="4">
        <f t="shared" si="8"/>
        <v>47.405000000000001</v>
      </c>
      <c r="C38" s="4">
        <f t="shared" si="9"/>
        <v>53.603999999999999</v>
      </c>
      <c r="D38" s="4">
        <f t="shared" si="10"/>
        <v>65.611000000000004</v>
      </c>
      <c r="E38" s="4">
        <f t="shared" si="11"/>
        <v>65.991</v>
      </c>
      <c r="F38" s="4">
        <f t="shared" si="12"/>
        <v>6.1989999999999981</v>
      </c>
      <c r="G38" s="4">
        <f t="shared" si="13"/>
        <v>0</v>
      </c>
      <c r="H38" s="4">
        <f t="shared" si="14"/>
        <v>12.007000000000005</v>
      </c>
      <c r="I38" s="5">
        <v>47.405000000000001</v>
      </c>
      <c r="J38" s="5">
        <v>53.603999999999999</v>
      </c>
      <c r="K38" s="5"/>
      <c r="L38" s="5"/>
      <c r="M38" s="5">
        <v>65.611000000000004</v>
      </c>
      <c r="N38" s="5">
        <v>65.991</v>
      </c>
      <c r="O38" s="5"/>
      <c r="P38" s="5"/>
      <c r="Q38" s="10">
        <f t="shared" si="15"/>
        <v>0.37999999999999545</v>
      </c>
    </row>
    <row r="39" spans="1:17" x14ac:dyDescent="0.35">
      <c r="A39" s="6">
        <v>1886</v>
      </c>
      <c r="B39" s="7">
        <f t="shared" si="8"/>
        <v>47.484999999999999</v>
      </c>
      <c r="C39" s="7">
        <f t="shared" si="9"/>
        <v>53.465000000000003</v>
      </c>
      <c r="D39" s="7">
        <f t="shared" si="10"/>
        <v>65.454999999999998</v>
      </c>
      <c r="E39" s="7">
        <f t="shared" si="11"/>
        <v>65.88</v>
      </c>
      <c r="F39" s="7">
        <f t="shared" si="12"/>
        <v>5.980000000000004</v>
      </c>
      <c r="G39" s="7">
        <f t="shared" si="13"/>
        <v>0</v>
      </c>
      <c r="H39" s="7">
        <f t="shared" si="14"/>
        <v>11.989999999999995</v>
      </c>
      <c r="I39" s="8">
        <v>47.484999999999999</v>
      </c>
      <c r="J39" s="8">
        <v>53.465000000000003</v>
      </c>
      <c r="K39" s="8"/>
      <c r="L39" s="8"/>
      <c r="M39" s="8">
        <v>65.454999999999998</v>
      </c>
      <c r="N39" s="8">
        <v>65.88</v>
      </c>
      <c r="O39" s="8"/>
      <c r="P39" s="8"/>
      <c r="Q39" s="10">
        <f t="shared" si="15"/>
        <v>0.42499999999999716</v>
      </c>
    </row>
    <row r="40" spans="1:17" x14ac:dyDescent="0.35">
      <c r="A40" s="3">
        <v>1887</v>
      </c>
      <c r="B40" s="4">
        <f t="shared" si="8"/>
        <v>47.896000000000001</v>
      </c>
      <c r="C40" s="4">
        <f t="shared" si="9"/>
        <v>53.595999999999997</v>
      </c>
      <c r="D40" s="4">
        <f t="shared" si="10"/>
        <v>65.411000000000001</v>
      </c>
      <c r="E40" s="4">
        <f t="shared" si="11"/>
        <v>65.991</v>
      </c>
      <c r="F40" s="4">
        <f t="shared" si="12"/>
        <v>5.6999999999999957</v>
      </c>
      <c r="G40" s="4">
        <f t="shared" si="13"/>
        <v>0</v>
      </c>
      <c r="H40" s="4">
        <f t="shared" si="14"/>
        <v>11.815000000000005</v>
      </c>
      <c r="I40" s="5">
        <v>47.896000000000001</v>
      </c>
      <c r="J40" s="5">
        <v>53.595999999999997</v>
      </c>
      <c r="K40" s="5"/>
      <c r="L40" s="5"/>
      <c r="M40" s="5">
        <v>65.411000000000001</v>
      </c>
      <c r="N40" s="5">
        <v>65.991</v>
      </c>
      <c r="O40" s="5"/>
      <c r="P40" s="5"/>
      <c r="Q40" s="10">
        <f t="shared" si="15"/>
        <v>0.57999999999999829</v>
      </c>
    </row>
    <row r="41" spans="1:17" x14ac:dyDescent="0.35">
      <c r="A41" s="6">
        <v>1888</v>
      </c>
      <c r="B41" s="7">
        <f t="shared" si="8"/>
        <v>48.561999999999998</v>
      </c>
      <c r="C41" s="7">
        <f t="shared" si="9"/>
        <v>54.262</v>
      </c>
      <c r="D41" s="7">
        <f t="shared" si="10"/>
        <v>66.06</v>
      </c>
      <c r="E41" s="7">
        <f t="shared" si="11"/>
        <v>66.563999999999993</v>
      </c>
      <c r="F41" s="7">
        <f t="shared" si="12"/>
        <v>5.7000000000000028</v>
      </c>
      <c r="G41" s="7">
        <f t="shared" si="13"/>
        <v>0</v>
      </c>
      <c r="H41" s="7">
        <f t="shared" si="14"/>
        <v>11.798000000000002</v>
      </c>
      <c r="I41" s="8">
        <v>48.561999999999998</v>
      </c>
      <c r="J41" s="8">
        <v>54.262</v>
      </c>
      <c r="K41" s="8"/>
      <c r="L41" s="8"/>
      <c r="M41" s="8">
        <v>66.06</v>
      </c>
      <c r="N41" s="8">
        <v>66.563999999999993</v>
      </c>
      <c r="O41" s="8"/>
      <c r="P41" s="8"/>
      <c r="Q41" s="10">
        <f t="shared" si="15"/>
        <v>0.50399999999999068</v>
      </c>
    </row>
    <row r="42" spans="1:17" x14ac:dyDescent="0.35">
      <c r="A42" s="3">
        <v>1889</v>
      </c>
      <c r="B42" s="4">
        <f t="shared" si="8"/>
        <v>47.829000000000001</v>
      </c>
      <c r="C42" s="4">
        <f t="shared" si="9"/>
        <v>53.901000000000003</v>
      </c>
      <c r="D42" s="4">
        <f t="shared" si="10"/>
        <v>65.531999999999996</v>
      </c>
      <c r="E42" s="4">
        <f t="shared" si="11"/>
        <v>66.373999999999995</v>
      </c>
      <c r="F42" s="4">
        <f t="shared" si="12"/>
        <v>6.0720000000000027</v>
      </c>
      <c r="G42" s="4">
        <f t="shared" si="13"/>
        <v>0</v>
      </c>
      <c r="H42" s="4">
        <f t="shared" si="14"/>
        <v>11.630999999999993</v>
      </c>
      <c r="I42" s="5">
        <v>47.829000000000001</v>
      </c>
      <c r="J42" s="5">
        <v>53.901000000000003</v>
      </c>
      <c r="K42" s="5"/>
      <c r="L42" s="5"/>
      <c r="M42" s="5">
        <v>65.531999999999996</v>
      </c>
      <c r="N42" s="5">
        <v>66.373999999999995</v>
      </c>
      <c r="O42" s="5"/>
      <c r="P42" s="5"/>
      <c r="Q42" s="10">
        <f t="shared" si="15"/>
        <v>0.84199999999999875</v>
      </c>
    </row>
    <row r="43" spans="1:17" x14ac:dyDescent="0.35">
      <c r="A43" s="6">
        <v>1890</v>
      </c>
      <c r="B43" s="7">
        <f t="shared" si="8"/>
        <v>47.841000000000001</v>
      </c>
      <c r="C43" s="7">
        <f t="shared" si="9"/>
        <v>54.451999999999998</v>
      </c>
      <c r="D43" s="7">
        <f t="shared" si="10"/>
        <v>66.135000000000005</v>
      </c>
      <c r="E43" s="7">
        <f t="shared" si="11"/>
        <v>66.861000000000004</v>
      </c>
      <c r="F43" s="7">
        <f t="shared" si="12"/>
        <v>6.6109999999999971</v>
      </c>
      <c r="G43" s="7">
        <f t="shared" si="13"/>
        <v>0</v>
      </c>
      <c r="H43" s="7">
        <f t="shared" si="14"/>
        <v>11.683000000000007</v>
      </c>
      <c r="I43" s="8">
        <v>47.841000000000001</v>
      </c>
      <c r="J43" s="8">
        <v>54.451999999999998</v>
      </c>
      <c r="K43" s="8"/>
      <c r="L43" s="8"/>
      <c r="M43" s="8">
        <v>66.135000000000005</v>
      </c>
      <c r="N43" s="8">
        <v>66.861000000000004</v>
      </c>
      <c r="O43" s="8"/>
      <c r="P43" s="8"/>
      <c r="Q43" s="10">
        <f t="shared" si="15"/>
        <v>0.72599999999999909</v>
      </c>
    </row>
    <row r="44" spans="1:17" x14ac:dyDescent="0.35">
      <c r="A44" s="3">
        <v>1891</v>
      </c>
      <c r="B44" s="4">
        <f t="shared" si="8"/>
        <v>47.988</v>
      </c>
      <c r="C44" s="4">
        <f t="shared" si="9"/>
        <v>54.665999999999997</v>
      </c>
      <c r="D44" s="4">
        <f t="shared" si="10"/>
        <v>66.268000000000001</v>
      </c>
      <c r="E44" s="4">
        <f t="shared" si="11"/>
        <v>67.155000000000001</v>
      </c>
      <c r="F44" s="4">
        <f t="shared" si="12"/>
        <v>6.6779999999999973</v>
      </c>
      <c r="G44" s="4">
        <f t="shared" si="13"/>
        <v>0</v>
      </c>
      <c r="H44" s="4">
        <f t="shared" si="14"/>
        <v>11.602000000000004</v>
      </c>
      <c r="I44" s="5">
        <v>47.988</v>
      </c>
      <c r="J44" s="5">
        <v>54.665999999999997</v>
      </c>
      <c r="K44" s="5"/>
      <c r="L44" s="5"/>
      <c r="M44" s="5">
        <v>66.268000000000001</v>
      </c>
      <c r="N44" s="5">
        <v>67.155000000000001</v>
      </c>
      <c r="O44" s="5"/>
      <c r="P44" s="5"/>
      <c r="Q44" s="10">
        <f t="shared" si="15"/>
        <v>0.88700000000000045</v>
      </c>
    </row>
    <row r="45" spans="1:17" x14ac:dyDescent="0.35">
      <c r="A45" s="6">
        <v>1892</v>
      </c>
      <c r="B45" s="7">
        <f t="shared" si="8"/>
        <v>48.06</v>
      </c>
      <c r="C45" s="7">
        <f t="shared" si="9"/>
        <v>54.978000000000002</v>
      </c>
      <c r="D45" s="7">
        <f t="shared" si="10"/>
        <v>66.561000000000007</v>
      </c>
      <c r="E45" s="7">
        <f t="shared" si="11"/>
        <v>67.382000000000005</v>
      </c>
      <c r="F45" s="7">
        <f t="shared" si="12"/>
        <v>6.9179999999999993</v>
      </c>
      <c r="G45" s="7">
        <f t="shared" si="13"/>
        <v>0</v>
      </c>
      <c r="H45" s="7">
        <f t="shared" si="14"/>
        <v>11.583000000000006</v>
      </c>
      <c r="I45" s="8">
        <v>48.06</v>
      </c>
      <c r="J45" s="8">
        <v>54.978000000000002</v>
      </c>
      <c r="K45" s="8"/>
      <c r="L45" s="8"/>
      <c r="M45" s="8">
        <v>66.561000000000007</v>
      </c>
      <c r="N45" s="8">
        <v>67.382000000000005</v>
      </c>
      <c r="O45" s="8"/>
      <c r="P45" s="8"/>
      <c r="Q45" s="10">
        <f t="shared" si="15"/>
        <v>0.82099999999999795</v>
      </c>
    </row>
    <row r="46" spans="1:17" x14ac:dyDescent="0.35">
      <c r="A46" s="3">
        <v>1893</v>
      </c>
      <c r="B46" s="4">
        <f t="shared" si="8"/>
        <v>47.948999999999998</v>
      </c>
      <c r="C46" s="4">
        <f t="shared" si="9"/>
        <v>54.573</v>
      </c>
      <c r="D46" s="4">
        <f t="shared" si="10"/>
        <v>66.486999999999995</v>
      </c>
      <c r="E46" s="4">
        <f t="shared" si="11"/>
        <v>67.206000000000003</v>
      </c>
      <c r="F46" s="4">
        <f t="shared" si="12"/>
        <v>6.6240000000000023</v>
      </c>
      <c r="G46" s="4">
        <f t="shared" si="13"/>
        <v>0</v>
      </c>
      <c r="H46" s="4">
        <f t="shared" si="14"/>
        <v>11.913999999999994</v>
      </c>
      <c r="I46" s="5">
        <v>47.948999999999998</v>
      </c>
      <c r="J46" s="5">
        <v>54.573</v>
      </c>
      <c r="K46" s="5"/>
      <c r="L46" s="5"/>
      <c r="M46" s="5">
        <v>66.486999999999995</v>
      </c>
      <c r="N46" s="5">
        <v>67.206000000000003</v>
      </c>
      <c r="O46" s="5"/>
      <c r="P46" s="5"/>
      <c r="Q46" s="10">
        <f t="shared" si="15"/>
        <v>0.7190000000000083</v>
      </c>
    </row>
    <row r="47" spans="1:17" x14ac:dyDescent="0.35">
      <c r="A47" s="6">
        <v>1894</v>
      </c>
      <c r="B47" s="7">
        <f t="shared" si="8"/>
        <v>47.82</v>
      </c>
      <c r="C47" s="7">
        <f t="shared" si="9"/>
        <v>54.430999999999997</v>
      </c>
      <c r="D47" s="7">
        <f t="shared" si="10"/>
        <v>66.698999999999998</v>
      </c>
      <c r="E47" s="7">
        <f t="shared" si="11"/>
        <v>66.894999999999996</v>
      </c>
      <c r="F47" s="7">
        <f t="shared" si="12"/>
        <v>6.6109999999999971</v>
      </c>
      <c r="G47" s="7">
        <f t="shared" si="13"/>
        <v>0</v>
      </c>
      <c r="H47" s="7">
        <f t="shared" si="14"/>
        <v>12.268000000000001</v>
      </c>
      <c r="I47" s="8">
        <v>47.82</v>
      </c>
      <c r="J47" s="8">
        <v>54.430999999999997</v>
      </c>
      <c r="K47" s="8"/>
      <c r="L47" s="8"/>
      <c r="M47" s="8">
        <v>66.698999999999998</v>
      </c>
      <c r="N47" s="8">
        <v>66.894999999999996</v>
      </c>
      <c r="O47" s="8"/>
      <c r="P47" s="8"/>
      <c r="Q47" s="10">
        <f t="shared" si="15"/>
        <v>0.19599999999999795</v>
      </c>
    </row>
    <row r="48" spans="1:17" x14ac:dyDescent="0.35">
      <c r="A48" s="3">
        <v>1895</v>
      </c>
      <c r="B48" s="4">
        <f t="shared" si="8"/>
        <v>48.287999999999997</v>
      </c>
      <c r="C48" s="4">
        <f t="shared" si="9"/>
        <v>54.767000000000003</v>
      </c>
      <c r="D48" s="4">
        <f t="shared" si="10"/>
        <v>66.853999999999999</v>
      </c>
      <c r="E48" s="4">
        <f t="shared" si="11"/>
        <v>67.241</v>
      </c>
      <c r="F48" s="4">
        <f t="shared" si="12"/>
        <v>6.4790000000000063</v>
      </c>
      <c r="G48" s="4">
        <f t="shared" si="13"/>
        <v>0</v>
      </c>
      <c r="H48" s="4">
        <f t="shared" si="14"/>
        <v>12.086999999999996</v>
      </c>
      <c r="I48" s="5">
        <v>48.287999999999997</v>
      </c>
      <c r="J48" s="5">
        <v>54.767000000000003</v>
      </c>
      <c r="K48" s="5"/>
      <c r="L48" s="5"/>
      <c r="M48" s="5">
        <v>66.853999999999999</v>
      </c>
      <c r="N48" s="5">
        <v>67.241</v>
      </c>
      <c r="O48" s="5"/>
      <c r="P48" s="5"/>
      <c r="Q48" s="10">
        <f t="shared" si="15"/>
        <v>0.38700000000000045</v>
      </c>
    </row>
    <row r="49" spans="1:17" x14ac:dyDescent="0.35">
      <c r="A49" s="6">
        <v>1896</v>
      </c>
      <c r="B49" s="7">
        <f t="shared" si="8"/>
        <v>48.576999999999998</v>
      </c>
      <c r="C49" s="7">
        <f t="shared" si="9"/>
        <v>54.893999999999998</v>
      </c>
      <c r="D49" s="7">
        <f t="shared" si="10"/>
        <v>67.066999999999993</v>
      </c>
      <c r="E49" s="7">
        <f t="shared" si="11"/>
        <v>67.38</v>
      </c>
      <c r="F49" s="7">
        <f t="shared" si="12"/>
        <v>6.3170000000000002</v>
      </c>
      <c r="G49" s="7">
        <f t="shared" si="13"/>
        <v>0</v>
      </c>
      <c r="H49" s="7">
        <f t="shared" si="14"/>
        <v>12.172999999999995</v>
      </c>
      <c r="I49" s="8">
        <v>48.576999999999998</v>
      </c>
      <c r="J49" s="8">
        <v>54.893999999999998</v>
      </c>
      <c r="K49" s="8"/>
      <c r="L49" s="8"/>
      <c r="M49" s="8">
        <v>67.066999999999993</v>
      </c>
      <c r="N49" s="8">
        <v>67.38</v>
      </c>
      <c r="O49" s="8"/>
      <c r="P49" s="8"/>
      <c r="Q49" s="10">
        <f t="shared" si="15"/>
        <v>0.31300000000000239</v>
      </c>
    </row>
    <row r="50" spans="1:17" x14ac:dyDescent="0.35">
      <c r="A50" s="3">
        <v>1897</v>
      </c>
      <c r="B50" s="4">
        <f t="shared" si="8"/>
        <v>48.651000000000003</v>
      </c>
      <c r="C50" s="4">
        <f t="shared" si="9"/>
        <v>55.131</v>
      </c>
      <c r="D50" s="4">
        <f t="shared" si="10"/>
        <v>67.195999999999998</v>
      </c>
      <c r="E50" s="4">
        <f t="shared" si="11"/>
        <v>67.664000000000001</v>
      </c>
      <c r="F50" s="4">
        <f t="shared" si="12"/>
        <v>6.4799999999999969</v>
      </c>
      <c r="G50" s="4">
        <f t="shared" si="13"/>
        <v>0</v>
      </c>
      <c r="H50" s="4">
        <f t="shared" si="14"/>
        <v>12.064999999999998</v>
      </c>
      <c r="I50" s="5">
        <v>48.651000000000003</v>
      </c>
      <c r="J50" s="5">
        <v>55.131</v>
      </c>
      <c r="K50" s="5"/>
      <c r="L50" s="5"/>
      <c r="M50" s="5">
        <v>67.195999999999998</v>
      </c>
      <c r="N50" s="5">
        <v>67.664000000000001</v>
      </c>
      <c r="O50" s="5"/>
      <c r="P50" s="5"/>
      <c r="Q50" s="10">
        <f t="shared" si="15"/>
        <v>0.46800000000000352</v>
      </c>
    </row>
    <row r="51" spans="1:17" x14ac:dyDescent="0.35">
      <c r="A51" s="6">
        <v>1898</v>
      </c>
      <c r="B51" s="7">
        <f t="shared" si="8"/>
        <v>49.101999999999997</v>
      </c>
      <c r="C51" s="7">
        <f t="shared" si="9"/>
        <v>55.356999999999999</v>
      </c>
      <c r="D51" s="7">
        <f t="shared" si="10"/>
        <v>67.781000000000006</v>
      </c>
      <c r="E51" s="7">
        <f t="shared" si="11"/>
        <v>67.950999999999993</v>
      </c>
      <c r="F51" s="7">
        <f t="shared" si="12"/>
        <v>6.2550000000000026</v>
      </c>
      <c r="G51" s="7">
        <f t="shared" si="13"/>
        <v>0</v>
      </c>
      <c r="H51" s="7">
        <f t="shared" si="14"/>
        <v>12.424000000000007</v>
      </c>
      <c r="I51" s="8">
        <v>49.101999999999997</v>
      </c>
      <c r="J51" s="8">
        <v>55.356999999999999</v>
      </c>
      <c r="K51" s="8"/>
      <c r="L51" s="8"/>
      <c r="M51" s="8">
        <v>67.781000000000006</v>
      </c>
      <c r="N51" s="8">
        <v>67.950999999999993</v>
      </c>
      <c r="O51" s="8"/>
      <c r="P51" s="8"/>
      <c r="Q51" s="10">
        <f t="shared" si="15"/>
        <v>0.16999999999998749</v>
      </c>
    </row>
    <row r="52" spans="1:17" x14ac:dyDescent="0.35">
      <c r="A52" s="3">
        <v>1899</v>
      </c>
      <c r="B52" s="4">
        <f t="shared" si="8"/>
        <v>49.951000000000001</v>
      </c>
      <c r="C52" s="4">
        <f t="shared" si="9"/>
        <v>56.155000000000001</v>
      </c>
      <c r="D52" s="4">
        <f t="shared" si="10"/>
        <v>68.302000000000007</v>
      </c>
      <c r="E52" s="4">
        <f t="shared" si="11"/>
        <v>68.635000000000005</v>
      </c>
      <c r="F52" s="4">
        <f t="shared" si="12"/>
        <v>6.2040000000000006</v>
      </c>
      <c r="G52" s="4">
        <f t="shared" si="13"/>
        <v>0</v>
      </c>
      <c r="H52" s="4">
        <f t="shared" si="14"/>
        <v>12.147000000000006</v>
      </c>
      <c r="I52" s="5">
        <v>49.951000000000001</v>
      </c>
      <c r="J52" s="5">
        <v>56.155000000000001</v>
      </c>
      <c r="K52" s="5"/>
      <c r="L52" s="5"/>
      <c r="M52" s="5">
        <v>68.302000000000007</v>
      </c>
      <c r="N52" s="5">
        <v>68.635000000000005</v>
      </c>
      <c r="O52" s="5"/>
      <c r="P52" s="5"/>
      <c r="Q52" s="10">
        <f t="shared" si="15"/>
        <v>0.33299999999999841</v>
      </c>
    </row>
    <row r="53" spans="1:17" x14ac:dyDescent="0.35">
      <c r="A53" s="6">
        <v>1900</v>
      </c>
      <c r="B53" s="7">
        <f t="shared" si="8"/>
        <v>50.081000000000003</v>
      </c>
      <c r="C53" s="7">
        <f t="shared" si="9"/>
        <v>56.578000000000003</v>
      </c>
      <c r="D53" s="7">
        <f t="shared" si="10"/>
        <v>68.683999999999997</v>
      </c>
      <c r="E53" s="7">
        <f t="shared" si="11"/>
        <v>69.054000000000002</v>
      </c>
      <c r="F53" s="7">
        <f t="shared" si="12"/>
        <v>6.4969999999999999</v>
      </c>
      <c r="G53" s="7">
        <f t="shared" si="13"/>
        <v>0</v>
      </c>
      <c r="H53" s="7">
        <f t="shared" si="14"/>
        <v>12.105999999999995</v>
      </c>
      <c r="I53" s="8">
        <v>50.081000000000003</v>
      </c>
      <c r="J53" s="8">
        <v>56.578000000000003</v>
      </c>
      <c r="K53" s="8"/>
      <c r="L53" s="8"/>
      <c r="M53" s="8">
        <v>68.683999999999997</v>
      </c>
      <c r="N53" s="8">
        <v>69.054000000000002</v>
      </c>
      <c r="O53" s="8"/>
      <c r="P53" s="8"/>
      <c r="Q53" s="10">
        <f t="shared" si="15"/>
        <v>0.37000000000000455</v>
      </c>
    </row>
    <row r="54" spans="1:17" x14ac:dyDescent="0.35">
      <c r="A54" s="3">
        <v>1901</v>
      </c>
      <c r="B54" s="4">
        <f t="shared" si="8"/>
        <v>49.209000000000003</v>
      </c>
      <c r="C54" s="4">
        <f t="shared" si="9"/>
        <v>54.856999999999999</v>
      </c>
      <c r="D54" s="4">
        <f t="shared" si="10"/>
        <v>67.081000000000003</v>
      </c>
      <c r="E54" s="4">
        <f t="shared" si="11"/>
        <v>68.236999999999995</v>
      </c>
      <c r="F54" s="4">
        <f t="shared" si="12"/>
        <v>5.6479999999999961</v>
      </c>
      <c r="G54" s="4">
        <f t="shared" si="13"/>
        <v>0</v>
      </c>
      <c r="H54" s="4">
        <f t="shared" si="14"/>
        <v>12.224000000000004</v>
      </c>
      <c r="I54" s="5">
        <v>49.209000000000003</v>
      </c>
      <c r="J54" s="5">
        <v>54.856999999999999</v>
      </c>
      <c r="K54" s="5"/>
      <c r="L54" s="5"/>
      <c r="M54" s="5">
        <v>68.236999999999995</v>
      </c>
      <c r="N54" s="5">
        <v>67.081000000000003</v>
      </c>
      <c r="O54" s="5"/>
      <c r="P54" s="5"/>
      <c r="Q54" s="10">
        <f t="shared" si="15"/>
        <v>1.1559999999999917</v>
      </c>
    </row>
    <row r="55" spans="1:17" x14ac:dyDescent="0.35">
      <c r="A55" s="6">
        <v>1902</v>
      </c>
      <c r="B55" s="7">
        <f t="shared" si="8"/>
        <v>49.347999999999999</v>
      </c>
      <c r="C55" s="7">
        <f t="shared" si="9"/>
        <v>53.488</v>
      </c>
      <c r="D55" s="7">
        <f t="shared" si="10"/>
        <v>65.605999999999995</v>
      </c>
      <c r="E55" s="7">
        <f t="shared" si="11"/>
        <v>68.301000000000002</v>
      </c>
      <c r="F55" s="7">
        <f t="shared" si="12"/>
        <v>4.1400000000000006</v>
      </c>
      <c r="G55" s="7">
        <f t="shared" si="13"/>
        <v>0</v>
      </c>
      <c r="H55" s="7">
        <f t="shared" si="14"/>
        <v>12.117999999999995</v>
      </c>
      <c r="I55" s="8">
        <v>49.347999999999999</v>
      </c>
      <c r="J55" s="8">
        <v>53.488</v>
      </c>
      <c r="K55" s="8"/>
      <c r="L55" s="8"/>
      <c r="M55" s="8">
        <v>68.301000000000002</v>
      </c>
      <c r="N55" s="8">
        <v>65.605999999999995</v>
      </c>
      <c r="O55" s="8"/>
      <c r="P55" s="8"/>
      <c r="Q55" s="10">
        <f t="shared" si="15"/>
        <v>2.6950000000000074</v>
      </c>
    </row>
    <row r="56" spans="1:17" x14ac:dyDescent="0.35">
      <c r="A56" s="3">
        <v>1903</v>
      </c>
      <c r="B56" s="4">
        <f t="shared" si="8"/>
        <v>50.02</v>
      </c>
      <c r="C56" s="4">
        <f t="shared" si="9"/>
        <v>53.594000000000001</v>
      </c>
      <c r="D56" s="4">
        <f t="shared" si="10"/>
        <v>65.325000000000003</v>
      </c>
      <c r="E56" s="4">
        <f t="shared" si="11"/>
        <v>68.929000000000002</v>
      </c>
      <c r="F56" s="4">
        <f t="shared" si="12"/>
        <v>3.5739999999999981</v>
      </c>
      <c r="G56" s="4">
        <f t="shared" si="13"/>
        <v>0</v>
      </c>
      <c r="H56" s="4">
        <f t="shared" si="14"/>
        <v>11.731000000000002</v>
      </c>
      <c r="I56" s="5">
        <v>50.02</v>
      </c>
      <c r="J56" s="5">
        <v>53.594000000000001</v>
      </c>
      <c r="K56" s="5"/>
      <c r="L56" s="5"/>
      <c r="M56" s="5">
        <v>68.929000000000002</v>
      </c>
      <c r="N56" s="5">
        <v>65.325000000000003</v>
      </c>
      <c r="O56" s="5"/>
      <c r="P56" s="5"/>
      <c r="Q56" s="10">
        <f t="shared" si="15"/>
        <v>3.6039999999999992</v>
      </c>
    </row>
    <row r="57" spans="1:17" x14ac:dyDescent="0.35">
      <c r="A57" s="6">
        <v>1904</v>
      </c>
      <c r="B57" s="7">
        <f t="shared" si="8"/>
        <v>49.723999999999997</v>
      </c>
      <c r="C57" s="7">
        <f t="shared" si="9"/>
        <v>52.511000000000003</v>
      </c>
      <c r="D57" s="7">
        <f t="shared" si="10"/>
        <v>64.275000000000006</v>
      </c>
      <c r="E57" s="7">
        <f t="shared" si="11"/>
        <v>68.78</v>
      </c>
      <c r="F57" s="7">
        <f t="shared" si="12"/>
        <v>2.7870000000000061</v>
      </c>
      <c r="G57" s="7">
        <f t="shared" si="13"/>
        <v>0</v>
      </c>
      <c r="H57" s="7">
        <f t="shared" si="14"/>
        <v>11.764000000000003</v>
      </c>
      <c r="I57" s="8">
        <v>49.723999999999997</v>
      </c>
      <c r="J57" s="8">
        <v>52.511000000000003</v>
      </c>
      <c r="K57" s="8"/>
      <c r="L57" s="8"/>
      <c r="M57" s="8">
        <v>68.78</v>
      </c>
      <c r="N57" s="8">
        <v>64.275000000000006</v>
      </c>
      <c r="O57" s="8"/>
      <c r="P57" s="8"/>
      <c r="Q57" s="10">
        <f t="shared" si="15"/>
        <v>4.5049999999999955</v>
      </c>
    </row>
    <row r="58" spans="1:17" x14ac:dyDescent="0.35">
      <c r="A58" s="3">
        <v>1905</v>
      </c>
      <c r="B58" s="4">
        <f t="shared" si="8"/>
        <v>50.338999999999999</v>
      </c>
      <c r="C58" s="4">
        <f t="shared" si="9"/>
        <v>52.51</v>
      </c>
      <c r="D58" s="4">
        <f t="shared" si="10"/>
        <v>63.939</v>
      </c>
      <c r="E58" s="4">
        <f t="shared" si="11"/>
        <v>69.477000000000004</v>
      </c>
      <c r="F58" s="4">
        <f t="shared" si="12"/>
        <v>2.1709999999999994</v>
      </c>
      <c r="G58" s="4">
        <f t="shared" si="13"/>
        <v>0</v>
      </c>
      <c r="H58" s="4">
        <f t="shared" si="14"/>
        <v>11.429000000000002</v>
      </c>
      <c r="I58" s="5">
        <v>50.338999999999999</v>
      </c>
      <c r="J58" s="5">
        <v>52.51</v>
      </c>
      <c r="K58" s="5"/>
      <c r="L58" s="5"/>
      <c r="M58" s="5">
        <v>69.477000000000004</v>
      </c>
      <c r="N58" s="5">
        <v>63.939</v>
      </c>
      <c r="O58" s="5"/>
      <c r="P58" s="5"/>
      <c r="Q58" s="10">
        <f t="shared" si="15"/>
        <v>5.5380000000000038</v>
      </c>
    </row>
    <row r="59" spans="1:17" x14ac:dyDescent="0.35">
      <c r="A59" s="6">
        <v>1906</v>
      </c>
      <c r="B59" s="7">
        <f t="shared" si="8"/>
        <v>50.206000000000003</v>
      </c>
      <c r="C59" s="7">
        <f t="shared" si="9"/>
        <v>51.792999999999999</v>
      </c>
      <c r="D59" s="7">
        <f t="shared" si="10"/>
        <v>63.183999999999997</v>
      </c>
      <c r="E59" s="7">
        <f t="shared" si="11"/>
        <v>69.372</v>
      </c>
      <c r="F59" s="7">
        <f t="shared" si="12"/>
        <v>1.5869999999999962</v>
      </c>
      <c r="G59" s="7">
        <f t="shared" si="13"/>
        <v>0</v>
      </c>
      <c r="H59" s="7">
        <f t="shared" si="14"/>
        <v>11.390999999999998</v>
      </c>
      <c r="I59" s="8">
        <v>50.206000000000003</v>
      </c>
      <c r="J59" s="8">
        <v>51.792999999999999</v>
      </c>
      <c r="K59" s="8"/>
      <c r="L59" s="8"/>
      <c r="M59" s="8">
        <v>69.372</v>
      </c>
      <c r="N59" s="8">
        <v>63.183999999999997</v>
      </c>
      <c r="O59" s="8"/>
      <c r="P59" s="8"/>
      <c r="Q59" s="10">
        <f t="shared" si="15"/>
        <v>6.1880000000000024</v>
      </c>
    </row>
    <row r="60" spans="1:17" x14ac:dyDescent="0.35">
      <c r="A60" s="3">
        <v>1907</v>
      </c>
      <c r="B60" s="4">
        <f t="shared" si="8"/>
        <v>51.616</v>
      </c>
      <c r="C60" s="4">
        <f t="shared" si="9"/>
        <v>53.042000000000002</v>
      </c>
      <c r="D60" s="4">
        <f t="shared" si="10"/>
        <v>64.241</v>
      </c>
      <c r="E60" s="4">
        <f t="shared" si="11"/>
        <v>70.608000000000004</v>
      </c>
      <c r="F60" s="4">
        <f t="shared" si="12"/>
        <v>1.4260000000000019</v>
      </c>
      <c r="G60" s="4">
        <f t="shared" si="13"/>
        <v>0</v>
      </c>
      <c r="H60" s="4">
        <f t="shared" si="14"/>
        <v>11.198999999999998</v>
      </c>
      <c r="I60" s="5">
        <v>51.616</v>
      </c>
      <c r="J60" s="5">
        <v>53.042000000000002</v>
      </c>
      <c r="K60" s="5"/>
      <c r="L60" s="5"/>
      <c r="M60" s="5">
        <v>70.608000000000004</v>
      </c>
      <c r="N60" s="5">
        <v>64.241</v>
      </c>
      <c r="O60" s="5"/>
      <c r="P60" s="5"/>
      <c r="Q60" s="10">
        <f t="shared" si="15"/>
        <v>6.3670000000000044</v>
      </c>
    </row>
    <row r="61" spans="1:17" x14ac:dyDescent="0.35">
      <c r="A61" s="6">
        <v>1908</v>
      </c>
      <c r="B61" s="7">
        <f t="shared" si="8"/>
        <v>50.625999999999998</v>
      </c>
      <c r="C61" s="7">
        <f t="shared" si="9"/>
        <v>51.771999999999998</v>
      </c>
      <c r="D61" s="7">
        <f t="shared" si="10"/>
        <v>63.231000000000002</v>
      </c>
      <c r="E61" s="7">
        <f t="shared" si="11"/>
        <v>70.128</v>
      </c>
      <c r="F61" s="7">
        <f t="shared" si="12"/>
        <v>1.1460000000000008</v>
      </c>
      <c r="G61" s="7">
        <f t="shared" si="13"/>
        <v>0</v>
      </c>
      <c r="H61" s="7">
        <f t="shared" si="14"/>
        <v>11.459000000000003</v>
      </c>
      <c r="I61" s="8">
        <v>50.625999999999998</v>
      </c>
      <c r="J61" s="8">
        <v>51.771999999999998</v>
      </c>
      <c r="K61" s="8"/>
      <c r="L61" s="8"/>
      <c r="M61" s="8">
        <v>70.128</v>
      </c>
      <c r="N61" s="8">
        <v>63.231000000000002</v>
      </c>
      <c r="O61" s="8"/>
      <c r="P61" s="8"/>
      <c r="Q61" s="10">
        <f t="shared" si="15"/>
        <v>6.8969999999999985</v>
      </c>
    </row>
    <row r="62" spans="1:17" x14ac:dyDescent="0.35">
      <c r="A62" s="3">
        <v>1909</v>
      </c>
      <c r="B62" s="4">
        <f t="shared" si="8"/>
        <v>50.826999999999998</v>
      </c>
      <c r="C62" s="4">
        <f t="shared" si="9"/>
        <v>51.999000000000002</v>
      </c>
      <c r="D62" s="4">
        <f t="shared" si="10"/>
        <v>63.436</v>
      </c>
      <c r="E62" s="4">
        <f t="shared" si="11"/>
        <v>70.372</v>
      </c>
      <c r="F62" s="4">
        <f t="shared" si="12"/>
        <v>1.1720000000000041</v>
      </c>
      <c r="G62" s="4">
        <f t="shared" si="13"/>
        <v>0</v>
      </c>
      <c r="H62" s="4">
        <f t="shared" si="14"/>
        <v>11.436999999999998</v>
      </c>
      <c r="I62" s="5">
        <v>50.826999999999998</v>
      </c>
      <c r="J62" s="5">
        <v>51.999000000000002</v>
      </c>
      <c r="K62" s="5"/>
      <c r="L62" s="5"/>
      <c r="M62" s="5">
        <v>70.372</v>
      </c>
      <c r="N62" s="5">
        <v>63.436</v>
      </c>
      <c r="O62" s="5"/>
      <c r="P62" s="5"/>
      <c r="Q62" s="10">
        <f t="shared" si="15"/>
        <v>6.9359999999999999</v>
      </c>
    </row>
    <row r="63" spans="1:17" x14ac:dyDescent="0.35">
      <c r="A63" s="6">
        <v>1910</v>
      </c>
      <c r="B63" s="7">
        <f t="shared" si="8"/>
        <v>52.042000000000002</v>
      </c>
      <c r="C63" s="7">
        <f t="shared" si="9"/>
        <v>52.545000000000002</v>
      </c>
      <c r="D63" s="7">
        <f t="shared" si="10"/>
        <v>63.761000000000003</v>
      </c>
      <c r="E63" s="7">
        <f t="shared" si="11"/>
        <v>68.760000000000005</v>
      </c>
      <c r="F63" s="7">
        <f t="shared" si="12"/>
        <v>0.50300000000000011</v>
      </c>
      <c r="G63" s="7">
        <f t="shared" si="13"/>
        <v>0</v>
      </c>
      <c r="H63" s="7">
        <f t="shared" si="14"/>
        <v>11.216000000000001</v>
      </c>
      <c r="I63" s="8">
        <v>52.042000000000002</v>
      </c>
      <c r="J63" s="8">
        <v>52.545000000000002</v>
      </c>
      <c r="K63" s="8"/>
      <c r="L63" s="8"/>
      <c r="M63" s="8">
        <v>68.760000000000005</v>
      </c>
      <c r="N63" s="8">
        <v>63.761000000000003</v>
      </c>
      <c r="O63" s="8"/>
      <c r="P63" s="8"/>
      <c r="Q63" s="10">
        <f t="shared" si="15"/>
        <v>4.9990000000000023</v>
      </c>
    </row>
    <row r="64" spans="1:17" x14ac:dyDescent="0.35">
      <c r="A64" s="3">
        <v>1911</v>
      </c>
      <c r="B64" s="4">
        <f t="shared" si="8"/>
        <v>52.093000000000004</v>
      </c>
      <c r="C64" s="4">
        <f t="shared" si="9"/>
        <v>53.595999999999997</v>
      </c>
      <c r="D64" s="4">
        <f t="shared" si="10"/>
        <v>65.108999999999995</v>
      </c>
      <c r="E64" s="4">
        <f t="shared" si="11"/>
        <v>68.003</v>
      </c>
      <c r="F64" s="4">
        <f t="shared" si="12"/>
        <v>1.502999999999993</v>
      </c>
      <c r="G64" s="4">
        <f t="shared" si="13"/>
        <v>0</v>
      </c>
      <c r="H64" s="4">
        <f t="shared" si="14"/>
        <v>11.512999999999998</v>
      </c>
      <c r="I64" s="5">
        <v>52.093000000000004</v>
      </c>
      <c r="J64" s="5">
        <v>53.595999999999997</v>
      </c>
      <c r="K64" s="5"/>
      <c r="L64" s="5"/>
      <c r="M64" s="5">
        <v>68.003</v>
      </c>
      <c r="N64" s="5">
        <v>65.108999999999995</v>
      </c>
      <c r="O64" s="5"/>
      <c r="P64" s="5"/>
      <c r="Q64" s="10">
        <f t="shared" si="15"/>
        <v>2.8940000000000055</v>
      </c>
    </row>
    <row r="65" spans="1:17" x14ac:dyDescent="0.35">
      <c r="A65" s="6">
        <v>1912</v>
      </c>
      <c r="B65" s="7">
        <f t="shared" si="8"/>
        <v>52.44</v>
      </c>
      <c r="C65" s="7">
        <f t="shared" si="9"/>
        <v>54.064</v>
      </c>
      <c r="D65" s="7">
        <f t="shared" si="10"/>
        <v>65.855000000000004</v>
      </c>
      <c r="E65" s="7">
        <f t="shared" si="11"/>
        <v>68.164000000000001</v>
      </c>
      <c r="F65" s="7">
        <f t="shared" si="12"/>
        <v>1.6240000000000023</v>
      </c>
      <c r="G65" s="7">
        <f t="shared" si="13"/>
        <v>0</v>
      </c>
      <c r="H65" s="7">
        <f t="shared" si="14"/>
        <v>11.791000000000004</v>
      </c>
      <c r="I65" s="8">
        <v>52.44</v>
      </c>
      <c r="J65" s="8">
        <v>54.064</v>
      </c>
      <c r="K65" s="8"/>
      <c r="L65" s="8"/>
      <c r="M65" s="8">
        <v>68.164000000000001</v>
      </c>
      <c r="N65" s="8">
        <v>65.855000000000004</v>
      </c>
      <c r="O65" s="8"/>
      <c r="P65" s="8"/>
      <c r="Q65" s="10">
        <f t="shared" si="15"/>
        <v>2.3089999999999975</v>
      </c>
    </row>
    <row r="66" spans="1:17" x14ac:dyDescent="0.35">
      <c r="A66" s="3">
        <v>1913</v>
      </c>
      <c r="B66" s="4">
        <f t="shared" si="8"/>
        <v>53.482999999999997</v>
      </c>
      <c r="C66" s="4">
        <f t="shared" si="9"/>
        <v>55.566000000000003</v>
      </c>
      <c r="D66" s="4">
        <f t="shared" si="10"/>
        <v>67.515000000000001</v>
      </c>
      <c r="E66" s="4">
        <f t="shared" si="11"/>
        <v>68.228999999999999</v>
      </c>
      <c r="F66" s="4">
        <f t="shared" si="12"/>
        <v>2.0830000000000055</v>
      </c>
      <c r="G66" s="4">
        <f t="shared" si="13"/>
        <v>0</v>
      </c>
      <c r="H66" s="4">
        <f t="shared" si="14"/>
        <v>11.948999999999998</v>
      </c>
      <c r="I66" s="5">
        <v>53.482999999999997</v>
      </c>
      <c r="J66" s="5">
        <v>55.566000000000003</v>
      </c>
      <c r="K66" s="5"/>
      <c r="L66" s="5"/>
      <c r="M66" s="5">
        <v>68.228999999999999</v>
      </c>
      <c r="N66" s="5">
        <v>67.515000000000001</v>
      </c>
      <c r="O66" s="5"/>
      <c r="P66" s="5"/>
      <c r="Q66" s="10">
        <f t="shared" si="15"/>
        <v>0.71399999999999864</v>
      </c>
    </row>
    <row r="67" spans="1:17" x14ac:dyDescent="0.35">
      <c r="A67" s="6">
        <v>1914</v>
      </c>
      <c r="B67" s="7">
        <f t="shared" ref="B67:B98" si="16">IFERROR(MIN(I67:L67),"")</f>
        <v>52.304000000000002</v>
      </c>
      <c r="C67" s="7">
        <f t="shared" ref="C67:C98" si="17">IFERROR(MAX(I67:L67),"")</f>
        <v>54.293999999999997</v>
      </c>
      <c r="D67" s="7">
        <f t="shared" ref="D67:D98" si="18">IFERROR(MIN(M67:P67),"")</f>
        <v>66.355999999999995</v>
      </c>
      <c r="E67" s="7">
        <f t="shared" ref="E67:E98" si="19">IFERROR(MAX(M67:P67),"")</f>
        <v>66.593000000000004</v>
      </c>
      <c r="F67" s="7">
        <f t="shared" ref="F67:F98" si="20">IFERROR(MIN(C67,D67)-B67,"")</f>
        <v>1.9899999999999949</v>
      </c>
      <c r="G67" s="7">
        <f t="shared" ref="G67:G98" si="21">IFERROR(MAX(0,C67-D67),"")</f>
        <v>0</v>
      </c>
      <c r="H67" s="7">
        <f t="shared" ref="H67:H98" si="22">IFERROR(MAX(0,D67-C67),"")</f>
        <v>12.061999999999998</v>
      </c>
      <c r="I67" s="8">
        <v>52.304000000000002</v>
      </c>
      <c r="J67" s="8">
        <v>54.293999999999997</v>
      </c>
      <c r="K67" s="8"/>
      <c r="L67" s="8"/>
      <c r="M67" s="8">
        <v>66.593000000000004</v>
      </c>
      <c r="N67" s="8">
        <v>66.355999999999995</v>
      </c>
      <c r="O67" s="8"/>
      <c r="P67" s="8"/>
      <c r="Q67" s="10">
        <f t="shared" ref="Q67:Q98" si="23">IFERROR(MAX(0,$E67-MAX($C67,$D67)),"")</f>
        <v>0.23700000000000898</v>
      </c>
    </row>
    <row r="68" spans="1:17" x14ac:dyDescent="0.35">
      <c r="A68" s="3">
        <v>1915</v>
      </c>
      <c r="B68" s="4">
        <f t="shared" si="16"/>
        <v>52.112000000000002</v>
      </c>
      <c r="C68" s="4">
        <f t="shared" si="17"/>
        <v>54.22</v>
      </c>
      <c r="D68" s="4">
        <f t="shared" si="18"/>
        <v>65.894000000000005</v>
      </c>
      <c r="E68" s="4">
        <f t="shared" si="19"/>
        <v>66.286000000000001</v>
      </c>
      <c r="F68" s="4">
        <f t="shared" si="20"/>
        <v>2.107999999999997</v>
      </c>
      <c r="G68" s="4">
        <f t="shared" si="21"/>
        <v>0</v>
      </c>
      <c r="H68" s="4">
        <f t="shared" si="22"/>
        <v>11.674000000000007</v>
      </c>
      <c r="I68" s="5">
        <v>52.112000000000002</v>
      </c>
      <c r="J68" s="5">
        <v>54.22</v>
      </c>
      <c r="K68" s="5"/>
      <c r="L68" s="5"/>
      <c r="M68" s="5">
        <v>65.894000000000005</v>
      </c>
      <c r="N68" s="5">
        <v>66.286000000000001</v>
      </c>
      <c r="O68" s="5"/>
      <c r="P68" s="5"/>
      <c r="Q68" s="10">
        <f t="shared" si="23"/>
        <v>0.39199999999999591</v>
      </c>
    </row>
    <row r="69" spans="1:17" x14ac:dyDescent="0.35">
      <c r="A69" s="6">
        <v>1916</v>
      </c>
      <c r="B69" s="7">
        <f t="shared" si="16"/>
        <v>52.826999999999998</v>
      </c>
      <c r="C69" s="7">
        <f t="shared" si="17"/>
        <v>54.982999999999997</v>
      </c>
      <c r="D69" s="7">
        <f t="shared" si="18"/>
        <v>66.521000000000001</v>
      </c>
      <c r="E69" s="7">
        <f t="shared" si="19"/>
        <v>66.953000000000003</v>
      </c>
      <c r="F69" s="7">
        <f t="shared" si="20"/>
        <v>2.1559999999999988</v>
      </c>
      <c r="G69" s="7">
        <f t="shared" si="21"/>
        <v>0</v>
      </c>
      <c r="H69" s="7">
        <f t="shared" si="22"/>
        <v>11.538000000000004</v>
      </c>
      <c r="I69" s="8">
        <v>52.826999999999998</v>
      </c>
      <c r="J69" s="8">
        <v>54.982999999999997</v>
      </c>
      <c r="K69" s="8"/>
      <c r="L69" s="8"/>
      <c r="M69" s="8">
        <v>66.521000000000001</v>
      </c>
      <c r="N69" s="8">
        <v>66.953000000000003</v>
      </c>
      <c r="O69" s="8"/>
      <c r="P69" s="8"/>
      <c r="Q69" s="10">
        <f t="shared" si="23"/>
        <v>0.43200000000000216</v>
      </c>
    </row>
    <row r="70" spans="1:17" x14ac:dyDescent="0.35">
      <c r="A70" s="3">
        <v>1917</v>
      </c>
      <c r="B70" s="4">
        <f t="shared" si="16"/>
        <v>53.6</v>
      </c>
      <c r="C70" s="4">
        <f t="shared" si="17"/>
        <v>55.356999999999999</v>
      </c>
      <c r="D70" s="4">
        <f t="shared" si="18"/>
        <v>66.349999999999994</v>
      </c>
      <c r="E70" s="4">
        <f t="shared" si="19"/>
        <v>67.114000000000004</v>
      </c>
      <c r="F70" s="4">
        <f t="shared" si="20"/>
        <v>1.7569999999999979</v>
      </c>
      <c r="G70" s="4">
        <f t="shared" si="21"/>
        <v>0</v>
      </c>
      <c r="H70" s="4">
        <f t="shared" si="22"/>
        <v>10.992999999999995</v>
      </c>
      <c r="I70" s="5">
        <v>53.6</v>
      </c>
      <c r="J70" s="5">
        <v>55.356999999999999</v>
      </c>
      <c r="K70" s="5"/>
      <c r="L70" s="5"/>
      <c r="M70" s="5">
        <v>66.349999999999994</v>
      </c>
      <c r="N70" s="5">
        <v>67.114000000000004</v>
      </c>
      <c r="O70" s="5"/>
      <c r="P70" s="5"/>
      <c r="Q70" s="10">
        <f t="shared" si="23"/>
        <v>0.76400000000001</v>
      </c>
    </row>
    <row r="71" spans="1:17" x14ac:dyDescent="0.35">
      <c r="A71" s="6">
        <v>1918</v>
      </c>
      <c r="B71" s="7">
        <f t="shared" si="16"/>
        <v>54.533999999999999</v>
      </c>
      <c r="C71" s="7">
        <f t="shared" si="17"/>
        <v>55.825000000000003</v>
      </c>
      <c r="D71" s="7">
        <f t="shared" si="18"/>
        <v>65.781000000000006</v>
      </c>
      <c r="E71" s="7">
        <f t="shared" si="19"/>
        <v>66.602000000000004</v>
      </c>
      <c r="F71" s="7">
        <f t="shared" si="20"/>
        <v>1.2910000000000039</v>
      </c>
      <c r="G71" s="7">
        <f t="shared" si="21"/>
        <v>0</v>
      </c>
      <c r="H71" s="7">
        <f t="shared" si="22"/>
        <v>9.9560000000000031</v>
      </c>
      <c r="I71" s="8">
        <v>54.533999999999999</v>
      </c>
      <c r="J71" s="8">
        <v>55.825000000000003</v>
      </c>
      <c r="K71" s="8"/>
      <c r="L71" s="8"/>
      <c r="M71" s="8">
        <v>65.781000000000006</v>
      </c>
      <c r="N71" s="8">
        <v>66.602000000000004</v>
      </c>
      <c r="O71" s="8"/>
      <c r="P71" s="8"/>
      <c r="Q71" s="10">
        <f t="shared" si="23"/>
        <v>0.82099999999999795</v>
      </c>
    </row>
    <row r="72" spans="1:17" x14ac:dyDescent="0.35">
      <c r="A72" s="3">
        <v>1919</v>
      </c>
      <c r="B72" s="4">
        <f t="shared" si="16"/>
        <v>52.987000000000002</v>
      </c>
      <c r="C72" s="4">
        <f t="shared" si="17"/>
        <v>54.075000000000003</v>
      </c>
      <c r="D72" s="4">
        <f t="shared" si="18"/>
        <v>63.417000000000002</v>
      </c>
      <c r="E72" s="4">
        <f t="shared" si="19"/>
        <v>64.134</v>
      </c>
      <c r="F72" s="4">
        <f t="shared" si="20"/>
        <v>1.088000000000001</v>
      </c>
      <c r="G72" s="4">
        <f t="shared" si="21"/>
        <v>0</v>
      </c>
      <c r="H72" s="4">
        <f t="shared" si="22"/>
        <v>9.3419999999999987</v>
      </c>
      <c r="I72" s="5">
        <v>52.987000000000002</v>
      </c>
      <c r="J72" s="5">
        <v>54.075000000000003</v>
      </c>
      <c r="K72" s="5"/>
      <c r="L72" s="5"/>
      <c r="M72" s="5">
        <v>63.417000000000002</v>
      </c>
      <c r="N72" s="5">
        <v>64.134</v>
      </c>
      <c r="O72" s="5"/>
      <c r="P72" s="5"/>
      <c r="Q72" s="10">
        <f t="shared" si="23"/>
        <v>0.71699999999999875</v>
      </c>
    </row>
    <row r="73" spans="1:17" x14ac:dyDescent="0.35">
      <c r="A73" s="6">
        <v>1920</v>
      </c>
      <c r="B73" s="7">
        <f t="shared" si="16"/>
        <v>52.469000000000001</v>
      </c>
      <c r="C73" s="7">
        <f t="shared" si="17"/>
        <v>55.304000000000002</v>
      </c>
      <c r="D73" s="7">
        <f t="shared" si="18"/>
        <v>63.962000000000003</v>
      </c>
      <c r="E73" s="7">
        <f t="shared" si="19"/>
        <v>65.608999999999995</v>
      </c>
      <c r="F73" s="7">
        <f t="shared" si="20"/>
        <v>2.8350000000000009</v>
      </c>
      <c r="G73" s="7">
        <f t="shared" si="21"/>
        <v>0</v>
      </c>
      <c r="H73" s="7">
        <f t="shared" si="22"/>
        <v>8.6580000000000013</v>
      </c>
      <c r="I73" s="8">
        <v>52.469000000000001</v>
      </c>
      <c r="J73" s="8">
        <v>55.304000000000002</v>
      </c>
      <c r="K73" s="8"/>
      <c r="L73" s="8"/>
      <c r="M73" s="8">
        <v>63.962000000000003</v>
      </c>
      <c r="N73" s="8">
        <v>65.608999999999995</v>
      </c>
      <c r="O73" s="8"/>
      <c r="P73" s="8"/>
      <c r="Q73" s="10">
        <f t="shared" si="23"/>
        <v>1.6469999999999914</v>
      </c>
    </row>
    <row r="74" spans="1:17" x14ac:dyDescent="0.35">
      <c r="A74" s="3">
        <v>1921</v>
      </c>
      <c r="B74" s="4">
        <f t="shared" si="16"/>
        <v>49.36</v>
      </c>
      <c r="C74" s="4">
        <f t="shared" si="17"/>
        <v>51.276000000000003</v>
      </c>
      <c r="D74" s="4">
        <f t="shared" si="18"/>
        <v>61.673000000000002</v>
      </c>
      <c r="E74" s="4">
        <f t="shared" si="19"/>
        <v>62.036000000000001</v>
      </c>
      <c r="F74" s="4">
        <f t="shared" si="20"/>
        <v>1.9160000000000039</v>
      </c>
      <c r="G74" s="4">
        <f t="shared" si="21"/>
        <v>0</v>
      </c>
      <c r="H74" s="4">
        <f t="shared" si="22"/>
        <v>10.396999999999998</v>
      </c>
      <c r="I74" s="5">
        <v>49.36</v>
      </c>
      <c r="J74" s="5">
        <v>51.276000000000003</v>
      </c>
      <c r="K74" s="5"/>
      <c r="L74" s="5"/>
      <c r="M74" s="5">
        <v>61.673000000000002</v>
      </c>
      <c r="N74" s="5">
        <v>62.036000000000001</v>
      </c>
      <c r="O74" s="5"/>
      <c r="P74" s="5"/>
      <c r="Q74" s="10">
        <f t="shared" si="23"/>
        <v>0.36299999999999955</v>
      </c>
    </row>
    <row r="75" spans="1:17" x14ac:dyDescent="0.35">
      <c r="A75" s="6">
        <v>1922</v>
      </c>
      <c r="B75" s="7">
        <f t="shared" si="16"/>
        <v>49.838999999999999</v>
      </c>
      <c r="C75" s="7">
        <f t="shared" si="17"/>
        <v>51.276000000000003</v>
      </c>
      <c r="D75" s="7">
        <f t="shared" si="18"/>
        <v>61.938000000000002</v>
      </c>
      <c r="E75" s="7">
        <f t="shared" si="19"/>
        <v>62.02</v>
      </c>
      <c r="F75" s="7">
        <f t="shared" si="20"/>
        <v>1.4370000000000047</v>
      </c>
      <c r="G75" s="7">
        <f t="shared" si="21"/>
        <v>0</v>
      </c>
      <c r="H75" s="7">
        <f t="shared" si="22"/>
        <v>10.661999999999999</v>
      </c>
      <c r="I75" s="8">
        <v>49.838999999999999</v>
      </c>
      <c r="J75" s="8">
        <v>51.276000000000003</v>
      </c>
      <c r="K75" s="8"/>
      <c r="L75" s="8"/>
      <c r="M75" s="8">
        <v>62.02</v>
      </c>
      <c r="N75" s="8">
        <v>61.938000000000002</v>
      </c>
      <c r="O75" s="8"/>
      <c r="P75" s="8"/>
      <c r="Q75" s="10">
        <f t="shared" si="23"/>
        <v>8.2000000000000739E-2</v>
      </c>
    </row>
    <row r="76" spans="1:17" x14ac:dyDescent="0.35">
      <c r="A76" s="3">
        <v>1923</v>
      </c>
      <c r="B76" s="4">
        <f t="shared" si="16"/>
        <v>51.070999999999998</v>
      </c>
      <c r="C76" s="4">
        <f t="shared" si="17"/>
        <v>53.183999999999997</v>
      </c>
      <c r="D76" s="4">
        <f t="shared" si="18"/>
        <v>63</v>
      </c>
      <c r="E76" s="4">
        <f t="shared" si="19"/>
        <v>63.238999999999997</v>
      </c>
      <c r="F76" s="4">
        <f t="shared" si="20"/>
        <v>2.1129999999999995</v>
      </c>
      <c r="G76" s="4">
        <f t="shared" si="21"/>
        <v>0</v>
      </c>
      <c r="H76" s="4">
        <f t="shared" si="22"/>
        <v>9.8160000000000025</v>
      </c>
      <c r="I76" s="5">
        <v>51.070999999999998</v>
      </c>
      <c r="J76" s="5">
        <v>53.183999999999997</v>
      </c>
      <c r="K76" s="5"/>
      <c r="L76" s="5"/>
      <c r="M76" s="5">
        <v>63</v>
      </c>
      <c r="N76" s="5">
        <v>63.238999999999997</v>
      </c>
      <c r="O76" s="5"/>
      <c r="P76" s="5"/>
      <c r="Q76" s="10">
        <f t="shared" si="23"/>
        <v>0.23899999999999721</v>
      </c>
    </row>
    <row r="77" spans="1:17" x14ac:dyDescent="0.35">
      <c r="A77" s="6">
        <v>1924</v>
      </c>
      <c r="B77" s="7">
        <f t="shared" si="16"/>
        <v>50.889000000000003</v>
      </c>
      <c r="C77" s="7">
        <f t="shared" si="17"/>
        <v>52.457999999999998</v>
      </c>
      <c r="D77" s="7">
        <f t="shared" si="18"/>
        <v>62.424999999999997</v>
      </c>
      <c r="E77" s="7">
        <f t="shared" si="19"/>
        <v>62.713000000000001</v>
      </c>
      <c r="F77" s="7">
        <f t="shared" si="20"/>
        <v>1.5689999999999955</v>
      </c>
      <c r="G77" s="7">
        <f t="shared" si="21"/>
        <v>0</v>
      </c>
      <c r="H77" s="7">
        <f t="shared" si="22"/>
        <v>9.9669999999999987</v>
      </c>
      <c r="I77" s="8">
        <v>50.889000000000003</v>
      </c>
      <c r="J77" s="8">
        <v>52.457999999999998</v>
      </c>
      <c r="K77" s="8"/>
      <c r="L77" s="8"/>
      <c r="M77" s="8">
        <v>62.424999999999997</v>
      </c>
      <c r="N77" s="8">
        <v>62.713000000000001</v>
      </c>
      <c r="O77" s="8"/>
      <c r="P77" s="8"/>
      <c r="Q77" s="10">
        <f t="shared" si="23"/>
        <v>0.28800000000000381</v>
      </c>
    </row>
    <row r="78" spans="1:17" x14ac:dyDescent="0.35">
      <c r="A78" s="3">
        <v>1925</v>
      </c>
      <c r="B78" s="4">
        <f t="shared" si="16"/>
        <v>50.518999999999998</v>
      </c>
      <c r="C78" s="4">
        <f t="shared" si="17"/>
        <v>52.267000000000003</v>
      </c>
      <c r="D78" s="4">
        <f t="shared" si="18"/>
        <v>62.5</v>
      </c>
      <c r="E78" s="4">
        <f t="shared" si="19"/>
        <v>62.567</v>
      </c>
      <c r="F78" s="4">
        <f t="shared" si="20"/>
        <v>1.7480000000000047</v>
      </c>
      <c r="G78" s="4">
        <f t="shared" si="21"/>
        <v>0</v>
      </c>
      <c r="H78" s="4">
        <f t="shared" si="22"/>
        <v>10.232999999999997</v>
      </c>
      <c r="I78" s="5">
        <v>50.518999999999998</v>
      </c>
      <c r="J78" s="5">
        <v>52.267000000000003</v>
      </c>
      <c r="K78" s="5"/>
      <c r="L78" s="5"/>
      <c r="M78" s="5">
        <v>62.567</v>
      </c>
      <c r="N78" s="5">
        <v>62.5</v>
      </c>
      <c r="O78" s="5"/>
      <c r="P78" s="5"/>
      <c r="Q78" s="10">
        <f t="shared" si="23"/>
        <v>6.7000000000000171E-2</v>
      </c>
    </row>
    <row r="79" spans="1:17" x14ac:dyDescent="0.35">
      <c r="A79" s="6">
        <v>1926</v>
      </c>
      <c r="B79" s="7">
        <f t="shared" si="16"/>
        <v>49.613999999999997</v>
      </c>
      <c r="C79" s="7">
        <f t="shared" si="17"/>
        <v>51.165999999999997</v>
      </c>
      <c r="D79" s="7">
        <f t="shared" si="18"/>
        <v>62.048999999999999</v>
      </c>
      <c r="E79" s="7">
        <f t="shared" si="19"/>
        <v>62.148000000000003</v>
      </c>
      <c r="F79" s="7">
        <f t="shared" si="20"/>
        <v>1.5519999999999996</v>
      </c>
      <c r="G79" s="7">
        <f t="shared" si="21"/>
        <v>0</v>
      </c>
      <c r="H79" s="7">
        <f t="shared" si="22"/>
        <v>10.883000000000003</v>
      </c>
      <c r="I79" s="8">
        <v>49.613999999999997</v>
      </c>
      <c r="J79" s="8">
        <v>51.165999999999997</v>
      </c>
      <c r="K79" s="8"/>
      <c r="L79" s="8"/>
      <c r="M79" s="8">
        <v>62.148000000000003</v>
      </c>
      <c r="N79" s="8">
        <v>62.048999999999999</v>
      </c>
      <c r="O79" s="8"/>
      <c r="P79" s="8"/>
      <c r="Q79" s="10">
        <f t="shared" si="23"/>
        <v>9.9000000000003752E-2</v>
      </c>
    </row>
    <row r="80" spans="1:17" x14ac:dyDescent="0.35">
      <c r="A80" s="3">
        <v>1927</v>
      </c>
      <c r="B80" s="4">
        <f t="shared" si="16"/>
        <v>50.412999999999997</v>
      </c>
      <c r="C80" s="4">
        <f t="shared" si="17"/>
        <v>52.929000000000002</v>
      </c>
      <c r="D80" s="4">
        <f t="shared" si="18"/>
        <v>62.975000000000001</v>
      </c>
      <c r="E80" s="4">
        <f t="shared" si="19"/>
        <v>63.762999999999998</v>
      </c>
      <c r="F80" s="4">
        <f t="shared" si="20"/>
        <v>2.5160000000000053</v>
      </c>
      <c r="G80" s="4">
        <f t="shared" si="21"/>
        <v>0</v>
      </c>
      <c r="H80" s="4">
        <f t="shared" si="22"/>
        <v>10.045999999999999</v>
      </c>
      <c r="I80" s="5">
        <v>50.412999999999997</v>
      </c>
      <c r="J80" s="5">
        <v>52.929000000000002</v>
      </c>
      <c r="K80" s="5"/>
      <c r="L80" s="5"/>
      <c r="M80" s="5">
        <v>62.975000000000001</v>
      </c>
      <c r="N80" s="5">
        <v>63.762999999999998</v>
      </c>
      <c r="O80" s="5"/>
      <c r="P80" s="5"/>
      <c r="Q80" s="10">
        <f t="shared" si="23"/>
        <v>0.7879999999999967</v>
      </c>
    </row>
    <row r="81" spans="1:17" x14ac:dyDescent="0.35">
      <c r="A81" s="6">
        <v>1928</v>
      </c>
      <c r="B81" s="7">
        <f t="shared" si="16"/>
        <v>49.725999999999999</v>
      </c>
      <c r="C81" s="7">
        <f t="shared" si="17"/>
        <v>52.246000000000002</v>
      </c>
      <c r="D81" s="7">
        <f t="shared" si="18"/>
        <v>62.459000000000003</v>
      </c>
      <c r="E81" s="7">
        <f t="shared" si="19"/>
        <v>63.316000000000003</v>
      </c>
      <c r="F81" s="7">
        <f t="shared" si="20"/>
        <v>2.5200000000000031</v>
      </c>
      <c r="G81" s="7">
        <f t="shared" si="21"/>
        <v>0</v>
      </c>
      <c r="H81" s="7">
        <f t="shared" si="22"/>
        <v>10.213000000000001</v>
      </c>
      <c r="I81" s="8">
        <v>49.725999999999999</v>
      </c>
      <c r="J81" s="8">
        <v>52.246000000000002</v>
      </c>
      <c r="K81" s="8"/>
      <c r="L81" s="8"/>
      <c r="M81" s="8">
        <v>62.459000000000003</v>
      </c>
      <c r="N81" s="8">
        <v>63.316000000000003</v>
      </c>
      <c r="O81" s="8"/>
      <c r="P81" s="8"/>
      <c r="Q81" s="10">
        <f t="shared" si="23"/>
        <v>0.85699999999999932</v>
      </c>
    </row>
    <row r="82" spans="1:17" x14ac:dyDescent="0.35">
      <c r="A82" s="3">
        <v>1929</v>
      </c>
      <c r="B82" s="4">
        <f t="shared" si="16"/>
        <v>50.213000000000001</v>
      </c>
      <c r="C82" s="4">
        <f t="shared" si="17"/>
        <v>53.432000000000002</v>
      </c>
      <c r="D82" s="4">
        <f t="shared" si="18"/>
        <v>63.334000000000003</v>
      </c>
      <c r="E82" s="4">
        <f t="shared" si="19"/>
        <v>64.38</v>
      </c>
      <c r="F82" s="4">
        <f t="shared" si="20"/>
        <v>3.2190000000000012</v>
      </c>
      <c r="G82" s="4">
        <f t="shared" si="21"/>
        <v>0</v>
      </c>
      <c r="H82" s="4">
        <f t="shared" si="22"/>
        <v>9.902000000000001</v>
      </c>
      <c r="I82" s="5">
        <v>50.213000000000001</v>
      </c>
      <c r="J82" s="5">
        <v>53.432000000000002</v>
      </c>
      <c r="K82" s="5"/>
      <c r="L82" s="5"/>
      <c r="M82" s="5">
        <v>63.334000000000003</v>
      </c>
      <c r="N82" s="5">
        <v>64.38</v>
      </c>
      <c r="O82" s="5"/>
      <c r="P82" s="5"/>
      <c r="Q82" s="10">
        <f t="shared" si="23"/>
        <v>1.0459999999999923</v>
      </c>
    </row>
    <row r="83" spans="1:17" x14ac:dyDescent="0.35">
      <c r="A83" s="6">
        <v>1930</v>
      </c>
      <c r="B83" s="7">
        <f t="shared" si="16"/>
        <v>47.533999999999999</v>
      </c>
      <c r="C83" s="7">
        <f t="shared" si="17"/>
        <v>52.548999999999999</v>
      </c>
      <c r="D83" s="7">
        <f t="shared" si="18"/>
        <v>62.44</v>
      </c>
      <c r="E83" s="7">
        <f t="shared" si="19"/>
        <v>63.838999999999999</v>
      </c>
      <c r="F83" s="7">
        <f t="shared" si="20"/>
        <v>5.0150000000000006</v>
      </c>
      <c r="G83" s="7">
        <f t="shared" si="21"/>
        <v>0</v>
      </c>
      <c r="H83" s="7">
        <f t="shared" si="22"/>
        <v>9.8909999999999982</v>
      </c>
      <c r="I83" s="8">
        <v>47.533999999999999</v>
      </c>
      <c r="J83" s="8">
        <v>52.548999999999999</v>
      </c>
      <c r="K83" s="8"/>
      <c r="L83" s="8"/>
      <c r="M83" s="8">
        <v>62.44</v>
      </c>
      <c r="N83" s="8">
        <v>63.838999999999999</v>
      </c>
      <c r="O83" s="8"/>
      <c r="P83" s="8"/>
      <c r="Q83" s="10">
        <f t="shared" si="23"/>
        <v>1.3990000000000009</v>
      </c>
    </row>
    <row r="84" spans="1:17" x14ac:dyDescent="0.35">
      <c r="A84" s="3">
        <v>1931</v>
      </c>
      <c r="B84" s="4">
        <f t="shared" si="16"/>
        <v>44.808</v>
      </c>
      <c r="C84" s="4">
        <f t="shared" si="17"/>
        <v>49.838999999999999</v>
      </c>
      <c r="D84" s="4">
        <f t="shared" si="18"/>
        <v>61.003</v>
      </c>
      <c r="E84" s="4">
        <f t="shared" si="19"/>
        <v>61.927999999999997</v>
      </c>
      <c r="F84" s="4">
        <f t="shared" si="20"/>
        <v>5.0309999999999988</v>
      </c>
      <c r="G84" s="4">
        <f t="shared" si="21"/>
        <v>0</v>
      </c>
      <c r="H84" s="4">
        <f t="shared" si="22"/>
        <v>11.164000000000001</v>
      </c>
      <c r="I84" s="5">
        <v>44.808</v>
      </c>
      <c r="J84" s="5">
        <v>49.838999999999999</v>
      </c>
      <c r="K84" s="5"/>
      <c r="L84" s="5"/>
      <c r="M84" s="5">
        <v>61.003</v>
      </c>
      <c r="N84" s="5">
        <v>61.927999999999997</v>
      </c>
      <c r="O84" s="5"/>
      <c r="P84" s="5"/>
      <c r="Q84" s="10">
        <f t="shared" si="23"/>
        <v>0.92499999999999716</v>
      </c>
    </row>
    <row r="85" spans="1:17" x14ac:dyDescent="0.35">
      <c r="A85" s="6">
        <v>1932</v>
      </c>
      <c r="B85" s="7">
        <f t="shared" si="16"/>
        <v>42.244</v>
      </c>
      <c r="C85" s="7">
        <f t="shared" si="17"/>
        <v>45.671999999999997</v>
      </c>
      <c r="D85" s="7">
        <f t="shared" si="18"/>
        <v>58.710999999999999</v>
      </c>
      <c r="E85" s="7">
        <f t="shared" si="19"/>
        <v>59.313000000000002</v>
      </c>
      <c r="F85" s="7">
        <f t="shared" si="20"/>
        <v>3.4279999999999973</v>
      </c>
      <c r="G85" s="7">
        <f t="shared" si="21"/>
        <v>0</v>
      </c>
      <c r="H85" s="7">
        <f t="shared" si="22"/>
        <v>13.039000000000001</v>
      </c>
      <c r="I85" s="8">
        <v>42.244</v>
      </c>
      <c r="J85" s="8">
        <v>45.671999999999997</v>
      </c>
      <c r="K85" s="8"/>
      <c r="L85" s="8"/>
      <c r="M85" s="8">
        <v>59.313000000000002</v>
      </c>
      <c r="N85" s="8">
        <v>58.710999999999999</v>
      </c>
      <c r="O85" s="8"/>
      <c r="P85" s="8"/>
      <c r="Q85" s="10">
        <f t="shared" si="23"/>
        <v>0.60200000000000387</v>
      </c>
    </row>
    <row r="86" spans="1:17" x14ac:dyDescent="0.35">
      <c r="A86" s="3">
        <v>1933</v>
      </c>
      <c r="B86" s="4">
        <f t="shared" si="16"/>
        <v>42.600999999999999</v>
      </c>
      <c r="C86" s="4">
        <f t="shared" si="17"/>
        <v>45.892000000000003</v>
      </c>
      <c r="D86" s="4">
        <f t="shared" si="18"/>
        <v>58.932000000000002</v>
      </c>
      <c r="E86" s="4">
        <f t="shared" si="19"/>
        <v>59.594000000000001</v>
      </c>
      <c r="F86" s="4">
        <f t="shared" si="20"/>
        <v>3.2910000000000039</v>
      </c>
      <c r="G86" s="4">
        <f t="shared" si="21"/>
        <v>0</v>
      </c>
      <c r="H86" s="4">
        <f t="shared" si="22"/>
        <v>13.04</v>
      </c>
      <c r="I86" s="5">
        <v>42.600999999999999</v>
      </c>
      <c r="J86" s="5">
        <v>45.892000000000003</v>
      </c>
      <c r="K86" s="5"/>
      <c r="L86" s="5"/>
      <c r="M86" s="5">
        <v>59.594000000000001</v>
      </c>
      <c r="N86" s="5">
        <v>58.932000000000002</v>
      </c>
      <c r="O86" s="5"/>
      <c r="P86" s="5"/>
      <c r="Q86" s="10">
        <f t="shared" si="23"/>
        <v>0.66199999999999903</v>
      </c>
    </row>
    <row r="87" spans="1:17" x14ac:dyDescent="0.35">
      <c r="A87" s="6">
        <v>1934</v>
      </c>
      <c r="B87" s="7">
        <f t="shared" si="16"/>
        <v>42.953000000000003</v>
      </c>
      <c r="C87" s="7">
        <f t="shared" si="17"/>
        <v>46.375999999999998</v>
      </c>
      <c r="D87" s="7">
        <f t="shared" si="18"/>
        <v>59.585999999999999</v>
      </c>
      <c r="E87" s="7">
        <f t="shared" si="19"/>
        <v>60.036000000000001</v>
      </c>
      <c r="F87" s="7">
        <f t="shared" si="20"/>
        <v>3.4229999999999947</v>
      </c>
      <c r="G87" s="7">
        <f t="shared" si="21"/>
        <v>0</v>
      </c>
      <c r="H87" s="7">
        <f t="shared" si="22"/>
        <v>13.21</v>
      </c>
      <c r="I87" s="8">
        <v>42.953000000000003</v>
      </c>
      <c r="J87" s="8">
        <v>46.375999999999998</v>
      </c>
      <c r="K87" s="8"/>
      <c r="L87" s="8"/>
      <c r="M87" s="8">
        <v>60.036000000000001</v>
      </c>
      <c r="N87" s="8">
        <v>59.585999999999999</v>
      </c>
      <c r="O87" s="8"/>
      <c r="P87" s="8"/>
      <c r="Q87" s="10">
        <f t="shared" si="23"/>
        <v>0.45000000000000284</v>
      </c>
    </row>
    <row r="88" spans="1:17" x14ac:dyDescent="0.35">
      <c r="A88" s="3">
        <v>1935</v>
      </c>
      <c r="B88" s="4">
        <f t="shared" si="16"/>
        <v>42.994</v>
      </c>
      <c r="C88" s="4">
        <f t="shared" si="17"/>
        <v>46.390999999999998</v>
      </c>
      <c r="D88" s="4">
        <f t="shared" si="18"/>
        <v>59.671999999999997</v>
      </c>
      <c r="E88" s="4">
        <f t="shared" si="19"/>
        <v>60.545000000000002</v>
      </c>
      <c r="F88" s="4">
        <f t="shared" si="20"/>
        <v>3.3969999999999985</v>
      </c>
      <c r="G88" s="4">
        <f t="shared" si="21"/>
        <v>0</v>
      </c>
      <c r="H88" s="4">
        <f t="shared" si="22"/>
        <v>13.280999999999999</v>
      </c>
      <c r="I88" s="5">
        <v>42.994</v>
      </c>
      <c r="J88" s="5">
        <v>46.390999999999998</v>
      </c>
      <c r="K88" s="5"/>
      <c r="L88" s="5"/>
      <c r="M88" s="5">
        <v>60.545000000000002</v>
      </c>
      <c r="N88" s="5">
        <v>59.671999999999997</v>
      </c>
      <c r="O88" s="5"/>
      <c r="P88" s="5"/>
      <c r="Q88" s="10">
        <f t="shared" si="23"/>
        <v>0.87300000000000466</v>
      </c>
    </row>
    <row r="89" spans="1:17" x14ac:dyDescent="0.35">
      <c r="A89" s="6">
        <v>1936</v>
      </c>
      <c r="B89" s="7">
        <f t="shared" si="16"/>
        <v>43.555999999999997</v>
      </c>
      <c r="C89" s="7">
        <f t="shared" si="17"/>
        <v>47.069000000000003</v>
      </c>
      <c r="D89" s="7">
        <f t="shared" si="18"/>
        <v>60.267000000000003</v>
      </c>
      <c r="E89" s="7">
        <f t="shared" si="19"/>
        <v>61.302999999999997</v>
      </c>
      <c r="F89" s="7">
        <f t="shared" si="20"/>
        <v>3.5130000000000052</v>
      </c>
      <c r="G89" s="7">
        <f t="shared" si="21"/>
        <v>0</v>
      </c>
      <c r="H89" s="7">
        <f t="shared" si="22"/>
        <v>13.198</v>
      </c>
      <c r="I89" s="8">
        <v>43.555999999999997</v>
      </c>
      <c r="J89" s="8">
        <v>47.069000000000003</v>
      </c>
      <c r="K89" s="8"/>
      <c r="L89" s="8"/>
      <c r="M89" s="8">
        <v>61.302999999999997</v>
      </c>
      <c r="N89" s="8">
        <v>60.267000000000003</v>
      </c>
      <c r="O89" s="8"/>
      <c r="P89" s="8"/>
      <c r="Q89" s="10">
        <f t="shared" si="23"/>
        <v>1.0359999999999943</v>
      </c>
    </row>
    <row r="90" spans="1:17" x14ac:dyDescent="0.35">
      <c r="A90" s="3">
        <v>1937</v>
      </c>
      <c r="B90" s="4">
        <f t="shared" si="16"/>
        <v>44.121000000000002</v>
      </c>
      <c r="C90" s="4">
        <f t="shared" si="17"/>
        <v>47.408999999999999</v>
      </c>
      <c r="D90" s="4">
        <f t="shared" si="18"/>
        <v>60.405999999999999</v>
      </c>
      <c r="E90" s="4">
        <f t="shared" si="19"/>
        <v>61.645000000000003</v>
      </c>
      <c r="F90" s="4">
        <f t="shared" si="20"/>
        <v>3.2879999999999967</v>
      </c>
      <c r="G90" s="4">
        <f t="shared" si="21"/>
        <v>0</v>
      </c>
      <c r="H90" s="4">
        <f t="shared" si="22"/>
        <v>12.997</v>
      </c>
      <c r="I90" s="5">
        <v>44.121000000000002</v>
      </c>
      <c r="J90" s="5">
        <v>47.408999999999999</v>
      </c>
      <c r="K90" s="5"/>
      <c r="L90" s="5"/>
      <c r="M90" s="5">
        <v>61.645000000000003</v>
      </c>
      <c r="N90" s="5">
        <v>60.405999999999999</v>
      </c>
      <c r="O90" s="5"/>
      <c r="P90" s="5"/>
      <c r="Q90" s="10">
        <f t="shared" si="23"/>
        <v>1.2390000000000043</v>
      </c>
    </row>
    <row r="91" spans="1:17" x14ac:dyDescent="0.35">
      <c r="A91" s="6">
        <v>1938</v>
      </c>
      <c r="B91" s="7">
        <f t="shared" si="16"/>
        <v>42.302</v>
      </c>
      <c r="C91" s="7">
        <f t="shared" si="17"/>
        <v>45.39</v>
      </c>
      <c r="D91" s="7">
        <f t="shared" si="18"/>
        <v>58.939</v>
      </c>
      <c r="E91" s="7">
        <f t="shared" si="19"/>
        <v>60.607999999999997</v>
      </c>
      <c r="F91" s="7">
        <f t="shared" si="20"/>
        <v>3.088000000000001</v>
      </c>
      <c r="G91" s="7">
        <f t="shared" si="21"/>
        <v>0</v>
      </c>
      <c r="H91" s="7">
        <f t="shared" si="22"/>
        <v>13.548999999999999</v>
      </c>
      <c r="I91" s="8">
        <v>42.302</v>
      </c>
      <c r="J91" s="8">
        <v>45.39</v>
      </c>
      <c r="K91" s="8"/>
      <c r="L91" s="8"/>
      <c r="M91" s="8">
        <v>60.607999999999997</v>
      </c>
      <c r="N91" s="8">
        <v>58.939</v>
      </c>
      <c r="O91" s="8"/>
      <c r="P91" s="8"/>
      <c r="Q91" s="10">
        <f t="shared" si="23"/>
        <v>1.6689999999999969</v>
      </c>
    </row>
    <row r="92" spans="1:17" x14ac:dyDescent="0.35">
      <c r="A92" s="3">
        <v>1939</v>
      </c>
      <c r="B92" s="4">
        <f t="shared" si="16"/>
        <v>42.994999999999997</v>
      </c>
      <c r="C92" s="4">
        <f t="shared" si="17"/>
        <v>46.165999999999997</v>
      </c>
      <c r="D92" s="4">
        <f t="shared" si="18"/>
        <v>59.3</v>
      </c>
      <c r="E92" s="4">
        <f t="shared" si="19"/>
        <v>60.966999999999999</v>
      </c>
      <c r="F92" s="4">
        <f t="shared" si="20"/>
        <v>3.1709999999999994</v>
      </c>
      <c r="G92" s="4">
        <f t="shared" si="21"/>
        <v>0</v>
      </c>
      <c r="H92" s="4">
        <f t="shared" si="22"/>
        <v>13.134</v>
      </c>
      <c r="I92" s="5">
        <v>42.994999999999997</v>
      </c>
      <c r="J92" s="5">
        <v>46.165999999999997</v>
      </c>
      <c r="K92" s="5"/>
      <c r="L92" s="5"/>
      <c r="M92" s="5">
        <v>60.966999999999999</v>
      </c>
      <c r="N92" s="5">
        <v>59.3</v>
      </c>
      <c r="O92" s="5"/>
      <c r="P92" s="5"/>
      <c r="Q92" s="10">
        <f t="shared" si="23"/>
        <v>1.6670000000000016</v>
      </c>
    </row>
    <row r="93" spans="1:17" x14ac:dyDescent="0.35">
      <c r="A93" s="6">
        <v>1940</v>
      </c>
      <c r="B93" s="7">
        <f t="shared" si="16"/>
        <v>42.725000000000001</v>
      </c>
      <c r="C93" s="7">
        <f t="shared" si="17"/>
        <v>45.610999999999997</v>
      </c>
      <c r="D93" s="7">
        <f t="shared" si="18"/>
        <v>59.298000000000002</v>
      </c>
      <c r="E93" s="7">
        <f t="shared" si="19"/>
        <v>60.07</v>
      </c>
      <c r="F93" s="7">
        <f t="shared" si="20"/>
        <v>2.8859999999999957</v>
      </c>
      <c r="G93" s="7">
        <f t="shared" si="21"/>
        <v>0</v>
      </c>
      <c r="H93" s="7">
        <f t="shared" si="22"/>
        <v>13.687000000000005</v>
      </c>
      <c r="I93" s="8">
        <v>42.725000000000001</v>
      </c>
      <c r="J93" s="8">
        <v>45.610999999999997</v>
      </c>
      <c r="K93" s="8"/>
      <c r="L93" s="8"/>
      <c r="M93" s="8">
        <v>59.298000000000002</v>
      </c>
      <c r="N93" s="8">
        <v>60.07</v>
      </c>
      <c r="O93" s="8"/>
      <c r="P93" s="8"/>
      <c r="Q93" s="10">
        <f t="shared" si="23"/>
        <v>0.77199999999999847</v>
      </c>
    </row>
    <row r="94" spans="1:17" x14ac:dyDescent="0.35">
      <c r="A94" s="3">
        <v>1941</v>
      </c>
      <c r="B94" s="4">
        <f t="shared" si="16"/>
        <v>43.180999999999997</v>
      </c>
      <c r="C94" s="4">
        <f t="shared" si="17"/>
        <v>46.679000000000002</v>
      </c>
      <c r="D94" s="4">
        <f t="shared" si="18"/>
        <v>58.085000000000001</v>
      </c>
      <c r="E94" s="4">
        <f t="shared" si="19"/>
        <v>59.987000000000002</v>
      </c>
      <c r="F94" s="4">
        <f t="shared" si="20"/>
        <v>3.4980000000000047</v>
      </c>
      <c r="G94" s="4">
        <f t="shared" si="21"/>
        <v>0</v>
      </c>
      <c r="H94" s="4">
        <f t="shared" si="22"/>
        <v>11.405999999999999</v>
      </c>
      <c r="I94" s="5">
        <v>43.180999999999997</v>
      </c>
      <c r="J94" s="5">
        <v>46.679000000000002</v>
      </c>
      <c r="K94" s="5"/>
      <c r="L94" s="5"/>
      <c r="M94" s="5">
        <v>58.085000000000001</v>
      </c>
      <c r="N94" s="5">
        <v>59.987000000000002</v>
      </c>
      <c r="O94" s="5"/>
      <c r="P94" s="5"/>
      <c r="Q94" s="10">
        <f t="shared" si="23"/>
        <v>1.902000000000001</v>
      </c>
    </row>
    <row r="95" spans="1:17" x14ac:dyDescent="0.35">
      <c r="A95" s="6">
        <v>1942</v>
      </c>
      <c r="B95" s="7">
        <f t="shared" si="16"/>
        <v>44.390999999999998</v>
      </c>
      <c r="C95" s="7">
        <f t="shared" si="17"/>
        <v>48.079000000000001</v>
      </c>
      <c r="D95" s="7">
        <f t="shared" si="18"/>
        <v>57.281999999999996</v>
      </c>
      <c r="E95" s="7">
        <f t="shared" si="19"/>
        <v>60.13</v>
      </c>
      <c r="F95" s="7">
        <f t="shared" si="20"/>
        <v>3.6880000000000024</v>
      </c>
      <c r="G95" s="7">
        <f t="shared" si="21"/>
        <v>0</v>
      </c>
      <c r="H95" s="7">
        <f t="shared" si="22"/>
        <v>9.2029999999999959</v>
      </c>
      <c r="I95" s="8">
        <v>44.390999999999998</v>
      </c>
      <c r="J95" s="8">
        <v>48.079000000000001</v>
      </c>
      <c r="K95" s="8"/>
      <c r="L95" s="8"/>
      <c r="M95" s="8">
        <v>57.281999999999996</v>
      </c>
      <c r="N95" s="8">
        <v>60.13</v>
      </c>
      <c r="O95" s="8"/>
      <c r="P95" s="8"/>
      <c r="Q95" s="10">
        <f t="shared" si="23"/>
        <v>2.8480000000000061</v>
      </c>
    </row>
    <row r="96" spans="1:17" x14ac:dyDescent="0.35">
      <c r="A96" s="3">
        <v>1943</v>
      </c>
      <c r="B96" s="4">
        <f t="shared" si="16"/>
        <v>44.42</v>
      </c>
      <c r="C96" s="4">
        <f t="shared" si="17"/>
        <v>47.368000000000002</v>
      </c>
      <c r="D96" s="4">
        <f t="shared" si="18"/>
        <v>56.862000000000002</v>
      </c>
      <c r="E96" s="4">
        <f t="shared" si="19"/>
        <v>59.857999999999997</v>
      </c>
      <c r="F96" s="4">
        <f t="shared" si="20"/>
        <v>2.9480000000000004</v>
      </c>
      <c r="G96" s="4">
        <f t="shared" si="21"/>
        <v>0</v>
      </c>
      <c r="H96" s="4">
        <f t="shared" si="22"/>
        <v>9.4939999999999998</v>
      </c>
      <c r="I96" s="5">
        <v>44.42</v>
      </c>
      <c r="J96" s="5">
        <v>47.368000000000002</v>
      </c>
      <c r="K96" s="5"/>
      <c r="L96" s="5"/>
      <c r="M96" s="5">
        <v>56.862000000000002</v>
      </c>
      <c r="N96" s="5">
        <v>59.857999999999997</v>
      </c>
      <c r="O96" s="5"/>
      <c r="P96" s="5"/>
      <c r="Q96" s="10">
        <f t="shared" si="23"/>
        <v>2.9959999999999951</v>
      </c>
    </row>
    <row r="97" spans="1:17" x14ac:dyDescent="0.35">
      <c r="A97" s="6">
        <v>1944</v>
      </c>
      <c r="B97" s="7">
        <f t="shared" si="16"/>
        <v>44.174999999999997</v>
      </c>
      <c r="C97" s="7">
        <f t="shared" si="17"/>
        <v>46.905000000000001</v>
      </c>
      <c r="D97" s="7">
        <f t="shared" si="18"/>
        <v>56.283000000000001</v>
      </c>
      <c r="E97" s="7">
        <f t="shared" si="19"/>
        <v>58.847000000000001</v>
      </c>
      <c r="F97" s="7">
        <f t="shared" si="20"/>
        <v>2.730000000000004</v>
      </c>
      <c r="G97" s="7">
        <f t="shared" si="21"/>
        <v>0</v>
      </c>
      <c r="H97" s="7">
        <f t="shared" si="22"/>
        <v>9.3780000000000001</v>
      </c>
      <c r="I97" s="8">
        <v>44.174999999999997</v>
      </c>
      <c r="J97" s="8">
        <v>46.905000000000001</v>
      </c>
      <c r="K97" s="8"/>
      <c r="L97" s="8"/>
      <c r="M97" s="8">
        <v>56.283000000000001</v>
      </c>
      <c r="N97" s="8">
        <v>58.847000000000001</v>
      </c>
      <c r="O97" s="8"/>
      <c r="P97" s="8"/>
      <c r="Q97" s="10">
        <f t="shared" si="23"/>
        <v>2.5640000000000001</v>
      </c>
    </row>
    <row r="98" spans="1:17" x14ac:dyDescent="0.35">
      <c r="A98" s="3">
        <v>1945</v>
      </c>
      <c r="B98" s="4">
        <f t="shared" si="16"/>
        <v>41.780999999999999</v>
      </c>
      <c r="C98" s="4">
        <f t="shared" si="17"/>
        <v>43.935000000000002</v>
      </c>
      <c r="D98" s="4">
        <f t="shared" si="18"/>
        <v>53.061999999999998</v>
      </c>
      <c r="E98" s="4">
        <f t="shared" si="19"/>
        <v>54.973999999999997</v>
      </c>
      <c r="F98" s="4">
        <f t="shared" si="20"/>
        <v>2.1540000000000035</v>
      </c>
      <c r="G98" s="4">
        <f t="shared" si="21"/>
        <v>0</v>
      </c>
      <c r="H98" s="4">
        <f t="shared" si="22"/>
        <v>9.1269999999999953</v>
      </c>
      <c r="I98" s="5">
        <v>41.780999999999999</v>
      </c>
      <c r="J98" s="5">
        <v>43.935000000000002</v>
      </c>
      <c r="K98" s="5"/>
      <c r="L98" s="5"/>
      <c r="M98" s="5">
        <v>53.061999999999998</v>
      </c>
      <c r="N98" s="5">
        <v>54.973999999999997</v>
      </c>
      <c r="O98" s="5"/>
      <c r="P98" s="5"/>
      <c r="Q98" s="10">
        <f t="shared" si="23"/>
        <v>1.911999999999999</v>
      </c>
    </row>
    <row r="99" spans="1:17" x14ac:dyDescent="0.35">
      <c r="A99" s="6">
        <v>1946</v>
      </c>
      <c r="B99" s="7">
        <f t="shared" ref="B99:B130" si="24">IFERROR(MIN(I99:L99),"")</f>
        <v>42.106999999999999</v>
      </c>
      <c r="C99" s="7">
        <f t="shared" ref="C99:C130" si="25">IFERROR(MAX(I99:L99),"")</f>
        <v>43.015000000000001</v>
      </c>
      <c r="D99" s="7">
        <f t="shared" ref="D99:D130" si="26">IFERROR(MIN(M99:P99),"")</f>
        <v>53.31</v>
      </c>
      <c r="E99" s="7">
        <f t="shared" ref="E99:E130" si="27">IFERROR(MAX(M99:P99),"")</f>
        <v>54.113999999999997</v>
      </c>
      <c r="F99" s="7">
        <f t="shared" ref="F99:F130" si="28">IFERROR(MIN(C99,D99)-B99,"")</f>
        <v>0.90800000000000125</v>
      </c>
      <c r="G99" s="7">
        <f t="shared" ref="G99:G130" si="29">IFERROR(MAX(0,C99-D99),"")</f>
        <v>0</v>
      </c>
      <c r="H99" s="7">
        <f t="shared" ref="H99:H130" si="30">IFERROR(MAX(0,D99-C99),"")</f>
        <v>10.295000000000002</v>
      </c>
      <c r="I99" s="8">
        <v>42.106999999999999</v>
      </c>
      <c r="J99" s="8">
        <v>43.015000000000001</v>
      </c>
      <c r="K99" s="8"/>
      <c r="L99" s="8"/>
      <c r="M99" s="8">
        <v>53.31</v>
      </c>
      <c r="N99" s="8">
        <v>54.113999999999997</v>
      </c>
      <c r="O99" s="8"/>
      <c r="P99" s="8"/>
      <c r="Q99" s="10">
        <f t="shared" ref="Q99:Q130" si="31">IFERROR(MAX(0,$E99-MAX($C99,$D99)),"")</f>
        <v>0.80399999999999494</v>
      </c>
    </row>
    <row r="100" spans="1:17" x14ac:dyDescent="0.35">
      <c r="A100" s="3">
        <v>1947</v>
      </c>
      <c r="B100" s="4">
        <f t="shared" si="24"/>
        <v>43.610999999999997</v>
      </c>
      <c r="C100" s="4">
        <f t="shared" si="25"/>
        <v>44.786000000000001</v>
      </c>
      <c r="D100" s="4">
        <f t="shared" si="26"/>
        <v>54.390999999999998</v>
      </c>
      <c r="E100" s="4">
        <f t="shared" si="27"/>
        <v>55.820999999999998</v>
      </c>
      <c r="F100" s="4">
        <f t="shared" si="28"/>
        <v>1.1750000000000043</v>
      </c>
      <c r="G100" s="4">
        <f t="shared" si="29"/>
        <v>0</v>
      </c>
      <c r="H100" s="4">
        <f t="shared" si="30"/>
        <v>9.6049999999999969</v>
      </c>
      <c r="I100" s="5">
        <v>43.610999999999997</v>
      </c>
      <c r="J100" s="5">
        <v>44.786000000000001</v>
      </c>
      <c r="K100" s="5"/>
      <c r="L100" s="5"/>
      <c r="M100" s="5">
        <v>54.390999999999998</v>
      </c>
      <c r="N100" s="5">
        <v>55.820999999999998</v>
      </c>
      <c r="O100" s="5"/>
      <c r="P100" s="5"/>
      <c r="Q100" s="10">
        <f t="shared" si="31"/>
        <v>1.4299999999999997</v>
      </c>
    </row>
    <row r="101" spans="1:17" x14ac:dyDescent="0.35">
      <c r="A101" s="6">
        <v>1948</v>
      </c>
      <c r="B101" s="7">
        <f t="shared" si="24"/>
        <v>44.533999999999999</v>
      </c>
      <c r="C101" s="7">
        <f t="shared" si="25"/>
        <v>45.402999999999999</v>
      </c>
      <c r="D101" s="7">
        <f t="shared" si="26"/>
        <v>54.963000000000001</v>
      </c>
      <c r="E101" s="7">
        <f t="shared" si="27"/>
        <v>56.43</v>
      </c>
      <c r="F101" s="7">
        <f t="shared" si="28"/>
        <v>0.86899999999999977</v>
      </c>
      <c r="G101" s="7">
        <f t="shared" si="29"/>
        <v>0</v>
      </c>
      <c r="H101" s="7">
        <f t="shared" si="30"/>
        <v>9.5600000000000023</v>
      </c>
      <c r="I101" s="8">
        <v>44.533999999999999</v>
      </c>
      <c r="J101" s="8">
        <v>45.402999999999999</v>
      </c>
      <c r="K101" s="8"/>
      <c r="L101" s="8"/>
      <c r="M101" s="8">
        <v>54.963000000000001</v>
      </c>
      <c r="N101" s="8">
        <v>56.43</v>
      </c>
      <c r="O101" s="8"/>
      <c r="P101" s="8"/>
      <c r="Q101" s="10">
        <f t="shared" si="31"/>
        <v>1.4669999999999987</v>
      </c>
    </row>
    <row r="102" spans="1:17" x14ac:dyDescent="0.35">
      <c r="A102" s="3">
        <v>1949</v>
      </c>
      <c r="B102" s="4">
        <f t="shared" si="24"/>
        <v>42.831000000000003</v>
      </c>
      <c r="C102" s="4">
        <f t="shared" si="25"/>
        <v>43.19</v>
      </c>
      <c r="D102" s="4">
        <f t="shared" si="26"/>
        <v>53.57</v>
      </c>
      <c r="E102" s="4">
        <f t="shared" si="27"/>
        <v>55.027999999999999</v>
      </c>
      <c r="F102" s="4">
        <f t="shared" si="28"/>
        <v>0.35899999999999466</v>
      </c>
      <c r="G102" s="4">
        <f t="shared" si="29"/>
        <v>0</v>
      </c>
      <c r="H102" s="4">
        <f t="shared" si="30"/>
        <v>10.380000000000003</v>
      </c>
      <c r="I102" s="5">
        <v>42.831000000000003</v>
      </c>
      <c r="J102" s="5">
        <v>43.19</v>
      </c>
      <c r="K102" s="5"/>
      <c r="L102" s="5"/>
      <c r="M102" s="5">
        <v>53.57</v>
      </c>
      <c r="N102" s="5">
        <v>55.027999999999999</v>
      </c>
      <c r="O102" s="5"/>
      <c r="P102" s="5"/>
      <c r="Q102" s="10">
        <f t="shared" si="31"/>
        <v>1.4579999999999984</v>
      </c>
    </row>
    <row r="103" spans="1:17" x14ac:dyDescent="0.35">
      <c r="A103" s="6">
        <v>1950</v>
      </c>
      <c r="B103" s="7">
        <f t="shared" si="24"/>
        <v>41.698</v>
      </c>
      <c r="C103" s="7">
        <f t="shared" si="25"/>
        <v>45.058</v>
      </c>
      <c r="D103" s="7">
        <f t="shared" si="26"/>
        <v>53.122999999999998</v>
      </c>
      <c r="E103" s="7">
        <f t="shared" si="27"/>
        <v>56.981999999999999</v>
      </c>
      <c r="F103" s="7">
        <f t="shared" si="28"/>
        <v>3.3599999999999994</v>
      </c>
      <c r="G103" s="7">
        <f t="shared" si="29"/>
        <v>0</v>
      </c>
      <c r="H103" s="7">
        <f t="shared" si="30"/>
        <v>8.0649999999999977</v>
      </c>
      <c r="I103" s="8">
        <v>41.698</v>
      </c>
      <c r="J103" s="8">
        <v>45.058</v>
      </c>
      <c r="K103" s="8"/>
      <c r="L103" s="8"/>
      <c r="M103" s="8">
        <v>53.122999999999998</v>
      </c>
      <c r="N103" s="8">
        <v>56.981999999999999</v>
      </c>
      <c r="O103" s="8"/>
      <c r="P103" s="8"/>
      <c r="Q103" s="10">
        <f t="shared" si="31"/>
        <v>3.8590000000000018</v>
      </c>
    </row>
    <row r="104" spans="1:17" x14ac:dyDescent="0.35">
      <c r="A104" s="3">
        <v>1951</v>
      </c>
      <c r="B104" s="4">
        <f t="shared" si="24"/>
        <v>40.817</v>
      </c>
      <c r="C104" s="4">
        <f t="shared" si="25"/>
        <v>44.366</v>
      </c>
      <c r="D104" s="4">
        <f t="shared" si="26"/>
        <v>52.731999999999999</v>
      </c>
      <c r="E104" s="4">
        <f t="shared" si="27"/>
        <v>58.113</v>
      </c>
      <c r="F104" s="4">
        <f t="shared" si="28"/>
        <v>3.5489999999999995</v>
      </c>
      <c r="G104" s="4">
        <f t="shared" si="29"/>
        <v>0</v>
      </c>
      <c r="H104" s="4">
        <f t="shared" si="30"/>
        <v>8.3659999999999997</v>
      </c>
      <c r="I104" s="5">
        <v>40.817</v>
      </c>
      <c r="J104" s="5">
        <v>44.366</v>
      </c>
      <c r="K104" s="5"/>
      <c r="L104" s="5"/>
      <c r="M104" s="5">
        <v>52.731999999999999</v>
      </c>
      <c r="N104" s="5">
        <v>58.113</v>
      </c>
      <c r="O104" s="5"/>
      <c r="P104" s="5"/>
      <c r="Q104" s="10">
        <f t="shared" si="31"/>
        <v>5.3810000000000002</v>
      </c>
    </row>
    <row r="105" spans="1:17" x14ac:dyDescent="0.35">
      <c r="A105" s="6">
        <v>1952</v>
      </c>
      <c r="B105" s="7">
        <f t="shared" si="24"/>
        <v>40.243000000000002</v>
      </c>
      <c r="C105" s="7">
        <f t="shared" si="25"/>
        <v>42.624000000000002</v>
      </c>
      <c r="D105" s="7">
        <f t="shared" si="26"/>
        <v>52.781999999999996</v>
      </c>
      <c r="E105" s="7">
        <f t="shared" si="27"/>
        <v>57.152999999999999</v>
      </c>
      <c r="F105" s="7">
        <f t="shared" si="28"/>
        <v>2.3810000000000002</v>
      </c>
      <c r="G105" s="7">
        <f t="shared" si="29"/>
        <v>0</v>
      </c>
      <c r="H105" s="7">
        <f t="shared" si="30"/>
        <v>10.157999999999994</v>
      </c>
      <c r="I105" s="8">
        <v>40.243000000000002</v>
      </c>
      <c r="J105" s="8">
        <v>42.624000000000002</v>
      </c>
      <c r="K105" s="8"/>
      <c r="L105" s="8"/>
      <c r="M105" s="8">
        <v>52.781999999999996</v>
      </c>
      <c r="N105" s="8">
        <v>57.152999999999999</v>
      </c>
      <c r="O105" s="8"/>
      <c r="P105" s="8"/>
      <c r="Q105" s="10">
        <f t="shared" si="31"/>
        <v>4.3710000000000022</v>
      </c>
    </row>
    <row r="106" spans="1:17" x14ac:dyDescent="0.35">
      <c r="A106" s="3">
        <v>1953</v>
      </c>
      <c r="B106" s="4">
        <f t="shared" si="24"/>
        <v>39.942</v>
      </c>
      <c r="C106" s="4">
        <f t="shared" si="25"/>
        <v>42.283999999999999</v>
      </c>
      <c r="D106" s="4">
        <f t="shared" si="26"/>
        <v>52.957000000000001</v>
      </c>
      <c r="E106" s="4">
        <f t="shared" si="27"/>
        <v>57.527000000000001</v>
      </c>
      <c r="F106" s="4">
        <f t="shared" si="28"/>
        <v>2.3419999999999987</v>
      </c>
      <c r="G106" s="4">
        <f t="shared" si="29"/>
        <v>0</v>
      </c>
      <c r="H106" s="4">
        <f t="shared" si="30"/>
        <v>10.673000000000002</v>
      </c>
      <c r="I106" s="5">
        <v>39.942</v>
      </c>
      <c r="J106" s="5">
        <v>42.283999999999999</v>
      </c>
      <c r="K106" s="5"/>
      <c r="L106" s="5"/>
      <c r="M106" s="5">
        <v>52.957000000000001</v>
      </c>
      <c r="N106" s="5">
        <v>57.527000000000001</v>
      </c>
      <c r="O106" s="5"/>
      <c r="P106" s="5"/>
      <c r="Q106" s="10">
        <f t="shared" si="31"/>
        <v>4.57</v>
      </c>
    </row>
    <row r="107" spans="1:17" x14ac:dyDescent="0.35">
      <c r="A107" s="6">
        <v>1954</v>
      </c>
      <c r="B107" s="7">
        <f t="shared" si="24"/>
        <v>38.511000000000003</v>
      </c>
      <c r="C107" s="7">
        <f t="shared" si="25"/>
        <v>41.225999999999999</v>
      </c>
      <c r="D107" s="7">
        <f t="shared" si="26"/>
        <v>52.01</v>
      </c>
      <c r="E107" s="7">
        <f t="shared" si="27"/>
        <v>57.134</v>
      </c>
      <c r="F107" s="7">
        <f t="shared" si="28"/>
        <v>2.7149999999999963</v>
      </c>
      <c r="G107" s="7">
        <f t="shared" si="29"/>
        <v>0</v>
      </c>
      <c r="H107" s="7">
        <f t="shared" si="30"/>
        <v>10.783999999999999</v>
      </c>
      <c r="I107" s="8">
        <v>38.511000000000003</v>
      </c>
      <c r="J107" s="8">
        <v>41.225999999999999</v>
      </c>
      <c r="K107" s="8"/>
      <c r="L107" s="8"/>
      <c r="M107" s="8">
        <v>52.01</v>
      </c>
      <c r="N107" s="8">
        <v>57.134</v>
      </c>
      <c r="O107" s="8"/>
      <c r="P107" s="8"/>
      <c r="Q107" s="10">
        <f t="shared" si="31"/>
        <v>5.1240000000000023</v>
      </c>
    </row>
    <row r="108" spans="1:17" x14ac:dyDescent="0.35">
      <c r="A108" s="3">
        <v>1955</v>
      </c>
      <c r="B108" s="4">
        <f t="shared" si="24"/>
        <v>38.793999999999997</v>
      </c>
      <c r="C108" s="4">
        <f t="shared" si="25"/>
        <v>41.371000000000002</v>
      </c>
      <c r="D108" s="4">
        <f t="shared" si="26"/>
        <v>52.637999999999998</v>
      </c>
      <c r="E108" s="4">
        <f t="shared" si="27"/>
        <v>57.661999999999999</v>
      </c>
      <c r="F108" s="4">
        <f t="shared" si="28"/>
        <v>2.5770000000000053</v>
      </c>
      <c r="G108" s="4">
        <f t="shared" si="29"/>
        <v>0</v>
      </c>
      <c r="H108" s="4">
        <f t="shared" si="30"/>
        <v>11.266999999999996</v>
      </c>
      <c r="I108" s="5">
        <v>38.793999999999997</v>
      </c>
      <c r="J108" s="5">
        <v>41.371000000000002</v>
      </c>
      <c r="K108" s="5"/>
      <c r="L108" s="5"/>
      <c r="M108" s="5">
        <v>52.637999999999998</v>
      </c>
      <c r="N108" s="5">
        <v>57.661999999999999</v>
      </c>
      <c r="O108" s="5"/>
      <c r="P108" s="5"/>
      <c r="Q108" s="10">
        <f t="shared" si="31"/>
        <v>5.0240000000000009</v>
      </c>
    </row>
    <row r="109" spans="1:17" x14ac:dyDescent="0.35">
      <c r="A109" s="6">
        <v>1956</v>
      </c>
      <c r="B109" s="7">
        <f t="shared" si="24"/>
        <v>39.021999999999998</v>
      </c>
      <c r="C109" s="7">
        <f t="shared" si="25"/>
        <v>41.503999999999998</v>
      </c>
      <c r="D109" s="7">
        <f t="shared" si="26"/>
        <v>53.234999999999999</v>
      </c>
      <c r="E109" s="7">
        <f t="shared" si="27"/>
        <v>58.231999999999999</v>
      </c>
      <c r="F109" s="7">
        <f t="shared" si="28"/>
        <v>2.4819999999999993</v>
      </c>
      <c r="G109" s="7">
        <f t="shared" si="29"/>
        <v>0</v>
      </c>
      <c r="H109" s="7">
        <f t="shared" si="30"/>
        <v>11.731000000000002</v>
      </c>
      <c r="I109" s="8">
        <v>39.021999999999998</v>
      </c>
      <c r="J109" s="8">
        <v>41.503999999999998</v>
      </c>
      <c r="K109" s="8"/>
      <c r="L109" s="8"/>
      <c r="M109" s="8">
        <v>53.234999999999999</v>
      </c>
      <c r="N109" s="8">
        <v>58.231999999999999</v>
      </c>
      <c r="O109" s="8"/>
      <c r="P109" s="8"/>
      <c r="Q109" s="10">
        <f t="shared" si="31"/>
        <v>4.9969999999999999</v>
      </c>
    </row>
    <row r="110" spans="1:17" x14ac:dyDescent="0.35">
      <c r="A110" s="3">
        <v>1957</v>
      </c>
      <c r="B110" s="4">
        <f t="shared" si="24"/>
        <v>38.200000000000003</v>
      </c>
      <c r="C110" s="4">
        <f t="shared" si="25"/>
        <v>40.661000000000001</v>
      </c>
      <c r="D110" s="4">
        <f t="shared" si="26"/>
        <v>52.856999999999999</v>
      </c>
      <c r="E110" s="4">
        <f t="shared" si="27"/>
        <v>58.165999999999997</v>
      </c>
      <c r="F110" s="4">
        <f t="shared" si="28"/>
        <v>2.4609999999999985</v>
      </c>
      <c r="G110" s="4">
        <f t="shared" si="29"/>
        <v>0</v>
      </c>
      <c r="H110" s="4">
        <f t="shared" si="30"/>
        <v>12.195999999999998</v>
      </c>
      <c r="I110" s="5">
        <v>38.200000000000003</v>
      </c>
      <c r="J110" s="5">
        <v>40.661000000000001</v>
      </c>
      <c r="K110" s="5"/>
      <c r="L110" s="5"/>
      <c r="M110" s="5">
        <v>52.856999999999999</v>
      </c>
      <c r="N110" s="5">
        <v>58.165999999999997</v>
      </c>
      <c r="O110" s="5"/>
      <c r="P110" s="5"/>
      <c r="Q110" s="10">
        <f t="shared" si="31"/>
        <v>5.3089999999999975</v>
      </c>
    </row>
    <row r="111" spans="1:17" x14ac:dyDescent="0.35">
      <c r="A111" s="6">
        <v>1958</v>
      </c>
      <c r="B111" s="7">
        <f t="shared" si="24"/>
        <v>36.973999999999997</v>
      </c>
      <c r="C111" s="7">
        <f t="shared" si="25"/>
        <v>39.53</v>
      </c>
      <c r="D111" s="7">
        <f t="shared" si="26"/>
        <v>52.051000000000002</v>
      </c>
      <c r="E111" s="7">
        <f t="shared" si="27"/>
        <v>57.496000000000002</v>
      </c>
      <c r="F111" s="7">
        <f t="shared" si="28"/>
        <v>2.5560000000000045</v>
      </c>
      <c r="G111" s="7">
        <f t="shared" si="29"/>
        <v>0</v>
      </c>
      <c r="H111" s="7">
        <f t="shared" si="30"/>
        <v>12.521000000000001</v>
      </c>
      <c r="I111" s="8">
        <v>36.973999999999997</v>
      </c>
      <c r="J111" s="8">
        <v>39.53</v>
      </c>
      <c r="K111" s="8"/>
      <c r="L111" s="8"/>
      <c r="M111" s="8">
        <v>52.051000000000002</v>
      </c>
      <c r="N111" s="8">
        <v>57.496000000000002</v>
      </c>
      <c r="O111" s="8"/>
      <c r="P111" s="8"/>
      <c r="Q111" s="10">
        <f t="shared" si="31"/>
        <v>5.4450000000000003</v>
      </c>
    </row>
    <row r="112" spans="1:17" x14ac:dyDescent="0.35">
      <c r="A112" s="3">
        <v>1959</v>
      </c>
      <c r="B112" s="4">
        <f t="shared" si="24"/>
        <v>35.530999999999999</v>
      </c>
      <c r="C112" s="4">
        <f t="shared" si="25"/>
        <v>39.173000000000002</v>
      </c>
      <c r="D112" s="4">
        <f t="shared" si="26"/>
        <v>51.631999999999998</v>
      </c>
      <c r="E112" s="4">
        <f t="shared" si="27"/>
        <v>56.28</v>
      </c>
      <c r="F112" s="4">
        <f t="shared" si="28"/>
        <v>3.642000000000003</v>
      </c>
      <c r="G112" s="4">
        <f t="shared" si="29"/>
        <v>0</v>
      </c>
      <c r="H112" s="4">
        <f t="shared" si="30"/>
        <v>12.458999999999996</v>
      </c>
      <c r="I112" s="5">
        <v>35.530999999999999</v>
      </c>
      <c r="J112" s="5">
        <v>39.173000000000002</v>
      </c>
      <c r="K112" s="5"/>
      <c r="L112" s="5"/>
      <c r="M112" s="5">
        <v>51.631999999999998</v>
      </c>
      <c r="N112" s="5">
        <v>56.28</v>
      </c>
      <c r="O112" s="5"/>
      <c r="P112" s="5"/>
      <c r="Q112" s="10">
        <f t="shared" si="31"/>
        <v>4.6480000000000032</v>
      </c>
    </row>
    <row r="113" spans="1:17" x14ac:dyDescent="0.35">
      <c r="A113" s="6">
        <v>1960</v>
      </c>
      <c r="B113" s="7">
        <f t="shared" si="24"/>
        <v>37.359000000000002</v>
      </c>
      <c r="C113" s="7">
        <f t="shared" si="25"/>
        <v>39.606000000000002</v>
      </c>
      <c r="D113" s="7">
        <f t="shared" si="26"/>
        <v>53.048000000000002</v>
      </c>
      <c r="E113" s="7">
        <f t="shared" si="27"/>
        <v>56.72</v>
      </c>
      <c r="F113" s="7">
        <f t="shared" si="28"/>
        <v>2.2469999999999999</v>
      </c>
      <c r="G113" s="7">
        <f t="shared" si="29"/>
        <v>0</v>
      </c>
      <c r="H113" s="7">
        <f t="shared" si="30"/>
        <v>13.442</v>
      </c>
      <c r="I113" s="8">
        <v>37.359000000000002</v>
      </c>
      <c r="J113" s="8">
        <v>39.606000000000002</v>
      </c>
      <c r="K113" s="8"/>
      <c r="L113" s="8"/>
      <c r="M113" s="8">
        <v>53.048000000000002</v>
      </c>
      <c r="N113" s="8">
        <v>56.72</v>
      </c>
      <c r="O113" s="8"/>
      <c r="P113" s="8"/>
      <c r="Q113" s="10">
        <f t="shared" si="31"/>
        <v>3.671999999999997</v>
      </c>
    </row>
    <row r="114" spans="1:17" x14ac:dyDescent="0.35">
      <c r="A114" s="3">
        <v>1961</v>
      </c>
      <c r="B114" s="4">
        <f t="shared" si="24"/>
        <v>37.460999999999999</v>
      </c>
      <c r="C114" s="4">
        <f t="shared" si="25"/>
        <v>39.463000000000001</v>
      </c>
      <c r="D114" s="4">
        <f t="shared" si="26"/>
        <v>53.430999999999997</v>
      </c>
      <c r="E114" s="4">
        <f t="shared" si="27"/>
        <v>56.569000000000003</v>
      </c>
      <c r="F114" s="4">
        <f t="shared" si="28"/>
        <v>2.0020000000000024</v>
      </c>
      <c r="G114" s="4">
        <f t="shared" si="29"/>
        <v>0</v>
      </c>
      <c r="H114" s="4">
        <f t="shared" si="30"/>
        <v>13.967999999999996</v>
      </c>
      <c r="I114" s="5">
        <v>37.460999999999999</v>
      </c>
      <c r="J114" s="5">
        <v>39.463000000000001</v>
      </c>
      <c r="K114" s="5"/>
      <c r="L114" s="5"/>
      <c r="M114" s="5">
        <v>53.430999999999997</v>
      </c>
      <c r="N114" s="5">
        <v>56.569000000000003</v>
      </c>
      <c r="O114" s="5"/>
      <c r="P114" s="5"/>
      <c r="Q114" s="10">
        <f t="shared" si="31"/>
        <v>3.1380000000000052</v>
      </c>
    </row>
    <row r="115" spans="1:17" x14ac:dyDescent="0.35">
      <c r="A115" s="6">
        <v>1962</v>
      </c>
      <c r="B115" s="7">
        <f t="shared" si="24"/>
        <v>39.093000000000004</v>
      </c>
      <c r="C115" s="7">
        <f t="shared" si="25"/>
        <v>40.317999999999998</v>
      </c>
      <c r="D115" s="7">
        <f t="shared" si="26"/>
        <v>54.381999999999998</v>
      </c>
      <c r="E115" s="7">
        <f t="shared" si="27"/>
        <v>57.628999999999998</v>
      </c>
      <c r="F115" s="7">
        <f t="shared" si="28"/>
        <v>1.2249999999999943</v>
      </c>
      <c r="G115" s="7">
        <f t="shared" si="29"/>
        <v>0</v>
      </c>
      <c r="H115" s="7">
        <f t="shared" si="30"/>
        <v>14.064</v>
      </c>
      <c r="I115" s="8">
        <v>39.093000000000004</v>
      </c>
      <c r="J115" s="8">
        <v>40.317999999999998</v>
      </c>
      <c r="K115" s="8"/>
      <c r="L115" s="8"/>
      <c r="M115" s="8">
        <v>54.381999999999998</v>
      </c>
      <c r="N115" s="8">
        <v>57.628999999999998</v>
      </c>
      <c r="O115" s="8"/>
      <c r="P115" s="8"/>
      <c r="Q115" s="10">
        <f t="shared" si="31"/>
        <v>3.2469999999999999</v>
      </c>
    </row>
    <row r="116" spans="1:17" x14ac:dyDescent="0.35">
      <c r="A116" s="3">
        <v>1963</v>
      </c>
      <c r="B116" s="4">
        <f t="shared" si="24"/>
        <v>39.46</v>
      </c>
      <c r="C116" s="4">
        <f t="shared" si="25"/>
        <v>40.738999999999997</v>
      </c>
      <c r="D116" s="4">
        <f t="shared" si="26"/>
        <v>55.042000000000002</v>
      </c>
      <c r="E116" s="4">
        <f t="shared" si="27"/>
        <v>58.155000000000001</v>
      </c>
      <c r="F116" s="4">
        <f t="shared" si="28"/>
        <v>1.2789999999999964</v>
      </c>
      <c r="G116" s="4">
        <f t="shared" si="29"/>
        <v>0</v>
      </c>
      <c r="H116" s="4">
        <f t="shared" si="30"/>
        <v>14.303000000000004</v>
      </c>
      <c r="I116" s="5">
        <v>39.46</v>
      </c>
      <c r="J116" s="5">
        <v>40.738999999999997</v>
      </c>
      <c r="K116" s="5"/>
      <c r="L116" s="5"/>
      <c r="M116" s="5">
        <v>55.042000000000002</v>
      </c>
      <c r="N116" s="5">
        <v>58.155000000000001</v>
      </c>
      <c r="O116" s="5"/>
      <c r="P116" s="5"/>
      <c r="Q116" s="10">
        <f t="shared" si="31"/>
        <v>3.1129999999999995</v>
      </c>
    </row>
    <row r="117" spans="1:17" x14ac:dyDescent="0.35">
      <c r="A117" s="6">
        <v>1964</v>
      </c>
      <c r="B117" s="7">
        <f t="shared" si="24"/>
        <v>40.237000000000002</v>
      </c>
      <c r="C117" s="7">
        <f t="shared" si="25"/>
        <v>41.042000000000002</v>
      </c>
      <c r="D117" s="7">
        <f t="shared" si="26"/>
        <v>55.860999999999997</v>
      </c>
      <c r="E117" s="7">
        <f t="shared" si="27"/>
        <v>58.551000000000002</v>
      </c>
      <c r="F117" s="7">
        <f t="shared" si="28"/>
        <v>0.80499999999999972</v>
      </c>
      <c r="G117" s="7">
        <f t="shared" si="29"/>
        <v>0</v>
      </c>
      <c r="H117" s="7">
        <f t="shared" si="30"/>
        <v>14.818999999999996</v>
      </c>
      <c r="I117" s="8">
        <v>40.237000000000002</v>
      </c>
      <c r="J117" s="8">
        <v>41.042000000000002</v>
      </c>
      <c r="K117" s="8"/>
      <c r="L117" s="8"/>
      <c r="M117" s="8">
        <v>55.860999999999997</v>
      </c>
      <c r="N117" s="8">
        <v>58.551000000000002</v>
      </c>
      <c r="O117" s="8"/>
      <c r="P117" s="8"/>
      <c r="Q117" s="10">
        <f t="shared" si="31"/>
        <v>2.6900000000000048</v>
      </c>
    </row>
    <row r="118" spans="1:17" x14ac:dyDescent="0.35">
      <c r="A118" s="3">
        <v>1965</v>
      </c>
      <c r="B118" s="4">
        <f t="shared" si="24"/>
        <v>40.747999999999998</v>
      </c>
      <c r="C118" s="4">
        <f t="shared" si="25"/>
        <v>41.042000000000002</v>
      </c>
      <c r="D118" s="4">
        <f t="shared" si="26"/>
        <v>56.430999999999997</v>
      </c>
      <c r="E118" s="4">
        <f t="shared" si="27"/>
        <v>58.508000000000003</v>
      </c>
      <c r="F118" s="4">
        <f t="shared" si="28"/>
        <v>0.29400000000000404</v>
      </c>
      <c r="G118" s="4">
        <f t="shared" si="29"/>
        <v>0</v>
      </c>
      <c r="H118" s="4">
        <f t="shared" si="30"/>
        <v>15.388999999999996</v>
      </c>
      <c r="I118" s="5">
        <v>40.747999999999998</v>
      </c>
      <c r="J118" s="5">
        <v>41.042000000000002</v>
      </c>
      <c r="K118" s="5"/>
      <c r="L118" s="5"/>
      <c r="M118" s="5">
        <v>56.430999999999997</v>
      </c>
      <c r="N118" s="5">
        <v>58.508000000000003</v>
      </c>
      <c r="O118" s="5"/>
      <c r="P118" s="5"/>
      <c r="Q118" s="10">
        <f t="shared" si="31"/>
        <v>2.0770000000000053</v>
      </c>
    </row>
    <row r="119" spans="1:17" x14ac:dyDescent="0.35">
      <c r="A119" s="6">
        <v>1966</v>
      </c>
      <c r="B119" s="7">
        <f t="shared" si="24"/>
        <v>41.213000000000001</v>
      </c>
      <c r="C119" s="7">
        <f t="shared" si="25"/>
        <v>41.314</v>
      </c>
      <c r="D119" s="7">
        <f t="shared" si="26"/>
        <v>56.947000000000003</v>
      </c>
      <c r="E119" s="7">
        <f t="shared" si="27"/>
        <v>58.595999999999997</v>
      </c>
      <c r="F119" s="7">
        <f t="shared" si="28"/>
        <v>0.10099999999999909</v>
      </c>
      <c r="G119" s="7">
        <f t="shared" si="29"/>
        <v>0</v>
      </c>
      <c r="H119" s="7">
        <f t="shared" si="30"/>
        <v>15.633000000000003</v>
      </c>
      <c r="I119" s="8">
        <v>41.213000000000001</v>
      </c>
      <c r="J119" s="8">
        <v>41.314</v>
      </c>
      <c r="K119" s="8"/>
      <c r="L119" s="8"/>
      <c r="M119" s="8">
        <v>56.947000000000003</v>
      </c>
      <c r="N119" s="8">
        <v>58.595999999999997</v>
      </c>
      <c r="O119" s="8"/>
      <c r="P119" s="8"/>
      <c r="Q119" s="10">
        <f t="shared" si="31"/>
        <v>1.6489999999999938</v>
      </c>
    </row>
    <row r="120" spans="1:17" x14ac:dyDescent="0.35">
      <c r="A120" s="3">
        <v>1967</v>
      </c>
      <c r="B120" s="4">
        <f t="shared" si="24"/>
        <v>41.959000000000003</v>
      </c>
      <c r="C120" s="4">
        <f t="shared" si="25"/>
        <v>43.043999999999997</v>
      </c>
      <c r="D120" s="4">
        <f t="shared" si="26"/>
        <v>58.823999999999998</v>
      </c>
      <c r="E120" s="4">
        <f t="shared" si="27"/>
        <v>59.283999999999999</v>
      </c>
      <c r="F120" s="4">
        <f t="shared" si="28"/>
        <v>1.0849999999999937</v>
      </c>
      <c r="G120" s="4">
        <f t="shared" si="29"/>
        <v>0</v>
      </c>
      <c r="H120" s="4">
        <f t="shared" si="30"/>
        <v>15.780000000000001</v>
      </c>
      <c r="I120" s="5">
        <v>43.043999999999997</v>
      </c>
      <c r="J120" s="5">
        <v>41.959000000000003</v>
      </c>
      <c r="K120" s="5"/>
      <c r="L120" s="5"/>
      <c r="M120" s="5">
        <v>58.823999999999998</v>
      </c>
      <c r="N120" s="5">
        <v>59.283999999999999</v>
      </c>
      <c r="O120" s="5"/>
      <c r="P120" s="5"/>
      <c r="Q120" s="10">
        <f t="shared" si="31"/>
        <v>0.46000000000000085</v>
      </c>
    </row>
    <row r="121" spans="1:17" x14ac:dyDescent="0.35">
      <c r="A121" s="6">
        <v>1968</v>
      </c>
      <c r="B121" s="7">
        <f t="shared" si="24"/>
        <v>42.811</v>
      </c>
      <c r="C121" s="7">
        <f t="shared" si="25"/>
        <v>43.734999999999999</v>
      </c>
      <c r="D121" s="7">
        <f t="shared" si="26"/>
        <v>59.664000000000001</v>
      </c>
      <c r="E121" s="7">
        <f t="shared" si="27"/>
        <v>59.991</v>
      </c>
      <c r="F121" s="7">
        <f t="shared" si="28"/>
        <v>0.92399999999999949</v>
      </c>
      <c r="G121" s="7">
        <f t="shared" si="29"/>
        <v>0</v>
      </c>
      <c r="H121" s="7">
        <f t="shared" si="30"/>
        <v>15.929000000000002</v>
      </c>
      <c r="I121" s="8">
        <v>43.734999999999999</v>
      </c>
      <c r="J121" s="8">
        <v>42.811</v>
      </c>
      <c r="K121" s="8"/>
      <c r="L121" s="8"/>
      <c r="M121" s="8">
        <v>59.664000000000001</v>
      </c>
      <c r="N121" s="8">
        <v>59.991</v>
      </c>
      <c r="O121" s="8"/>
      <c r="P121" s="8"/>
      <c r="Q121" s="10">
        <f t="shared" si="31"/>
        <v>0.32699999999999818</v>
      </c>
    </row>
    <row r="122" spans="1:17" x14ac:dyDescent="0.35">
      <c r="A122" s="3">
        <v>1969</v>
      </c>
      <c r="B122" s="4">
        <f t="shared" si="24"/>
        <v>41.905999999999999</v>
      </c>
      <c r="C122" s="4">
        <f t="shared" si="25"/>
        <v>43.326999999999998</v>
      </c>
      <c r="D122" s="4">
        <f t="shared" si="26"/>
        <v>57.162999999999997</v>
      </c>
      <c r="E122" s="4">
        <f t="shared" si="27"/>
        <v>60.198999999999998</v>
      </c>
      <c r="F122" s="4">
        <f t="shared" si="28"/>
        <v>1.4209999999999994</v>
      </c>
      <c r="G122" s="4">
        <f t="shared" si="29"/>
        <v>0</v>
      </c>
      <c r="H122" s="4">
        <f t="shared" si="30"/>
        <v>13.835999999999999</v>
      </c>
      <c r="I122" s="5">
        <v>41.905999999999999</v>
      </c>
      <c r="J122" s="5">
        <v>43.326999999999998</v>
      </c>
      <c r="K122" s="5"/>
      <c r="L122" s="5"/>
      <c r="M122" s="5">
        <v>57.162999999999997</v>
      </c>
      <c r="N122" s="5">
        <v>60.198999999999998</v>
      </c>
      <c r="O122" s="5"/>
      <c r="P122" s="5"/>
      <c r="Q122" s="10">
        <f t="shared" si="31"/>
        <v>3.0360000000000014</v>
      </c>
    </row>
    <row r="123" spans="1:17" x14ac:dyDescent="0.35">
      <c r="A123" s="6">
        <v>1970</v>
      </c>
      <c r="B123" s="7">
        <f t="shared" si="24"/>
        <v>41.680999999999997</v>
      </c>
      <c r="C123" s="7">
        <f t="shared" si="25"/>
        <v>43.481000000000002</v>
      </c>
      <c r="D123" s="7">
        <f t="shared" si="26"/>
        <v>57.28</v>
      </c>
      <c r="E123" s="7">
        <f t="shared" si="27"/>
        <v>59.896999999999998</v>
      </c>
      <c r="F123" s="7">
        <f t="shared" si="28"/>
        <v>1.8000000000000043</v>
      </c>
      <c r="G123" s="7">
        <f t="shared" si="29"/>
        <v>0</v>
      </c>
      <c r="H123" s="7">
        <f t="shared" si="30"/>
        <v>13.798999999999999</v>
      </c>
      <c r="I123" s="8">
        <v>41.680999999999997</v>
      </c>
      <c r="J123" s="8">
        <v>43.481000000000002</v>
      </c>
      <c r="K123" s="8"/>
      <c r="L123" s="8"/>
      <c r="M123" s="8">
        <v>57.28</v>
      </c>
      <c r="N123" s="8">
        <v>59.896999999999998</v>
      </c>
      <c r="O123" s="8"/>
      <c r="P123" s="8"/>
      <c r="Q123" s="10">
        <f t="shared" si="31"/>
        <v>2.6169999999999973</v>
      </c>
    </row>
    <row r="124" spans="1:17" x14ac:dyDescent="0.35">
      <c r="A124" s="3">
        <v>1971</v>
      </c>
      <c r="B124" s="4">
        <f t="shared" si="24"/>
        <v>42.124000000000002</v>
      </c>
      <c r="C124" s="4">
        <f t="shared" si="25"/>
        <v>43.110999999999997</v>
      </c>
      <c r="D124" s="4">
        <f t="shared" si="26"/>
        <v>57.76</v>
      </c>
      <c r="E124" s="4">
        <f t="shared" si="27"/>
        <v>59.859000000000002</v>
      </c>
      <c r="F124" s="4">
        <f t="shared" si="28"/>
        <v>0.98699999999999477</v>
      </c>
      <c r="G124" s="4">
        <f t="shared" si="29"/>
        <v>0</v>
      </c>
      <c r="H124" s="4">
        <f t="shared" si="30"/>
        <v>14.649000000000001</v>
      </c>
      <c r="I124" s="5">
        <v>42.124000000000002</v>
      </c>
      <c r="J124" s="5">
        <v>43.110999999999997</v>
      </c>
      <c r="K124" s="5"/>
      <c r="L124" s="5"/>
      <c r="M124" s="5">
        <v>57.76</v>
      </c>
      <c r="N124" s="5">
        <v>59.859000000000002</v>
      </c>
      <c r="O124" s="5"/>
      <c r="P124" s="5"/>
      <c r="Q124" s="10">
        <f t="shared" si="31"/>
        <v>2.0990000000000038</v>
      </c>
    </row>
    <row r="125" spans="1:17" x14ac:dyDescent="0.35">
      <c r="A125" s="6">
        <v>1972</v>
      </c>
      <c r="B125" s="7">
        <f t="shared" si="24"/>
        <v>41.482999999999997</v>
      </c>
      <c r="C125" s="7">
        <f t="shared" si="25"/>
        <v>43.484000000000002</v>
      </c>
      <c r="D125" s="7">
        <f t="shared" si="26"/>
        <v>56.991999999999997</v>
      </c>
      <c r="E125" s="7">
        <f t="shared" si="27"/>
        <v>60.293999999999997</v>
      </c>
      <c r="F125" s="7">
        <f t="shared" si="28"/>
        <v>2.0010000000000048</v>
      </c>
      <c r="G125" s="7">
        <f t="shared" si="29"/>
        <v>0</v>
      </c>
      <c r="H125" s="7">
        <f t="shared" si="30"/>
        <v>13.507999999999996</v>
      </c>
      <c r="I125" s="8">
        <v>41.482999999999997</v>
      </c>
      <c r="J125" s="8">
        <v>43.484000000000002</v>
      </c>
      <c r="K125" s="8"/>
      <c r="L125" s="8"/>
      <c r="M125" s="8">
        <v>56.991999999999997</v>
      </c>
      <c r="N125" s="8">
        <v>60.293999999999997</v>
      </c>
      <c r="O125" s="8"/>
      <c r="P125" s="8"/>
      <c r="Q125" s="10">
        <f t="shared" si="31"/>
        <v>3.3019999999999996</v>
      </c>
    </row>
    <row r="126" spans="1:17" x14ac:dyDescent="0.35">
      <c r="A126" s="3">
        <v>1973</v>
      </c>
      <c r="B126" s="4">
        <f t="shared" si="24"/>
        <v>41.731999999999999</v>
      </c>
      <c r="C126" s="4">
        <f t="shared" si="25"/>
        <v>43.494</v>
      </c>
      <c r="D126" s="4">
        <f t="shared" si="26"/>
        <v>57.445</v>
      </c>
      <c r="E126" s="4">
        <f t="shared" si="27"/>
        <v>60.161999999999999</v>
      </c>
      <c r="F126" s="4">
        <f t="shared" si="28"/>
        <v>1.7620000000000005</v>
      </c>
      <c r="G126" s="4">
        <f t="shared" si="29"/>
        <v>0</v>
      </c>
      <c r="H126" s="4">
        <f t="shared" si="30"/>
        <v>13.951000000000001</v>
      </c>
      <c r="I126" s="5">
        <v>41.731999999999999</v>
      </c>
      <c r="J126" s="5">
        <v>43.494</v>
      </c>
      <c r="K126" s="5"/>
      <c r="L126" s="5"/>
      <c r="M126" s="5">
        <v>57.445</v>
      </c>
      <c r="N126" s="5">
        <v>60.161999999999999</v>
      </c>
      <c r="O126" s="5"/>
      <c r="P126" s="5"/>
      <c r="Q126" s="10">
        <f t="shared" si="31"/>
        <v>2.7169999999999987</v>
      </c>
    </row>
    <row r="127" spans="1:17" x14ac:dyDescent="0.35">
      <c r="A127" s="6">
        <v>1974</v>
      </c>
      <c r="B127" s="7">
        <f t="shared" si="24"/>
        <v>40.896999999999998</v>
      </c>
      <c r="C127" s="7">
        <f t="shared" si="25"/>
        <v>42.604999999999997</v>
      </c>
      <c r="D127" s="7">
        <f t="shared" si="26"/>
        <v>57.036999999999999</v>
      </c>
      <c r="E127" s="7">
        <f t="shared" si="27"/>
        <v>59.594999999999999</v>
      </c>
      <c r="F127" s="7">
        <f t="shared" si="28"/>
        <v>1.7079999999999984</v>
      </c>
      <c r="G127" s="7">
        <f t="shared" si="29"/>
        <v>0</v>
      </c>
      <c r="H127" s="7">
        <f t="shared" si="30"/>
        <v>14.432000000000002</v>
      </c>
      <c r="I127" s="8">
        <v>40.896999999999998</v>
      </c>
      <c r="J127" s="8">
        <v>42.604999999999997</v>
      </c>
      <c r="K127" s="8"/>
      <c r="L127" s="8"/>
      <c r="M127" s="8">
        <v>57.036999999999999</v>
      </c>
      <c r="N127" s="8">
        <v>59.594999999999999</v>
      </c>
      <c r="O127" s="8"/>
      <c r="P127" s="8"/>
      <c r="Q127" s="10">
        <f t="shared" si="31"/>
        <v>2.5579999999999998</v>
      </c>
    </row>
    <row r="128" spans="1:17" x14ac:dyDescent="0.35">
      <c r="A128" s="3">
        <v>1975</v>
      </c>
      <c r="B128" s="4">
        <f t="shared" si="24"/>
        <v>39.804000000000002</v>
      </c>
      <c r="C128" s="4">
        <f t="shared" si="25"/>
        <v>41.128999999999998</v>
      </c>
      <c r="D128" s="4">
        <f t="shared" si="26"/>
        <v>56.491999999999997</v>
      </c>
      <c r="E128" s="4">
        <f t="shared" si="27"/>
        <v>58.652999999999999</v>
      </c>
      <c r="F128" s="4">
        <f t="shared" si="28"/>
        <v>1.3249999999999957</v>
      </c>
      <c r="G128" s="4">
        <f t="shared" si="29"/>
        <v>0</v>
      </c>
      <c r="H128" s="4">
        <f t="shared" si="30"/>
        <v>15.363</v>
      </c>
      <c r="I128" s="5">
        <v>39.804000000000002</v>
      </c>
      <c r="J128" s="5">
        <v>41.128999999999998</v>
      </c>
      <c r="K128" s="5"/>
      <c r="L128" s="5"/>
      <c r="M128" s="5">
        <v>56.491999999999997</v>
      </c>
      <c r="N128" s="5">
        <v>58.652999999999999</v>
      </c>
      <c r="O128" s="5"/>
      <c r="P128" s="5"/>
      <c r="Q128" s="10">
        <f t="shared" si="31"/>
        <v>2.1610000000000014</v>
      </c>
    </row>
    <row r="129" spans="1:17" x14ac:dyDescent="0.35">
      <c r="A129" s="6">
        <v>1976</v>
      </c>
      <c r="B129" s="7">
        <f t="shared" si="24"/>
        <v>40.201000000000001</v>
      </c>
      <c r="C129" s="7">
        <f t="shared" si="25"/>
        <v>41.387999999999998</v>
      </c>
      <c r="D129" s="7">
        <f t="shared" si="26"/>
        <v>57.054000000000002</v>
      </c>
      <c r="E129" s="7">
        <f t="shared" si="27"/>
        <v>58.767000000000003</v>
      </c>
      <c r="F129" s="7">
        <f t="shared" si="28"/>
        <v>1.1869999999999976</v>
      </c>
      <c r="G129" s="7">
        <f t="shared" si="29"/>
        <v>0</v>
      </c>
      <c r="H129" s="7">
        <f t="shared" si="30"/>
        <v>15.666000000000004</v>
      </c>
      <c r="I129" s="8">
        <v>40.201000000000001</v>
      </c>
      <c r="J129" s="8">
        <v>41.387999999999998</v>
      </c>
      <c r="K129" s="8"/>
      <c r="L129" s="8"/>
      <c r="M129" s="8">
        <v>57.054000000000002</v>
      </c>
      <c r="N129" s="8">
        <v>58.767000000000003</v>
      </c>
      <c r="O129" s="8"/>
      <c r="P129" s="8"/>
      <c r="Q129" s="10">
        <f t="shared" si="31"/>
        <v>1.713000000000001</v>
      </c>
    </row>
    <row r="130" spans="1:17" x14ac:dyDescent="0.35">
      <c r="A130" s="3">
        <v>1977</v>
      </c>
      <c r="B130" s="4">
        <f t="shared" si="24"/>
        <v>39.491</v>
      </c>
      <c r="C130" s="4">
        <f t="shared" si="25"/>
        <v>40.878</v>
      </c>
      <c r="D130" s="4">
        <f t="shared" si="26"/>
        <v>56.145000000000003</v>
      </c>
      <c r="E130" s="4">
        <f t="shared" si="27"/>
        <v>58.319000000000003</v>
      </c>
      <c r="F130" s="4">
        <f t="shared" si="28"/>
        <v>1.3870000000000005</v>
      </c>
      <c r="G130" s="4">
        <f t="shared" si="29"/>
        <v>0</v>
      </c>
      <c r="H130" s="4">
        <f t="shared" si="30"/>
        <v>15.267000000000003</v>
      </c>
      <c r="I130" s="5">
        <v>39.491</v>
      </c>
      <c r="J130" s="5">
        <v>40.878</v>
      </c>
      <c r="K130" s="5"/>
      <c r="L130" s="5"/>
      <c r="M130" s="5">
        <v>56.145000000000003</v>
      </c>
      <c r="N130" s="5">
        <v>58.319000000000003</v>
      </c>
      <c r="O130" s="5"/>
      <c r="P130" s="5"/>
      <c r="Q130" s="10">
        <f t="shared" si="31"/>
        <v>2.1739999999999995</v>
      </c>
    </row>
    <row r="131" spans="1:17" x14ac:dyDescent="0.35">
      <c r="A131" s="6">
        <v>1978</v>
      </c>
      <c r="B131" s="7">
        <f t="shared" ref="B131:B162" si="32">IFERROR(MIN(I131:L131),"")</f>
        <v>38.915999999999997</v>
      </c>
      <c r="C131" s="7">
        <f t="shared" ref="C131:C162" si="33">IFERROR(MAX(I131:L131),"")</f>
        <v>40.701000000000001</v>
      </c>
      <c r="D131" s="7">
        <f t="shared" ref="D131:D162" si="34">IFERROR(MIN(M131:P131),"")</f>
        <v>55.753999999999998</v>
      </c>
      <c r="E131" s="7">
        <f t="shared" ref="E131:E162" si="35">IFERROR(MAX(M131:P131),"")</f>
        <v>58.171999999999997</v>
      </c>
      <c r="F131" s="7">
        <f t="shared" ref="F131:F162" si="36">IFERROR(MIN(C131,D131)-B131,"")</f>
        <v>1.7850000000000037</v>
      </c>
      <c r="G131" s="7">
        <f t="shared" ref="G131:G162" si="37">IFERROR(MAX(0,C131-D131),"")</f>
        <v>0</v>
      </c>
      <c r="H131" s="7">
        <f t="shared" ref="H131:H162" si="38">IFERROR(MAX(0,D131-C131),"")</f>
        <v>15.052999999999997</v>
      </c>
      <c r="I131" s="8">
        <v>38.915999999999997</v>
      </c>
      <c r="J131" s="8">
        <v>40.701000000000001</v>
      </c>
      <c r="K131" s="8"/>
      <c r="L131" s="8"/>
      <c r="M131" s="8">
        <v>55.753999999999998</v>
      </c>
      <c r="N131" s="8">
        <v>58.171999999999997</v>
      </c>
      <c r="O131" s="8"/>
      <c r="P131" s="8"/>
      <c r="Q131" s="10">
        <f t="shared" ref="Q131:Q162" si="39">IFERROR(MAX(0,$E131-MAX($C131,$D131)),"")</f>
        <v>2.4179999999999993</v>
      </c>
    </row>
    <row r="132" spans="1:17" x14ac:dyDescent="0.35">
      <c r="A132" s="3">
        <v>1979</v>
      </c>
      <c r="B132" s="4">
        <f t="shared" si="32"/>
        <v>39.758000000000003</v>
      </c>
      <c r="C132" s="4">
        <f t="shared" si="33"/>
        <v>40.86</v>
      </c>
      <c r="D132" s="4">
        <f t="shared" si="34"/>
        <v>56.56</v>
      </c>
      <c r="E132" s="4">
        <f t="shared" si="35"/>
        <v>58.091000000000001</v>
      </c>
      <c r="F132" s="4">
        <f t="shared" si="36"/>
        <v>1.1019999999999968</v>
      </c>
      <c r="G132" s="4">
        <f t="shared" si="37"/>
        <v>0</v>
      </c>
      <c r="H132" s="4">
        <f t="shared" si="38"/>
        <v>15.700000000000003</v>
      </c>
      <c r="I132" s="5">
        <v>39.758000000000003</v>
      </c>
      <c r="J132" s="5">
        <v>40.86</v>
      </c>
      <c r="K132" s="5"/>
      <c r="L132" s="5"/>
      <c r="M132" s="5">
        <v>56.56</v>
      </c>
      <c r="N132" s="5">
        <v>58.091000000000001</v>
      </c>
      <c r="O132" s="5"/>
      <c r="P132" s="5"/>
      <c r="Q132" s="10">
        <f t="shared" si="39"/>
        <v>1.5309999999999988</v>
      </c>
    </row>
    <row r="133" spans="1:17" x14ac:dyDescent="0.35">
      <c r="A133" s="6">
        <v>1980</v>
      </c>
      <c r="B133" s="7">
        <f t="shared" si="32"/>
        <v>38.950000000000003</v>
      </c>
      <c r="C133" s="7">
        <f t="shared" si="33"/>
        <v>40.098999999999997</v>
      </c>
      <c r="D133" s="7">
        <f t="shared" si="34"/>
        <v>56.515000000000001</v>
      </c>
      <c r="E133" s="7">
        <f t="shared" si="35"/>
        <v>57.866999999999997</v>
      </c>
      <c r="F133" s="7">
        <f t="shared" si="36"/>
        <v>1.1489999999999938</v>
      </c>
      <c r="G133" s="7">
        <f t="shared" si="37"/>
        <v>0</v>
      </c>
      <c r="H133" s="7">
        <f t="shared" si="38"/>
        <v>16.416000000000004</v>
      </c>
      <c r="I133" s="8">
        <v>38.950000000000003</v>
      </c>
      <c r="J133" s="8">
        <v>40.098999999999997</v>
      </c>
      <c r="K133" s="8"/>
      <c r="L133" s="8"/>
      <c r="M133" s="8">
        <v>56.515000000000001</v>
      </c>
      <c r="N133" s="8">
        <v>57.866999999999997</v>
      </c>
      <c r="O133" s="8"/>
      <c r="P133" s="8"/>
      <c r="Q133" s="10">
        <f t="shared" si="39"/>
        <v>1.3519999999999968</v>
      </c>
    </row>
    <row r="134" spans="1:17" x14ac:dyDescent="0.35">
      <c r="A134" s="3">
        <v>1981</v>
      </c>
      <c r="B134" s="4">
        <f t="shared" si="32"/>
        <v>38.573</v>
      </c>
      <c r="C134" s="4">
        <f t="shared" si="33"/>
        <v>39.515999999999998</v>
      </c>
      <c r="D134" s="4">
        <f t="shared" si="34"/>
        <v>55.811999999999998</v>
      </c>
      <c r="E134" s="4">
        <f t="shared" si="35"/>
        <v>57.137999999999998</v>
      </c>
      <c r="F134" s="4">
        <f t="shared" si="36"/>
        <v>0.94299999999999784</v>
      </c>
      <c r="G134" s="4">
        <f t="shared" si="37"/>
        <v>0</v>
      </c>
      <c r="H134" s="4">
        <f t="shared" si="38"/>
        <v>16.295999999999999</v>
      </c>
      <c r="I134" s="5">
        <v>38.573</v>
      </c>
      <c r="J134" s="5">
        <v>39.515999999999998</v>
      </c>
      <c r="K134" s="5"/>
      <c r="L134" s="5"/>
      <c r="M134" s="5">
        <v>55.811999999999998</v>
      </c>
      <c r="N134" s="5">
        <v>57.137999999999998</v>
      </c>
      <c r="O134" s="5"/>
      <c r="P134" s="5"/>
      <c r="Q134" s="10">
        <f t="shared" si="39"/>
        <v>1.3260000000000005</v>
      </c>
    </row>
    <row r="135" spans="1:17" x14ac:dyDescent="0.35">
      <c r="A135" s="6">
        <v>1982</v>
      </c>
      <c r="B135" s="7">
        <f t="shared" si="32"/>
        <v>37.384999999999998</v>
      </c>
      <c r="C135" s="7">
        <f t="shared" si="33"/>
        <v>37.485999999999997</v>
      </c>
      <c r="D135" s="7">
        <f t="shared" si="34"/>
        <v>54.948999999999998</v>
      </c>
      <c r="E135" s="7">
        <f t="shared" si="35"/>
        <v>55.247</v>
      </c>
      <c r="F135" s="7">
        <f t="shared" si="36"/>
        <v>0.10099999999999909</v>
      </c>
      <c r="G135" s="7">
        <f t="shared" si="37"/>
        <v>0</v>
      </c>
      <c r="H135" s="7">
        <f t="shared" si="38"/>
        <v>17.463000000000001</v>
      </c>
      <c r="I135" s="8">
        <v>37.485999999999997</v>
      </c>
      <c r="J135" s="8">
        <v>37.384999999999998</v>
      </c>
      <c r="K135" s="8"/>
      <c r="L135" s="8"/>
      <c r="M135" s="8">
        <v>55.247</v>
      </c>
      <c r="N135" s="8">
        <v>54.948999999999998</v>
      </c>
      <c r="O135" s="8"/>
      <c r="P135" s="8"/>
      <c r="Q135" s="10">
        <f t="shared" si="39"/>
        <v>0.29800000000000182</v>
      </c>
    </row>
    <row r="136" spans="1:17" x14ac:dyDescent="0.35">
      <c r="A136" s="3">
        <v>1983</v>
      </c>
      <c r="B136" s="4">
        <f t="shared" si="32"/>
        <v>36.686999999999998</v>
      </c>
      <c r="C136" s="4">
        <f t="shared" si="33"/>
        <v>36.793999999999997</v>
      </c>
      <c r="D136" s="4">
        <f t="shared" si="34"/>
        <v>54.198999999999998</v>
      </c>
      <c r="E136" s="4">
        <f t="shared" si="35"/>
        <v>54.454999999999998</v>
      </c>
      <c r="F136" s="4">
        <f t="shared" si="36"/>
        <v>0.10699999999999932</v>
      </c>
      <c r="G136" s="4">
        <f t="shared" si="37"/>
        <v>0</v>
      </c>
      <c r="H136" s="4">
        <f t="shared" si="38"/>
        <v>17.405000000000001</v>
      </c>
      <c r="I136" s="5">
        <v>36.793999999999997</v>
      </c>
      <c r="J136" s="5">
        <v>36.686999999999998</v>
      </c>
      <c r="K136" s="5"/>
      <c r="L136" s="5"/>
      <c r="M136" s="5">
        <v>54.454999999999998</v>
      </c>
      <c r="N136" s="5">
        <v>54.198999999999998</v>
      </c>
      <c r="O136" s="5"/>
      <c r="P136" s="5"/>
      <c r="Q136" s="10">
        <f t="shared" si="39"/>
        <v>0.25600000000000023</v>
      </c>
    </row>
    <row r="137" spans="1:17" x14ac:dyDescent="0.35">
      <c r="A137" s="6">
        <v>1984</v>
      </c>
      <c r="B137" s="7">
        <f t="shared" si="32"/>
        <v>36.085999999999999</v>
      </c>
      <c r="C137" s="7">
        <f t="shared" si="33"/>
        <v>36.472000000000001</v>
      </c>
      <c r="D137" s="7">
        <f t="shared" si="34"/>
        <v>53.332000000000001</v>
      </c>
      <c r="E137" s="7">
        <f t="shared" si="35"/>
        <v>53.725000000000001</v>
      </c>
      <c r="F137" s="7">
        <f t="shared" si="36"/>
        <v>0.38600000000000279</v>
      </c>
      <c r="G137" s="7">
        <f t="shared" si="37"/>
        <v>0</v>
      </c>
      <c r="H137" s="7">
        <f t="shared" si="38"/>
        <v>16.86</v>
      </c>
      <c r="I137" s="8">
        <v>36.085999999999999</v>
      </c>
      <c r="J137" s="8">
        <v>36.472000000000001</v>
      </c>
      <c r="K137" s="8"/>
      <c r="L137" s="8"/>
      <c r="M137" s="8">
        <v>53.332000000000001</v>
      </c>
      <c r="N137" s="8">
        <v>53.725000000000001</v>
      </c>
      <c r="O137" s="8"/>
      <c r="P137" s="8"/>
      <c r="Q137" s="10">
        <f t="shared" si="39"/>
        <v>0.39300000000000068</v>
      </c>
    </row>
    <row r="138" spans="1:17" x14ac:dyDescent="0.35">
      <c r="A138" s="3">
        <v>1985</v>
      </c>
      <c r="B138" s="4">
        <f t="shared" si="32"/>
        <v>35.069000000000003</v>
      </c>
      <c r="C138" s="4">
        <f t="shared" si="33"/>
        <v>35.789000000000001</v>
      </c>
      <c r="D138" s="4">
        <f t="shared" si="34"/>
        <v>52.595999999999997</v>
      </c>
      <c r="E138" s="4">
        <f t="shared" si="35"/>
        <v>53.360999999999997</v>
      </c>
      <c r="F138" s="4">
        <f t="shared" si="36"/>
        <v>0.71999999999999886</v>
      </c>
      <c r="G138" s="4">
        <f t="shared" si="37"/>
        <v>0</v>
      </c>
      <c r="H138" s="4">
        <f t="shared" si="38"/>
        <v>16.806999999999995</v>
      </c>
      <c r="I138" s="5">
        <v>35.069000000000003</v>
      </c>
      <c r="J138" s="5">
        <v>35.789000000000001</v>
      </c>
      <c r="K138" s="5"/>
      <c r="L138" s="5"/>
      <c r="M138" s="5">
        <v>52.595999999999997</v>
      </c>
      <c r="N138" s="5">
        <v>53.360999999999997</v>
      </c>
      <c r="O138" s="5"/>
      <c r="P138" s="5"/>
      <c r="Q138" s="10">
        <f t="shared" si="39"/>
        <v>0.76500000000000057</v>
      </c>
    </row>
    <row r="139" spans="1:17" x14ac:dyDescent="0.35">
      <c r="A139" s="6">
        <v>1986</v>
      </c>
      <c r="B139" s="7">
        <f t="shared" si="32"/>
        <v>34.219000000000001</v>
      </c>
      <c r="C139" s="7">
        <f t="shared" si="33"/>
        <v>35.234999999999999</v>
      </c>
      <c r="D139" s="7">
        <f t="shared" si="34"/>
        <v>51.567</v>
      </c>
      <c r="E139" s="7">
        <f t="shared" si="35"/>
        <v>52.793999999999997</v>
      </c>
      <c r="F139" s="7">
        <f t="shared" si="36"/>
        <v>1.0159999999999982</v>
      </c>
      <c r="G139" s="7">
        <f t="shared" si="37"/>
        <v>0</v>
      </c>
      <c r="H139" s="7">
        <f t="shared" si="38"/>
        <v>16.332000000000001</v>
      </c>
      <c r="I139" s="8">
        <v>34.219000000000001</v>
      </c>
      <c r="J139" s="8">
        <v>35.234999999999999</v>
      </c>
      <c r="K139" s="8"/>
      <c r="L139" s="8"/>
      <c r="M139" s="8">
        <v>51.567</v>
      </c>
      <c r="N139" s="8">
        <v>52.793999999999997</v>
      </c>
      <c r="O139" s="8"/>
      <c r="P139" s="8"/>
      <c r="Q139" s="10">
        <f t="shared" si="39"/>
        <v>1.2269999999999968</v>
      </c>
    </row>
    <row r="140" spans="1:17" x14ac:dyDescent="0.35">
      <c r="A140" s="3">
        <v>1987</v>
      </c>
      <c r="B140" s="4">
        <f t="shared" si="32"/>
        <v>34.563000000000002</v>
      </c>
      <c r="C140" s="4">
        <f t="shared" si="33"/>
        <v>35.179000000000002</v>
      </c>
      <c r="D140" s="4">
        <f t="shared" si="34"/>
        <v>51.804000000000002</v>
      </c>
      <c r="E140" s="4">
        <f t="shared" si="35"/>
        <v>52.491</v>
      </c>
      <c r="F140" s="4">
        <f t="shared" si="36"/>
        <v>0.61599999999999966</v>
      </c>
      <c r="G140" s="4">
        <f t="shared" si="37"/>
        <v>0</v>
      </c>
      <c r="H140" s="4">
        <f t="shared" si="38"/>
        <v>16.625</v>
      </c>
      <c r="I140" s="5">
        <v>34.563000000000002</v>
      </c>
      <c r="J140" s="5">
        <v>35.179000000000002</v>
      </c>
      <c r="K140" s="5"/>
      <c r="L140" s="5"/>
      <c r="M140" s="5">
        <v>51.804000000000002</v>
      </c>
      <c r="N140" s="5">
        <v>52.491</v>
      </c>
      <c r="O140" s="5"/>
      <c r="P140" s="5"/>
      <c r="Q140" s="10">
        <f t="shared" si="39"/>
        <v>0.68699999999999761</v>
      </c>
    </row>
    <row r="141" spans="1:17" x14ac:dyDescent="0.35">
      <c r="A141" s="6">
        <v>1988</v>
      </c>
      <c r="B141" s="7">
        <f t="shared" si="32"/>
        <v>34.880000000000003</v>
      </c>
      <c r="C141" s="7">
        <f t="shared" si="33"/>
        <v>35.253999999999998</v>
      </c>
      <c r="D141" s="7">
        <f t="shared" si="34"/>
        <v>51.917999999999999</v>
      </c>
      <c r="E141" s="7">
        <f t="shared" si="35"/>
        <v>52.139000000000003</v>
      </c>
      <c r="F141" s="7">
        <f t="shared" si="36"/>
        <v>0.37399999999999523</v>
      </c>
      <c r="G141" s="7">
        <f t="shared" si="37"/>
        <v>0</v>
      </c>
      <c r="H141" s="7">
        <f t="shared" si="38"/>
        <v>16.664000000000001</v>
      </c>
      <c r="I141" s="8">
        <v>34.880000000000003</v>
      </c>
      <c r="J141" s="8">
        <v>35.253999999999998</v>
      </c>
      <c r="K141" s="8"/>
      <c r="L141" s="8"/>
      <c r="M141" s="8">
        <v>51.917999999999999</v>
      </c>
      <c r="N141" s="8">
        <v>52.139000000000003</v>
      </c>
      <c r="O141" s="8"/>
      <c r="P141" s="8"/>
      <c r="Q141" s="10">
        <f t="shared" si="39"/>
        <v>0.22100000000000364</v>
      </c>
    </row>
    <row r="142" spans="1:17" x14ac:dyDescent="0.35">
      <c r="A142" s="3">
        <v>1989</v>
      </c>
      <c r="B142" s="4">
        <f t="shared" si="32"/>
        <v>35.207999999999998</v>
      </c>
      <c r="C142" s="4">
        <f t="shared" si="33"/>
        <v>35.341999999999999</v>
      </c>
      <c r="D142" s="4">
        <f t="shared" si="34"/>
        <v>51.667999999999999</v>
      </c>
      <c r="E142" s="4">
        <f t="shared" si="35"/>
        <v>51.692999999999998</v>
      </c>
      <c r="F142" s="4">
        <f t="shared" si="36"/>
        <v>0.13400000000000034</v>
      </c>
      <c r="G142" s="4">
        <f t="shared" si="37"/>
        <v>0</v>
      </c>
      <c r="H142" s="4">
        <f t="shared" si="38"/>
        <v>16.326000000000001</v>
      </c>
      <c r="I142" s="5">
        <v>35.207999999999998</v>
      </c>
      <c r="J142" s="5">
        <v>35.341999999999999</v>
      </c>
      <c r="K142" s="5"/>
      <c r="L142" s="5"/>
      <c r="M142" s="5">
        <v>51.692999999999998</v>
      </c>
      <c r="N142" s="5">
        <v>51.667999999999999</v>
      </c>
      <c r="O142" s="5"/>
      <c r="P142" s="5"/>
      <c r="Q142" s="10">
        <f t="shared" si="39"/>
        <v>2.4999999999998579E-2</v>
      </c>
    </row>
    <row r="143" spans="1:17" x14ac:dyDescent="0.35">
      <c r="A143" s="6">
        <v>1990</v>
      </c>
      <c r="B143" s="7">
        <f t="shared" si="32"/>
        <v>36.118000000000002</v>
      </c>
      <c r="C143" s="7">
        <f t="shared" si="33"/>
        <v>38.118000000000002</v>
      </c>
      <c r="D143" s="7">
        <f t="shared" si="34"/>
        <v>52.259</v>
      </c>
      <c r="E143" s="7">
        <f t="shared" si="35"/>
        <v>52.75</v>
      </c>
      <c r="F143" s="7">
        <f t="shared" si="36"/>
        <v>2</v>
      </c>
      <c r="G143" s="7">
        <f t="shared" si="37"/>
        <v>0</v>
      </c>
      <c r="H143" s="7">
        <f t="shared" si="38"/>
        <v>14.140999999999998</v>
      </c>
      <c r="I143" s="8">
        <v>36.118000000000002</v>
      </c>
      <c r="J143" s="8">
        <v>37.823</v>
      </c>
      <c r="K143" s="8">
        <v>38.118000000000002</v>
      </c>
      <c r="L143" s="8"/>
      <c r="M143" s="8">
        <v>52.475000000000001</v>
      </c>
      <c r="N143" s="8">
        <v>52.75</v>
      </c>
      <c r="O143" s="8">
        <v>52.259</v>
      </c>
      <c r="P143" s="8"/>
      <c r="Q143" s="10">
        <f t="shared" si="39"/>
        <v>0.49099999999999966</v>
      </c>
    </row>
    <row r="144" spans="1:17" x14ac:dyDescent="0.35">
      <c r="A144" s="3">
        <v>1991</v>
      </c>
      <c r="B144" s="4">
        <f t="shared" si="32"/>
        <v>35.615000000000002</v>
      </c>
      <c r="C144" s="4">
        <f t="shared" si="33"/>
        <v>37.786999999999999</v>
      </c>
      <c r="D144" s="4">
        <f t="shared" si="34"/>
        <v>50.487000000000002</v>
      </c>
      <c r="E144" s="4">
        <f t="shared" si="35"/>
        <v>51.399000000000001</v>
      </c>
      <c r="F144" s="4">
        <f t="shared" si="36"/>
        <v>2.171999999999997</v>
      </c>
      <c r="G144" s="4">
        <f t="shared" si="37"/>
        <v>0</v>
      </c>
      <c r="H144" s="4">
        <f t="shared" si="38"/>
        <v>12.700000000000003</v>
      </c>
      <c r="I144" s="5">
        <v>35.615000000000002</v>
      </c>
      <c r="J144" s="5">
        <v>37.326999999999998</v>
      </c>
      <c r="K144" s="5">
        <v>37.786999999999999</v>
      </c>
      <c r="L144" s="5"/>
      <c r="M144" s="5">
        <v>50.890999999999998</v>
      </c>
      <c r="N144" s="5">
        <v>50.487000000000002</v>
      </c>
      <c r="O144" s="5">
        <v>51.399000000000001</v>
      </c>
      <c r="P144" s="5"/>
      <c r="Q144" s="10">
        <f t="shared" si="39"/>
        <v>0.91199999999999903</v>
      </c>
    </row>
    <row r="145" spans="1:17" x14ac:dyDescent="0.35">
      <c r="A145" s="6">
        <v>1992</v>
      </c>
      <c r="B145" s="7">
        <f t="shared" si="32"/>
        <v>36.11</v>
      </c>
      <c r="C145" s="7">
        <f t="shared" si="33"/>
        <v>38.012999999999998</v>
      </c>
      <c r="D145" s="7">
        <f t="shared" si="34"/>
        <v>49.298000000000002</v>
      </c>
      <c r="E145" s="7">
        <f t="shared" si="35"/>
        <v>49.856999999999999</v>
      </c>
      <c r="F145" s="7">
        <f t="shared" si="36"/>
        <v>1.9029999999999987</v>
      </c>
      <c r="G145" s="7">
        <f t="shared" si="37"/>
        <v>0</v>
      </c>
      <c r="H145" s="7">
        <f t="shared" si="38"/>
        <v>11.285000000000004</v>
      </c>
      <c r="I145" s="8">
        <v>36.11</v>
      </c>
      <c r="J145" s="8">
        <v>38.012999999999998</v>
      </c>
      <c r="K145" s="8">
        <v>37.704999999999998</v>
      </c>
      <c r="L145" s="8"/>
      <c r="M145" s="8">
        <v>49.640999999999998</v>
      </c>
      <c r="N145" s="8">
        <v>49.298000000000002</v>
      </c>
      <c r="O145" s="8">
        <v>49.856999999999999</v>
      </c>
      <c r="P145" s="8"/>
      <c r="Q145" s="10">
        <f t="shared" si="39"/>
        <v>0.5589999999999975</v>
      </c>
    </row>
    <row r="146" spans="1:17" x14ac:dyDescent="0.35">
      <c r="A146" s="3">
        <v>1993</v>
      </c>
      <c r="B146" s="4">
        <f t="shared" si="32"/>
        <v>36.137999999999998</v>
      </c>
      <c r="C146" s="4">
        <f t="shared" si="33"/>
        <v>38.363999999999997</v>
      </c>
      <c r="D146" s="4">
        <f t="shared" si="34"/>
        <v>48.055</v>
      </c>
      <c r="E146" s="4">
        <f t="shared" si="35"/>
        <v>48.850999999999999</v>
      </c>
      <c r="F146" s="4">
        <f t="shared" si="36"/>
        <v>2.2259999999999991</v>
      </c>
      <c r="G146" s="4">
        <f t="shared" si="37"/>
        <v>0</v>
      </c>
      <c r="H146" s="4">
        <f t="shared" si="38"/>
        <v>9.6910000000000025</v>
      </c>
      <c r="I146" s="5">
        <v>36.137999999999998</v>
      </c>
      <c r="J146" s="5">
        <v>38.06</v>
      </c>
      <c r="K146" s="5">
        <v>38.363999999999997</v>
      </c>
      <c r="L146" s="5"/>
      <c r="M146" s="5">
        <v>48.850999999999999</v>
      </c>
      <c r="N146" s="5">
        <v>48.055</v>
      </c>
      <c r="O146" s="5">
        <v>48.529000000000003</v>
      </c>
      <c r="P146" s="5"/>
      <c r="Q146" s="10">
        <f t="shared" si="39"/>
        <v>0.79599999999999937</v>
      </c>
    </row>
    <row r="147" spans="1:17" x14ac:dyDescent="0.35">
      <c r="A147" s="6">
        <v>1994</v>
      </c>
      <c r="B147" s="7">
        <f t="shared" si="32"/>
        <v>35.374000000000002</v>
      </c>
      <c r="C147" s="7">
        <f t="shared" si="33"/>
        <v>41.673999999999999</v>
      </c>
      <c r="D147" s="7">
        <f t="shared" si="34"/>
        <v>46.473999999999997</v>
      </c>
      <c r="E147" s="7">
        <f t="shared" si="35"/>
        <v>50.387999999999998</v>
      </c>
      <c r="F147" s="7">
        <f t="shared" si="36"/>
        <v>6.2999999999999972</v>
      </c>
      <c r="G147" s="7">
        <f t="shared" si="37"/>
        <v>0</v>
      </c>
      <c r="H147" s="7">
        <f t="shared" si="38"/>
        <v>4.7999999999999972</v>
      </c>
      <c r="I147" s="8">
        <v>35.374000000000002</v>
      </c>
      <c r="J147" s="8">
        <v>41.673999999999999</v>
      </c>
      <c r="K147" s="8">
        <v>38.478999999999999</v>
      </c>
      <c r="L147" s="8"/>
      <c r="M147" s="8">
        <v>46.473999999999997</v>
      </c>
      <c r="N147" s="8">
        <v>50.387999999999998</v>
      </c>
      <c r="O147" s="8">
        <v>48.142000000000003</v>
      </c>
      <c r="P147" s="8"/>
      <c r="Q147" s="10">
        <f t="shared" si="39"/>
        <v>3.9140000000000015</v>
      </c>
    </row>
    <row r="148" spans="1:17" x14ac:dyDescent="0.35">
      <c r="A148" s="3">
        <v>1995</v>
      </c>
      <c r="B148" s="4">
        <f t="shared" si="32"/>
        <v>35.555999999999997</v>
      </c>
      <c r="C148" s="4">
        <f t="shared" si="33"/>
        <v>40.518999999999998</v>
      </c>
      <c r="D148" s="4">
        <f t="shared" si="34"/>
        <v>46.185000000000002</v>
      </c>
      <c r="E148" s="4">
        <f t="shared" si="35"/>
        <v>48.292999999999999</v>
      </c>
      <c r="F148" s="4">
        <f t="shared" si="36"/>
        <v>4.963000000000001</v>
      </c>
      <c r="G148" s="4">
        <f t="shared" si="37"/>
        <v>0</v>
      </c>
      <c r="H148" s="4">
        <f t="shared" si="38"/>
        <v>5.6660000000000039</v>
      </c>
      <c r="I148" s="5">
        <v>35.555999999999997</v>
      </c>
      <c r="J148" s="5">
        <v>40.518999999999998</v>
      </c>
      <c r="K148" s="5">
        <v>37.941000000000003</v>
      </c>
      <c r="L148" s="5"/>
      <c r="M148" s="5">
        <v>46.185000000000002</v>
      </c>
      <c r="N148" s="5">
        <v>48.292999999999999</v>
      </c>
      <c r="O148" s="5">
        <v>47.164000000000001</v>
      </c>
      <c r="P148" s="5"/>
      <c r="Q148" s="10">
        <f t="shared" si="39"/>
        <v>2.107999999999997</v>
      </c>
    </row>
    <row r="149" spans="1:17" x14ac:dyDescent="0.35">
      <c r="A149" s="6">
        <v>1996</v>
      </c>
      <c r="B149" s="7">
        <f t="shared" si="32"/>
        <v>35.357999999999997</v>
      </c>
      <c r="C149" s="7">
        <f t="shared" si="33"/>
        <v>40.951000000000001</v>
      </c>
      <c r="D149" s="7">
        <f t="shared" si="34"/>
        <v>46.01</v>
      </c>
      <c r="E149" s="7">
        <f t="shared" si="35"/>
        <v>49.276000000000003</v>
      </c>
      <c r="F149" s="7">
        <f t="shared" si="36"/>
        <v>5.5930000000000035</v>
      </c>
      <c r="G149" s="7">
        <f t="shared" si="37"/>
        <v>0</v>
      </c>
      <c r="H149" s="7">
        <f t="shared" si="38"/>
        <v>5.0589999999999975</v>
      </c>
      <c r="I149" s="8">
        <v>35.357999999999997</v>
      </c>
      <c r="J149" s="8">
        <v>40.951000000000001</v>
      </c>
      <c r="K149" s="8">
        <v>37.631</v>
      </c>
      <c r="L149" s="8"/>
      <c r="M149" s="8">
        <v>46.508000000000003</v>
      </c>
      <c r="N149" s="8">
        <v>49.276000000000003</v>
      </c>
      <c r="O149" s="8">
        <v>46.01</v>
      </c>
      <c r="P149" s="8"/>
      <c r="Q149" s="10">
        <f t="shared" si="39"/>
        <v>3.2660000000000053</v>
      </c>
    </row>
    <row r="150" spans="1:17" x14ac:dyDescent="0.35">
      <c r="A150" s="3">
        <v>1997</v>
      </c>
      <c r="B150" s="4">
        <f t="shared" si="32"/>
        <v>33.869</v>
      </c>
      <c r="C150" s="4">
        <f t="shared" si="33"/>
        <v>41.670999999999999</v>
      </c>
      <c r="D150" s="4">
        <f t="shared" si="34"/>
        <v>43.292999999999999</v>
      </c>
      <c r="E150" s="4">
        <f t="shared" si="35"/>
        <v>48.808999999999997</v>
      </c>
      <c r="F150" s="4">
        <f t="shared" si="36"/>
        <v>7.8019999999999996</v>
      </c>
      <c r="G150" s="4">
        <f t="shared" si="37"/>
        <v>0</v>
      </c>
      <c r="H150" s="4">
        <f t="shared" si="38"/>
        <v>1.6219999999999999</v>
      </c>
      <c r="I150" s="5">
        <v>33.869</v>
      </c>
      <c r="J150" s="5">
        <v>41.670999999999999</v>
      </c>
      <c r="K150" s="5">
        <v>38.731000000000002</v>
      </c>
      <c r="L150" s="5"/>
      <c r="M150" s="5">
        <v>43.292999999999999</v>
      </c>
      <c r="N150" s="5">
        <v>48.808999999999997</v>
      </c>
      <c r="O150" s="5">
        <v>46.481999999999999</v>
      </c>
      <c r="P150" s="5"/>
      <c r="Q150" s="10">
        <f t="shared" si="39"/>
        <v>5.5159999999999982</v>
      </c>
    </row>
    <row r="151" spans="1:17" x14ac:dyDescent="0.35">
      <c r="A151" s="6">
        <v>1998</v>
      </c>
      <c r="B151" s="7">
        <f t="shared" si="32"/>
        <v>35.252000000000002</v>
      </c>
      <c r="C151" s="7">
        <f t="shared" si="33"/>
        <v>40.96</v>
      </c>
      <c r="D151" s="7">
        <f t="shared" si="34"/>
        <v>44.795999999999999</v>
      </c>
      <c r="E151" s="7">
        <f t="shared" si="35"/>
        <v>48.533999999999999</v>
      </c>
      <c r="F151" s="7">
        <f t="shared" si="36"/>
        <v>5.7079999999999984</v>
      </c>
      <c r="G151" s="7">
        <f t="shared" si="37"/>
        <v>0</v>
      </c>
      <c r="H151" s="7">
        <f t="shared" si="38"/>
        <v>3.8359999999999985</v>
      </c>
      <c r="I151" s="8">
        <v>35.252000000000002</v>
      </c>
      <c r="J151" s="8">
        <v>40.96</v>
      </c>
      <c r="K151" s="8">
        <v>38.834000000000003</v>
      </c>
      <c r="L151" s="8"/>
      <c r="M151" s="8">
        <v>44.808999999999997</v>
      </c>
      <c r="N151" s="8">
        <v>48.533999999999999</v>
      </c>
      <c r="O151" s="8">
        <v>44.795999999999999</v>
      </c>
      <c r="P151" s="8"/>
      <c r="Q151" s="10">
        <f t="shared" si="39"/>
        <v>3.7379999999999995</v>
      </c>
    </row>
    <row r="152" spans="1:17" x14ac:dyDescent="0.35">
      <c r="A152" s="3">
        <v>1999</v>
      </c>
      <c r="B152" s="4">
        <f t="shared" si="32"/>
        <v>35.228000000000002</v>
      </c>
      <c r="C152" s="4">
        <f t="shared" si="33"/>
        <v>41.192</v>
      </c>
      <c r="D152" s="4">
        <f t="shared" si="34"/>
        <v>44.612000000000002</v>
      </c>
      <c r="E152" s="4">
        <f t="shared" si="35"/>
        <v>47.378</v>
      </c>
      <c r="F152" s="4">
        <f t="shared" si="36"/>
        <v>5.9639999999999986</v>
      </c>
      <c r="G152" s="4">
        <f t="shared" si="37"/>
        <v>0</v>
      </c>
      <c r="H152" s="4">
        <f t="shared" si="38"/>
        <v>3.4200000000000017</v>
      </c>
      <c r="I152" s="5">
        <v>35.228000000000002</v>
      </c>
      <c r="J152" s="5">
        <v>41.192</v>
      </c>
      <c r="K152" s="5">
        <v>37.973999999999997</v>
      </c>
      <c r="L152" s="5"/>
      <c r="M152" s="5">
        <v>44.612000000000002</v>
      </c>
      <c r="N152" s="5">
        <v>47.378</v>
      </c>
      <c r="O152" s="5">
        <v>45.186</v>
      </c>
      <c r="P152" s="5"/>
      <c r="Q152" s="10">
        <f t="shared" si="39"/>
        <v>2.7659999999999982</v>
      </c>
    </row>
    <row r="153" spans="1:17" x14ac:dyDescent="0.35">
      <c r="A153" s="6">
        <v>2000</v>
      </c>
      <c r="B153" s="7">
        <f t="shared" si="32"/>
        <v>35.779000000000003</v>
      </c>
      <c r="C153" s="7">
        <f t="shared" si="33"/>
        <v>41.886000000000003</v>
      </c>
      <c r="D153" s="7">
        <f t="shared" si="34"/>
        <v>44.787999999999997</v>
      </c>
      <c r="E153" s="7">
        <f t="shared" si="35"/>
        <v>48.316000000000003</v>
      </c>
      <c r="F153" s="7">
        <f t="shared" si="36"/>
        <v>6.1069999999999993</v>
      </c>
      <c r="G153" s="7">
        <f t="shared" si="37"/>
        <v>0</v>
      </c>
      <c r="H153" s="7">
        <f t="shared" si="38"/>
        <v>2.9019999999999939</v>
      </c>
      <c r="I153" s="8">
        <v>35.779000000000003</v>
      </c>
      <c r="J153" s="8">
        <v>41.886000000000003</v>
      </c>
      <c r="K153" s="8">
        <v>37.268999999999998</v>
      </c>
      <c r="L153" s="8"/>
      <c r="M153" s="8">
        <v>44.787999999999997</v>
      </c>
      <c r="N153" s="8">
        <v>48.316000000000003</v>
      </c>
      <c r="O153" s="8">
        <v>45.027000000000001</v>
      </c>
      <c r="P153" s="8"/>
      <c r="Q153" s="10">
        <f t="shared" si="39"/>
        <v>3.5280000000000058</v>
      </c>
    </row>
    <row r="154" spans="1:17" x14ac:dyDescent="0.35">
      <c r="A154" s="3">
        <v>2001</v>
      </c>
      <c r="B154" s="4">
        <f t="shared" si="32"/>
        <v>35.612000000000002</v>
      </c>
      <c r="C154" s="4">
        <f t="shared" si="33"/>
        <v>41.103999999999999</v>
      </c>
      <c r="D154" s="4">
        <f t="shared" si="34"/>
        <v>43.719000000000001</v>
      </c>
      <c r="E154" s="4">
        <f t="shared" si="35"/>
        <v>47.34</v>
      </c>
      <c r="F154" s="4">
        <f t="shared" si="36"/>
        <v>5.4919999999999973</v>
      </c>
      <c r="G154" s="4">
        <f t="shared" si="37"/>
        <v>0</v>
      </c>
      <c r="H154" s="4">
        <f t="shared" si="38"/>
        <v>2.615000000000002</v>
      </c>
      <c r="I154" s="5">
        <v>35.612000000000002</v>
      </c>
      <c r="J154" s="5">
        <v>41.103999999999999</v>
      </c>
      <c r="K154" s="5">
        <v>37.295000000000002</v>
      </c>
      <c r="L154" s="5"/>
      <c r="M154" s="5">
        <v>44.823999999999998</v>
      </c>
      <c r="N154" s="5">
        <v>47.34</v>
      </c>
      <c r="O154" s="5">
        <v>43.719000000000001</v>
      </c>
      <c r="P154" s="5"/>
      <c r="Q154" s="10">
        <f t="shared" si="39"/>
        <v>3.6210000000000022</v>
      </c>
    </row>
    <row r="155" spans="1:17" x14ac:dyDescent="0.35">
      <c r="A155" s="6">
        <v>2002</v>
      </c>
      <c r="B155" s="7">
        <f t="shared" si="32"/>
        <v>34.692</v>
      </c>
      <c r="C155" s="7">
        <f t="shared" si="33"/>
        <v>40.027000000000001</v>
      </c>
      <c r="D155" s="7">
        <f t="shared" si="34"/>
        <v>42.853999999999999</v>
      </c>
      <c r="E155" s="7">
        <f t="shared" si="35"/>
        <v>46.076999999999998</v>
      </c>
      <c r="F155" s="7">
        <f t="shared" si="36"/>
        <v>5.3350000000000009</v>
      </c>
      <c r="G155" s="7">
        <f t="shared" si="37"/>
        <v>0</v>
      </c>
      <c r="H155" s="7">
        <f t="shared" si="38"/>
        <v>2.8269999999999982</v>
      </c>
      <c r="I155" s="8">
        <v>34.692</v>
      </c>
      <c r="J155" s="8">
        <v>40.027000000000001</v>
      </c>
      <c r="K155" s="8">
        <v>37.154000000000003</v>
      </c>
      <c r="L155" s="8"/>
      <c r="M155" s="8">
        <v>43.462000000000003</v>
      </c>
      <c r="N155" s="8">
        <v>46.076999999999998</v>
      </c>
      <c r="O155" s="8">
        <v>42.853999999999999</v>
      </c>
      <c r="P155" s="8"/>
      <c r="Q155" s="10">
        <f t="shared" si="39"/>
        <v>3.222999999999999</v>
      </c>
    </row>
    <row r="156" spans="1:17" x14ac:dyDescent="0.35">
      <c r="A156" s="3">
        <v>2003</v>
      </c>
      <c r="B156" s="4">
        <f t="shared" si="32"/>
        <v>33.192</v>
      </c>
      <c r="C156" s="4">
        <f t="shared" si="33"/>
        <v>37.298000000000002</v>
      </c>
      <c r="D156" s="4">
        <f t="shared" si="34"/>
        <v>41.798999999999999</v>
      </c>
      <c r="E156" s="4">
        <f t="shared" si="35"/>
        <v>43.491999999999997</v>
      </c>
      <c r="F156" s="4">
        <f t="shared" si="36"/>
        <v>4.1060000000000016</v>
      </c>
      <c r="G156" s="4">
        <f t="shared" si="37"/>
        <v>0</v>
      </c>
      <c r="H156" s="4">
        <f t="shared" si="38"/>
        <v>4.5009999999999977</v>
      </c>
      <c r="I156" s="5">
        <v>33.192</v>
      </c>
      <c r="J156" s="5">
        <v>37.298000000000002</v>
      </c>
      <c r="K156" s="5">
        <v>35.256</v>
      </c>
      <c r="L156" s="5"/>
      <c r="M156" s="5">
        <v>41.805999999999997</v>
      </c>
      <c r="N156" s="5">
        <v>43.491999999999997</v>
      </c>
      <c r="O156" s="5">
        <v>41.798999999999999</v>
      </c>
      <c r="P156" s="5"/>
      <c r="Q156" s="10">
        <f t="shared" si="39"/>
        <v>1.6929999999999978</v>
      </c>
    </row>
    <row r="157" spans="1:17" x14ac:dyDescent="0.35">
      <c r="A157" s="6">
        <v>2004</v>
      </c>
      <c r="B157" s="7">
        <f t="shared" si="32"/>
        <v>33.200000000000003</v>
      </c>
      <c r="C157" s="7">
        <f t="shared" si="33"/>
        <v>36.125999999999998</v>
      </c>
      <c r="D157" s="7">
        <f t="shared" si="34"/>
        <v>39.642000000000003</v>
      </c>
      <c r="E157" s="7">
        <f t="shared" si="35"/>
        <v>41.738</v>
      </c>
      <c r="F157" s="7">
        <f t="shared" si="36"/>
        <v>2.9259999999999948</v>
      </c>
      <c r="G157" s="7">
        <f t="shared" si="37"/>
        <v>0</v>
      </c>
      <c r="H157" s="7">
        <f t="shared" si="38"/>
        <v>3.5160000000000053</v>
      </c>
      <c r="I157" s="8">
        <v>33.200000000000003</v>
      </c>
      <c r="J157" s="8">
        <v>36.125999999999998</v>
      </c>
      <c r="K157" s="8">
        <v>33.911000000000001</v>
      </c>
      <c r="L157" s="8"/>
      <c r="M157" s="8">
        <v>41.738</v>
      </c>
      <c r="N157" s="8">
        <v>41.058</v>
      </c>
      <c r="O157" s="8">
        <v>39.642000000000003</v>
      </c>
      <c r="P157" s="8"/>
      <c r="Q157" s="10">
        <f t="shared" si="39"/>
        <v>2.0959999999999965</v>
      </c>
    </row>
    <row r="158" spans="1:17" x14ac:dyDescent="0.35">
      <c r="A158" s="3">
        <v>2005</v>
      </c>
      <c r="B158" s="4">
        <f t="shared" si="32"/>
        <v>32.579000000000001</v>
      </c>
      <c r="C158" s="4">
        <f t="shared" si="33"/>
        <v>35.822000000000003</v>
      </c>
      <c r="D158" s="4">
        <f t="shared" si="34"/>
        <v>38.203000000000003</v>
      </c>
      <c r="E158" s="4">
        <f t="shared" si="35"/>
        <v>41.308999999999997</v>
      </c>
      <c r="F158" s="4">
        <f t="shared" si="36"/>
        <v>3.2430000000000021</v>
      </c>
      <c r="G158" s="4">
        <f t="shared" si="37"/>
        <v>0</v>
      </c>
      <c r="H158" s="4">
        <f t="shared" si="38"/>
        <v>2.3810000000000002</v>
      </c>
      <c r="I158" s="5">
        <v>32.71</v>
      </c>
      <c r="J158" s="5">
        <v>35.822000000000003</v>
      </c>
      <c r="K158" s="5">
        <v>32.579000000000001</v>
      </c>
      <c r="L158" s="5"/>
      <c r="M158" s="5">
        <v>41.308999999999997</v>
      </c>
      <c r="N158" s="5">
        <v>40.976999999999997</v>
      </c>
      <c r="O158" s="5">
        <v>38.203000000000003</v>
      </c>
      <c r="P158" s="5"/>
      <c r="Q158" s="10">
        <f t="shared" si="39"/>
        <v>3.1059999999999945</v>
      </c>
    </row>
    <row r="159" spans="1:17" x14ac:dyDescent="0.35">
      <c r="A159" s="6">
        <v>2006</v>
      </c>
      <c r="B159" s="7">
        <f t="shared" si="32"/>
        <v>30.936</v>
      </c>
      <c r="C159" s="7">
        <f t="shared" si="33"/>
        <v>34.951000000000001</v>
      </c>
      <c r="D159" s="7">
        <f t="shared" si="34"/>
        <v>38.110999999999997</v>
      </c>
      <c r="E159" s="7">
        <f t="shared" si="35"/>
        <v>40.265999999999998</v>
      </c>
      <c r="F159" s="7">
        <f t="shared" si="36"/>
        <v>4.0150000000000006</v>
      </c>
      <c r="G159" s="7">
        <f t="shared" si="37"/>
        <v>0</v>
      </c>
      <c r="H159" s="7">
        <f t="shared" si="38"/>
        <v>3.1599999999999966</v>
      </c>
      <c r="I159" s="8">
        <v>30.936</v>
      </c>
      <c r="J159" s="8">
        <v>34.951000000000001</v>
      </c>
      <c r="K159" s="8">
        <v>32.404000000000003</v>
      </c>
      <c r="L159" s="8"/>
      <c r="M159" s="8">
        <v>39.572000000000003</v>
      </c>
      <c r="N159" s="8">
        <v>40.265999999999998</v>
      </c>
      <c r="O159" s="8">
        <v>38.110999999999997</v>
      </c>
      <c r="P159" s="8"/>
      <c r="Q159" s="10">
        <f t="shared" si="39"/>
        <v>2.1550000000000011</v>
      </c>
    </row>
    <row r="160" spans="1:17" x14ac:dyDescent="0.35">
      <c r="A160" s="3">
        <v>2007</v>
      </c>
      <c r="B160" s="4">
        <f t="shared" si="32"/>
        <v>30.901</v>
      </c>
      <c r="C160" s="4">
        <f t="shared" si="33"/>
        <v>35.061</v>
      </c>
      <c r="D160" s="4">
        <f t="shared" si="34"/>
        <v>38.08</v>
      </c>
      <c r="E160" s="4">
        <f t="shared" si="35"/>
        <v>40.325000000000003</v>
      </c>
      <c r="F160" s="4">
        <f t="shared" si="36"/>
        <v>4.16</v>
      </c>
      <c r="G160" s="4">
        <f t="shared" si="37"/>
        <v>0</v>
      </c>
      <c r="H160" s="4">
        <f t="shared" si="38"/>
        <v>3.0189999999999984</v>
      </c>
      <c r="I160" s="5">
        <v>30.901</v>
      </c>
      <c r="J160" s="5">
        <v>35.061</v>
      </c>
      <c r="K160" s="5">
        <v>32.317999999999998</v>
      </c>
      <c r="L160" s="5"/>
      <c r="M160" s="5">
        <v>39.75</v>
      </c>
      <c r="N160" s="5">
        <v>40.325000000000003</v>
      </c>
      <c r="O160" s="5">
        <v>38.08</v>
      </c>
      <c r="P160" s="5"/>
      <c r="Q160" s="10">
        <f t="shared" si="39"/>
        <v>2.2450000000000045</v>
      </c>
    </row>
    <row r="161" spans="1:17" x14ac:dyDescent="0.35">
      <c r="A161" s="6">
        <v>2008</v>
      </c>
      <c r="B161" s="7">
        <f t="shared" si="32"/>
        <v>29.853000000000002</v>
      </c>
      <c r="C161" s="7">
        <f t="shared" si="33"/>
        <v>33.520000000000003</v>
      </c>
      <c r="D161" s="7">
        <f t="shared" si="34"/>
        <v>36.143999999999998</v>
      </c>
      <c r="E161" s="7">
        <f t="shared" si="35"/>
        <v>38.962000000000003</v>
      </c>
      <c r="F161" s="7">
        <f t="shared" si="36"/>
        <v>3.6670000000000016</v>
      </c>
      <c r="G161" s="7">
        <f t="shared" si="37"/>
        <v>0</v>
      </c>
      <c r="H161" s="7">
        <f t="shared" si="38"/>
        <v>2.6239999999999952</v>
      </c>
      <c r="I161" s="8">
        <v>29.853000000000002</v>
      </c>
      <c r="J161" s="8">
        <v>33.520000000000003</v>
      </c>
      <c r="K161" s="8">
        <v>30.166</v>
      </c>
      <c r="L161" s="8"/>
      <c r="M161" s="8">
        <v>38.402999999999999</v>
      </c>
      <c r="N161" s="8">
        <v>38.962000000000003</v>
      </c>
      <c r="O161" s="8">
        <v>36.143999999999998</v>
      </c>
      <c r="P161" s="8"/>
      <c r="Q161" s="10">
        <f t="shared" si="39"/>
        <v>2.8180000000000049</v>
      </c>
    </row>
    <row r="162" spans="1:17" x14ac:dyDescent="0.35">
      <c r="A162" s="3">
        <v>2009</v>
      </c>
      <c r="B162" s="4">
        <f t="shared" si="32"/>
        <v>27.632999999999999</v>
      </c>
      <c r="C162" s="4">
        <f t="shared" si="33"/>
        <v>32.302999999999997</v>
      </c>
      <c r="D162" s="4">
        <f t="shared" si="34"/>
        <v>33.18</v>
      </c>
      <c r="E162" s="4">
        <f t="shared" si="35"/>
        <v>37.015000000000001</v>
      </c>
      <c r="F162" s="4">
        <f t="shared" si="36"/>
        <v>4.6699999999999982</v>
      </c>
      <c r="G162" s="4">
        <f t="shared" si="37"/>
        <v>0</v>
      </c>
      <c r="H162" s="4">
        <f t="shared" si="38"/>
        <v>0.87700000000000244</v>
      </c>
      <c r="I162" s="5">
        <v>27.632999999999999</v>
      </c>
      <c r="J162" s="5">
        <v>32.302999999999997</v>
      </c>
      <c r="K162" s="5">
        <v>28.216000000000001</v>
      </c>
      <c r="L162" s="5"/>
      <c r="M162" s="5">
        <v>36.131</v>
      </c>
      <c r="N162" s="5">
        <v>37.015000000000001</v>
      </c>
      <c r="O162" s="5">
        <v>33.18</v>
      </c>
      <c r="P162" s="5"/>
      <c r="Q162" s="10">
        <f t="shared" si="39"/>
        <v>3.8350000000000009</v>
      </c>
    </row>
    <row r="163" spans="1:17" x14ac:dyDescent="0.35">
      <c r="A163" s="6">
        <v>2010</v>
      </c>
      <c r="B163" s="7">
        <f t="shared" ref="B163:B177" si="40">IFERROR(MIN(I163:L163),"")</f>
        <v>27.683</v>
      </c>
      <c r="C163" s="7">
        <f t="shared" ref="C163:C177" si="41">IFERROR(MAX(I163:L163),"")</f>
        <v>32.064</v>
      </c>
      <c r="D163" s="7">
        <f t="shared" ref="D163:D177" si="42">IFERROR(MIN(M163:P163),"")</f>
        <v>32.720999999999997</v>
      </c>
      <c r="E163" s="7">
        <f t="shared" ref="E163:E177" si="43">IFERROR(MAX(M163:P163),"")</f>
        <v>36.976999999999997</v>
      </c>
      <c r="F163" s="7">
        <f t="shared" ref="F163:F177" si="44">IFERROR(MIN(C163,D163)-B163,"")</f>
        <v>4.3810000000000002</v>
      </c>
      <c r="G163" s="7">
        <f t="shared" ref="G163:G177" si="45">IFERROR(MAX(0,C163-D163),"")</f>
        <v>0</v>
      </c>
      <c r="H163" s="7">
        <f t="shared" ref="H163:H177" si="46">IFERROR(MAX(0,D163-C163),"")</f>
        <v>0.65699999999999648</v>
      </c>
      <c r="I163" s="8">
        <v>27.724</v>
      </c>
      <c r="J163" s="8">
        <v>32.064</v>
      </c>
      <c r="K163" s="8">
        <v>27.683</v>
      </c>
      <c r="L163" s="8"/>
      <c r="M163" s="8">
        <v>36.435000000000002</v>
      </c>
      <c r="N163" s="8">
        <v>36.976999999999997</v>
      </c>
      <c r="O163" s="8">
        <v>32.720999999999997</v>
      </c>
      <c r="P163" s="8"/>
      <c r="Q163" s="10">
        <f t="shared" ref="Q163:Q177" si="47">IFERROR(MAX(0,$E163-MAX($C163,$D163)),"")</f>
        <v>4.2560000000000002</v>
      </c>
    </row>
    <row r="164" spans="1:17" x14ac:dyDescent="0.35">
      <c r="A164" s="3">
        <v>2011</v>
      </c>
      <c r="B164" s="4">
        <f t="shared" si="40"/>
        <v>26.271999999999998</v>
      </c>
      <c r="C164" s="4">
        <f t="shared" si="41"/>
        <v>29.452000000000002</v>
      </c>
      <c r="D164" s="4">
        <f t="shared" si="42"/>
        <v>33.411000000000001</v>
      </c>
      <c r="E164" s="4">
        <f t="shared" si="43"/>
        <v>35.255000000000003</v>
      </c>
      <c r="F164" s="4">
        <f t="shared" si="44"/>
        <v>3.1800000000000033</v>
      </c>
      <c r="G164" s="4">
        <f t="shared" si="45"/>
        <v>0</v>
      </c>
      <c r="H164" s="4">
        <f t="shared" si="46"/>
        <v>3.9589999999999996</v>
      </c>
      <c r="I164" s="5">
        <v>26.271999999999998</v>
      </c>
      <c r="J164" s="5">
        <v>29.452000000000002</v>
      </c>
      <c r="K164" s="5">
        <v>28.152000000000001</v>
      </c>
      <c r="L164" s="5"/>
      <c r="M164" s="5">
        <v>34.5</v>
      </c>
      <c r="N164" s="5">
        <v>35.255000000000003</v>
      </c>
      <c r="O164" s="5">
        <v>33.411000000000001</v>
      </c>
      <c r="P164" s="5"/>
      <c r="Q164" s="10">
        <f t="shared" si="47"/>
        <v>1.8440000000000012</v>
      </c>
    </row>
    <row r="165" spans="1:17" x14ac:dyDescent="0.35">
      <c r="A165" s="6">
        <v>2012</v>
      </c>
      <c r="B165" s="7">
        <f t="shared" si="40"/>
        <v>25.449000000000002</v>
      </c>
      <c r="C165" s="7">
        <f t="shared" si="41"/>
        <v>28.196999999999999</v>
      </c>
      <c r="D165" s="7">
        <f t="shared" si="42"/>
        <v>31.898</v>
      </c>
      <c r="E165" s="7">
        <f t="shared" si="43"/>
        <v>34.832999999999998</v>
      </c>
      <c r="F165" s="7">
        <f t="shared" si="44"/>
        <v>2.7479999999999976</v>
      </c>
      <c r="G165" s="7">
        <f t="shared" si="45"/>
        <v>0</v>
      </c>
      <c r="H165" s="7">
        <f t="shared" si="46"/>
        <v>3.7010000000000005</v>
      </c>
      <c r="I165" s="8">
        <v>25.449000000000002</v>
      </c>
      <c r="J165" s="8">
        <v>28.196999999999999</v>
      </c>
      <c r="K165" s="8">
        <v>26.774999999999999</v>
      </c>
      <c r="L165" s="8"/>
      <c r="M165" s="8">
        <v>34.063000000000002</v>
      </c>
      <c r="N165" s="8">
        <v>34.832999999999998</v>
      </c>
      <c r="O165" s="8">
        <v>31.898</v>
      </c>
      <c r="P165" s="8"/>
      <c r="Q165" s="10">
        <f t="shared" si="47"/>
        <v>2.9349999999999987</v>
      </c>
    </row>
    <row r="166" spans="1:17" x14ac:dyDescent="0.35">
      <c r="A166" s="3">
        <v>2013</v>
      </c>
      <c r="B166" s="4">
        <f t="shared" si="40"/>
        <v>24.855</v>
      </c>
      <c r="C166" s="4">
        <f t="shared" si="41"/>
        <v>28.692</v>
      </c>
      <c r="D166" s="4">
        <f t="shared" si="42"/>
        <v>29.731999999999999</v>
      </c>
      <c r="E166" s="4">
        <f t="shared" si="43"/>
        <v>33.954000000000001</v>
      </c>
      <c r="F166" s="4">
        <f t="shared" si="44"/>
        <v>3.8369999999999997</v>
      </c>
      <c r="G166" s="4">
        <f t="shared" si="45"/>
        <v>0</v>
      </c>
      <c r="H166" s="4">
        <f t="shared" si="46"/>
        <v>1.0399999999999991</v>
      </c>
      <c r="I166" s="5">
        <v>25.402999999999999</v>
      </c>
      <c r="J166" s="5">
        <v>28.692</v>
      </c>
      <c r="K166" s="5">
        <v>24.855</v>
      </c>
      <c r="L166" s="5"/>
      <c r="M166" s="5">
        <v>33.646000000000001</v>
      </c>
      <c r="N166" s="5">
        <v>33.954000000000001</v>
      </c>
      <c r="O166" s="5">
        <v>29.731999999999999</v>
      </c>
      <c r="P166" s="5"/>
      <c r="Q166" s="10">
        <f t="shared" si="47"/>
        <v>4.2220000000000013</v>
      </c>
    </row>
    <row r="167" spans="1:17" x14ac:dyDescent="0.35">
      <c r="A167" s="6">
        <v>2014</v>
      </c>
      <c r="B167" s="7">
        <f t="shared" si="40"/>
        <v>24.387</v>
      </c>
      <c r="C167" s="7">
        <f t="shared" si="41"/>
        <v>27.841999999999999</v>
      </c>
      <c r="D167" s="7">
        <f t="shared" si="42"/>
        <v>29.193000000000001</v>
      </c>
      <c r="E167" s="7">
        <f t="shared" si="43"/>
        <v>33.353000000000002</v>
      </c>
      <c r="F167" s="7">
        <f t="shared" si="44"/>
        <v>3.4549999999999983</v>
      </c>
      <c r="G167" s="7">
        <f t="shared" si="45"/>
        <v>0</v>
      </c>
      <c r="H167" s="7">
        <f t="shared" si="46"/>
        <v>1.3510000000000026</v>
      </c>
      <c r="I167" s="8">
        <v>25.004000000000001</v>
      </c>
      <c r="J167" s="8">
        <v>27.841999999999999</v>
      </c>
      <c r="K167" s="8">
        <v>24.387</v>
      </c>
      <c r="L167" s="8"/>
      <c r="M167" s="8">
        <v>32.890999999999998</v>
      </c>
      <c r="N167" s="8">
        <v>33.353000000000002</v>
      </c>
      <c r="O167" s="8">
        <v>29.193000000000001</v>
      </c>
      <c r="P167" s="8"/>
      <c r="Q167" s="10">
        <f t="shared" si="47"/>
        <v>4.16</v>
      </c>
    </row>
    <row r="168" spans="1:17" x14ac:dyDescent="0.35">
      <c r="A168" s="3">
        <v>2015</v>
      </c>
      <c r="B168" s="4">
        <f t="shared" si="40"/>
        <v>24.08</v>
      </c>
      <c r="C168" s="4">
        <f t="shared" si="41"/>
        <v>26.885999999999999</v>
      </c>
      <c r="D168" s="4">
        <f t="shared" si="42"/>
        <v>28.588000000000001</v>
      </c>
      <c r="E168" s="4">
        <f t="shared" si="43"/>
        <v>32.930999999999997</v>
      </c>
      <c r="F168" s="4">
        <f t="shared" si="44"/>
        <v>2.8060000000000009</v>
      </c>
      <c r="G168" s="4">
        <f t="shared" si="45"/>
        <v>0</v>
      </c>
      <c r="H168" s="4">
        <f t="shared" si="46"/>
        <v>1.7020000000000017</v>
      </c>
      <c r="I168" s="5">
        <v>24.536999999999999</v>
      </c>
      <c r="J168" s="5">
        <v>26.885999999999999</v>
      </c>
      <c r="K168" s="5">
        <v>24.08</v>
      </c>
      <c r="L168" s="5"/>
      <c r="M168" s="5">
        <v>32.930999999999997</v>
      </c>
      <c r="N168" s="5">
        <v>32.283999999999999</v>
      </c>
      <c r="O168" s="5">
        <v>28.588000000000001</v>
      </c>
      <c r="P168" s="5"/>
      <c r="Q168" s="10">
        <f t="shared" si="47"/>
        <v>4.3429999999999964</v>
      </c>
    </row>
    <row r="169" spans="1:17" x14ac:dyDescent="0.35">
      <c r="A169" s="6">
        <v>2016</v>
      </c>
      <c r="B169" s="7">
        <f t="shared" si="40"/>
        <v>23.221</v>
      </c>
      <c r="C169" s="7">
        <f t="shared" si="41"/>
        <v>26.388999999999999</v>
      </c>
      <c r="D169" s="7">
        <f t="shared" si="42"/>
        <v>27.943999999999999</v>
      </c>
      <c r="E169" s="7">
        <f t="shared" si="43"/>
        <v>33.442</v>
      </c>
      <c r="F169" s="7">
        <f t="shared" si="44"/>
        <v>3.1679999999999993</v>
      </c>
      <c r="G169" s="7">
        <f t="shared" si="45"/>
        <v>0</v>
      </c>
      <c r="H169" s="7">
        <f t="shared" si="46"/>
        <v>1.5549999999999997</v>
      </c>
      <c r="I169" s="8">
        <v>24.785</v>
      </c>
      <c r="J169" s="8">
        <v>26.388999999999999</v>
      </c>
      <c r="K169" s="8">
        <v>23.221</v>
      </c>
      <c r="L169" s="8"/>
      <c r="M169" s="8">
        <v>33.442</v>
      </c>
      <c r="N169" s="8">
        <v>32.253</v>
      </c>
      <c r="O169" s="8">
        <v>27.943999999999999</v>
      </c>
      <c r="P169" s="8"/>
      <c r="Q169" s="10">
        <f t="shared" si="47"/>
        <v>5.4980000000000011</v>
      </c>
    </row>
    <row r="170" spans="1:17" x14ac:dyDescent="0.35">
      <c r="A170" s="3">
        <v>2017</v>
      </c>
      <c r="B170" s="4">
        <f t="shared" si="40"/>
        <v>24.233000000000001</v>
      </c>
      <c r="C170" s="4">
        <f t="shared" si="41"/>
        <v>26.132000000000001</v>
      </c>
      <c r="D170" s="4">
        <f t="shared" si="42"/>
        <v>28.992999999999999</v>
      </c>
      <c r="E170" s="4">
        <f t="shared" si="43"/>
        <v>33.220999999999997</v>
      </c>
      <c r="F170" s="4">
        <f t="shared" si="44"/>
        <v>1.8990000000000009</v>
      </c>
      <c r="G170" s="4">
        <f t="shared" si="45"/>
        <v>0</v>
      </c>
      <c r="H170" s="4">
        <f t="shared" si="46"/>
        <v>2.8609999999999971</v>
      </c>
      <c r="I170" s="5">
        <v>24.58</v>
      </c>
      <c r="J170" s="5">
        <v>26.132000000000001</v>
      </c>
      <c r="K170" s="5">
        <v>24.233000000000001</v>
      </c>
      <c r="L170" s="5"/>
      <c r="M170" s="5">
        <v>33.220999999999997</v>
      </c>
      <c r="N170" s="5">
        <v>31.817</v>
      </c>
      <c r="O170" s="5">
        <v>28.992999999999999</v>
      </c>
      <c r="P170" s="5"/>
      <c r="Q170" s="10">
        <f t="shared" si="47"/>
        <v>4.227999999999998</v>
      </c>
    </row>
    <row r="171" spans="1:17" x14ac:dyDescent="0.35">
      <c r="A171" s="6">
        <v>2018</v>
      </c>
      <c r="B171" s="7">
        <f t="shared" si="40"/>
        <v>24.045999999999999</v>
      </c>
      <c r="C171" s="7">
        <f t="shared" si="41"/>
        <v>26.094999999999999</v>
      </c>
      <c r="D171" s="7">
        <f t="shared" si="42"/>
        <v>29.378</v>
      </c>
      <c r="E171" s="7">
        <f t="shared" si="43"/>
        <v>32.911000000000001</v>
      </c>
      <c r="F171" s="7">
        <f t="shared" si="44"/>
        <v>2.0489999999999995</v>
      </c>
      <c r="G171" s="7">
        <f t="shared" si="45"/>
        <v>0</v>
      </c>
      <c r="H171" s="7">
        <f t="shared" si="46"/>
        <v>3.2830000000000013</v>
      </c>
      <c r="I171" s="8">
        <v>24.401</v>
      </c>
      <c r="J171" s="8">
        <v>26.094999999999999</v>
      </c>
      <c r="K171" s="8">
        <v>24.045999999999999</v>
      </c>
      <c r="L171" s="8"/>
      <c r="M171" s="8">
        <v>32.911000000000001</v>
      </c>
      <c r="N171" s="8">
        <v>32.18</v>
      </c>
      <c r="O171" s="8">
        <v>29.378</v>
      </c>
      <c r="P171" s="8"/>
      <c r="Q171" s="10">
        <f t="shared" si="47"/>
        <v>3.5330000000000013</v>
      </c>
    </row>
    <row r="172" spans="1:17" x14ac:dyDescent="0.35">
      <c r="A172" s="3">
        <v>2019</v>
      </c>
      <c r="B172" s="4">
        <f t="shared" si="40"/>
        <v>22.797000000000001</v>
      </c>
      <c r="C172" s="4">
        <f t="shared" si="41"/>
        <v>25.029</v>
      </c>
      <c r="D172" s="4">
        <f t="shared" si="42"/>
        <v>28.015999999999998</v>
      </c>
      <c r="E172" s="4">
        <f t="shared" si="43"/>
        <v>31.858000000000001</v>
      </c>
      <c r="F172" s="4">
        <f t="shared" si="44"/>
        <v>2.2319999999999993</v>
      </c>
      <c r="G172" s="4">
        <f t="shared" si="45"/>
        <v>0</v>
      </c>
      <c r="H172" s="4">
        <f t="shared" si="46"/>
        <v>2.9869999999999983</v>
      </c>
      <c r="I172" s="5">
        <v>23.571000000000002</v>
      </c>
      <c r="J172" s="5">
        <v>25.029</v>
      </c>
      <c r="K172" s="5">
        <v>22.797000000000001</v>
      </c>
      <c r="L172" s="5"/>
      <c r="M172" s="5">
        <v>31.858000000000001</v>
      </c>
      <c r="N172" s="5">
        <v>31.181999999999999</v>
      </c>
      <c r="O172" s="5">
        <v>28.015999999999998</v>
      </c>
      <c r="P172" s="5"/>
      <c r="Q172" s="10">
        <f t="shared" si="47"/>
        <v>3.8420000000000023</v>
      </c>
    </row>
    <row r="173" spans="1:17" x14ac:dyDescent="0.35">
      <c r="A173" s="6">
        <v>2020</v>
      </c>
      <c r="B173" s="7">
        <f t="shared" si="40"/>
        <v>21.138000000000002</v>
      </c>
      <c r="C173" s="7">
        <f t="shared" si="41"/>
        <v>23.914000000000001</v>
      </c>
      <c r="D173" s="7">
        <f t="shared" si="42"/>
        <v>26.151</v>
      </c>
      <c r="E173" s="7">
        <f t="shared" si="43"/>
        <v>30.675999999999998</v>
      </c>
      <c r="F173" s="7">
        <f t="shared" si="44"/>
        <v>2.7759999999999998</v>
      </c>
      <c r="G173" s="7">
        <f t="shared" si="45"/>
        <v>0</v>
      </c>
      <c r="H173" s="7">
        <f t="shared" si="46"/>
        <v>2.2369999999999983</v>
      </c>
      <c r="I173" s="8">
        <v>22.427</v>
      </c>
      <c r="J173" s="8">
        <v>23.914000000000001</v>
      </c>
      <c r="K173" s="8">
        <v>21.138000000000002</v>
      </c>
      <c r="L173" s="8"/>
      <c r="M173" s="8">
        <v>30.675999999999998</v>
      </c>
      <c r="N173" s="8">
        <v>29.655000000000001</v>
      </c>
      <c r="O173" s="8">
        <v>26.151</v>
      </c>
      <c r="P173" s="8"/>
      <c r="Q173" s="10">
        <f t="shared" si="47"/>
        <v>4.5249999999999986</v>
      </c>
    </row>
    <row r="174" spans="1:17" x14ac:dyDescent="0.35">
      <c r="A174" s="3">
        <v>2021</v>
      </c>
      <c r="B174" s="4">
        <f t="shared" si="40"/>
        <v>21.556000000000001</v>
      </c>
      <c r="C174" s="4">
        <f t="shared" si="41"/>
        <v>23.356999999999999</v>
      </c>
      <c r="D174" s="4">
        <f t="shared" si="42"/>
        <v>27.038</v>
      </c>
      <c r="E174" s="4">
        <f t="shared" si="43"/>
        <v>30.997</v>
      </c>
      <c r="F174" s="4">
        <f t="shared" si="44"/>
        <v>1.8009999999999984</v>
      </c>
      <c r="G174" s="4">
        <f t="shared" si="45"/>
        <v>0</v>
      </c>
      <c r="H174" s="4">
        <f t="shared" si="46"/>
        <v>3.6810000000000009</v>
      </c>
      <c r="I174" s="5">
        <v>22.664000000000001</v>
      </c>
      <c r="J174" s="5">
        <v>23.356999999999999</v>
      </c>
      <c r="K174" s="5">
        <v>21.556000000000001</v>
      </c>
      <c r="L174" s="5"/>
      <c r="M174" s="5">
        <v>30.997</v>
      </c>
      <c r="N174" s="5">
        <v>29.86</v>
      </c>
      <c r="O174" s="5">
        <v>27.038</v>
      </c>
      <c r="P174" s="5"/>
      <c r="Q174" s="10">
        <f t="shared" si="47"/>
        <v>3.9589999999999996</v>
      </c>
    </row>
    <row r="175" spans="1:17" x14ac:dyDescent="0.35">
      <c r="A175" s="6">
        <v>2022</v>
      </c>
      <c r="B175" s="7">
        <f t="shared" si="40"/>
        <v>21.297999999999998</v>
      </c>
      <c r="C175" s="7">
        <f t="shared" si="41"/>
        <v>22.773</v>
      </c>
      <c r="D175" s="7">
        <f t="shared" si="42"/>
        <v>26.100999999999999</v>
      </c>
      <c r="E175" s="7">
        <f t="shared" si="43"/>
        <v>30.27</v>
      </c>
      <c r="F175" s="7">
        <f t="shared" si="44"/>
        <v>1.4750000000000014</v>
      </c>
      <c r="G175" s="7">
        <f t="shared" si="45"/>
        <v>0</v>
      </c>
      <c r="H175" s="7">
        <f t="shared" si="46"/>
        <v>3.3279999999999994</v>
      </c>
      <c r="I175" s="8">
        <v>22.128</v>
      </c>
      <c r="J175" s="8">
        <v>22.773</v>
      </c>
      <c r="K175" s="8">
        <v>21.297999999999998</v>
      </c>
      <c r="L175" s="8"/>
      <c r="M175" s="8">
        <v>30.27</v>
      </c>
      <c r="N175" s="8">
        <v>27.812999999999999</v>
      </c>
      <c r="O175" s="8">
        <v>26.100999999999999</v>
      </c>
      <c r="P175" s="8"/>
      <c r="Q175" s="10">
        <f t="shared" si="47"/>
        <v>4.1690000000000005</v>
      </c>
    </row>
    <row r="176" spans="1:17" x14ac:dyDescent="0.35">
      <c r="A176" s="3">
        <v>2023</v>
      </c>
      <c r="B176" s="4">
        <f t="shared" si="40"/>
        <v>21.236999999999998</v>
      </c>
      <c r="C176" s="4">
        <f t="shared" si="41"/>
        <v>22.238</v>
      </c>
      <c r="D176" s="4">
        <f t="shared" si="42"/>
        <v>26.652999999999999</v>
      </c>
      <c r="E176" s="4">
        <f t="shared" si="43"/>
        <v>29.359000000000002</v>
      </c>
      <c r="F176" s="4">
        <f t="shared" si="44"/>
        <v>1.0010000000000012</v>
      </c>
      <c r="G176" s="4">
        <f t="shared" si="45"/>
        <v>0</v>
      </c>
      <c r="H176" s="4">
        <f t="shared" si="46"/>
        <v>4.4149999999999991</v>
      </c>
      <c r="I176" s="5">
        <v>21.236999999999998</v>
      </c>
      <c r="J176" s="5">
        <v>21.692</v>
      </c>
      <c r="K176" s="5">
        <v>22.238</v>
      </c>
      <c r="L176" s="5"/>
      <c r="M176" s="5">
        <v>29.359000000000002</v>
      </c>
      <c r="N176" s="5">
        <v>26.652999999999999</v>
      </c>
      <c r="O176" s="5">
        <v>26.856999999999999</v>
      </c>
      <c r="P176" s="5"/>
      <c r="Q176" s="10">
        <f t="shared" si="47"/>
        <v>2.7060000000000031</v>
      </c>
    </row>
    <row r="177" spans="1:17" x14ac:dyDescent="0.35">
      <c r="A177" s="6">
        <v>2024</v>
      </c>
      <c r="B177" s="7">
        <f t="shared" si="40"/>
        <v>20.161000000000001</v>
      </c>
      <c r="C177" s="7">
        <f t="shared" si="41"/>
        <v>24.324999999999999</v>
      </c>
      <c r="D177" s="7">
        <f t="shared" si="42"/>
        <v>24.978000000000002</v>
      </c>
      <c r="E177" s="7">
        <f t="shared" si="43"/>
        <v>32.228999999999999</v>
      </c>
      <c r="F177" s="7">
        <f t="shared" si="44"/>
        <v>4.1639999999999979</v>
      </c>
      <c r="G177" s="7">
        <f t="shared" si="45"/>
        <v>0</v>
      </c>
      <c r="H177" s="7">
        <f t="shared" si="46"/>
        <v>0.65300000000000225</v>
      </c>
      <c r="I177" s="8">
        <v>20.895</v>
      </c>
      <c r="J177" s="8">
        <v>24.324999999999999</v>
      </c>
      <c r="K177" s="8">
        <v>20.161000000000001</v>
      </c>
      <c r="L177" s="8"/>
      <c r="M177" s="8">
        <v>29.056999999999999</v>
      </c>
      <c r="N177" s="8">
        <v>32.228999999999999</v>
      </c>
      <c r="O177" s="8">
        <v>24.978000000000002</v>
      </c>
      <c r="P177" s="8"/>
      <c r="Q177" s="10">
        <f t="shared" si="47"/>
        <v>7.2509999999999977</v>
      </c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1CA4-627A-4F92-B2E3-7EA7B27B22B2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CBE0-6FED-48C2-B523-D62C6159822A}">
  <sheetPr>
    <tabColor rgb="FF0B4C5B"/>
  </sheetPr>
  <dimension ref="A1:Q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7" ht="30" customHeight="1" x14ac:dyDescent="0.35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9</v>
      </c>
      <c r="J2" s="1" t="s">
        <v>11</v>
      </c>
      <c r="K2" s="1" t="s">
        <v>19</v>
      </c>
      <c r="L2" s="1" t="s">
        <v>21</v>
      </c>
      <c r="M2" s="1" t="s">
        <v>10</v>
      </c>
      <c r="N2" s="1" t="s">
        <v>12</v>
      </c>
      <c r="O2" s="1" t="s">
        <v>20</v>
      </c>
      <c r="P2" s="1" t="s">
        <v>22</v>
      </c>
      <c r="Q2" s="2" t="s">
        <v>8</v>
      </c>
    </row>
    <row r="3" spans="1:17" x14ac:dyDescent="0.35">
      <c r="A3" s="6">
        <v>1850</v>
      </c>
      <c r="B3" s="7">
        <f t="shared" ref="B3:B34" si="0">IFERROR(MIN(I3:L3),"")</f>
        <v>38.923999999999999</v>
      </c>
      <c r="C3" s="7">
        <f t="shared" ref="C3:C34" si="1">IFERROR(MAX(I3:L3),"")</f>
        <v>55.006999999999998</v>
      </c>
      <c r="D3" s="7">
        <f t="shared" ref="D3:D34" si="2">IFERROR(MIN(M3:P3),"")</f>
        <v>51.529000000000003</v>
      </c>
      <c r="E3" s="7">
        <f t="shared" ref="E3:E34" si="3">IFERROR(MAX(M3:P3),"")</f>
        <v>66.203000000000003</v>
      </c>
      <c r="F3" s="7">
        <f t="shared" ref="F3:F34" si="4">IFERROR(MIN(C3,D3)-B3,"")</f>
        <v>12.605000000000004</v>
      </c>
      <c r="G3" s="7">
        <f t="shared" ref="G3:G34" si="5">IFERROR(MAX(0,C3-D3),"")</f>
        <v>3.4779999999999944</v>
      </c>
      <c r="H3" s="7">
        <f t="shared" ref="H3:H34" si="6">IFERROR(MAX(0,D3-C3),"")</f>
        <v>0</v>
      </c>
      <c r="I3" s="8">
        <v>55.006999999999998</v>
      </c>
      <c r="J3" s="8">
        <v>38.923999999999999</v>
      </c>
      <c r="K3" s="8"/>
      <c r="L3" s="8"/>
      <c r="M3" s="8">
        <v>66.203000000000003</v>
      </c>
      <c r="N3" s="8">
        <v>51.529000000000003</v>
      </c>
      <c r="O3" s="8"/>
      <c r="P3" s="8"/>
      <c r="Q3" s="10">
        <f t="shared" ref="Q3:Q34" si="7">IFERROR(MAX(0,$E3-MAX($C3,$D3)),"")</f>
        <v>11.196000000000005</v>
      </c>
    </row>
    <row r="4" spans="1:17" x14ac:dyDescent="0.35">
      <c r="A4" s="3">
        <v>1851</v>
      </c>
      <c r="B4" s="4">
        <f t="shared" si="0"/>
        <v>39.033000000000001</v>
      </c>
      <c r="C4" s="4">
        <f t="shared" si="1"/>
        <v>55.031999999999996</v>
      </c>
      <c r="D4" s="4">
        <f t="shared" si="2"/>
        <v>51.741</v>
      </c>
      <c r="E4" s="4">
        <f t="shared" si="3"/>
        <v>66.361999999999995</v>
      </c>
      <c r="F4" s="4">
        <f t="shared" si="4"/>
        <v>12.707999999999998</v>
      </c>
      <c r="G4" s="4">
        <f t="shared" si="5"/>
        <v>3.2909999999999968</v>
      </c>
      <c r="H4" s="4">
        <f t="shared" si="6"/>
        <v>0</v>
      </c>
      <c r="I4" s="5">
        <v>55.031999999999996</v>
      </c>
      <c r="J4" s="5">
        <v>39.033000000000001</v>
      </c>
      <c r="K4" s="5"/>
      <c r="L4" s="5"/>
      <c r="M4" s="5">
        <v>66.361999999999995</v>
      </c>
      <c r="N4" s="5">
        <v>51.741</v>
      </c>
      <c r="O4" s="5"/>
      <c r="P4" s="5"/>
      <c r="Q4" s="10">
        <f t="shared" si="7"/>
        <v>11.329999999999998</v>
      </c>
    </row>
    <row r="5" spans="1:17" x14ac:dyDescent="0.35">
      <c r="A5" s="6">
        <v>1852</v>
      </c>
      <c r="B5" s="7">
        <f t="shared" si="0"/>
        <v>39.44</v>
      </c>
      <c r="C5" s="7">
        <f t="shared" si="1"/>
        <v>55.557000000000002</v>
      </c>
      <c r="D5" s="7">
        <f t="shared" si="2"/>
        <v>52.201000000000001</v>
      </c>
      <c r="E5" s="7">
        <f t="shared" si="3"/>
        <v>66.921999999999997</v>
      </c>
      <c r="F5" s="7">
        <f t="shared" si="4"/>
        <v>12.761000000000003</v>
      </c>
      <c r="G5" s="7">
        <f t="shared" si="5"/>
        <v>3.3560000000000016</v>
      </c>
      <c r="H5" s="7">
        <f t="shared" si="6"/>
        <v>0</v>
      </c>
      <c r="I5" s="8">
        <v>55.557000000000002</v>
      </c>
      <c r="J5" s="8">
        <v>39.44</v>
      </c>
      <c r="K5" s="8"/>
      <c r="L5" s="8"/>
      <c r="M5" s="8">
        <v>66.921999999999997</v>
      </c>
      <c r="N5" s="8">
        <v>52.201000000000001</v>
      </c>
      <c r="O5" s="8"/>
      <c r="P5" s="8"/>
      <c r="Q5" s="10">
        <f t="shared" si="7"/>
        <v>11.364999999999995</v>
      </c>
    </row>
    <row r="6" spans="1:17" x14ac:dyDescent="0.35">
      <c r="A6" s="3">
        <v>1853</v>
      </c>
      <c r="B6" s="4">
        <f t="shared" si="0"/>
        <v>39.939</v>
      </c>
      <c r="C6" s="4">
        <f t="shared" si="1"/>
        <v>56.268000000000001</v>
      </c>
      <c r="D6" s="4">
        <f t="shared" si="2"/>
        <v>52.7</v>
      </c>
      <c r="E6" s="4">
        <f t="shared" si="3"/>
        <v>67.558999999999997</v>
      </c>
      <c r="F6" s="4">
        <f t="shared" si="4"/>
        <v>12.761000000000003</v>
      </c>
      <c r="G6" s="4">
        <f t="shared" si="5"/>
        <v>3.5679999999999978</v>
      </c>
      <c r="H6" s="4">
        <f t="shared" si="6"/>
        <v>0</v>
      </c>
      <c r="I6" s="5">
        <v>56.268000000000001</v>
      </c>
      <c r="J6" s="5">
        <v>39.939</v>
      </c>
      <c r="K6" s="5"/>
      <c r="L6" s="5"/>
      <c r="M6" s="5">
        <v>67.558999999999997</v>
      </c>
      <c r="N6" s="5">
        <v>52.7</v>
      </c>
      <c r="O6" s="5"/>
      <c r="P6" s="5"/>
      <c r="Q6" s="10">
        <f t="shared" si="7"/>
        <v>11.290999999999997</v>
      </c>
    </row>
    <row r="7" spans="1:17" x14ac:dyDescent="0.35">
      <c r="A7" s="6">
        <v>1854</v>
      </c>
      <c r="B7" s="7">
        <f t="shared" si="0"/>
        <v>41.607999999999997</v>
      </c>
      <c r="C7" s="7">
        <f t="shared" si="1"/>
        <v>58.789000000000001</v>
      </c>
      <c r="D7" s="7">
        <f t="shared" si="2"/>
        <v>54.134999999999998</v>
      </c>
      <c r="E7" s="7">
        <f t="shared" si="3"/>
        <v>69.567999999999998</v>
      </c>
      <c r="F7" s="7">
        <f t="shared" si="4"/>
        <v>12.527000000000001</v>
      </c>
      <c r="G7" s="7">
        <f t="shared" si="5"/>
        <v>4.6540000000000035</v>
      </c>
      <c r="H7" s="7">
        <f t="shared" si="6"/>
        <v>0</v>
      </c>
      <c r="I7" s="8">
        <v>58.789000000000001</v>
      </c>
      <c r="J7" s="8">
        <v>41.607999999999997</v>
      </c>
      <c r="K7" s="8"/>
      <c r="L7" s="8"/>
      <c r="M7" s="8">
        <v>69.567999999999998</v>
      </c>
      <c r="N7" s="8">
        <v>54.134999999999998</v>
      </c>
      <c r="O7" s="8"/>
      <c r="P7" s="8"/>
      <c r="Q7" s="10">
        <f t="shared" si="7"/>
        <v>10.778999999999996</v>
      </c>
    </row>
    <row r="8" spans="1:17" x14ac:dyDescent="0.35">
      <c r="A8" s="3">
        <v>1855</v>
      </c>
      <c r="B8" s="4">
        <f t="shared" si="0"/>
        <v>41.802999999999997</v>
      </c>
      <c r="C8" s="4">
        <f t="shared" si="1"/>
        <v>58.920999999999999</v>
      </c>
      <c r="D8" s="4">
        <f t="shared" si="2"/>
        <v>54.424999999999997</v>
      </c>
      <c r="E8" s="4">
        <f t="shared" si="3"/>
        <v>69.858999999999995</v>
      </c>
      <c r="F8" s="4">
        <f t="shared" si="4"/>
        <v>12.622</v>
      </c>
      <c r="G8" s="4">
        <f t="shared" si="5"/>
        <v>4.4960000000000022</v>
      </c>
      <c r="H8" s="4">
        <f t="shared" si="6"/>
        <v>0</v>
      </c>
      <c r="I8" s="5">
        <v>58.920999999999999</v>
      </c>
      <c r="J8" s="5">
        <v>41.802999999999997</v>
      </c>
      <c r="K8" s="5"/>
      <c r="L8" s="5"/>
      <c r="M8" s="5">
        <v>69.858999999999995</v>
      </c>
      <c r="N8" s="5">
        <v>54.424999999999997</v>
      </c>
      <c r="O8" s="5"/>
      <c r="P8" s="5"/>
      <c r="Q8" s="10">
        <f t="shared" si="7"/>
        <v>10.937999999999995</v>
      </c>
    </row>
    <row r="9" spans="1:17" x14ac:dyDescent="0.35">
      <c r="A9" s="6">
        <v>1856</v>
      </c>
      <c r="B9" s="7">
        <f t="shared" si="0"/>
        <v>42.521000000000001</v>
      </c>
      <c r="C9" s="7">
        <f t="shared" si="1"/>
        <v>59.863</v>
      </c>
      <c r="D9" s="7">
        <f t="shared" si="2"/>
        <v>55.107999999999997</v>
      </c>
      <c r="E9" s="7">
        <f t="shared" si="3"/>
        <v>70.641000000000005</v>
      </c>
      <c r="F9" s="7">
        <f t="shared" si="4"/>
        <v>12.586999999999996</v>
      </c>
      <c r="G9" s="7">
        <f t="shared" si="5"/>
        <v>4.7550000000000026</v>
      </c>
      <c r="H9" s="7">
        <f t="shared" si="6"/>
        <v>0</v>
      </c>
      <c r="I9" s="8">
        <v>59.863</v>
      </c>
      <c r="J9" s="8">
        <v>42.521000000000001</v>
      </c>
      <c r="K9" s="8"/>
      <c r="L9" s="8"/>
      <c r="M9" s="8">
        <v>70.641000000000005</v>
      </c>
      <c r="N9" s="8">
        <v>55.107999999999997</v>
      </c>
      <c r="O9" s="8"/>
      <c r="P9" s="8"/>
      <c r="Q9" s="10">
        <f t="shared" si="7"/>
        <v>10.778000000000006</v>
      </c>
    </row>
    <row r="10" spans="1:17" x14ac:dyDescent="0.35">
      <c r="A10" s="3">
        <v>1857</v>
      </c>
      <c r="B10" s="4">
        <f t="shared" si="0"/>
        <v>42.636000000000003</v>
      </c>
      <c r="C10" s="4">
        <f t="shared" si="1"/>
        <v>59.915999999999997</v>
      </c>
      <c r="D10" s="4">
        <f t="shared" si="2"/>
        <v>55.305999999999997</v>
      </c>
      <c r="E10" s="4">
        <f t="shared" si="3"/>
        <v>70.790000000000006</v>
      </c>
      <c r="F10" s="4">
        <f t="shared" si="4"/>
        <v>12.669999999999995</v>
      </c>
      <c r="G10" s="4">
        <f t="shared" si="5"/>
        <v>4.6099999999999994</v>
      </c>
      <c r="H10" s="4">
        <f t="shared" si="6"/>
        <v>0</v>
      </c>
      <c r="I10" s="5">
        <v>59.915999999999997</v>
      </c>
      <c r="J10" s="5">
        <v>42.636000000000003</v>
      </c>
      <c r="K10" s="5"/>
      <c r="L10" s="5"/>
      <c r="M10" s="5">
        <v>70.790000000000006</v>
      </c>
      <c r="N10" s="5">
        <v>55.305999999999997</v>
      </c>
      <c r="O10" s="5"/>
      <c r="P10" s="5"/>
      <c r="Q10" s="10">
        <f t="shared" si="7"/>
        <v>10.874000000000009</v>
      </c>
    </row>
    <row r="11" spans="1:17" x14ac:dyDescent="0.35">
      <c r="A11" s="6">
        <v>1858</v>
      </c>
      <c r="B11" s="7">
        <f t="shared" si="0"/>
        <v>42.725999999999999</v>
      </c>
      <c r="C11" s="7">
        <f t="shared" si="1"/>
        <v>59.878999999999998</v>
      </c>
      <c r="D11" s="7">
        <f t="shared" si="2"/>
        <v>55.5</v>
      </c>
      <c r="E11" s="7">
        <f t="shared" si="3"/>
        <v>70.941999999999993</v>
      </c>
      <c r="F11" s="7">
        <f t="shared" si="4"/>
        <v>12.774000000000001</v>
      </c>
      <c r="G11" s="7">
        <f t="shared" si="5"/>
        <v>4.3789999999999978</v>
      </c>
      <c r="H11" s="7">
        <f t="shared" si="6"/>
        <v>0</v>
      </c>
      <c r="I11" s="8">
        <v>59.878999999999998</v>
      </c>
      <c r="J11" s="8">
        <v>42.725999999999999</v>
      </c>
      <c r="K11" s="8"/>
      <c r="L11" s="8"/>
      <c r="M11" s="8">
        <v>70.941999999999993</v>
      </c>
      <c r="N11" s="8">
        <v>55.5</v>
      </c>
      <c r="O11" s="8"/>
      <c r="P11" s="8"/>
      <c r="Q11" s="10">
        <f t="shared" si="7"/>
        <v>11.062999999999995</v>
      </c>
    </row>
    <row r="12" spans="1:17" x14ac:dyDescent="0.35">
      <c r="A12" s="3">
        <v>1859</v>
      </c>
      <c r="B12" s="4">
        <f t="shared" si="0"/>
        <v>43.427999999999997</v>
      </c>
      <c r="C12" s="4">
        <f t="shared" si="1"/>
        <v>60.895000000000003</v>
      </c>
      <c r="D12" s="4">
        <f t="shared" si="2"/>
        <v>56.106000000000002</v>
      </c>
      <c r="E12" s="4">
        <f t="shared" si="3"/>
        <v>71.721000000000004</v>
      </c>
      <c r="F12" s="4">
        <f t="shared" si="4"/>
        <v>12.678000000000004</v>
      </c>
      <c r="G12" s="4">
        <f t="shared" si="5"/>
        <v>4.7890000000000015</v>
      </c>
      <c r="H12" s="4">
        <f t="shared" si="6"/>
        <v>0</v>
      </c>
      <c r="I12" s="5">
        <v>60.895000000000003</v>
      </c>
      <c r="J12" s="5">
        <v>43.427999999999997</v>
      </c>
      <c r="K12" s="5"/>
      <c r="L12" s="5"/>
      <c r="M12" s="5">
        <v>71.721000000000004</v>
      </c>
      <c r="N12" s="5">
        <v>56.106000000000002</v>
      </c>
      <c r="O12" s="5"/>
      <c r="P12" s="5"/>
      <c r="Q12" s="10">
        <f t="shared" si="7"/>
        <v>10.826000000000001</v>
      </c>
    </row>
    <row r="13" spans="1:17" x14ac:dyDescent="0.35">
      <c r="A13" s="6">
        <v>1860</v>
      </c>
      <c r="B13" s="7">
        <f t="shared" si="0"/>
        <v>44.500999999999998</v>
      </c>
      <c r="C13" s="7">
        <f t="shared" si="1"/>
        <v>62.326000000000001</v>
      </c>
      <c r="D13" s="7">
        <f t="shared" si="2"/>
        <v>57.055</v>
      </c>
      <c r="E13" s="7">
        <f t="shared" si="3"/>
        <v>72.893000000000001</v>
      </c>
      <c r="F13" s="7">
        <f t="shared" si="4"/>
        <v>12.554000000000002</v>
      </c>
      <c r="G13" s="7">
        <f t="shared" si="5"/>
        <v>5.2710000000000008</v>
      </c>
      <c r="H13" s="7">
        <f t="shared" si="6"/>
        <v>0</v>
      </c>
      <c r="I13" s="8">
        <v>62.326000000000001</v>
      </c>
      <c r="J13" s="8">
        <v>44.500999999999998</v>
      </c>
      <c r="K13" s="8"/>
      <c r="L13" s="8"/>
      <c r="M13" s="8">
        <v>72.893000000000001</v>
      </c>
      <c r="N13" s="8">
        <v>57.055</v>
      </c>
      <c r="O13" s="8"/>
      <c r="P13" s="8"/>
      <c r="Q13" s="10">
        <f t="shared" si="7"/>
        <v>10.567</v>
      </c>
    </row>
    <row r="14" spans="1:17" x14ac:dyDescent="0.35">
      <c r="A14" s="3">
        <v>1861</v>
      </c>
      <c r="B14" s="4">
        <f t="shared" si="0"/>
        <v>45.063000000000002</v>
      </c>
      <c r="C14" s="4">
        <f t="shared" si="1"/>
        <v>62.97</v>
      </c>
      <c r="D14" s="4">
        <f t="shared" si="2"/>
        <v>57.593000000000004</v>
      </c>
      <c r="E14" s="4">
        <f t="shared" si="3"/>
        <v>73.501999999999995</v>
      </c>
      <c r="F14" s="4">
        <f t="shared" si="4"/>
        <v>12.530000000000001</v>
      </c>
      <c r="G14" s="4">
        <f t="shared" si="5"/>
        <v>5.3769999999999953</v>
      </c>
      <c r="H14" s="4">
        <f t="shared" si="6"/>
        <v>0</v>
      </c>
      <c r="I14" s="5">
        <v>62.97</v>
      </c>
      <c r="J14" s="5">
        <v>45.063000000000002</v>
      </c>
      <c r="K14" s="5"/>
      <c r="L14" s="5"/>
      <c r="M14" s="5">
        <v>73.501999999999995</v>
      </c>
      <c r="N14" s="5">
        <v>57.593000000000004</v>
      </c>
      <c r="O14" s="5"/>
      <c r="P14" s="5"/>
      <c r="Q14" s="10">
        <f t="shared" si="7"/>
        <v>10.531999999999996</v>
      </c>
    </row>
    <row r="15" spans="1:17" x14ac:dyDescent="0.35">
      <c r="A15" s="6">
        <v>1862</v>
      </c>
      <c r="B15" s="7">
        <f t="shared" si="0"/>
        <v>45.155999999999999</v>
      </c>
      <c r="C15" s="7">
        <f t="shared" si="1"/>
        <v>62.966999999999999</v>
      </c>
      <c r="D15" s="7">
        <f t="shared" si="2"/>
        <v>57.801000000000002</v>
      </c>
      <c r="E15" s="7">
        <f t="shared" si="3"/>
        <v>73.709000000000003</v>
      </c>
      <c r="F15" s="7">
        <f t="shared" si="4"/>
        <v>12.645000000000003</v>
      </c>
      <c r="G15" s="7">
        <f t="shared" si="5"/>
        <v>5.1659999999999968</v>
      </c>
      <c r="H15" s="7">
        <f t="shared" si="6"/>
        <v>0</v>
      </c>
      <c r="I15" s="8">
        <v>62.966999999999999</v>
      </c>
      <c r="J15" s="8">
        <v>45.155999999999999</v>
      </c>
      <c r="K15" s="8"/>
      <c r="L15" s="8"/>
      <c r="M15" s="8">
        <v>73.709000000000003</v>
      </c>
      <c r="N15" s="8">
        <v>57.801000000000002</v>
      </c>
      <c r="O15" s="8"/>
      <c r="P15" s="8"/>
      <c r="Q15" s="10">
        <f t="shared" si="7"/>
        <v>10.742000000000004</v>
      </c>
    </row>
    <row r="16" spans="1:17" x14ac:dyDescent="0.35">
      <c r="A16" s="3">
        <v>1863</v>
      </c>
      <c r="B16" s="4">
        <f t="shared" si="0"/>
        <v>45.792999999999999</v>
      </c>
      <c r="C16" s="4">
        <f t="shared" si="1"/>
        <v>63.665999999999997</v>
      </c>
      <c r="D16" s="4">
        <f t="shared" si="2"/>
        <v>58.41</v>
      </c>
      <c r="E16" s="4">
        <f t="shared" si="3"/>
        <v>74.367000000000004</v>
      </c>
      <c r="F16" s="4">
        <f t="shared" si="4"/>
        <v>12.616999999999997</v>
      </c>
      <c r="G16" s="4">
        <f t="shared" si="5"/>
        <v>5.2560000000000002</v>
      </c>
      <c r="H16" s="4">
        <f t="shared" si="6"/>
        <v>0</v>
      </c>
      <c r="I16" s="5">
        <v>63.665999999999997</v>
      </c>
      <c r="J16" s="5">
        <v>45.792999999999999</v>
      </c>
      <c r="K16" s="5"/>
      <c r="L16" s="5"/>
      <c r="M16" s="5">
        <v>74.367000000000004</v>
      </c>
      <c r="N16" s="5">
        <v>58.41</v>
      </c>
      <c r="O16" s="5"/>
      <c r="P16" s="5"/>
      <c r="Q16" s="10">
        <f t="shared" si="7"/>
        <v>10.701000000000008</v>
      </c>
    </row>
    <row r="17" spans="1:17" x14ac:dyDescent="0.35">
      <c r="A17" s="6">
        <v>1864</v>
      </c>
      <c r="B17" s="7">
        <f t="shared" si="0"/>
        <v>46.652999999999999</v>
      </c>
      <c r="C17" s="7">
        <f t="shared" si="1"/>
        <v>64.664000000000001</v>
      </c>
      <c r="D17" s="7">
        <f t="shared" si="2"/>
        <v>59.201999999999998</v>
      </c>
      <c r="E17" s="7">
        <f t="shared" si="3"/>
        <v>75.251000000000005</v>
      </c>
      <c r="F17" s="7">
        <f t="shared" si="4"/>
        <v>12.548999999999999</v>
      </c>
      <c r="G17" s="7">
        <f t="shared" si="5"/>
        <v>5.4620000000000033</v>
      </c>
      <c r="H17" s="7">
        <f t="shared" si="6"/>
        <v>0</v>
      </c>
      <c r="I17" s="8">
        <v>64.664000000000001</v>
      </c>
      <c r="J17" s="8">
        <v>46.652999999999999</v>
      </c>
      <c r="K17" s="8"/>
      <c r="L17" s="8"/>
      <c r="M17" s="8">
        <v>75.251000000000005</v>
      </c>
      <c r="N17" s="8">
        <v>59.201999999999998</v>
      </c>
      <c r="O17" s="8"/>
      <c r="P17" s="8"/>
      <c r="Q17" s="10">
        <f t="shared" si="7"/>
        <v>10.587000000000003</v>
      </c>
    </row>
    <row r="18" spans="1:17" x14ac:dyDescent="0.35">
      <c r="A18" s="3">
        <v>1865</v>
      </c>
      <c r="B18" s="4">
        <f t="shared" si="0"/>
        <v>47.335999999999999</v>
      </c>
      <c r="C18" s="4">
        <f t="shared" si="1"/>
        <v>65.406999999999996</v>
      </c>
      <c r="D18" s="4">
        <f t="shared" si="2"/>
        <v>59.857999999999997</v>
      </c>
      <c r="E18" s="4">
        <f t="shared" si="3"/>
        <v>75.965000000000003</v>
      </c>
      <c r="F18" s="4">
        <f t="shared" si="4"/>
        <v>12.521999999999998</v>
      </c>
      <c r="G18" s="4">
        <f t="shared" si="5"/>
        <v>5.5489999999999995</v>
      </c>
      <c r="H18" s="4">
        <f t="shared" si="6"/>
        <v>0</v>
      </c>
      <c r="I18" s="5">
        <v>65.406999999999996</v>
      </c>
      <c r="J18" s="5">
        <v>47.335999999999999</v>
      </c>
      <c r="K18" s="5"/>
      <c r="L18" s="5"/>
      <c r="M18" s="5">
        <v>75.965000000000003</v>
      </c>
      <c r="N18" s="5">
        <v>59.857999999999997</v>
      </c>
      <c r="O18" s="5"/>
      <c r="P18" s="5"/>
      <c r="Q18" s="10">
        <f t="shared" si="7"/>
        <v>10.558000000000007</v>
      </c>
    </row>
    <row r="19" spans="1:17" x14ac:dyDescent="0.35">
      <c r="A19" s="6">
        <v>1866</v>
      </c>
      <c r="B19" s="7">
        <f t="shared" si="0"/>
        <v>47.64</v>
      </c>
      <c r="C19" s="7">
        <f t="shared" si="1"/>
        <v>65.641000000000005</v>
      </c>
      <c r="D19" s="7">
        <f t="shared" si="2"/>
        <v>60.234000000000002</v>
      </c>
      <c r="E19" s="7">
        <f t="shared" si="3"/>
        <v>76.322000000000003</v>
      </c>
      <c r="F19" s="7">
        <f t="shared" si="4"/>
        <v>12.594000000000001</v>
      </c>
      <c r="G19" s="7">
        <f t="shared" si="5"/>
        <v>5.4070000000000036</v>
      </c>
      <c r="H19" s="7">
        <f t="shared" si="6"/>
        <v>0</v>
      </c>
      <c r="I19" s="8">
        <v>65.641000000000005</v>
      </c>
      <c r="J19" s="8">
        <v>47.64</v>
      </c>
      <c r="K19" s="8"/>
      <c r="L19" s="8"/>
      <c r="M19" s="8">
        <v>76.322000000000003</v>
      </c>
      <c r="N19" s="8">
        <v>60.234000000000002</v>
      </c>
      <c r="O19" s="8"/>
      <c r="P19" s="8"/>
      <c r="Q19" s="10">
        <f t="shared" si="7"/>
        <v>10.680999999999997</v>
      </c>
    </row>
    <row r="20" spans="1:17" x14ac:dyDescent="0.35">
      <c r="A20" s="3">
        <v>1867</v>
      </c>
      <c r="B20" s="4">
        <f t="shared" si="0"/>
        <v>48.424999999999997</v>
      </c>
      <c r="C20" s="4">
        <f t="shared" si="1"/>
        <v>66.492000000000004</v>
      </c>
      <c r="D20" s="4">
        <f t="shared" si="2"/>
        <v>60.975999999999999</v>
      </c>
      <c r="E20" s="4">
        <f t="shared" si="3"/>
        <v>77.141000000000005</v>
      </c>
      <c r="F20" s="4">
        <f t="shared" si="4"/>
        <v>12.551000000000002</v>
      </c>
      <c r="G20" s="4">
        <f t="shared" si="5"/>
        <v>5.5160000000000053</v>
      </c>
      <c r="H20" s="4">
        <f t="shared" si="6"/>
        <v>0</v>
      </c>
      <c r="I20" s="5">
        <v>66.492000000000004</v>
      </c>
      <c r="J20" s="5">
        <v>48.424999999999997</v>
      </c>
      <c r="K20" s="5"/>
      <c r="L20" s="5"/>
      <c r="M20" s="5">
        <v>77.141000000000005</v>
      </c>
      <c r="N20" s="5">
        <v>60.975999999999999</v>
      </c>
      <c r="O20" s="5"/>
      <c r="P20" s="5"/>
      <c r="Q20" s="10">
        <f t="shared" si="7"/>
        <v>10.649000000000001</v>
      </c>
    </row>
    <row r="21" spans="1:17" x14ac:dyDescent="0.35">
      <c r="A21" s="6">
        <v>1868</v>
      </c>
      <c r="B21" s="7">
        <f t="shared" si="0"/>
        <v>48.673000000000002</v>
      </c>
      <c r="C21" s="7">
        <f t="shared" si="1"/>
        <v>66.667000000000002</v>
      </c>
      <c r="D21" s="7">
        <f t="shared" si="2"/>
        <v>61.286999999999999</v>
      </c>
      <c r="E21" s="7">
        <f t="shared" si="3"/>
        <v>77.430000000000007</v>
      </c>
      <c r="F21" s="7">
        <f t="shared" si="4"/>
        <v>12.613999999999997</v>
      </c>
      <c r="G21" s="7">
        <f t="shared" si="5"/>
        <v>5.3800000000000026</v>
      </c>
      <c r="H21" s="7">
        <f t="shared" si="6"/>
        <v>0</v>
      </c>
      <c r="I21" s="8">
        <v>66.667000000000002</v>
      </c>
      <c r="J21" s="8">
        <v>48.673000000000002</v>
      </c>
      <c r="K21" s="8"/>
      <c r="L21" s="8"/>
      <c r="M21" s="8">
        <v>77.430000000000007</v>
      </c>
      <c r="N21" s="8">
        <v>61.286999999999999</v>
      </c>
      <c r="O21" s="8"/>
      <c r="P21" s="8"/>
      <c r="Q21" s="10">
        <f t="shared" si="7"/>
        <v>10.763000000000005</v>
      </c>
    </row>
    <row r="22" spans="1:17" x14ac:dyDescent="0.35">
      <c r="A22" s="3">
        <v>1869</v>
      </c>
      <c r="B22" s="4">
        <f t="shared" si="0"/>
        <v>49.384999999999998</v>
      </c>
      <c r="C22" s="4">
        <f t="shared" si="1"/>
        <v>67.436999999999998</v>
      </c>
      <c r="D22" s="4">
        <f t="shared" si="2"/>
        <v>61.95</v>
      </c>
      <c r="E22" s="4">
        <f t="shared" si="3"/>
        <v>78.134</v>
      </c>
      <c r="F22" s="4">
        <f t="shared" si="4"/>
        <v>12.565000000000005</v>
      </c>
      <c r="G22" s="4">
        <f t="shared" si="5"/>
        <v>5.4869999999999948</v>
      </c>
      <c r="H22" s="4">
        <f t="shared" si="6"/>
        <v>0</v>
      </c>
      <c r="I22" s="5">
        <v>67.436999999999998</v>
      </c>
      <c r="J22" s="5">
        <v>49.384999999999998</v>
      </c>
      <c r="K22" s="5"/>
      <c r="L22" s="5"/>
      <c r="M22" s="5">
        <v>78.134</v>
      </c>
      <c r="N22" s="5">
        <v>61.95</v>
      </c>
      <c r="O22" s="5"/>
      <c r="P22" s="5"/>
      <c r="Q22" s="10">
        <f t="shared" si="7"/>
        <v>10.697000000000003</v>
      </c>
    </row>
    <row r="23" spans="1:17" x14ac:dyDescent="0.35">
      <c r="A23" s="6">
        <v>1870</v>
      </c>
      <c r="B23" s="7">
        <f t="shared" si="0"/>
        <v>49.515999999999998</v>
      </c>
      <c r="C23" s="7">
        <f t="shared" si="1"/>
        <v>67.429000000000002</v>
      </c>
      <c r="D23" s="7">
        <f t="shared" si="2"/>
        <v>62.151000000000003</v>
      </c>
      <c r="E23" s="7">
        <f t="shared" si="3"/>
        <v>78.251999999999995</v>
      </c>
      <c r="F23" s="7">
        <f t="shared" si="4"/>
        <v>12.635000000000005</v>
      </c>
      <c r="G23" s="7">
        <f t="shared" si="5"/>
        <v>5.2779999999999987</v>
      </c>
      <c r="H23" s="7">
        <f t="shared" si="6"/>
        <v>0</v>
      </c>
      <c r="I23" s="8">
        <v>67.429000000000002</v>
      </c>
      <c r="J23" s="8">
        <v>49.515999999999998</v>
      </c>
      <c r="K23" s="8"/>
      <c r="L23" s="8"/>
      <c r="M23" s="8">
        <v>78.251999999999995</v>
      </c>
      <c r="N23" s="8">
        <v>62.151000000000003</v>
      </c>
      <c r="O23" s="8"/>
      <c r="P23" s="8"/>
      <c r="Q23" s="10">
        <f t="shared" si="7"/>
        <v>10.822999999999993</v>
      </c>
    </row>
    <row r="24" spans="1:17" x14ac:dyDescent="0.35">
      <c r="A24" s="3">
        <v>1871</v>
      </c>
      <c r="B24" s="4">
        <f t="shared" si="0"/>
        <v>50.082999999999998</v>
      </c>
      <c r="C24" s="4">
        <f t="shared" si="1"/>
        <v>67.879000000000005</v>
      </c>
      <c r="D24" s="4">
        <f t="shared" si="2"/>
        <v>62.792000000000002</v>
      </c>
      <c r="E24" s="4">
        <f t="shared" si="3"/>
        <v>78.844999999999999</v>
      </c>
      <c r="F24" s="4">
        <f t="shared" si="4"/>
        <v>12.709000000000003</v>
      </c>
      <c r="G24" s="4">
        <f t="shared" si="5"/>
        <v>5.0870000000000033</v>
      </c>
      <c r="H24" s="4">
        <f t="shared" si="6"/>
        <v>0</v>
      </c>
      <c r="I24" s="5">
        <v>67.879000000000005</v>
      </c>
      <c r="J24" s="5">
        <v>50.082999999999998</v>
      </c>
      <c r="K24" s="5"/>
      <c r="L24" s="5"/>
      <c r="M24" s="5">
        <v>78.844999999999999</v>
      </c>
      <c r="N24" s="5">
        <v>62.792000000000002</v>
      </c>
      <c r="O24" s="5"/>
      <c r="P24" s="5"/>
      <c r="Q24" s="10">
        <f t="shared" si="7"/>
        <v>10.965999999999994</v>
      </c>
    </row>
    <row r="25" spans="1:17" x14ac:dyDescent="0.35">
      <c r="A25" s="6">
        <v>1872</v>
      </c>
      <c r="B25" s="7">
        <f t="shared" si="0"/>
        <v>51.488</v>
      </c>
      <c r="C25" s="7">
        <f t="shared" si="1"/>
        <v>69.328000000000003</v>
      </c>
      <c r="D25" s="7">
        <f t="shared" si="2"/>
        <v>63.984000000000002</v>
      </c>
      <c r="E25" s="7">
        <f t="shared" si="3"/>
        <v>79.95</v>
      </c>
      <c r="F25" s="7">
        <f t="shared" si="4"/>
        <v>12.496000000000002</v>
      </c>
      <c r="G25" s="7">
        <f t="shared" si="5"/>
        <v>5.3440000000000012</v>
      </c>
      <c r="H25" s="7">
        <f t="shared" si="6"/>
        <v>0</v>
      </c>
      <c r="I25" s="8">
        <v>69.328000000000003</v>
      </c>
      <c r="J25" s="8">
        <v>51.488</v>
      </c>
      <c r="K25" s="8"/>
      <c r="L25" s="8"/>
      <c r="M25" s="8">
        <v>79.95</v>
      </c>
      <c r="N25" s="8">
        <v>63.984000000000002</v>
      </c>
      <c r="O25" s="8"/>
      <c r="P25" s="8"/>
      <c r="Q25" s="10">
        <f t="shared" si="7"/>
        <v>10.622</v>
      </c>
    </row>
    <row r="26" spans="1:17" x14ac:dyDescent="0.35">
      <c r="A26" s="3">
        <v>1873</v>
      </c>
      <c r="B26" s="4">
        <f t="shared" si="0"/>
        <v>52.276000000000003</v>
      </c>
      <c r="C26" s="4">
        <f t="shared" si="1"/>
        <v>70.091999999999999</v>
      </c>
      <c r="D26" s="4">
        <f t="shared" si="2"/>
        <v>64.694999999999993</v>
      </c>
      <c r="E26" s="4">
        <f t="shared" si="3"/>
        <v>80.572999999999993</v>
      </c>
      <c r="F26" s="4">
        <f t="shared" si="4"/>
        <v>12.41899999999999</v>
      </c>
      <c r="G26" s="4">
        <f t="shared" si="5"/>
        <v>5.3970000000000056</v>
      </c>
      <c r="H26" s="4">
        <f t="shared" si="6"/>
        <v>0</v>
      </c>
      <c r="I26" s="5">
        <v>70.091999999999999</v>
      </c>
      <c r="J26" s="5">
        <v>52.276000000000003</v>
      </c>
      <c r="K26" s="5"/>
      <c r="L26" s="5"/>
      <c r="M26" s="5">
        <v>80.572999999999993</v>
      </c>
      <c r="N26" s="5">
        <v>64.694999999999993</v>
      </c>
      <c r="O26" s="5"/>
      <c r="P26" s="5"/>
      <c r="Q26" s="10">
        <f t="shared" si="7"/>
        <v>10.480999999999995</v>
      </c>
    </row>
    <row r="27" spans="1:17" x14ac:dyDescent="0.35">
      <c r="A27" s="6">
        <v>1874</v>
      </c>
      <c r="B27" s="7">
        <f t="shared" si="0"/>
        <v>50.966000000000001</v>
      </c>
      <c r="C27" s="7">
        <f t="shared" si="1"/>
        <v>68.477999999999994</v>
      </c>
      <c r="D27" s="7">
        <f t="shared" si="2"/>
        <v>63.904000000000003</v>
      </c>
      <c r="E27" s="7">
        <f t="shared" si="3"/>
        <v>79.715000000000003</v>
      </c>
      <c r="F27" s="7">
        <f t="shared" si="4"/>
        <v>12.938000000000002</v>
      </c>
      <c r="G27" s="7">
        <f t="shared" si="5"/>
        <v>4.573999999999991</v>
      </c>
      <c r="H27" s="7">
        <f t="shared" si="6"/>
        <v>0</v>
      </c>
      <c r="I27" s="8">
        <v>68.477999999999994</v>
      </c>
      <c r="J27" s="8">
        <v>50.966000000000001</v>
      </c>
      <c r="K27" s="8"/>
      <c r="L27" s="8"/>
      <c r="M27" s="8">
        <v>79.715000000000003</v>
      </c>
      <c r="N27" s="8">
        <v>63.904000000000003</v>
      </c>
      <c r="O27" s="8"/>
      <c r="P27" s="8"/>
      <c r="Q27" s="10">
        <f t="shared" si="7"/>
        <v>11.237000000000009</v>
      </c>
    </row>
    <row r="28" spans="1:17" x14ac:dyDescent="0.35">
      <c r="A28" s="3">
        <v>1875</v>
      </c>
      <c r="B28" s="4">
        <f t="shared" si="0"/>
        <v>52.143000000000001</v>
      </c>
      <c r="C28" s="4">
        <f t="shared" si="1"/>
        <v>69.724999999999994</v>
      </c>
      <c r="D28" s="4">
        <f t="shared" si="2"/>
        <v>64.863</v>
      </c>
      <c r="E28" s="4">
        <f t="shared" si="3"/>
        <v>80.602000000000004</v>
      </c>
      <c r="F28" s="4">
        <f t="shared" si="4"/>
        <v>12.719999999999999</v>
      </c>
      <c r="G28" s="4">
        <f t="shared" si="5"/>
        <v>4.8619999999999948</v>
      </c>
      <c r="H28" s="4">
        <f t="shared" si="6"/>
        <v>0</v>
      </c>
      <c r="I28" s="5">
        <v>69.724999999999994</v>
      </c>
      <c r="J28" s="5">
        <v>52.143000000000001</v>
      </c>
      <c r="K28" s="5"/>
      <c r="L28" s="5"/>
      <c r="M28" s="5">
        <v>80.602000000000004</v>
      </c>
      <c r="N28" s="5">
        <v>64.863</v>
      </c>
      <c r="O28" s="5"/>
      <c r="P28" s="5"/>
      <c r="Q28" s="10">
        <f t="shared" si="7"/>
        <v>10.87700000000001</v>
      </c>
    </row>
    <row r="29" spans="1:17" x14ac:dyDescent="0.35">
      <c r="A29" s="6">
        <v>1876</v>
      </c>
      <c r="B29" s="7">
        <f t="shared" si="0"/>
        <v>51.835000000000001</v>
      </c>
      <c r="C29" s="7">
        <f t="shared" si="1"/>
        <v>69.063999999999993</v>
      </c>
      <c r="D29" s="7">
        <f t="shared" si="2"/>
        <v>65.019000000000005</v>
      </c>
      <c r="E29" s="7">
        <f t="shared" si="3"/>
        <v>80.683000000000007</v>
      </c>
      <c r="F29" s="7">
        <f t="shared" si="4"/>
        <v>13.184000000000005</v>
      </c>
      <c r="G29" s="7">
        <f t="shared" si="5"/>
        <v>4.0449999999999875</v>
      </c>
      <c r="H29" s="7">
        <f t="shared" si="6"/>
        <v>0</v>
      </c>
      <c r="I29" s="8">
        <v>69.063999999999993</v>
      </c>
      <c r="J29" s="8">
        <v>51.835000000000001</v>
      </c>
      <c r="K29" s="8"/>
      <c r="L29" s="8"/>
      <c r="M29" s="8">
        <v>80.683000000000007</v>
      </c>
      <c r="N29" s="8">
        <v>65.019000000000005</v>
      </c>
      <c r="O29" s="8"/>
      <c r="P29" s="8"/>
      <c r="Q29" s="10">
        <f t="shared" si="7"/>
        <v>11.619000000000014</v>
      </c>
    </row>
    <row r="30" spans="1:17" x14ac:dyDescent="0.35">
      <c r="A30" s="3">
        <v>1877</v>
      </c>
      <c r="B30" s="4">
        <f t="shared" si="0"/>
        <v>52.078000000000003</v>
      </c>
      <c r="C30" s="4">
        <f t="shared" si="1"/>
        <v>69.323999999999998</v>
      </c>
      <c r="D30" s="4">
        <f t="shared" si="2"/>
        <v>65.236999999999995</v>
      </c>
      <c r="E30" s="4">
        <f t="shared" si="3"/>
        <v>80.849000000000004</v>
      </c>
      <c r="F30" s="4">
        <f t="shared" si="4"/>
        <v>13.158999999999992</v>
      </c>
      <c r="G30" s="4">
        <f t="shared" si="5"/>
        <v>4.0870000000000033</v>
      </c>
      <c r="H30" s="4">
        <f t="shared" si="6"/>
        <v>0</v>
      </c>
      <c r="I30" s="5">
        <v>69.323999999999998</v>
      </c>
      <c r="J30" s="5">
        <v>52.078000000000003</v>
      </c>
      <c r="K30" s="5"/>
      <c r="L30" s="5"/>
      <c r="M30" s="5">
        <v>80.849000000000004</v>
      </c>
      <c r="N30" s="5">
        <v>65.236999999999995</v>
      </c>
      <c r="O30" s="5"/>
      <c r="P30" s="5"/>
      <c r="Q30" s="10">
        <f t="shared" si="7"/>
        <v>11.525000000000006</v>
      </c>
    </row>
    <row r="31" spans="1:17" x14ac:dyDescent="0.35">
      <c r="A31" s="6">
        <v>1878</v>
      </c>
      <c r="B31" s="7">
        <f t="shared" si="0"/>
        <v>51.831000000000003</v>
      </c>
      <c r="C31" s="7">
        <f t="shared" si="1"/>
        <v>68.790999999999997</v>
      </c>
      <c r="D31" s="7">
        <f t="shared" si="2"/>
        <v>65.241</v>
      </c>
      <c r="E31" s="7">
        <f t="shared" si="3"/>
        <v>80.676000000000002</v>
      </c>
      <c r="F31" s="7">
        <f t="shared" si="4"/>
        <v>13.409999999999997</v>
      </c>
      <c r="G31" s="7">
        <f t="shared" si="5"/>
        <v>3.5499999999999972</v>
      </c>
      <c r="H31" s="7">
        <f t="shared" si="6"/>
        <v>0</v>
      </c>
      <c r="I31" s="8">
        <v>68.790999999999997</v>
      </c>
      <c r="J31" s="8">
        <v>51.831000000000003</v>
      </c>
      <c r="K31" s="8"/>
      <c r="L31" s="8"/>
      <c r="M31" s="8">
        <v>80.676000000000002</v>
      </c>
      <c r="N31" s="8">
        <v>65.241</v>
      </c>
      <c r="O31" s="8"/>
      <c r="P31" s="8"/>
      <c r="Q31" s="10">
        <f t="shared" si="7"/>
        <v>11.885000000000005</v>
      </c>
    </row>
    <row r="32" spans="1:17" x14ac:dyDescent="0.35">
      <c r="A32" s="3">
        <v>1879</v>
      </c>
      <c r="B32" s="4">
        <f t="shared" si="0"/>
        <v>52.72</v>
      </c>
      <c r="C32" s="4">
        <f t="shared" si="1"/>
        <v>69.649000000000001</v>
      </c>
      <c r="D32" s="4">
        <f t="shared" si="2"/>
        <v>66.037999999999997</v>
      </c>
      <c r="E32" s="4">
        <f t="shared" si="3"/>
        <v>81.385000000000005</v>
      </c>
      <c r="F32" s="4">
        <f t="shared" si="4"/>
        <v>13.317999999999998</v>
      </c>
      <c r="G32" s="4">
        <f t="shared" si="5"/>
        <v>3.6110000000000042</v>
      </c>
      <c r="H32" s="4">
        <f t="shared" si="6"/>
        <v>0</v>
      </c>
      <c r="I32" s="5">
        <v>69.649000000000001</v>
      </c>
      <c r="J32" s="5">
        <v>52.72</v>
      </c>
      <c r="K32" s="5"/>
      <c r="L32" s="5"/>
      <c r="M32" s="5">
        <v>81.385000000000005</v>
      </c>
      <c r="N32" s="5">
        <v>66.037999999999997</v>
      </c>
      <c r="O32" s="5"/>
      <c r="P32" s="5"/>
      <c r="Q32" s="10">
        <f t="shared" si="7"/>
        <v>11.736000000000004</v>
      </c>
    </row>
    <row r="33" spans="1:17" x14ac:dyDescent="0.35">
      <c r="A33" s="6">
        <v>1880</v>
      </c>
      <c r="B33" s="7">
        <f t="shared" si="0"/>
        <v>54.576000000000001</v>
      </c>
      <c r="C33" s="7">
        <f t="shared" si="1"/>
        <v>71.466999999999999</v>
      </c>
      <c r="D33" s="7">
        <f t="shared" si="2"/>
        <v>67.498000000000005</v>
      </c>
      <c r="E33" s="7">
        <f t="shared" si="3"/>
        <v>82.632000000000005</v>
      </c>
      <c r="F33" s="7">
        <f t="shared" si="4"/>
        <v>12.922000000000004</v>
      </c>
      <c r="G33" s="7">
        <f t="shared" si="5"/>
        <v>3.9689999999999941</v>
      </c>
      <c r="H33" s="7">
        <f t="shared" si="6"/>
        <v>0</v>
      </c>
      <c r="I33" s="8">
        <v>71.466999999999999</v>
      </c>
      <c r="J33" s="8">
        <v>54.576000000000001</v>
      </c>
      <c r="K33" s="8"/>
      <c r="L33" s="8"/>
      <c r="M33" s="8">
        <v>82.632000000000005</v>
      </c>
      <c r="N33" s="8">
        <v>67.498000000000005</v>
      </c>
      <c r="O33" s="8"/>
      <c r="P33" s="8"/>
      <c r="Q33" s="10">
        <f t="shared" si="7"/>
        <v>11.165000000000006</v>
      </c>
    </row>
    <row r="34" spans="1:17" x14ac:dyDescent="0.35">
      <c r="A34" s="3">
        <v>1881</v>
      </c>
      <c r="B34" s="4">
        <f t="shared" si="0"/>
        <v>54.878</v>
      </c>
      <c r="C34" s="4">
        <f t="shared" si="1"/>
        <v>71.813000000000002</v>
      </c>
      <c r="D34" s="4">
        <f t="shared" si="2"/>
        <v>67.784999999999997</v>
      </c>
      <c r="E34" s="4">
        <f t="shared" si="3"/>
        <v>82.921000000000006</v>
      </c>
      <c r="F34" s="4">
        <f t="shared" si="4"/>
        <v>12.906999999999996</v>
      </c>
      <c r="G34" s="4">
        <f t="shared" si="5"/>
        <v>4.0280000000000058</v>
      </c>
      <c r="H34" s="4">
        <f t="shared" si="6"/>
        <v>0</v>
      </c>
      <c r="I34" s="5">
        <v>71.813000000000002</v>
      </c>
      <c r="J34" s="5">
        <v>54.878</v>
      </c>
      <c r="K34" s="5"/>
      <c r="L34" s="5"/>
      <c r="M34" s="5">
        <v>82.921000000000006</v>
      </c>
      <c r="N34" s="5">
        <v>67.784999999999997</v>
      </c>
      <c r="O34" s="5"/>
      <c r="P34" s="5"/>
      <c r="Q34" s="10">
        <f t="shared" si="7"/>
        <v>11.108000000000004</v>
      </c>
    </row>
    <row r="35" spans="1:17" x14ac:dyDescent="0.35">
      <c r="A35" s="6">
        <v>1882</v>
      </c>
      <c r="B35" s="7">
        <f t="shared" ref="B35:B66" si="8">IFERROR(MIN(I35:L35),"")</f>
        <v>55.573</v>
      </c>
      <c r="C35" s="7">
        <f t="shared" ref="C35:C66" si="9">IFERROR(MAX(I35:L35),"")</f>
        <v>72.463999999999999</v>
      </c>
      <c r="D35" s="7">
        <f t="shared" ref="D35:D66" si="10">IFERROR(MIN(M35:P35),"")</f>
        <v>68.346999999999994</v>
      </c>
      <c r="E35" s="7">
        <f t="shared" ref="E35:E66" si="11">IFERROR(MAX(M35:P35),"")</f>
        <v>83.391000000000005</v>
      </c>
      <c r="F35" s="7">
        <f t="shared" ref="F35:F66" si="12">IFERROR(MIN(C35,D35)-B35,"")</f>
        <v>12.773999999999994</v>
      </c>
      <c r="G35" s="7">
        <f t="shared" ref="G35:G66" si="13">IFERROR(MAX(0,C35-D35),"")</f>
        <v>4.1170000000000044</v>
      </c>
      <c r="H35" s="7">
        <f t="shared" ref="H35:H66" si="14">IFERROR(MAX(0,D35-C35),"")</f>
        <v>0</v>
      </c>
      <c r="I35" s="8">
        <v>72.463999999999999</v>
      </c>
      <c r="J35" s="8">
        <v>55.573</v>
      </c>
      <c r="K35" s="8"/>
      <c r="L35" s="8"/>
      <c r="M35" s="8">
        <v>83.391000000000005</v>
      </c>
      <c r="N35" s="8">
        <v>68.346999999999994</v>
      </c>
      <c r="O35" s="8"/>
      <c r="P35" s="8"/>
      <c r="Q35" s="10">
        <f t="shared" ref="Q35:Q66" si="15">IFERROR(MAX(0,$E35-MAX($C35,$D35)),"")</f>
        <v>10.927000000000007</v>
      </c>
    </row>
    <row r="36" spans="1:17" x14ac:dyDescent="0.35">
      <c r="A36" s="3">
        <v>1883</v>
      </c>
      <c r="B36" s="4">
        <f t="shared" si="8"/>
        <v>56.216000000000001</v>
      </c>
      <c r="C36" s="4">
        <f t="shared" si="9"/>
        <v>72.944000000000003</v>
      </c>
      <c r="D36" s="4">
        <f t="shared" si="10"/>
        <v>68.992999999999995</v>
      </c>
      <c r="E36" s="4">
        <f t="shared" si="11"/>
        <v>83.923000000000002</v>
      </c>
      <c r="F36" s="4">
        <f t="shared" si="12"/>
        <v>12.776999999999994</v>
      </c>
      <c r="G36" s="4">
        <f t="shared" si="13"/>
        <v>3.9510000000000076</v>
      </c>
      <c r="H36" s="4">
        <f t="shared" si="14"/>
        <v>0</v>
      </c>
      <c r="I36" s="5">
        <v>72.944000000000003</v>
      </c>
      <c r="J36" s="5">
        <v>56.216000000000001</v>
      </c>
      <c r="K36" s="5"/>
      <c r="L36" s="5"/>
      <c r="M36" s="5">
        <v>83.923000000000002</v>
      </c>
      <c r="N36" s="5">
        <v>68.992999999999995</v>
      </c>
      <c r="O36" s="5"/>
      <c r="P36" s="5"/>
      <c r="Q36" s="10">
        <f t="shared" si="15"/>
        <v>10.978999999999999</v>
      </c>
    </row>
    <row r="37" spans="1:17" x14ac:dyDescent="0.35">
      <c r="A37" s="6">
        <v>1884</v>
      </c>
      <c r="B37" s="7">
        <f t="shared" si="8"/>
        <v>56.124000000000002</v>
      </c>
      <c r="C37" s="7">
        <f t="shared" si="9"/>
        <v>72.760000000000005</v>
      </c>
      <c r="D37" s="7">
        <f t="shared" si="10"/>
        <v>69.006</v>
      </c>
      <c r="E37" s="7">
        <f t="shared" si="11"/>
        <v>83.897999999999996</v>
      </c>
      <c r="F37" s="7">
        <f t="shared" si="12"/>
        <v>12.881999999999998</v>
      </c>
      <c r="G37" s="7">
        <f t="shared" si="13"/>
        <v>3.7540000000000049</v>
      </c>
      <c r="H37" s="7">
        <f t="shared" si="14"/>
        <v>0</v>
      </c>
      <c r="I37" s="8">
        <v>72.760000000000005</v>
      </c>
      <c r="J37" s="8">
        <v>56.124000000000002</v>
      </c>
      <c r="K37" s="8"/>
      <c r="L37" s="8"/>
      <c r="M37" s="8">
        <v>83.897999999999996</v>
      </c>
      <c r="N37" s="8">
        <v>69.006</v>
      </c>
      <c r="O37" s="8"/>
      <c r="P37" s="8"/>
      <c r="Q37" s="10">
        <f t="shared" si="15"/>
        <v>11.137999999999991</v>
      </c>
    </row>
    <row r="38" spans="1:17" x14ac:dyDescent="0.35">
      <c r="A38" s="3">
        <v>1885</v>
      </c>
      <c r="B38" s="4">
        <f t="shared" si="8"/>
        <v>55.939</v>
      </c>
      <c r="C38" s="4">
        <f t="shared" si="9"/>
        <v>72.456000000000003</v>
      </c>
      <c r="D38" s="4">
        <f t="shared" si="10"/>
        <v>68.995999999999995</v>
      </c>
      <c r="E38" s="4">
        <f t="shared" si="11"/>
        <v>83.872</v>
      </c>
      <c r="F38" s="4">
        <f t="shared" si="12"/>
        <v>13.056999999999995</v>
      </c>
      <c r="G38" s="4">
        <f t="shared" si="13"/>
        <v>3.460000000000008</v>
      </c>
      <c r="H38" s="4">
        <f t="shared" si="14"/>
        <v>0</v>
      </c>
      <c r="I38" s="5">
        <v>72.456000000000003</v>
      </c>
      <c r="J38" s="5">
        <v>55.939</v>
      </c>
      <c r="K38" s="5"/>
      <c r="L38" s="5"/>
      <c r="M38" s="5">
        <v>83.872</v>
      </c>
      <c r="N38" s="5">
        <v>68.995999999999995</v>
      </c>
      <c r="O38" s="5"/>
      <c r="P38" s="5"/>
      <c r="Q38" s="10">
        <f t="shared" si="15"/>
        <v>11.415999999999997</v>
      </c>
    </row>
    <row r="39" spans="1:17" x14ac:dyDescent="0.35">
      <c r="A39" s="6">
        <v>1886</v>
      </c>
      <c r="B39" s="7">
        <f t="shared" si="8"/>
        <v>55.945999999999998</v>
      </c>
      <c r="C39" s="7">
        <f t="shared" si="9"/>
        <v>72.448999999999998</v>
      </c>
      <c r="D39" s="7">
        <f t="shared" si="10"/>
        <v>69.055999999999997</v>
      </c>
      <c r="E39" s="7">
        <f t="shared" si="11"/>
        <v>83.936999999999998</v>
      </c>
      <c r="F39" s="7">
        <f t="shared" si="12"/>
        <v>13.11</v>
      </c>
      <c r="G39" s="7">
        <f t="shared" si="13"/>
        <v>3.3930000000000007</v>
      </c>
      <c r="H39" s="7">
        <f t="shared" si="14"/>
        <v>0</v>
      </c>
      <c r="I39" s="8">
        <v>72.448999999999998</v>
      </c>
      <c r="J39" s="8">
        <v>55.945999999999998</v>
      </c>
      <c r="K39" s="8"/>
      <c r="L39" s="8"/>
      <c r="M39" s="8">
        <v>83.936999999999998</v>
      </c>
      <c r="N39" s="8">
        <v>69.055999999999997</v>
      </c>
      <c r="O39" s="8"/>
      <c r="P39" s="8"/>
      <c r="Q39" s="10">
        <f t="shared" si="15"/>
        <v>11.488</v>
      </c>
    </row>
    <row r="40" spans="1:17" x14ac:dyDescent="0.35">
      <c r="A40" s="3">
        <v>1887</v>
      </c>
      <c r="B40" s="4">
        <f t="shared" si="8"/>
        <v>56.503</v>
      </c>
      <c r="C40" s="4">
        <f t="shared" si="9"/>
        <v>72.95</v>
      </c>
      <c r="D40" s="4">
        <f t="shared" si="10"/>
        <v>69.512</v>
      </c>
      <c r="E40" s="4">
        <f t="shared" si="11"/>
        <v>84.299000000000007</v>
      </c>
      <c r="F40" s="4">
        <f t="shared" si="12"/>
        <v>13.009</v>
      </c>
      <c r="G40" s="4">
        <f t="shared" si="13"/>
        <v>3.4380000000000024</v>
      </c>
      <c r="H40" s="4">
        <f t="shared" si="14"/>
        <v>0</v>
      </c>
      <c r="I40" s="5">
        <v>72.95</v>
      </c>
      <c r="J40" s="5">
        <v>56.503</v>
      </c>
      <c r="K40" s="5"/>
      <c r="L40" s="5"/>
      <c r="M40" s="5">
        <v>84.299000000000007</v>
      </c>
      <c r="N40" s="5">
        <v>69.512</v>
      </c>
      <c r="O40" s="5"/>
      <c r="P40" s="5"/>
      <c r="Q40" s="10">
        <f t="shared" si="15"/>
        <v>11.349000000000004</v>
      </c>
    </row>
    <row r="41" spans="1:17" x14ac:dyDescent="0.35">
      <c r="A41" s="6">
        <v>1888</v>
      </c>
      <c r="B41" s="7">
        <f t="shared" si="8"/>
        <v>57.944000000000003</v>
      </c>
      <c r="C41" s="7">
        <f t="shared" si="9"/>
        <v>74.176000000000002</v>
      </c>
      <c r="D41" s="7">
        <f t="shared" si="10"/>
        <v>70.694999999999993</v>
      </c>
      <c r="E41" s="7">
        <f t="shared" si="11"/>
        <v>85.197999999999993</v>
      </c>
      <c r="F41" s="7">
        <f t="shared" si="12"/>
        <v>12.750999999999991</v>
      </c>
      <c r="G41" s="7">
        <f t="shared" si="13"/>
        <v>3.4810000000000088</v>
      </c>
      <c r="H41" s="7">
        <f t="shared" si="14"/>
        <v>0</v>
      </c>
      <c r="I41" s="8">
        <v>74.176000000000002</v>
      </c>
      <c r="J41" s="8">
        <v>57.944000000000003</v>
      </c>
      <c r="K41" s="8"/>
      <c r="L41" s="8"/>
      <c r="M41" s="8">
        <v>85.197999999999993</v>
      </c>
      <c r="N41" s="8">
        <v>70.694999999999993</v>
      </c>
      <c r="O41" s="8"/>
      <c r="P41" s="8"/>
      <c r="Q41" s="10">
        <f t="shared" si="15"/>
        <v>11.021999999999991</v>
      </c>
    </row>
    <row r="42" spans="1:17" x14ac:dyDescent="0.35">
      <c r="A42" s="3">
        <v>1889</v>
      </c>
      <c r="B42" s="4">
        <f t="shared" si="8"/>
        <v>57.524999999999999</v>
      </c>
      <c r="C42" s="4">
        <f t="shared" si="9"/>
        <v>73.569000000000003</v>
      </c>
      <c r="D42" s="4">
        <f t="shared" si="10"/>
        <v>70.546000000000006</v>
      </c>
      <c r="E42" s="4">
        <f t="shared" si="11"/>
        <v>85.006</v>
      </c>
      <c r="F42" s="4">
        <f t="shared" si="12"/>
        <v>13.021000000000008</v>
      </c>
      <c r="G42" s="4">
        <f t="shared" si="13"/>
        <v>3.0229999999999961</v>
      </c>
      <c r="H42" s="4">
        <f t="shared" si="14"/>
        <v>0</v>
      </c>
      <c r="I42" s="5">
        <v>73.569000000000003</v>
      </c>
      <c r="J42" s="5">
        <v>57.524999999999999</v>
      </c>
      <c r="K42" s="5"/>
      <c r="L42" s="5"/>
      <c r="M42" s="5">
        <v>85.006</v>
      </c>
      <c r="N42" s="5">
        <v>70.546000000000006</v>
      </c>
      <c r="O42" s="5"/>
      <c r="P42" s="5"/>
      <c r="Q42" s="10">
        <f t="shared" si="15"/>
        <v>11.436999999999998</v>
      </c>
    </row>
    <row r="43" spans="1:17" x14ac:dyDescent="0.35">
      <c r="A43" s="6">
        <v>1890</v>
      </c>
      <c r="B43" s="7">
        <f t="shared" si="8"/>
        <v>58.664999999999999</v>
      </c>
      <c r="C43" s="7">
        <f t="shared" si="9"/>
        <v>74.600999999999999</v>
      </c>
      <c r="D43" s="7">
        <f t="shared" si="10"/>
        <v>71.492000000000004</v>
      </c>
      <c r="E43" s="7">
        <f t="shared" si="11"/>
        <v>85.801000000000002</v>
      </c>
      <c r="F43" s="7">
        <f t="shared" si="12"/>
        <v>12.827000000000005</v>
      </c>
      <c r="G43" s="7">
        <f t="shared" si="13"/>
        <v>3.1089999999999947</v>
      </c>
      <c r="H43" s="7">
        <f t="shared" si="14"/>
        <v>0</v>
      </c>
      <c r="I43" s="8">
        <v>74.600999999999999</v>
      </c>
      <c r="J43" s="8">
        <v>58.664999999999999</v>
      </c>
      <c r="K43" s="8"/>
      <c r="L43" s="8"/>
      <c r="M43" s="8">
        <v>85.801000000000002</v>
      </c>
      <c r="N43" s="8">
        <v>71.492000000000004</v>
      </c>
      <c r="O43" s="8"/>
      <c r="P43" s="8"/>
      <c r="Q43" s="10">
        <f t="shared" si="15"/>
        <v>11.200000000000003</v>
      </c>
    </row>
    <row r="44" spans="1:17" x14ac:dyDescent="0.35">
      <c r="A44" s="3">
        <v>1891</v>
      </c>
      <c r="B44" s="4">
        <f t="shared" si="8"/>
        <v>59.109000000000002</v>
      </c>
      <c r="C44" s="4">
        <f t="shared" si="9"/>
        <v>74.798000000000002</v>
      </c>
      <c r="D44" s="4">
        <f t="shared" si="10"/>
        <v>71.981999999999999</v>
      </c>
      <c r="E44" s="4">
        <f t="shared" si="11"/>
        <v>86.108000000000004</v>
      </c>
      <c r="F44" s="4">
        <f t="shared" si="12"/>
        <v>12.872999999999998</v>
      </c>
      <c r="G44" s="4">
        <f t="shared" si="13"/>
        <v>2.8160000000000025</v>
      </c>
      <c r="H44" s="4">
        <f t="shared" si="14"/>
        <v>0</v>
      </c>
      <c r="I44" s="5">
        <v>74.798000000000002</v>
      </c>
      <c r="J44" s="5">
        <v>59.109000000000002</v>
      </c>
      <c r="K44" s="5"/>
      <c r="L44" s="5"/>
      <c r="M44" s="5">
        <v>86.108000000000004</v>
      </c>
      <c r="N44" s="5">
        <v>71.981999999999999</v>
      </c>
      <c r="O44" s="5"/>
      <c r="P44" s="5"/>
      <c r="Q44" s="10">
        <f t="shared" si="15"/>
        <v>11.310000000000002</v>
      </c>
    </row>
    <row r="45" spans="1:17" x14ac:dyDescent="0.35">
      <c r="A45" s="6">
        <v>1892</v>
      </c>
      <c r="B45" s="7">
        <f t="shared" si="8"/>
        <v>59.076999999999998</v>
      </c>
      <c r="C45" s="7">
        <f t="shared" si="9"/>
        <v>74.725999999999999</v>
      </c>
      <c r="D45" s="7">
        <f t="shared" si="10"/>
        <v>71.941000000000003</v>
      </c>
      <c r="E45" s="7">
        <f t="shared" si="11"/>
        <v>86.007999999999996</v>
      </c>
      <c r="F45" s="7">
        <f t="shared" si="12"/>
        <v>12.864000000000004</v>
      </c>
      <c r="G45" s="7">
        <f t="shared" si="13"/>
        <v>2.7849999999999966</v>
      </c>
      <c r="H45" s="7">
        <f t="shared" si="14"/>
        <v>0</v>
      </c>
      <c r="I45" s="8">
        <v>74.725999999999999</v>
      </c>
      <c r="J45" s="8">
        <v>59.076999999999998</v>
      </c>
      <c r="K45" s="8"/>
      <c r="L45" s="8"/>
      <c r="M45" s="8">
        <v>86.007999999999996</v>
      </c>
      <c r="N45" s="8">
        <v>71.941000000000003</v>
      </c>
      <c r="O45" s="8"/>
      <c r="P45" s="8"/>
      <c r="Q45" s="10">
        <f t="shared" si="15"/>
        <v>11.281999999999996</v>
      </c>
    </row>
    <row r="46" spans="1:17" x14ac:dyDescent="0.35">
      <c r="A46" s="3">
        <v>1893</v>
      </c>
      <c r="B46" s="4">
        <f t="shared" si="8"/>
        <v>58.326999999999998</v>
      </c>
      <c r="C46" s="4">
        <f t="shared" si="9"/>
        <v>73.745000000000005</v>
      </c>
      <c r="D46" s="4">
        <f t="shared" si="10"/>
        <v>71.593000000000004</v>
      </c>
      <c r="E46" s="4">
        <f t="shared" si="11"/>
        <v>85.644000000000005</v>
      </c>
      <c r="F46" s="4">
        <f t="shared" si="12"/>
        <v>13.266000000000005</v>
      </c>
      <c r="G46" s="4">
        <f t="shared" si="13"/>
        <v>2.152000000000001</v>
      </c>
      <c r="H46" s="4">
        <f t="shared" si="14"/>
        <v>0</v>
      </c>
      <c r="I46" s="5">
        <v>73.745000000000005</v>
      </c>
      <c r="J46" s="5">
        <v>58.326999999999998</v>
      </c>
      <c r="K46" s="5"/>
      <c r="L46" s="5"/>
      <c r="M46" s="5">
        <v>85.644000000000005</v>
      </c>
      <c r="N46" s="5">
        <v>71.593000000000004</v>
      </c>
      <c r="O46" s="5"/>
      <c r="P46" s="5"/>
      <c r="Q46" s="10">
        <f t="shared" si="15"/>
        <v>11.899000000000001</v>
      </c>
    </row>
    <row r="47" spans="1:17" x14ac:dyDescent="0.35">
      <c r="A47" s="6">
        <v>1894</v>
      </c>
      <c r="B47" s="7">
        <f t="shared" si="8"/>
        <v>58.805999999999997</v>
      </c>
      <c r="C47" s="7">
        <f t="shared" si="9"/>
        <v>74.111999999999995</v>
      </c>
      <c r="D47" s="7">
        <f t="shared" si="10"/>
        <v>71.947000000000003</v>
      </c>
      <c r="E47" s="7">
        <f t="shared" si="11"/>
        <v>85.831999999999994</v>
      </c>
      <c r="F47" s="7">
        <f t="shared" si="12"/>
        <v>13.141000000000005</v>
      </c>
      <c r="G47" s="7">
        <f t="shared" si="13"/>
        <v>2.164999999999992</v>
      </c>
      <c r="H47" s="7">
        <f t="shared" si="14"/>
        <v>0</v>
      </c>
      <c r="I47" s="8">
        <v>74.111999999999995</v>
      </c>
      <c r="J47" s="8">
        <v>58.805999999999997</v>
      </c>
      <c r="K47" s="8"/>
      <c r="L47" s="8"/>
      <c r="M47" s="8">
        <v>85.831999999999994</v>
      </c>
      <c r="N47" s="8">
        <v>71.947000000000003</v>
      </c>
      <c r="O47" s="8"/>
      <c r="P47" s="8"/>
      <c r="Q47" s="10">
        <f t="shared" si="15"/>
        <v>11.719999999999999</v>
      </c>
    </row>
    <row r="48" spans="1:17" x14ac:dyDescent="0.35">
      <c r="A48" s="3">
        <v>1895</v>
      </c>
      <c r="B48" s="4">
        <f t="shared" si="8"/>
        <v>59.335999999999999</v>
      </c>
      <c r="C48" s="4">
        <f t="shared" si="9"/>
        <v>74.376000000000005</v>
      </c>
      <c r="D48" s="4">
        <f t="shared" si="10"/>
        <v>72.501000000000005</v>
      </c>
      <c r="E48" s="4">
        <f t="shared" si="11"/>
        <v>86.183999999999997</v>
      </c>
      <c r="F48" s="4">
        <f t="shared" si="12"/>
        <v>13.165000000000006</v>
      </c>
      <c r="G48" s="4">
        <f t="shared" si="13"/>
        <v>1.875</v>
      </c>
      <c r="H48" s="4">
        <f t="shared" si="14"/>
        <v>0</v>
      </c>
      <c r="I48" s="5">
        <v>74.376000000000005</v>
      </c>
      <c r="J48" s="5">
        <v>59.335999999999999</v>
      </c>
      <c r="K48" s="5"/>
      <c r="L48" s="5"/>
      <c r="M48" s="5">
        <v>86.183999999999997</v>
      </c>
      <c r="N48" s="5">
        <v>72.501000000000005</v>
      </c>
      <c r="O48" s="5"/>
      <c r="P48" s="5"/>
      <c r="Q48" s="10">
        <f t="shared" si="15"/>
        <v>11.807999999999993</v>
      </c>
    </row>
    <row r="49" spans="1:17" x14ac:dyDescent="0.35">
      <c r="A49" s="6">
        <v>1896</v>
      </c>
      <c r="B49" s="7">
        <f t="shared" si="8"/>
        <v>59.598999999999997</v>
      </c>
      <c r="C49" s="7">
        <f t="shared" si="9"/>
        <v>74.492000000000004</v>
      </c>
      <c r="D49" s="7">
        <f t="shared" si="10"/>
        <v>72.769000000000005</v>
      </c>
      <c r="E49" s="7">
        <f t="shared" si="11"/>
        <v>86.322999999999993</v>
      </c>
      <c r="F49" s="7">
        <f t="shared" si="12"/>
        <v>13.170000000000009</v>
      </c>
      <c r="G49" s="7">
        <f t="shared" si="13"/>
        <v>1.722999999999999</v>
      </c>
      <c r="H49" s="7">
        <f t="shared" si="14"/>
        <v>0</v>
      </c>
      <c r="I49" s="8">
        <v>74.492000000000004</v>
      </c>
      <c r="J49" s="8">
        <v>59.598999999999997</v>
      </c>
      <c r="K49" s="8"/>
      <c r="L49" s="8"/>
      <c r="M49" s="8">
        <v>86.322999999999993</v>
      </c>
      <c r="N49" s="8">
        <v>72.769000000000005</v>
      </c>
      <c r="O49" s="8"/>
      <c r="P49" s="8"/>
      <c r="Q49" s="10">
        <f t="shared" si="15"/>
        <v>11.830999999999989</v>
      </c>
    </row>
    <row r="50" spans="1:17" x14ac:dyDescent="0.35">
      <c r="A50" s="3">
        <v>1897</v>
      </c>
      <c r="B50" s="4">
        <f t="shared" si="8"/>
        <v>59.981999999999999</v>
      </c>
      <c r="C50" s="4">
        <f t="shared" si="9"/>
        <v>74.62</v>
      </c>
      <c r="D50" s="4">
        <f t="shared" si="10"/>
        <v>73.233000000000004</v>
      </c>
      <c r="E50" s="4">
        <f t="shared" si="11"/>
        <v>86.611999999999995</v>
      </c>
      <c r="F50" s="4">
        <f t="shared" si="12"/>
        <v>13.251000000000005</v>
      </c>
      <c r="G50" s="4">
        <f t="shared" si="13"/>
        <v>1.3870000000000005</v>
      </c>
      <c r="H50" s="4">
        <f t="shared" si="14"/>
        <v>0</v>
      </c>
      <c r="I50" s="5">
        <v>74.62</v>
      </c>
      <c r="J50" s="5">
        <v>59.981999999999999</v>
      </c>
      <c r="K50" s="5"/>
      <c r="L50" s="5"/>
      <c r="M50" s="5">
        <v>86.611999999999995</v>
      </c>
      <c r="N50" s="5">
        <v>73.233000000000004</v>
      </c>
      <c r="O50" s="5"/>
      <c r="P50" s="5"/>
      <c r="Q50" s="10">
        <f t="shared" si="15"/>
        <v>11.99199999999999</v>
      </c>
    </row>
    <row r="51" spans="1:17" x14ac:dyDescent="0.35">
      <c r="A51" s="6">
        <v>1898</v>
      </c>
      <c r="B51" s="7">
        <f t="shared" si="8"/>
        <v>60.396000000000001</v>
      </c>
      <c r="C51" s="7">
        <f t="shared" si="9"/>
        <v>74.716999999999999</v>
      </c>
      <c r="D51" s="7">
        <f t="shared" si="10"/>
        <v>73.728999999999999</v>
      </c>
      <c r="E51" s="7">
        <f t="shared" si="11"/>
        <v>86.879000000000005</v>
      </c>
      <c r="F51" s="7">
        <f t="shared" si="12"/>
        <v>13.332999999999998</v>
      </c>
      <c r="G51" s="7">
        <f t="shared" si="13"/>
        <v>0.98799999999999955</v>
      </c>
      <c r="H51" s="7">
        <f t="shared" si="14"/>
        <v>0</v>
      </c>
      <c r="I51" s="8">
        <v>74.716999999999999</v>
      </c>
      <c r="J51" s="8">
        <v>60.396000000000001</v>
      </c>
      <c r="K51" s="8"/>
      <c r="L51" s="8"/>
      <c r="M51" s="8">
        <v>86.879000000000005</v>
      </c>
      <c r="N51" s="8">
        <v>73.728999999999999</v>
      </c>
      <c r="O51" s="8"/>
      <c r="P51" s="8"/>
      <c r="Q51" s="10">
        <f t="shared" si="15"/>
        <v>12.162000000000006</v>
      </c>
    </row>
    <row r="52" spans="1:17" x14ac:dyDescent="0.35">
      <c r="A52" s="3">
        <v>1899</v>
      </c>
      <c r="B52" s="4">
        <f t="shared" si="8"/>
        <v>61.673000000000002</v>
      </c>
      <c r="C52" s="4">
        <f t="shared" si="9"/>
        <v>75.697000000000003</v>
      </c>
      <c r="D52" s="4">
        <f t="shared" si="10"/>
        <v>74.765000000000001</v>
      </c>
      <c r="E52" s="4">
        <f t="shared" si="11"/>
        <v>87.573999999999998</v>
      </c>
      <c r="F52" s="4">
        <f t="shared" si="12"/>
        <v>13.091999999999999</v>
      </c>
      <c r="G52" s="4">
        <f t="shared" si="13"/>
        <v>0.93200000000000216</v>
      </c>
      <c r="H52" s="4">
        <f t="shared" si="14"/>
        <v>0</v>
      </c>
      <c r="I52" s="5">
        <v>75.697000000000003</v>
      </c>
      <c r="J52" s="5">
        <v>61.673000000000002</v>
      </c>
      <c r="K52" s="5"/>
      <c r="L52" s="5"/>
      <c r="M52" s="5">
        <v>87.573999999999998</v>
      </c>
      <c r="N52" s="5">
        <v>74.765000000000001</v>
      </c>
      <c r="O52" s="5"/>
      <c r="P52" s="5"/>
      <c r="Q52" s="10">
        <f t="shared" si="15"/>
        <v>11.876999999999995</v>
      </c>
    </row>
    <row r="53" spans="1:17" x14ac:dyDescent="0.35">
      <c r="A53" s="6">
        <v>1900</v>
      </c>
      <c r="B53" s="7">
        <f t="shared" si="8"/>
        <v>62.344000000000001</v>
      </c>
      <c r="C53" s="7">
        <f t="shared" si="9"/>
        <v>76.135999999999996</v>
      </c>
      <c r="D53" s="7">
        <f t="shared" si="10"/>
        <v>75.400000000000006</v>
      </c>
      <c r="E53" s="7">
        <f t="shared" si="11"/>
        <v>88.025999999999996</v>
      </c>
      <c r="F53" s="7">
        <f t="shared" si="12"/>
        <v>13.056000000000004</v>
      </c>
      <c r="G53" s="7">
        <f t="shared" si="13"/>
        <v>0.73599999999999</v>
      </c>
      <c r="H53" s="7">
        <f t="shared" si="14"/>
        <v>0</v>
      </c>
      <c r="I53" s="8">
        <v>76.135999999999996</v>
      </c>
      <c r="J53" s="8">
        <v>62.344000000000001</v>
      </c>
      <c r="K53" s="8"/>
      <c r="L53" s="8"/>
      <c r="M53" s="8">
        <v>88.025999999999996</v>
      </c>
      <c r="N53" s="8">
        <v>75.400000000000006</v>
      </c>
      <c r="O53" s="8"/>
      <c r="P53" s="8"/>
      <c r="Q53" s="10">
        <f t="shared" si="15"/>
        <v>11.89</v>
      </c>
    </row>
    <row r="54" spans="1:17" x14ac:dyDescent="0.35">
      <c r="A54" s="3">
        <v>1901</v>
      </c>
      <c r="B54" s="4">
        <f t="shared" si="8"/>
        <v>62.383000000000003</v>
      </c>
      <c r="C54" s="4">
        <f t="shared" si="9"/>
        <v>76.043000000000006</v>
      </c>
      <c r="D54" s="4">
        <f t="shared" si="10"/>
        <v>75.506</v>
      </c>
      <c r="E54" s="4">
        <f t="shared" si="11"/>
        <v>88.012</v>
      </c>
      <c r="F54" s="4">
        <f t="shared" si="12"/>
        <v>13.122999999999998</v>
      </c>
      <c r="G54" s="4">
        <f t="shared" si="13"/>
        <v>0.53700000000000614</v>
      </c>
      <c r="H54" s="4">
        <f t="shared" si="14"/>
        <v>0</v>
      </c>
      <c r="I54" s="5">
        <v>76.043000000000006</v>
      </c>
      <c r="J54" s="5">
        <v>62.383000000000003</v>
      </c>
      <c r="K54" s="5"/>
      <c r="L54" s="5"/>
      <c r="M54" s="5">
        <v>88.012</v>
      </c>
      <c r="N54" s="5">
        <v>75.506</v>
      </c>
      <c r="O54" s="5"/>
      <c r="P54" s="5"/>
      <c r="Q54" s="10">
        <f t="shared" si="15"/>
        <v>11.968999999999994</v>
      </c>
    </row>
    <row r="55" spans="1:17" x14ac:dyDescent="0.35">
      <c r="A55" s="6">
        <v>1902</v>
      </c>
      <c r="B55" s="7">
        <f t="shared" si="8"/>
        <v>62.774999999999999</v>
      </c>
      <c r="C55" s="7">
        <f t="shared" si="9"/>
        <v>76.459999999999994</v>
      </c>
      <c r="D55" s="7">
        <f t="shared" si="10"/>
        <v>75.668000000000006</v>
      </c>
      <c r="E55" s="7">
        <f t="shared" si="11"/>
        <v>88.057000000000002</v>
      </c>
      <c r="F55" s="7">
        <f t="shared" si="12"/>
        <v>12.893000000000008</v>
      </c>
      <c r="G55" s="7">
        <f t="shared" si="13"/>
        <v>0.79199999999998738</v>
      </c>
      <c r="H55" s="7">
        <f t="shared" si="14"/>
        <v>0</v>
      </c>
      <c r="I55" s="8">
        <v>76.459999999999994</v>
      </c>
      <c r="J55" s="8">
        <v>62.774999999999999</v>
      </c>
      <c r="K55" s="8"/>
      <c r="L55" s="8"/>
      <c r="M55" s="8">
        <v>88.057000000000002</v>
      </c>
      <c r="N55" s="8">
        <v>75.668000000000006</v>
      </c>
      <c r="O55" s="8"/>
      <c r="P55" s="8"/>
      <c r="Q55" s="10">
        <f t="shared" si="15"/>
        <v>11.597000000000008</v>
      </c>
    </row>
    <row r="56" spans="1:17" x14ac:dyDescent="0.35">
      <c r="A56" s="3">
        <v>1903</v>
      </c>
      <c r="B56" s="4">
        <f t="shared" si="8"/>
        <v>64.194000000000003</v>
      </c>
      <c r="C56" s="4">
        <f t="shared" si="9"/>
        <v>77.671000000000006</v>
      </c>
      <c r="D56" s="4">
        <f t="shared" si="10"/>
        <v>76.582999999999998</v>
      </c>
      <c r="E56" s="4">
        <f t="shared" si="11"/>
        <v>88.593999999999994</v>
      </c>
      <c r="F56" s="4">
        <f t="shared" si="12"/>
        <v>12.388999999999996</v>
      </c>
      <c r="G56" s="4">
        <f t="shared" si="13"/>
        <v>1.0880000000000081</v>
      </c>
      <c r="H56" s="4">
        <f t="shared" si="14"/>
        <v>0</v>
      </c>
      <c r="I56" s="5">
        <v>77.671000000000006</v>
      </c>
      <c r="J56" s="5">
        <v>64.194000000000003</v>
      </c>
      <c r="K56" s="5"/>
      <c r="L56" s="5"/>
      <c r="M56" s="5">
        <v>88.593999999999994</v>
      </c>
      <c r="N56" s="5">
        <v>76.582999999999998</v>
      </c>
      <c r="O56" s="5"/>
      <c r="P56" s="5"/>
      <c r="Q56" s="10">
        <f t="shared" si="15"/>
        <v>10.922999999999988</v>
      </c>
    </row>
    <row r="57" spans="1:17" x14ac:dyDescent="0.35">
      <c r="A57" s="6">
        <v>1904</v>
      </c>
      <c r="B57" s="7">
        <f t="shared" si="8"/>
        <v>63.890999999999998</v>
      </c>
      <c r="C57" s="7">
        <f t="shared" si="9"/>
        <v>77.239000000000004</v>
      </c>
      <c r="D57" s="7">
        <f t="shared" si="10"/>
        <v>76.501999999999995</v>
      </c>
      <c r="E57" s="7">
        <f t="shared" si="11"/>
        <v>88.436000000000007</v>
      </c>
      <c r="F57" s="7">
        <f t="shared" si="12"/>
        <v>12.610999999999997</v>
      </c>
      <c r="G57" s="7">
        <f t="shared" si="13"/>
        <v>0.73700000000000898</v>
      </c>
      <c r="H57" s="7">
        <f t="shared" si="14"/>
        <v>0</v>
      </c>
      <c r="I57" s="8">
        <v>77.239000000000004</v>
      </c>
      <c r="J57" s="8">
        <v>63.890999999999998</v>
      </c>
      <c r="K57" s="8"/>
      <c r="L57" s="8"/>
      <c r="M57" s="8">
        <v>88.436000000000007</v>
      </c>
      <c r="N57" s="8">
        <v>76.501999999999995</v>
      </c>
      <c r="O57" s="8"/>
      <c r="P57" s="8"/>
      <c r="Q57" s="10">
        <f t="shared" si="15"/>
        <v>11.197000000000003</v>
      </c>
    </row>
    <row r="58" spans="1:17" x14ac:dyDescent="0.35">
      <c r="A58" s="3">
        <v>1905</v>
      </c>
      <c r="B58" s="4">
        <f t="shared" si="8"/>
        <v>65.021000000000001</v>
      </c>
      <c r="C58" s="4">
        <f t="shared" si="9"/>
        <v>78.236000000000004</v>
      </c>
      <c r="D58" s="4">
        <f t="shared" si="10"/>
        <v>77.180999999999997</v>
      </c>
      <c r="E58" s="4">
        <f t="shared" si="11"/>
        <v>88.817999999999998</v>
      </c>
      <c r="F58" s="4">
        <f t="shared" si="12"/>
        <v>12.159999999999997</v>
      </c>
      <c r="G58" s="4">
        <f t="shared" si="13"/>
        <v>1.0550000000000068</v>
      </c>
      <c r="H58" s="4">
        <f t="shared" si="14"/>
        <v>0</v>
      </c>
      <c r="I58" s="5">
        <v>78.236000000000004</v>
      </c>
      <c r="J58" s="5">
        <v>65.021000000000001</v>
      </c>
      <c r="K58" s="5"/>
      <c r="L58" s="5"/>
      <c r="M58" s="5">
        <v>88.817999999999998</v>
      </c>
      <c r="N58" s="5">
        <v>77.180999999999997</v>
      </c>
      <c r="O58" s="5"/>
      <c r="P58" s="5"/>
      <c r="Q58" s="10">
        <f t="shared" si="15"/>
        <v>10.581999999999994</v>
      </c>
    </row>
    <row r="59" spans="1:17" x14ac:dyDescent="0.35">
      <c r="A59" s="6">
        <v>1906</v>
      </c>
      <c r="B59" s="7">
        <f t="shared" si="8"/>
        <v>64.94</v>
      </c>
      <c r="C59" s="7">
        <f t="shared" si="9"/>
        <v>77.998000000000005</v>
      </c>
      <c r="D59" s="7">
        <f t="shared" si="10"/>
        <v>77.198999999999998</v>
      </c>
      <c r="E59" s="7">
        <f t="shared" si="11"/>
        <v>88.790999999999997</v>
      </c>
      <c r="F59" s="7">
        <f t="shared" si="12"/>
        <v>12.259</v>
      </c>
      <c r="G59" s="7">
        <f t="shared" si="13"/>
        <v>0.79900000000000659</v>
      </c>
      <c r="H59" s="7">
        <f t="shared" si="14"/>
        <v>0</v>
      </c>
      <c r="I59" s="8">
        <v>77.998000000000005</v>
      </c>
      <c r="J59" s="8">
        <v>64.94</v>
      </c>
      <c r="K59" s="8"/>
      <c r="L59" s="8"/>
      <c r="M59" s="8">
        <v>88.790999999999997</v>
      </c>
      <c r="N59" s="8">
        <v>77.198999999999998</v>
      </c>
      <c r="O59" s="8"/>
      <c r="P59" s="8"/>
      <c r="Q59" s="10">
        <f t="shared" si="15"/>
        <v>10.792999999999992</v>
      </c>
    </row>
    <row r="60" spans="1:17" x14ac:dyDescent="0.35">
      <c r="A60" s="3">
        <v>1907</v>
      </c>
      <c r="B60" s="4">
        <f t="shared" si="8"/>
        <v>66.730999999999995</v>
      </c>
      <c r="C60" s="4">
        <f t="shared" si="9"/>
        <v>78.765000000000001</v>
      </c>
      <c r="D60" s="4">
        <f t="shared" si="10"/>
        <v>78.622</v>
      </c>
      <c r="E60" s="4">
        <f t="shared" si="11"/>
        <v>89.11</v>
      </c>
      <c r="F60" s="4">
        <f t="shared" si="12"/>
        <v>11.891000000000005</v>
      </c>
      <c r="G60" s="4">
        <f t="shared" si="13"/>
        <v>0.14300000000000068</v>
      </c>
      <c r="H60" s="4">
        <f t="shared" si="14"/>
        <v>0</v>
      </c>
      <c r="I60" s="5">
        <v>78.765000000000001</v>
      </c>
      <c r="J60" s="5">
        <v>66.730999999999995</v>
      </c>
      <c r="K60" s="5"/>
      <c r="L60" s="5"/>
      <c r="M60" s="5">
        <v>89.11</v>
      </c>
      <c r="N60" s="5">
        <v>78.622</v>
      </c>
      <c r="O60" s="5"/>
      <c r="P60" s="5"/>
      <c r="Q60" s="10">
        <f t="shared" si="15"/>
        <v>10.344999999999999</v>
      </c>
    </row>
    <row r="61" spans="1:17" x14ac:dyDescent="0.35">
      <c r="A61" s="6">
        <v>1908</v>
      </c>
      <c r="B61" s="7">
        <f t="shared" si="8"/>
        <v>65.400999999999996</v>
      </c>
      <c r="C61" s="7">
        <f t="shared" si="9"/>
        <v>77.468999999999994</v>
      </c>
      <c r="D61" s="7">
        <f t="shared" si="10"/>
        <v>77.766000000000005</v>
      </c>
      <c r="E61" s="7">
        <f t="shared" si="11"/>
        <v>88.412000000000006</v>
      </c>
      <c r="F61" s="7">
        <f t="shared" si="12"/>
        <v>12.067999999999998</v>
      </c>
      <c r="G61" s="7">
        <f t="shared" si="13"/>
        <v>0</v>
      </c>
      <c r="H61" s="7">
        <f t="shared" si="14"/>
        <v>0.29700000000001125</v>
      </c>
      <c r="I61" s="8">
        <v>77.468999999999994</v>
      </c>
      <c r="J61" s="8">
        <v>65.400999999999996</v>
      </c>
      <c r="K61" s="8"/>
      <c r="L61" s="8"/>
      <c r="M61" s="8">
        <v>88.412000000000006</v>
      </c>
      <c r="N61" s="8">
        <v>77.766000000000005</v>
      </c>
      <c r="O61" s="8"/>
      <c r="P61" s="8"/>
      <c r="Q61" s="10">
        <f t="shared" si="15"/>
        <v>10.646000000000001</v>
      </c>
    </row>
    <row r="62" spans="1:17" x14ac:dyDescent="0.35">
      <c r="A62" s="3">
        <v>1909</v>
      </c>
      <c r="B62" s="4">
        <f t="shared" si="8"/>
        <v>65.894000000000005</v>
      </c>
      <c r="C62" s="4">
        <f t="shared" si="9"/>
        <v>77.787999999999997</v>
      </c>
      <c r="D62" s="4">
        <f t="shared" si="10"/>
        <v>78.215000000000003</v>
      </c>
      <c r="E62" s="4">
        <f t="shared" si="11"/>
        <v>88.644999999999996</v>
      </c>
      <c r="F62" s="4">
        <f t="shared" si="12"/>
        <v>11.893999999999991</v>
      </c>
      <c r="G62" s="4">
        <f t="shared" si="13"/>
        <v>0</v>
      </c>
      <c r="H62" s="4">
        <f t="shared" si="14"/>
        <v>0.42700000000000671</v>
      </c>
      <c r="I62" s="5">
        <v>77.787999999999997</v>
      </c>
      <c r="J62" s="5">
        <v>65.894000000000005</v>
      </c>
      <c r="K62" s="5"/>
      <c r="L62" s="5"/>
      <c r="M62" s="5">
        <v>88.644999999999996</v>
      </c>
      <c r="N62" s="5">
        <v>78.215000000000003</v>
      </c>
      <c r="O62" s="5"/>
      <c r="P62" s="5"/>
      <c r="Q62" s="10">
        <f t="shared" si="15"/>
        <v>10.429999999999993</v>
      </c>
    </row>
    <row r="63" spans="1:17" x14ac:dyDescent="0.35">
      <c r="A63" s="6">
        <v>1910</v>
      </c>
      <c r="B63" s="7">
        <f t="shared" si="8"/>
        <v>66.753</v>
      </c>
      <c r="C63" s="7">
        <f t="shared" si="9"/>
        <v>78.533000000000001</v>
      </c>
      <c r="D63" s="7">
        <f t="shared" si="10"/>
        <v>78.692999999999998</v>
      </c>
      <c r="E63" s="7">
        <f t="shared" si="11"/>
        <v>88.897999999999996</v>
      </c>
      <c r="F63" s="7">
        <f t="shared" si="12"/>
        <v>11.780000000000001</v>
      </c>
      <c r="G63" s="7">
        <f t="shared" si="13"/>
        <v>0</v>
      </c>
      <c r="H63" s="7">
        <f t="shared" si="14"/>
        <v>0.15999999999999659</v>
      </c>
      <c r="I63" s="8">
        <v>78.533000000000001</v>
      </c>
      <c r="J63" s="8">
        <v>66.753</v>
      </c>
      <c r="K63" s="8"/>
      <c r="L63" s="8"/>
      <c r="M63" s="8">
        <v>88.897999999999996</v>
      </c>
      <c r="N63" s="8">
        <v>78.692999999999998</v>
      </c>
      <c r="O63" s="8"/>
      <c r="P63" s="8"/>
      <c r="Q63" s="10">
        <f t="shared" si="15"/>
        <v>10.204999999999998</v>
      </c>
    </row>
    <row r="64" spans="1:17" x14ac:dyDescent="0.35">
      <c r="A64" s="3">
        <v>1911</v>
      </c>
      <c r="B64" s="4">
        <f t="shared" si="8"/>
        <v>66.441999999999993</v>
      </c>
      <c r="C64" s="4">
        <f t="shared" si="9"/>
        <v>78.177999999999997</v>
      </c>
      <c r="D64" s="4">
        <f t="shared" si="10"/>
        <v>78.415999999999997</v>
      </c>
      <c r="E64" s="4">
        <f t="shared" si="11"/>
        <v>88.676000000000002</v>
      </c>
      <c r="F64" s="4">
        <f t="shared" si="12"/>
        <v>11.736000000000004</v>
      </c>
      <c r="G64" s="4">
        <f t="shared" si="13"/>
        <v>0</v>
      </c>
      <c r="H64" s="4">
        <f t="shared" si="14"/>
        <v>0.23799999999999955</v>
      </c>
      <c r="I64" s="5">
        <v>78.177999999999997</v>
      </c>
      <c r="J64" s="5">
        <v>66.441999999999993</v>
      </c>
      <c r="K64" s="5"/>
      <c r="L64" s="5"/>
      <c r="M64" s="5">
        <v>88.676000000000002</v>
      </c>
      <c r="N64" s="5">
        <v>78.415999999999997</v>
      </c>
      <c r="O64" s="5"/>
      <c r="P64" s="5"/>
      <c r="Q64" s="10">
        <f t="shared" si="15"/>
        <v>10.260000000000005</v>
      </c>
    </row>
    <row r="65" spans="1:17" x14ac:dyDescent="0.35">
      <c r="A65" s="6">
        <v>1912</v>
      </c>
      <c r="B65" s="7">
        <f t="shared" si="8"/>
        <v>66.98</v>
      </c>
      <c r="C65" s="7">
        <f t="shared" si="9"/>
        <v>78.325999999999993</v>
      </c>
      <c r="D65" s="7">
        <f t="shared" si="10"/>
        <v>79.106999999999999</v>
      </c>
      <c r="E65" s="7">
        <f t="shared" si="11"/>
        <v>89.114000000000004</v>
      </c>
      <c r="F65" s="7">
        <f t="shared" si="12"/>
        <v>11.345999999999989</v>
      </c>
      <c r="G65" s="7">
        <f t="shared" si="13"/>
        <v>0</v>
      </c>
      <c r="H65" s="7">
        <f t="shared" si="14"/>
        <v>0.78100000000000591</v>
      </c>
      <c r="I65" s="8">
        <v>78.325999999999993</v>
      </c>
      <c r="J65" s="8">
        <v>66.98</v>
      </c>
      <c r="K65" s="8"/>
      <c r="L65" s="8"/>
      <c r="M65" s="8">
        <v>89.114000000000004</v>
      </c>
      <c r="N65" s="8">
        <v>79.106999999999999</v>
      </c>
      <c r="O65" s="8"/>
      <c r="P65" s="8"/>
      <c r="Q65" s="10">
        <f t="shared" si="15"/>
        <v>10.007000000000005</v>
      </c>
    </row>
    <row r="66" spans="1:17" x14ac:dyDescent="0.35">
      <c r="A66" s="3">
        <v>1913</v>
      </c>
      <c r="B66" s="4">
        <f t="shared" si="8"/>
        <v>67.855000000000004</v>
      </c>
      <c r="C66" s="4">
        <f t="shared" si="9"/>
        <v>78.756</v>
      </c>
      <c r="D66" s="4">
        <f t="shared" si="10"/>
        <v>79.712000000000003</v>
      </c>
      <c r="E66" s="4">
        <f t="shared" si="11"/>
        <v>89.287000000000006</v>
      </c>
      <c r="F66" s="4">
        <f t="shared" si="12"/>
        <v>10.900999999999996</v>
      </c>
      <c r="G66" s="4">
        <f t="shared" si="13"/>
        <v>0</v>
      </c>
      <c r="H66" s="4">
        <f t="shared" si="14"/>
        <v>0.95600000000000307</v>
      </c>
      <c r="I66" s="5">
        <v>78.756</v>
      </c>
      <c r="J66" s="5">
        <v>67.855000000000004</v>
      </c>
      <c r="K66" s="5"/>
      <c r="L66" s="5"/>
      <c r="M66" s="5">
        <v>89.287000000000006</v>
      </c>
      <c r="N66" s="5">
        <v>79.712000000000003</v>
      </c>
      <c r="O66" s="5"/>
      <c r="P66" s="5"/>
      <c r="Q66" s="10">
        <f t="shared" si="15"/>
        <v>9.5750000000000028</v>
      </c>
    </row>
    <row r="67" spans="1:17" x14ac:dyDescent="0.35">
      <c r="A67" s="6">
        <v>1914</v>
      </c>
      <c r="B67" s="7">
        <f t="shared" ref="B67:B98" si="16">IFERROR(MIN(I67:L67),"")</f>
        <v>66.399000000000001</v>
      </c>
      <c r="C67" s="7">
        <f t="shared" ref="C67:C98" si="17">IFERROR(MAX(I67:L67),"")</f>
        <v>77.959000000000003</v>
      </c>
      <c r="D67" s="7">
        <f t="shared" ref="D67:D98" si="18">IFERROR(MIN(M67:P67),"")</f>
        <v>78.257000000000005</v>
      </c>
      <c r="E67" s="7">
        <f t="shared" ref="E67:E98" si="19">IFERROR(MAX(M67:P67),"")</f>
        <v>88.372</v>
      </c>
      <c r="F67" s="7">
        <f t="shared" ref="F67:F98" si="20">IFERROR(MIN(C67,D67)-B67,"")</f>
        <v>11.560000000000002</v>
      </c>
      <c r="G67" s="7">
        <f t="shared" ref="G67:G98" si="21">IFERROR(MAX(0,C67-D67),"")</f>
        <v>0</v>
      </c>
      <c r="H67" s="7">
        <f t="shared" ref="H67:H98" si="22">IFERROR(MAX(0,D67-C67),"")</f>
        <v>0.29800000000000182</v>
      </c>
      <c r="I67" s="8">
        <v>77.959000000000003</v>
      </c>
      <c r="J67" s="8">
        <v>66.399000000000001</v>
      </c>
      <c r="K67" s="8"/>
      <c r="L67" s="8"/>
      <c r="M67" s="8">
        <v>88.372</v>
      </c>
      <c r="N67" s="8">
        <v>78.257000000000005</v>
      </c>
      <c r="O67" s="8"/>
      <c r="P67" s="8"/>
      <c r="Q67" s="10">
        <f t="shared" ref="Q67:Q98" si="23">IFERROR(MAX(0,$E67-MAX($C67,$D67)),"")</f>
        <v>10.114999999999995</v>
      </c>
    </row>
    <row r="68" spans="1:17" x14ac:dyDescent="0.35">
      <c r="A68" s="3">
        <v>1915</v>
      </c>
      <c r="B68" s="4">
        <f t="shared" si="16"/>
        <v>66.102000000000004</v>
      </c>
      <c r="C68" s="4">
        <f t="shared" si="17"/>
        <v>77.932000000000002</v>
      </c>
      <c r="D68" s="4">
        <f t="shared" si="18"/>
        <v>77.804000000000002</v>
      </c>
      <c r="E68" s="4">
        <f t="shared" si="19"/>
        <v>88.126999999999995</v>
      </c>
      <c r="F68" s="4">
        <f t="shared" si="20"/>
        <v>11.701999999999998</v>
      </c>
      <c r="G68" s="4">
        <f t="shared" si="21"/>
        <v>0.12800000000000011</v>
      </c>
      <c r="H68" s="4">
        <f t="shared" si="22"/>
        <v>0</v>
      </c>
      <c r="I68" s="5">
        <v>77.932000000000002</v>
      </c>
      <c r="J68" s="5">
        <v>66.102000000000004</v>
      </c>
      <c r="K68" s="5"/>
      <c r="L68" s="5"/>
      <c r="M68" s="5">
        <v>88.126999999999995</v>
      </c>
      <c r="N68" s="5">
        <v>77.804000000000002</v>
      </c>
      <c r="O68" s="5"/>
      <c r="P68" s="5"/>
      <c r="Q68" s="10">
        <f t="shared" si="23"/>
        <v>10.194999999999993</v>
      </c>
    </row>
    <row r="69" spans="1:17" x14ac:dyDescent="0.35">
      <c r="A69" s="6">
        <v>1916</v>
      </c>
      <c r="B69" s="7">
        <f t="shared" si="16"/>
        <v>66.903000000000006</v>
      </c>
      <c r="C69" s="7">
        <f t="shared" si="17"/>
        <v>78.381</v>
      </c>
      <c r="D69" s="7">
        <f t="shared" si="18"/>
        <v>78.427999999999997</v>
      </c>
      <c r="E69" s="7">
        <f t="shared" si="19"/>
        <v>88.397000000000006</v>
      </c>
      <c r="F69" s="7">
        <f t="shared" si="20"/>
        <v>11.477999999999994</v>
      </c>
      <c r="G69" s="7">
        <f t="shared" si="21"/>
        <v>0</v>
      </c>
      <c r="H69" s="7">
        <f t="shared" si="22"/>
        <v>4.6999999999997044E-2</v>
      </c>
      <c r="I69" s="8">
        <v>78.381</v>
      </c>
      <c r="J69" s="8">
        <v>66.903000000000006</v>
      </c>
      <c r="K69" s="8"/>
      <c r="L69" s="8"/>
      <c r="M69" s="8">
        <v>88.397000000000006</v>
      </c>
      <c r="N69" s="8">
        <v>78.427999999999997</v>
      </c>
      <c r="O69" s="8"/>
      <c r="P69" s="8"/>
      <c r="Q69" s="10">
        <f t="shared" si="23"/>
        <v>9.9690000000000083</v>
      </c>
    </row>
    <row r="70" spans="1:17" x14ac:dyDescent="0.35">
      <c r="A70" s="3">
        <v>1917</v>
      </c>
      <c r="B70" s="4">
        <f t="shared" si="16"/>
        <v>67.396000000000001</v>
      </c>
      <c r="C70" s="4">
        <f t="shared" si="17"/>
        <v>78.850999999999999</v>
      </c>
      <c r="D70" s="4">
        <f t="shared" si="18"/>
        <v>78.569000000000003</v>
      </c>
      <c r="E70" s="4">
        <f t="shared" si="19"/>
        <v>88.396000000000001</v>
      </c>
      <c r="F70" s="4">
        <f t="shared" si="20"/>
        <v>11.173000000000002</v>
      </c>
      <c r="G70" s="4">
        <f t="shared" si="21"/>
        <v>0.28199999999999648</v>
      </c>
      <c r="H70" s="4">
        <f t="shared" si="22"/>
        <v>0</v>
      </c>
      <c r="I70" s="5">
        <v>78.850999999999999</v>
      </c>
      <c r="J70" s="5">
        <v>67.396000000000001</v>
      </c>
      <c r="K70" s="5"/>
      <c r="L70" s="5"/>
      <c r="M70" s="5">
        <v>88.396000000000001</v>
      </c>
      <c r="N70" s="5">
        <v>78.569000000000003</v>
      </c>
      <c r="O70" s="5"/>
      <c r="P70" s="5"/>
      <c r="Q70" s="10">
        <f t="shared" si="23"/>
        <v>9.5450000000000017</v>
      </c>
    </row>
    <row r="71" spans="1:17" x14ac:dyDescent="0.35">
      <c r="A71" s="6">
        <v>1918</v>
      </c>
      <c r="B71" s="7">
        <f t="shared" si="16"/>
        <v>68.468999999999994</v>
      </c>
      <c r="C71" s="7">
        <f t="shared" si="17"/>
        <v>80.489999999999995</v>
      </c>
      <c r="D71" s="7">
        <f t="shared" si="18"/>
        <v>78.120999999999995</v>
      </c>
      <c r="E71" s="7">
        <f t="shared" si="19"/>
        <v>88.013999999999996</v>
      </c>
      <c r="F71" s="7">
        <f t="shared" si="20"/>
        <v>9.652000000000001</v>
      </c>
      <c r="G71" s="7">
        <f t="shared" si="21"/>
        <v>2.3689999999999998</v>
      </c>
      <c r="H71" s="7">
        <f t="shared" si="22"/>
        <v>0</v>
      </c>
      <c r="I71" s="8">
        <v>80.489999999999995</v>
      </c>
      <c r="J71" s="8">
        <v>68.468999999999994</v>
      </c>
      <c r="K71" s="8"/>
      <c r="L71" s="8"/>
      <c r="M71" s="8">
        <v>88.013999999999996</v>
      </c>
      <c r="N71" s="8">
        <v>78.120999999999995</v>
      </c>
      <c r="O71" s="8"/>
      <c r="P71" s="8"/>
      <c r="Q71" s="10">
        <f t="shared" si="23"/>
        <v>7.5240000000000009</v>
      </c>
    </row>
    <row r="72" spans="1:17" x14ac:dyDescent="0.35">
      <c r="A72" s="3">
        <v>1919</v>
      </c>
      <c r="B72" s="4">
        <f t="shared" si="16"/>
        <v>67.11</v>
      </c>
      <c r="C72" s="4">
        <f t="shared" si="17"/>
        <v>80.290000000000006</v>
      </c>
      <c r="D72" s="4">
        <f t="shared" si="18"/>
        <v>75.516000000000005</v>
      </c>
      <c r="E72" s="4">
        <f t="shared" si="19"/>
        <v>85.79</v>
      </c>
      <c r="F72" s="4">
        <f t="shared" si="20"/>
        <v>8.4060000000000059</v>
      </c>
      <c r="G72" s="4">
        <f t="shared" si="21"/>
        <v>4.7740000000000009</v>
      </c>
      <c r="H72" s="4">
        <f t="shared" si="22"/>
        <v>0</v>
      </c>
      <c r="I72" s="5">
        <v>80.290000000000006</v>
      </c>
      <c r="J72" s="5">
        <v>67.11</v>
      </c>
      <c r="K72" s="5"/>
      <c r="L72" s="5"/>
      <c r="M72" s="5">
        <v>85.79</v>
      </c>
      <c r="N72" s="5">
        <v>75.516000000000005</v>
      </c>
      <c r="O72" s="5"/>
      <c r="P72" s="5"/>
      <c r="Q72" s="10">
        <f t="shared" si="23"/>
        <v>5.5</v>
      </c>
    </row>
    <row r="73" spans="1:17" x14ac:dyDescent="0.35">
      <c r="A73" s="6">
        <v>1920</v>
      </c>
      <c r="B73" s="7">
        <f t="shared" si="16"/>
        <v>68.105999999999995</v>
      </c>
      <c r="C73" s="7">
        <f t="shared" si="17"/>
        <v>80.070999999999998</v>
      </c>
      <c r="D73" s="7">
        <f t="shared" si="18"/>
        <v>76.974000000000004</v>
      </c>
      <c r="E73" s="7">
        <f t="shared" si="19"/>
        <v>86.561000000000007</v>
      </c>
      <c r="F73" s="7">
        <f t="shared" si="20"/>
        <v>8.8680000000000092</v>
      </c>
      <c r="G73" s="7">
        <f t="shared" si="21"/>
        <v>3.0969999999999942</v>
      </c>
      <c r="H73" s="7">
        <f t="shared" si="22"/>
        <v>0</v>
      </c>
      <c r="I73" s="8">
        <v>80.070999999999998</v>
      </c>
      <c r="J73" s="8">
        <v>68.105999999999995</v>
      </c>
      <c r="K73" s="8"/>
      <c r="L73" s="8"/>
      <c r="M73" s="8">
        <v>86.561000000000007</v>
      </c>
      <c r="N73" s="8">
        <v>76.974000000000004</v>
      </c>
      <c r="O73" s="8"/>
      <c r="P73" s="8"/>
      <c r="Q73" s="10">
        <f t="shared" si="23"/>
        <v>6.4900000000000091</v>
      </c>
    </row>
    <row r="74" spans="1:17" x14ac:dyDescent="0.35">
      <c r="A74" s="3">
        <v>1921</v>
      </c>
      <c r="B74" s="4">
        <f t="shared" si="16"/>
        <v>64.775999999999996</v>
      </c>
      <c r="C74" s="4">
        <f t="shared" si="17"/>
        <v>77.108000000000004</v>
      </c>
      <c r="D74" s="4">
        <f t="shared" si="18"/>
        <v>74.468000000000004</v>
      </c>
      <c r="E74" s="4">
        <f t="shared" si="19"/>
        <v>84.427000000000007</v>
      </c>
      <c r="F74" s="4">
        <f t="shared" si="20"/>
        <v>9.6920000000000073</v>
      </c>
      <c r="G74" s="4">
        <f t="shared" si="21"/>
        <v>2.6400000000000006</v>
      </c>
      <c r="H74" s="4">
        <f t="shared" si="22"/>
        <v>0</v>
      </c>
      <c r="I74" s="5">
        <v>77.108000000000004</v>
      </c>
      <c r="J74" s="5">
        <v>64.775999999999996</v>
      </c>
      <c r="K74" s="5"/>
      <c r="L74" s="5"/>
      <c r="M74" s="5">
        <v>84.427000000000007</v>
      </c>
      <c r="N74" s="5">
        <v>74.468000000000004</v>
      </c>
      <c r="O74" s="5"/>
      <c r="P74" s="5"/>
      <c r="Q74" s="10">
        <f t="shared" si="23"/>
        <v>7.3190000000000026</v>
      </c>
    </row>
    <row r="75" spans="1:17" x14ac:dyDescent="0.35">
      <c r="A75" s="6">
        <v>1922</v>
      </c>
      <c r="B75" s="7">
        <f t="shared" si="16"/>
        <v>65.602000000000004</v>
      </c>
      <c r="C75" s="7">
        <f t="shared" si="17"/>
        <v>77.855000000000004</v>
      </c>
      <c r="D75" s="7">
        <f t="shared" si="18"/>
        <v>75.052000000000007</v>
      </c>
      <c r="E75" s="7">
        <f t="shared" si="19"/>
        <v>84.944000000000003</v>
      </c>
      <c r="F75" s="7">
        <f t="shared" si="20"/>
        <v>9.4500000000000028</v>
      </c>
      <c r="G75" s="7">
        <f t="shared" si="21"/>
        <v>2.8029999999999973</v>
      </c>
      <c r="H75" s="7">
        <f t="shared" si="22"/>
        <v>0</v>
      </c>
      <c r="I75" s="8">
        <v>77.855000000000004</v>
      </c>
      <c r="J75" s="8">
        <v>65.602000000000004</v>
      </c>
      <c r="K75" s="8"/>
      <c r="L75" s="8"/>
      <c r="M75" s="8">
        <v>84.944000000000003</v>
      </c>
      <c r="N75" s="8">
        <v>75.052000000000007</v>
      </c>
      <c r="O75" s="8"/>
      <c r="P75" s="8"/>
      <c r="Q75" s="10">
        <f t="shared" si="23"/>
        <v>7.0889999999999986</v>
      </c>
    </row>
    <row r="76" spans="1:17" x14ac:dyDescent="0.35">
      <c r="A76" s="3">
        <v>1923</v>
      </c>
      <c r="B76" s="4">
        <f t="shared" si="16"/>
        <v>67.992999999999995</v>
      </c>
      <c r="C76" s="4">
        <f t="shared" si="17"/>
        <v>79.986000000000004</v>
      </c>
      <c r="D76" s="4">
        <f t="shared" si="18"/>
        <v>76.599999999999994</v>
      </c>
      <c r="E76" s="4">
        <f t="shared" si="19"/>
        <v>86.146000000000001</v>
      </c>
      <c r="F76" s="4">
        <f t="shared" si="20"/>
        <v>8.6069999999999993</v>
      </c>
      <c r="G76" s="4">
        <f t="shared" si="21"/>
        <v>3.3860000000000099</v>
      </c>
      <c r="H76" s="4">
        <f t="shared" si="22"/>
        <v>0</v>
      </c>
      <c r="I76" s="5">
        <v>79.986000000000004</v>
      </c>
      <c r="J76" s="5">
        <v>67.992999999999995</v>
      </c>
      <c r="K76" s="5"/>
      <c r="L76" s="5"/>
      <c r="M76" s="5">
        <v>86.146000000000001</v>
      </c>
      <c r="N76" s="5">
        <v>76.599999999999994</v>
      </c>
      <c r="O76" s="5"/>
      <c r="P76" s="5"/>
      <c r="Q76" s="10">
        <f t="shared" si="23"/>
        <v>6.1599999999999966</v>
      </c>
    </row>
    <row r="77" spans="1:17" x14ac:dyDescent="0.35">
      <c r="A77" s="6">
        <v>1924</v>
      </c>
      <c r="B77" s="7">
        <f t="shared" si="16"/>
        <v>67.388000000000005</v>
      </c>
      <c r="C77" s="7">
        <f t="shared" si="17"/>
        <v>79.287000000000006</v>
      </c>
      <c r="D77" s="7">
        <f t="shared" si="18"/>
        <v>76.266999999999996</v>
      </c>
      <c r="E77" s="7">
        <f t="shared" si="19"/>
        <v>85.781999999999996</v>
      </c>
      <c r="F77" s="7">
        <f t="shared" si="20"/>
        <v>8.8789999999999907</v>
      </c>
      <c r="G77" s="7">
        <f t="shared" si="21"/>
        <v>3.0200000000000102</v>
      </c>
      <c r="H77" s="7">
        <f t="shared" si="22"/>
        <v>0</v>
      </c>
      <c r="I77" s="8">
        <v>79.287000000000006</v>
      </c>
      <c r="J77" s="8">
        <v>67.388000000000005</v>
      </c>
      <c r="K77" s="8"/>
      <c r="L77" s="8"/>
      <c r="M77" s="8">
        <v>85.781999999999996</v>
      </c>
      <c r="N77" s="8">
        <v>76.266999999999996</v>
      </c>
      <c r="O77" s="8"/>
      <c r="P77" s="8"/>
      <c r="Q77" s="10">
        <f t="shared" si="23"/>
        <v>6.4949999999999903</v>
      </c>
    </row>
    <row r="78" spans="1:17" x14ac:dyDescent="0.35">
      <c r="A78" s="3">
        <v>1925</v>
      </c>
      <c r="B78" s="4">
        <f t="shared" si="16"/>
        <v>67.528000000000006</v>
      </c>
      <c r="C78" s="4">
        <f t="shared" si="17"/>
        <v>79.463999999999999</v>
      </c>
      <c r="D78" s="4">
        <f t="shared" si="18"/>
        <v>76.334999999999994</v>
      </c>
      <c r="E78" s="4">
        <f t="shared" si="19"/>
        <v>85.885000000000005</v>
      </c>
      <c r="F78" s="4">
        <f t="shared" si="20"/>
        <v>8.8069999999999879</v>
      </c>
      <c r="G78" s="4">
        <f t="shared" si="21"/>
        <v>3.1290000000000049</v>
      </c>
      <c r="H78" s="4">
        <f t="shared" si="22"/>
        <v>0</v>
      </c>
      <c r="I78" s="5">
        <v>79.463999999999999</v>
      </c>
      <c r="J78" s="5">
        <v>67.528000000000006</v>
      </c>
      <c r="K78" s="5"/>
      <c r="L78" s="5"/>
      <c r="M78" s="5">
        <v>85.885000000000005</v>
      </c>
      <c r="N78" s="5">
        <v>76.334999999999994</v>
      </c>
      <c r="O78" s="5"/>
      <c r="P78" s="5"/>
      <c r="Q78" s="10">
        <f t="shared" si="23"/>
        <v>6.4210000000000065</v>
      </c>
    </row>
    <row r="79" spans="1:17" x14ac:dyDescent="0.35">
      <c r="A79" s="6">
        <v>1926</v>
      </c>
      <c r="B79" s="7">
        <f t="shared" si="16"/>
        <v>66.42</v>
      </c>
      <c r="C79" s="7">
        <f t="shared" si="17"/>
        <v>78.47</v>
      </c>
      <c r="D79" s="7">
        <f t="shared" si="18"/>
        <v>75.847999999999999</v>
      </c>
      <c r="E79" s="7">
        <f t="shared" si="19"/>
        <v>85.674000000000007</v>
      </c>
      <c r="F79" s="7">
        <f t="shared" si="20"/>
        <v>9.4279999999999973</v>
      </c>
      <c r="G79" s="7">
        <f t="shared" si="21"/>
        <v>2.6219999999999999</v>
      </c>
      <c r="H79" s="7">
        <f t="shared" si="22"/>
        <v>0</v>
      </c>
      <c r="I79" s="8">
        <v>78.47</v>
      </c>
      <c r="J79" s="8">
        <v>66.42</v>
      </c>
      <c r="K79" s="8"/>
      <c r="L79" s="8"/>
      <c r="M79" s="8">
        <v>85.674000000000007</v>
      </c>
      <c r="N79" s="8">
        <v>75.847999999999999</v>
      </c>
      <c r="O79" s="8"/>
      <c r="P79" s="8"/>
      <c r="Q79" s="10">
        <f t="shared" si="23"/>
        <v>7.2040000000000077</v>
      </c>
    </row>
    <row r="80" spans="1:17" x14ac:dyDescent="0.35">
      <c r="A80" s="3">
        <v>1927</v>
      </c>
      <c r="B80" s="4">
        <f t="shared" si="16"/>
        <v>67.424000000000007</v>
      </c>
      <c r="C80" s="4">
        <f t="shared" si="17"/>
        <v>79.057000000000002</v>
      </c>
      <c r="D80" s="4">
        <f t="shared" si="18"/>
        <v>76.971000000000004</v>
      </c>
      <c r="E80" s="4">
        <f t="shared" si="19"/>
        <v>86.537000000000006</v>
      </c>
      <c r="F80" s="4">
        <f t="shared" si="20"/>
        <v>9.546999999999997</v>
      </c>
      <c r="G80" s="4">
        <f t="shared" si="21"/>
        <v>2.0859999999999985</v>
      </c>
      <c r="H80" s="4">
        <f t="shared" si="22"/>
        <v>0</v>
      </c>
      <c r="I80" s="5">
        <v>79.057000000000002</v>
      </c>
      <c r="J80" s="5">
        <v>67.424000000000007</v>
      </c>
      <c r="K80" s="5"/>
      <c r="L80" s="5"/>
      <c r="M80" s="5">
        <v>86.537000000000006</v>
      </c>
      <c r="N80" s="5">
        <v>76.971000000000004</v>
      </c>
      <c r="O80" s="5"/>
      <c r="P80" s="5"/>
      <c r="Q80" s="10">
        <f t="shared" si="23"/>
        <v>7.480000000000004</v>
      </c>
    </row>
    <row r="81" spans="1:17" x14ac:dyDescent="0.35">
      <c r="A81" s="6">
        <v>1928</v>
      </c>
      <c r="B81" s="7">
        <f t="shared" si="16"/>
        <v>66.563000000000002</v>
      </c>
      <c r="C81" s="7">
        <f t="shared" si="17"/>
        <v>78.337000000000003</v>
      </c>
      <c r="D81" s="7">
        <f t="shared" si="18"/>
        <v>76.414000000000001</v>
      </c>
      <c r="E81" s="7">
        <f t="shared" si="19"/>
        <v>86.23</v>
      </c>
      <c r="F81" s="7">
        <f t="shared" si="20"/>
        <v>9.8509999999999991</v>
      </c>
      <c r="G81" s="7">
        <f t="shared" si="21"/>
        <v>1.9230000000000018</v>
      </c>
      <c r="H81" s="7">
        <f t="shared" si="22"/>
        <v>0</v>
      </c>
      <c r="I81" s="8">
        <v>78.337000000000003</v>
      </c>
      <c r="J81" s="8">
        <v>66.563000000000002</v>
      </c>
      <c r="K81" s="8"/>
      <c r="L81" s="8"/>
      <c r="M81" s="8">
        <v>86.23</v>
      </c>
      <c r="N81" s="8">
        <v>76.414000000000001</v>
      </c>
      <c r="O81" s="8"/>
      <c r="P81" s="8"/>
      <c r="Q81" s="10">
        <f t="shared" si="23"/>
        <v>7.8930000000000007</v>
      </c>
    </row>
    <row r="82" spans="1:17" x14ac:dyDescent="0.35">
      <c r="A82" s="3">
        <v>1929</v>
      </c>
      <c r="B82" s="4">
        <f t="shared" si="16"/>
        <v>67.207999999999998</v>
      </c>
      <c r="C82" s="4">
        <f t="shared" si="17"/>
        <v>78.688000000000002</v>
      </c>
      <c r="D82" s="4">
        <f t="shared" si="18"/>
        <v>77.06</v>
      </c>
      <c r="E82" s="4">
        <f t="shared" si="19"/>
        <v>86.72</v>
      </c>
      <c r="F82" s="4">
        <f t="shared" si="20"/>
        <v>9.8520000000000039</v>
      </c>
      <c r="G82" s="4">
        <f t="shared" si="21"/>
        <v>1.6280000000000001</v>
      </c>
      <c r="H82" s="4">
        <f t="shared" si="22"/>
        <v>0</v>
      </c>
      <c r="I82" s="5">
        <v>78.688000000000002</v>
      </c>
      <c r="J82" s="5">
        <v>67.207999999999998</v>
      </c>
      <c r="K82" s="5"/>
      <c r="L82" s="5"/>
      <c r="M82" s="5">
        <v>86.72</v>
      </c>
      <c r="N82" s="5">
        <v>77.06</v>
      </c>
      <c r="O82" s="5"/>
      <c r="P82" s="5"/>
      <c r="Q82" s="10">
        <f t="shared" si="23"/>
        <v>8.0319999999999965</v>
      </c>
    </row>
    <row r="83" spans="1:17" x14ac:dyDescent="0.35">
      <c r="A83" s="6">
        <v>1930</v>
      </c>
      <c r="B83" s="7">
        <f t="shared" si="16"/>
        <v>64.893000000000001</v>
      </c>
      <c r="C83" s="7">
        <f t="shared" si="17"/>
        <v>76.632000000000005</v>
      </c>
      <c r="D83" s="7">
        <f t="shared" si="18"/>
        <v>75.637</v>
      </c>
      <c r="E83" s="7">
        <f t="shared" si="19"/>
        <v>85.727999999999994</v>
      </c>
      <c r="F83" s="7">
        <f t="shared" si="20"/>
        <v>10.744</v>
      </c>
      <c r="G83" s="7">
        <f t="shared" si="21"/>
        <v>0.99500000000000455</v>
      </c>
      <c r="H83" s="7">
        <f t="shared" si="22"/>
        <v>0</v>
      </c>
      <c r="I83" s="8">
        <v>76.632000000000005</v>
      </c>
      <c r="J83" s="8">
        <v>64.893000000000001</v>
      </c>
      <c r="K83" s="8"/>
      <c r="L83" s="8"/>
      <c r="M83" s="8">
        <v>85.727999999999994</v>
      </c>
      <c r="N83" s="8">
        <v>75.637</v>
      </c>
      <c r="O83" s="8"/>
      <c r="P83" s="8"/>
      <c r="Q83" s="10">
        <f t="shared" si="23"/>
        <v>9.0959999999999894</v>
      </c>
    </row>
    <row r="84" spans="1:17" x14ac:dyDescent="0.35">
      <c r="A84" s="3">
        <v>1931</v>
      </c>
      <c r="B84" s="4">
        <f t="shared" si="16"/>
        <v>62.015999999999998</v>
      </c>
      <c r="C84" s="4">
        <f t="shared" si="17"/>
        <v>73.844999999999999</v>
      </c>
      <c r="D84" s="4">
        <f t="shared" si="18"/>
        <v>74.03</v>
      </c>
      <c r="E84" s="4">
        <f t="shared" si="19"/>
        <v>84.507000000000005</v>
      </c>
      <c r="F84" s="4">
        <f t="shared" si="20"/>
        <v>11.829000000000001</v>
      </c>
      <c r="G84" s="4">
        <f t="shared" si="21"/>
        <v>0</v>
      </c>
      <c r="H84" s="4">
        <f t="shared" si="22"/>
        <v>0.18500000000000227</v>
      </c>
      <c r="I84" s="5">
        <v>73.844999999999999</v>
      </c>
      <c r="J84" s="5">
        <v>62.015999999999998</v>
      </c>
      <c r="K84" s="5"/>
      <c r="L84" s="5"/>
      <c r="M84" s="5">
        <v>84.507000000000005</v>
      </c>
      <c r="N84" s="5">
        <v>74.03</v>
      </c>
      <c r="O84" s="5"/>
      <c r="P84" s="5"/>
      <c r="Q84" s="10">
        <f t="shared" si="23"/>
        <v>10.477000000000004</v>
      </c>
    </row>
    <row r="85" spans="1:17" x14ac:dyDescent="0.35">
      <c r="A85" s="6">
        <v>1932</v>
      </c>
      <c r="B85" s="7">
        <f t="shared" si="16"/>
        <v>59.347999999999999</v>
      </c>
      <c r="C85" s="7">
        <f t="shared" si="17"/>
        <v>71.165000000000006</v>
      </c>
      <c r="D85" s="7">
        <f t="shared" si="18"/>
        <v>72.144999999999996</v>
      </c>
      <c r="E85" s="7">
        <f t="shared" si="19"/>
        <v>82.808999999999997</v>
      </c>
      <c r="F85" s="7">
        <f t="shared" si="20"/>
        <v>11.817000000000007</v>
      </c>
      <c r="G85" s="7">
        <f t="shared" si="21"/>
        <v>0</v>
      </c>
      <c r="H85" s="7">
        <f t="shared" si="22"/>
        <v>0.97999999999998977</v>
      </c>
      <c r="I85" s="8">
        <v>71.165000000000006</v>
      </c>
      <c r="J85" s="8">
        <v>59.347999999999999</v>
      </c>
      <c r="K85" s="8"/>
      <c r="L85" s="8"/>
      <c r="M85" s="8">
        <v>82.808999999999997</v>
      </c>
      <c r="N85" s="8">
        <v>72.144999999999996</v>
      </c>
      <c r="O85" s="8"/>
      <c r="P85" s="8"/>
      <c r="Q85" s="10">
        <f t="shared" si="23"/>
        <v>10.664000000000001</v>
      </c>
    </row>
    <row r="86" spans="1:17" x14ac:dyDescent="0.35">
      <c r="A86" s="3">
        <v>1933</v>
      </c>
      <c r="B86" s="4">
        <f t="shared" si="16"/>
        <v>59.679000000000002</v>
      </c>
      <c r="C86" s="4">
        <f t="shared" si="17"/>
        <v>71.263999999999996</v>
      </c>
      <c r="D86" s="4">
        <f t="shared" si="18"/>
        <v>72.435000000000002</v>
      </c>
      <c r="E86" s="4">
        <f t="shared" si="19"/>
        <v>82.921000000000006</v>
      </c>
      <c r="F86" s="4">
        <f t="shared" si="20"/>
        <v>11.584999999999994</v>
      </c>
      <c r="G86" s="4">
        <f t="shared" si="21"/>
        <v>0</v>
      </c>
      <c r="H86" s="4">
        <f t="shared" si="22"/>
        <v>1.1710000000000065</v>
      </c>
      <c r="I86" s="5">
        <v>71.263999999999996</v>
      </c>
      <c r="J86" s="5">
        <v>59.679000000000002</v>
      </c>
      <c r="K86" s="5"/>
      <c r="L86" s="5"/>
      <c r="M86" s="5">
        <v>82.921000000000006</v>
      </c>
      <c r="N86" s="5">
        <v>72.435000000000002</v>
      </c>
      <c r="O86" s="5"/>
      <c r="P86" s="5"/>
      <c r="Q86" s="10">
        <f t="shared" si="23"/>
        <v>10.486000000000004</v>
      </c>
    </row>
    <row r="87" spans="1:17" x14ac:dyDescent="0.35">
      <c r="A87" s="6">
        <v>1934</v>
      </c>
      <c r="B87" s="7">
        <f t="shared" si="16"/>
        <v>59.863</v>
      </c>
      <c r="C87" s="7">
        <f t="shared" si="17"/>
        <v>70.872</v>
      </c>
      <c r="D87" s="7">
        <f t="shared" si="18"/>
        <v>72.891999999999996</v>
      </c>
      <c r="E87" s="7">
        <f t="shared" si="19"/>
        <v>83.024000000000001</v>
      </c>
      <c r="F87" s="7">
        <f t="shared" si="20"/>
        <v>11.009</v>
      </c>
      <c r="G87" s="7">
        <f t="shared" si="21"/>
        <v>0</v>
      </c>
      <c r="H87" s="7">
        <f t="shared" si="22"/>
        <v>2.019999999999996</v>
      </c>
      <c r="I87" s="8">
        <v>70.872</v>
      </c>
      <c r="J87" s="8">
        <v>59.863</v>
      </c>
      <c r="K87" s="8"/>
      <c r="L87" s="8"/>
      <c r="M87" s="8">
        <v>83.024000000000001</v>
      </c>
      <c r="N87" s="8">
        <v>72.891999999999996</v>
      </c>
      <c r="O87" s="8"/>
      <c r="P87" s="8"/>
      <c r="Q87" s="10">
        <f t="shared" si="23"/>
        <v>10.132000000000005</v>
      </c>
    </row>
    <row r="88" spans="1:17" x14ac:dyDescent="0.35">
      <c r="A88" s="3">
        <v>1935</v>
      </c>
      <c r="B88" s="4">
        <f t="shared" si="16"/>
        <v>59.616</v>
      </c>
      <c r="C88" s="4">
        <f t="shared" si="17"/>
        <v>70.254999999999995</v>
      </c>
      <c r="D88" s="4">
        <f t="shared" si="18"/>
        <v>72.835999999999999</v>
      </c>
      <c r="E88" s="4">
        <f t="shared" si="19"/>
        <v>82.751000000000005</v>
      </c>
      <c r="F88" s="4">
        <f t="shared" si="20"/>
        <v>10.638999999999996</v>
      </c>
      <c r="G88" s="4">
        <f t="shared" si="21"/>
        <v>0</v>
      </c>
      <c r="H88" s="4">
        <f t="shared" si="22"/>
        <v>2.5810000000000031</v>
      </c>
      <c r="I88" s="5">
        <v>70.254999999999995</v>
      </c>
      <c r="J88" s="5">
        <v>59.616</v>
      </c>
      <c r="K88" s="5"/>
      <c r="L88" s="5"/>
      <c r="M88" s="5">
        <v>82.751000000000005</v>
      </c>
      <c r="N88" s="5">
        <v>72.835999999999999</v>
      </c>
      <c r="O88" s="5"/>
      <c r="P88" s="5"/>
      <c r="Q88" s="10">
        <f t="shared" si="23"/>
        <v>9.9150000000000063</v>
      </c>
    </row>
    <row r="89" spans="1:17" x14ac:dyDescent="0.35">
      <c r="A89" s="6">
        <v>1936</v>
      </c>
      <c r="B89" s="7">
        <f t="shared" si="16"/>
        <v>60.491999999999997</v>
      </c>
      <c r="C89" s="7">
        <f t="shared" si="17"/>
        <v>70.816000000000003</v>
      </c>
      <c r="D89" s="7">
        <f t="shared" si="18"/>
        <v>73.736999999999995</v>
      </c>
      <c r="E89" s="7">
        <f t="shared" si="19"/>
        <v>83.478999999999999</v>
      </c>
      <c r="F89" s="7">
        <f t="shared" si="20"/>
        <v>10.324000000000005</v>
      </c>
      <c r="G89" s="7">
        <f t="shared" si="21"/>
        <v>0</v>
      </c>
      <c r="H89" s="7">
        <f t="shared" si="22"/>
        <v>2.9209999999999923</v>
      </c>
      <c r="I89" s="8">
        <v>70.816000000000003</v>
      </c>
      <c r="J89" s="8">
        <v>60.491999999999997</v>
      </c>
      <c r="K89" s="8"/>
      <c r="L89" s="8"/>
      <c r="M89" s="8">
        <v>83.478999999999999</v>
      </c>
      <c r="N89" s="8">
        <v>73.736999999999995</v>
      </c>
      <c r="O89" s="8"/>
      <c r="P89" s="8"/>
      <c r="Q89" s="10">
        <f t="shared" si="23"/>
        <v>9.7420000000000044</v>
      </c>
    </row>
    <row r="90" spans="1:17" x14ac:dyDescent="0.35">
      <c r="A90" s="3">
        <v>1937</v>
      </c>
      <c r="B90" s="4">
        <f t="shared" si="16"/>
        <v>61.17</v>
      </c>
      <c r="C90" s="4">
        <f t="shared" si="17"/>
        <v>71.298000000000002</v>
      </c>
      <c r="D90" s="4">
        <f t="shared" si="18"/>
        <v>74.085999999999999</v>
      </c>
      <c r="E90" s="4">
        <f t="shared" si="19"/>
        <v>83.641999999999996</v>
      </c>
      <c r="F90" s="4">
        <f t="shared" si="20"/>
        <v>10.128</v>
      </c>
      <c r="G90" s="4">
        <f t="shared" si="21"/>
        <v>0</v>
      </c>
      <c r="H90" s="4">
        <f t="shared" si="22"/>
        <v>2.7879999999999967</v>
      </c>
      <c r="I90" s="5">
        <v>71.298000000000002</v>
      </c>
      <c r="J90" s="5">
        <v>61.17</v>
      </c>
      <c r="K90" s="5"/>
      <c r="L90" s="5"/>
      <c r="M90" s="5">
        <v>83.641999999999996</v>
      </c>
      <c r="N90" s="5">
        <v>74.085999999999999</v>
      </c>
      <c r="O90" s="5"/>
      <c r="P90" s="5"/>
      <c r="Q90" s="10">
        <f t="shared" si="23"/>
        <v>9.5559999999999974</v>
      </c>
    </row>
    <row r="91" spans="1:17" x14ac:dyDescent="0.35">
      <c r="A91" s="6">
        <v>1938</v>
      </c>
      <c r="B91" s="7">
        <f t="shared" si="16"/>
        <v>58.863999999999997</v>
      </c>
      <c r="C91" s="7">
        <f t="shared" si="17"/>
        <v>68.956000000000003</v>
      </c>
      <c r="D91" s="7">
        <f t="shared" si="18"/>
        <v>72.698999999999998</v>
      </c>
      <c r="E91" s="7">
        <f t="shared" si="19"/>
        <v>82.570999999999998</v>
      </c>
      <c r="F91" s="7">
        <f t="shared" si="20"/>
        <v>10.092000000000006</v>
      </c>
      <c r="G91" s="7">
        <f t="shared" si="21"/>
        <v>0</v>
      </c>
      <c r="H91" s="7">
        <f t="shared" si="22"/>
        <v>3.742999999999995</v>
      </c>
      <c r="I91" s="8">
        <v>68.956000000000003</v>
      </c>
      <c r="J91" s="8">
        <v>58.863999999999997</v>
      </c>
      <c r="K91" s="8"/>
      <c r="L91" s="8"/>
      <c r="M91" s="8">
        <v>82.570999999999998</v>
      </c>
      <c r="N91" s="8">
        <v>72.698999999999998</v>
      </c>
      <c r="O91" s="8"/>
      <c r="P91" s="8"/>
      <c r="Q91" s="10">
        <f t="shared" si="23"/>
        <v>9.8719999999999999</v>
      </c>
    </row>
    <row r="92" spans="1:17" x14ac:dyDescent="0.35">
      <c r="A92" s="3">
        <v>1939</v>
      </c>
      <c r="B92" s="4">
        <f t="shared" si="16"/>
        <v>59.67</v>
      </c>
      <c r="C92" s="4">
        <f t="shared" si="17"/>
        <v>69.67</v>
      </c>
      <c r="D92" s="4">
        <f t="shared" si="18"/>
        <v>72.988</v>
      </c>
      <c r="E92" s="4">
        <f t="shared" si="19"/>
        <v>82.704999999999998</v>
      </c>
      <c r="F92" s="4">
        <f t="shared" si="20"/>
        <v>10</v>
      </c>
      <c r="G92" s="4">
        <f t="shared" si="21"/>
        <v>0</v>
      </c>
      <c r="H92" s="4">
        <f t="shared" si="22"/>
        <v>3.3179999999999978</v>
      </c>
      <c r="I92" s="5">
        <v>69.67</v>
      </c>
      <c r="J92" s="5">
        <v>59.67</v>
      </c>
      <c r="K92" s="5"/>
      <c r="L92" s="5"/>
      <c r="M92" s="5">
        <v>82.704999999999998</v>
      </c>
      <c r="N92" s="5">
        <v>72.988</v>
      </c>
      <c r="O92" s="5"/>
      <c r="P92" s="5"/>
      <c r="Q92" s="10">
        <f t="shared" si="23"/>
        <v>9.7169999999999987</v>
      </c>
    </row>
    <row r="93" spans="1:17" x14ac:dyDescent="0.35">
      <c r="A93" s="6">
        <v>1940</v>
      </c>
      <c r="B93" s="7">
        <f t="shared" si="16"/>
        <v>58.59</v>
      </c>
      <c r="C93" s="7">
        <f t="shared" si="17"/>
        <v>67.683999999999997</v>
      </c>
      <c r="D93" s="7">
        <f t="shared" si="18"/>
        <v>73.828000000000003</v>
      </c>
      <c r="E93" s="7">
        <f t="shared" si="19"/>
        <v>83.225999999999999</v>
      </c>
      <c r="F93" s="7">
        <f t="shared" si="20"/>
        <v>9.0939999999999941</v>
      </c>
      <c r="G93" s="7">
        <f t="shared" si="21"/>
        <v>0</v>
      </c>
      <c r="H93" s="7">
        <f t="shared" si="22"/>
        <v>6.1440000000000055</v>
      </c>
      <c r="I93" s="8">
        <v>67.683999999999997</v>
      </c>
      <c r="J93" s="8">
        <v>58.59</v>
      </c>
      <c r="K93" s="8"/>
      <c r="L93" s="8"/>
      <c r="M93" s="8">
        <v>83.225999999999999</v>
      </c>
      <c r="N93" s="8">
        <v>73.828000000000003</v>
      </c>
      <c r="O93" s="8"/>
      <c r="P93" s="8"/>
      <c r="Q93" s="10">
        <f t="shared" si="23"/>
        <v>9.3979999999999961</v>
      </c>
    </row>
    <row r="94" spans="1:17" x14ac:dyDescent="0.35">
      <c r="A94" s="3">
        <v>1941</v>
      </c>
      <c r="B94" s="4">
        <f t="shared" si="16"/>
        <v>59.625999999999998</v>
      </c>
      <c r="C94" s="4">
        <f t="shared" si="17"/>
        <v>69.165999999999997</v>
      </c>
      <c r="D94" s="4">
        <f t="shared" si="18"/>
        <v>73.804000000000002</v>
      </c>
      <c r="E94" s="4">
        <f t="shared" si="19"/>
        <v>83.363</v>
      </c>
      <c r="F94" s="4">
        <f t="shared" si="20"/>
        <v>9.5399999999999991</v>
      </c>
      <c r="G94" s="4">
        <f t="shared" si="21"/>
        <v>0</v>
      </c>
      <c r="H94" s="4">
        <f t="shared" si="22"/>
        <v>4.6380000000000052</v>
      </c>
      <c r="I94" s="5">
        <v>69.165999999999997</v>
      </c>
      <c r="J94" s="5">
        <v>59.625999999999998</v>
      </c>
      <c r="K94" s="5"/>
      <c r="L94" s="5"/>
      <c r="M94" s="5">
        <v>83.363</v>
      </c>
      <c r="N94" s="5">
        <v>73.804000000000002</v>
      </c>
      <c r="O94" s="5"/>
      <c r="P94" s="5"/>
      <c r="Q94" s="10">
        <f t="shared" si="23"/>
        <v>9.5589999999999975</v>
      </c>
    </row>
    <row r="95" spans="1:17" x14ac:dyDescent="0.35">
      <c r="A95" s="6">
        <v>1942</v>
      </c>
      <c r="B95" s="7">
        <f t="shared" si="16"/>
        <v>61.374000000000002</v>
      </c>
      <c r="C95" s="7">
        <f t="shared" si="17"/>
        <v>71.980999999999995</v>
      </c>
      <c r="D95" s="7">
        <f t="shared" si="18"/>
        <v>74.188000000000002</v>
      </c>
      <c r="E95" s="7">
        <f t="shared" si="19"/>
        <v>83.704999999999998</v>
      </c>
      <c r="F95" s="7">
        <f t="shared" si="20"/>
        <v>10.606999999999992</v>
      </c>
      <c r="G95" s="7">
        <f t="shared" si="21"/>
        <v>0</v>
      </c>
      <c r="H95" s="7">
        <f t="shared" si="22"/>
        <v>2.2070000000000078</v>
      </c>
      <c r="I95" s="8">
        <v>71.980999999999995</v>
      </c>
      <c r="J95" s="8">
        <v>61.374000000000002</v>
      </c>
      <c r="K95" s="8"/>
      <c r="L95" s="8"/>
      <c r="M95" s="8">
        <v>83.704999999999998</v>
      </c>
      <c r="N95" s="8">
        <v>74.188000000000002</v>
      </c>
      <c r="O95" s="8"/>
      <c r="P95" s="8"/>
      <c r="Q95" s="10">
        <f t="shared" si="23"/>
        <v>9.5169999999999959</v>
      </c>
    </row>
    <row r="96" spans="1:17" x14ac:dyDescent="0.35">
      <c r="A96" s="3">
        <v>1943</v>
      </c>
      <c r="B96" s="4">
        <f t="shared" si="16"/>
        <v>60.496000000000002</v>
      </c>
      <c r="C96" s="4">
        <f t="shared" si="17"/>
        <v>71.8</v>
      </c>
      <c r="D96" s="4">
        <f t="shared" si="18"/>
        <v>74.125</v>
      </c>
      <c r="E96" s="4">
        <f t="shared" si="19"/>
        <v>83.948999999999998</v>
      </c>
      <c r="F96" s="4">
        <f t="shared" si="20"/>
        <v>11.303999999999995</v>
      </c>
      <c r="G96" s="4">
        <f t="shared" si="21"/>
        <v>0</v>
      </c>
      <c r="H96" s="4">
        <f t="shared" si="22"/>
        <v>2.3250000000000028</v>
      </c>
      <c r="I96" s="5">
        <v>71.8</v>
      </c>
      <c r="J96" s="5">
        <v>60.496000000000002</v>
      </c>
      <c r="K96" s="5"/>
      <c r="L96" s="5"/>
      <c r="M96" s="5">
        <v>83.948999999999998</v>
      </c>
      <c r="N96" s="5">
        <v>74.125</v>
      </c>
      <c r="O96" s="5"/>
      <c r="P96" s="5"/>
      <c r="Q96" s="10">
        <f t="shared" si="23"/>
        <v>9.8239999999999981</v>
      </c>
    </row>
    <row r="97" spans="1:17" x14ac:dyDescent="0.35">
      <c r="A97" s="6">
        <v>1944</v>
      </c>
      <c r="B97" s="7">
        <f t="shared" si="16"/>
        <v>60.109000000000002</v>
      </c>
      <c r="C97" s="7">
        <f t="shared" si="17"/>
        <v>70.545000000000002</v>
      </c>
      <c r="D97" s="7">
        <f t="shared" si="18"/>
        <v>73.260000000000005</v>
      </c>
      <c r="E97" s="7">
        <f t="shared" si="19"/>
        <v>83.590999999999994</v>
      </c>
      <c r="F97" s="7">
        <f t="shared" si="20"/>
        <v>10.436</v>
      </c>
      <c r="G97" s="7">
        <f t="shared" si="21"/>
        <v>0</v>
      </c>
      <c r="H97" s="7">
        <f t="shared" si="22"/>
        <v>2.7150000000000034</v>
      </c>
      <c r="I97" s="8">
        <v>70.545000000000002</v>
      </c>
      <c r="J97" s="8">
        <v>60.109000000000002</v>
      </c>
      <c r="K97" s="8"/>
      <c r="L97" s="8"/>
      <c r="M97" s="8">
        <v>83.590999999999994</v>
      </c>
      <c r="N97" s="8">
        <v>73.260000000000005</v>
      </c>
      <c r="O97" s="8"/>
      <c r="P97" s="8"/>
      <c r="Q97" s="10">
        <f t="shared" si="23"/>
        <v>10.330999999999989</v>
      </c>
    </row>
    <row r="98" spans="1:17" x14ac:dyDescent="0.35">
      <c r="A98" s="3">
        <v>1945</v>
      </c>
      <c r="B98" s="4">
        <f t="shared" si="16"/>
        <v>57.718000000000004</v>
      </c>
      <c r="C98" s="4">
        <f t="shared" si="17"/>
        <v>69.518000000000001</v>
      </c>
      <c r="D98" s="4">
        <f t="shared" si="18"/>
        <v>69.995999999999995</v>
      </c>
      <c r="E98" s="4">
        <f t="shared" si="19"/>
        <v>81.456000000000003</v>
      </c>
      <c r="F98" s="4">
        <f t="shared" si="20"/>
        <v>11.799999999999997</v>
      </c>
      <c r="G98" s="4">
        <f t="shared" si="21"/>
        <v>0</v>
      </c>
      <c r="H98" s="4">
        <f t="shared" si="22"/>
        <v>0.47799999999999443</v>
      </c>
      <c r="I98" s="5">
        <v>69.518000000000001</v>
      </c>
      <c r="J98" s="5">
        <v>57.718000000000004</v>
      </c>
      <c r="K98" s="5"/>
      <c r="L98" s="5"/>
      <c r="M98" s="5">
        <v>81.456000000000003</v>
      </c>
      <c r="N98" s="5">
        <v>69.995999999999995</v>
      </c>
      <c r="O98" s="5"/>
      <c r="P98" s="5"/>
      <c r="Q98" s="10">
        <f t="shared" si="23"/>
        <v>11.460000000000008</v>
      </c>
    </row>
    <row r="99" spans="1:17" x14ac:dyDescent="0.35">
      <c r="A99" s="6">
        <v>1946</v>
      </c>
      <c r="B99" s="7">
        <f t="shared" ref="B99:B130" si="24">IFERROR(MIN(I99:L99),"")</f>
        <v>57.207000000000001</v>
      </c>
      <c r="C99" s="7">
        <f t="shared" ref="C99:C130" si="25">IFERROR(MAX(I99:L99),"")</f>
        <v>68.531999999999996</v>
      </c>
      <c r="D99" s="7">
        <f t="shared" ref="D99:D130" si="26">IFERROR(MIN(M99:P99),"")</f>
        <v>70.027000000000001</v>
      </c>
      <c r="E99" s="7">
        <f t="shared" ref="E99:E130" si="27">IFERROR(MAX(M99:P99),"")</f>
        <v>81.510999999999996</v>
      </c>
      <c r="F99" s="7">
        <f t="shared" ref="F99:F130" si="28">IFERROR(MIN(C99,D99)-B99,"")</f>
        <v>11.324999999999996</v>
      </c>
      <c r="G99" s="7">
        <f t="shared" ref="G99:G130" si="29">IFERROR(MAX(0,C99-D99),"")</f>
        <v>0</v>
      </c>
      <c r="H99" s="7">
        <f t="shared" ref="H99:H130" si="30">IFERROR(MAX(0,D99-C99),"")</f>
        <v>1.4950000000000045</v>
      </c>
      <c r="I99" s="8">
        <v>68.531999999999996</v>
      </c>
      <c r="J99" s="8">
        <v>57.207000000000001</v>
      </c>
      <c r="K99" s="8"/>
      <c r="L99" s="8"/>
      <c r="M99" s="8">
        <v>81.510999999999996</v>
      </c>
      <c r="N99" s="8">
        <v>70.027000000000001</v>
      </c>
      <c r="O99" s="8"/>
      <c r="P99" s="8"/>
      <c r="Q99" s="10">
        <f t="shared" ref="Q99:Q130" si="31">IFERROR(MAX(0,$E99-MAX($C99,$D99)),"")</f>
        <v>11.483999999999995</v>
      </c>
    </row>
    <row r="100" spans="1:17" x14ac:dyDescent="0.35">
      <c r="A100" s="3">
        <v>1947</v>
      </c>
      <c r="B100" s="4">
        <f t="shared" si="24"/>
        <v>58.75</v>
      </c>
      <c r="C100" s="4">
        <f t="shared" si="25"/>
        <v>69.352999999999994</v>
      </c>
      <c r="D100" s="4">
        <f t="shared" si="26"/>
        <v>71.623000000000005</v>
      </c>
      <c r="E100" s="4">
        <f t="shared" si="27"/>
        <v>82.385000000000005</v>
      </c>
      <c r="F100" s="4">
        <f t="shared" si="28"/>
        <v>10.602999999999994</v>
      </c>
      <c r="G100" s="4">
        <f t="shared" si="29"/>
        <v>0</v>
      </c>
      <c r="H100" s="4">
        <f t="shared" si="30"/>
        <v>2.2700000000000102</v>
      </c>
      <c r="I100" s="5">
        <v>69.352999999999994</v>
      </c>
      <c r="J100" s="5">
        <v>58.75</v>
      </c>
      <c r="K100" s="5"/>
      <c r="L100" s="5"/>
      <c r="M100" s="5">
        <v>82.385000000000005</v>
      </c>
      <c r="N100" s="5">
        <v>71.623000000000005</v>
      </c>
      <c r="O100" s="5"/>
      <c r="P100" s="5"/>
      <c r="Q100" s="10">
        <f t="shared" si="31"/>
        <v>10.762</v>
      </c>
    </row>
    <row r="101" spans="1:17" x14ac:dyDescent="0.35">
      <c r="A101" s="6">
        <v>1948</v>
      </c>
      <c r="B101" s="7">
        <f t="shared" si="24"/>
        <v>59.598999999999997</v>
      </c>
      <c r="C101" s="7">
        <f t="shared" si="25"/>
        <v>70.197000000000003</v>
      </c>
      <c r="D101" s="7">
        <f t="shared" si="26"/>
        <v>72.537999999999997</v>
      </c>
      <c r="E101" s="7">
        <f t="shared" si="27"/>
        <v>83.337999999999994</v>
      </c>
      <c r="F101" s="7">
        <f t="shared" si="28"/>
        <v>10.598000000000006</v>
      </c>
      <c r="G101" s="7">
        <f t="shared" si="29"/>
        <v>0</v>
      </c>
      <c r="H101" s="7">
        <f t="shared" si="30"/>
        <v>2.340999999999994</v>
      </c>
      <c r="I101" s="8">
        <v>70.197000000000003</v>
      </c>
      <c r="J101" s="8">
        <v>59.598999999999997</v>
      </c>
      <c r="K101" s="8"/>
      <c r="L101" s="8"/>
      <c r="M101" s="8">
        <v>83.337999999999994</v>
      </c>
      <c r="N101" s="8">
        <v>72.537999999999997</v>
      </c>
      <c r="O101" s="8"/>
      <c r="P101" s="8"/>
      <c r="Q101" s="10">
        <f t="shared" si="31"/>
        <v>10.799999999999997</v>
      </c>
    </row>
    <row r="102" spans="1:17" x14ac:dyDescent="0.35">
      <c r="A102" s="3">
        <v>1949</v>
      </c>
      <c r="B102" s="4">
        <f t="shared" si="24"/>
        <v>57.066000000000003</v>
      </c>
      <c r="C102" s="4">
        <f t="shared" si="25"/>
        <v>67.515000000000001</v>
      </c>
      <c r="D102" s="4">
        <f t="shared" si="26"/>
        <v>71.305000000000007</v>
      </c>
      <c r="E102" s="4">
        <f t="shared" si="27"/>
        <v>82.590999999999994</v>
      </c>
      <c r="F102" s="4">
        <f t="shared" si="28"/>
        <v>10.448999999999998</v>
      </c>
      <c r="G102" s="4">
        <f t="shared" si="29"/>
        <v>0</v>
      </c>
      <c r="H102" s="4">
        <f t="shared" si="30"/>
        <v>3.7900000000000063</v>
      </c>
      <c r="I102" s="5">
        <v>67.515000000000001</v>
      </c>
      <c r="J102" s="5">
        <v>57.066000000000003</v>
      </c>
      <c r="K102" s="5"/>
      <c r="L102" s="5"/>
      <c r="M102" s="5">
        <v>82.590999999999994</v>
      </c>
      <c r="N102" s="5">
        <v>71.305000000000007</v>
      </c>
      <c r="O102" s="5"/>
      <c r="P102" s="5"/>
      <c r="Q102" s="10">
        <f t="shared" si="31"/>
        <v>11.285999999999987</v>
      </c>
    </row>
    <row r="103" spans="1:17" x14ac:dyDescent="0.35">
      <c r="A103" s="6">
        <v>1950</v>
      </c>
      <c r="B103" s="7">
        <f t="shared" si="24"/>
        <v>59.167999999999999</v>
      </c>
      <c r="C103" s="7">
        <f t="shared" si="25"/>
        <v>68.331999999999994</v>
      </c>
      <c r="D103" s="7">
        <f t="shared" si="26"/>
        <v>73.510000000000005</v>
      </c>
      <c r="E103" s="7">
        <f t="shared" si="27"/>
        <v>83.088999999999999</v>
      </c>
      <c r="F103" s="7">
        <f t="shared" si="28"/>
        <v>9.1639999999999944</v>
      </c>
      <c r="G103" s="7">
        <f t="shared" si="29"/>
        <v>0</v>
      </c>
      <c r="H103" s="7">
        <f t="shared" si="30"/>
        <v>5.1780000000000115</v>
      </c>
      <c r="I103" s="8">
        <v>68.331999999999994</v>
      </c>
      <c r="J103" s="8">
        <v>59.167999999999999</v>
      </c>
      <c r="K103" s="8"/>
      <c r="L103" s="8"/>
      <c r="M103" s="8">
        <v>83.088999999999999</v>
      </c>
      <c r="N103" s="8">
        <v>73.510000000000005</v>
      </c>
      <c r="O103" s="8"/>
      <c r="P103" s="8"/>
      <c r="Q103" s="10">
        <f t="shared" si="31"/>
        <v>9.5789999999999935</v>
      </c>
    </row>
    <row r="104" spans="1:17" x14ac:dyDescent="0.35">
      <c r="A104" s="3">
        <v>1951</v>
      </c>
      <c r="B104" s="4">
        <f t="shared" si="24"/>
        <v>59.296999999999997</v>
      </c>
      <c r="C104" s="4">
        <f t="shared" si="25"/>
        <v>68.197999999999993</v>
      </c>
      <c r="D104" s="4">
        <f t="shared" si="26"/>
        <v>73.751999999999995</v>
      </c>
      <c r="E104" s="4">
        <f t="shared" si="27"/>
        <v>83.090999999999994</v>
      </c>
      <c r="F104" s="4">
        <f t="shared" si="28"/>
        <v>8.9009999999999962</v>
      </c>
      <c r="G104" s="4">
        <f t="shared" si="29"/>
        <v>0</v>
      </c>
      <c r="H104" s="4">
        <f t="shared" si="30"/>
        <v>5.554000000000002</v>
      </c>
      <c r="I104" s="5">
        <v>68.197999999999993</v>
      </c>
      <c r="J104" s="5">
        <v>59.296999999999997</v>
      </c>
      <c r="K104" s="5"/>
      <c r="L104" s="5"/>
      <c r="M104" s="5">
        <v>83.090999999999994</v>
      </c>
      <c r="N104" s="5">
        <v>73.751999999999995</v>
      </c>
      <c r="O104" s="5"/>
      <c r="P104" s="5"/>
      <c r="Q104" s="10">
        <f t="shared" si="31"/>
        <v>9.3389999999999986</v>
      </c>
    </row>
    <row r="105" spans="1:17" x14ac:dyDescent="0.35">
      <c r="A105" s="6">
        <v>1952</v>
      </c>
      <c r="B105" s="7">
        <f t="shared" si="24"/>
        <v>58.158000000000001</v>
      </c>
      <c r="C105" s="7">
        <f t="shared" si="25"/>
        <v>66.701999999999998</v>
      </c>
      <c r="D105" s="7">
        <f t="shared" si="26"/>
        <v>73.210999999999999</v>
      </c>
      <c r="E105" s="7">
        <f t="shared" si="27"/>
        <v>82.344999999999999</v>
      </c>
      <c r="F105" s="7">
        <f t="shared" si="28"/>
        <v>8.5439999999999969</v>
      </c>
      <c r="G105" s="7">
        <f t="shared" si="29"/>
        <v>0</v>
      </c>
      <c r="H105" s="7">
        <f t="shared" si="30"/>
        <v>6.5090000000000003</v>
      </c>
      <c r="I105" s="8">
        <v>66.701999999999998</v>
      </c>
      <c r="J105" s="8">
        <v>58.158000000000001</v>
      </c>
      <c r="K105" s="8"/>
      <c r="L105" s="8"/>
      <c r="M105" s="8">
        <v>82.344999999999999</v>
      </c>
      <c r="N105" s="8">
        <v>73.210999999999999</v>
      </c>
      <c r="O105" s="8"/>
      <c r="P105" s="8"/>
      <c r="Q105" s="10">
        <f t="shared" si="31"/>
        <v>9.1340000000000003</v>
      </c>
    </row>
    <row r="106" spans="1:17" x14ac:dyDescent="0.35">
      <c r="A106" s="3">
        <v>1953</v>
      </c>
      <c r="B106" s="4">
        <f t="shared" si="24"/>
        <v>57.826000000000001</v>
      </c>
      <c r="C106" s="4">
        <f t="shared" si="25"/>
        <v>66.260999999999996</v>
      </c>
      <c r="D106" s="4">
        <f t="shared" si="26"/>
        <v>73.28</v>
      </c>
      <c r="E106" s="4">
        <f t="shared" si="27"/>
        <v>82.412000000000006</v>
      </c>
      <c r="F106" s="4">
        <f t="shared" si="28"/>
        <v>8.4349999999999952</v>
      </c>
      <c r="G106" s="4">
        <f t="shared" si="29"/>
        <v>0</v>
      </c>
      <c r="H106" s="4">
        <f t="shared" si="30"/>
        <v>7.0190000000000055</v>
      </c>
      <c r="I106" s="5">
        <v>66.260999999999996</v>
      </c>
      <c r="J106" s="5">
        <v>57.826000000000001</v>
      </c>
      <c r="K106" s="5"/>
      <c r="L106" s="5"/>
      <c r="M106" s="5">
        <v>82.412000000000006</v>
      </c>
      <c r="N106" s="5">
        <v>73.28</v>
      </c>
      <c r="O106" s="5"/>
      <c r="P106" s="5"/>
      <c r="Q106" s="10">
        <f t="shared" si="31"/>
        <v>9.132000000000005</v>
      </c>
    </row>
    <row r="107" spans="1:17" x14ac:dyDescent="0.35">
      <c r="A107" s="6">
        <v>1954</v>
      </c>
      <c r="B107" s="7">
        <f t="shared" si="24"/>
        <v>56.585999999999999</v>
      </c>
      <c r="C107" s="7">
        <f t="shared" si="25"/>
        <v>64.602999999999994</v>
      </c>
      <c r="D107" s="7">
        <f t="shared" si="26"/>
        <v>72.691999999999993</v>
      </c>
      <c r="E107" s="7">
        <f t="shared" si="27"/>
        <v>81.596999999999994</v>
      </c>
      <c r="F107" s="7">
        <f t="shared" si="28"/>
        <v>8.0169999999999959</v>
      </c>
      <c r="G107" s="7">
        <f t="shared" si="29"/>
        <v>0</v>
      </c>
      <c r="H107" s="7">
        <f t="shared" si="30"/>
        <v>8.0889999999999986</v>
      </c>
      <c r="I107" s="8">
        <v>64.602999999999994</v>
      </c>
      <c r="J107" s="8">
        <v>56.585999999999999</v>
      </c>
      <c r="K107" s="8"/>
      <c r="L107" s="8"/>
      <c r="M107" s="8">
        <v>81.596999999999994</v>
      </c>
      <c r="N107" s="8">
        <v>72.691999999999993</v>
      </c>
      <c r="O107" s="8"/>
      <c r="P107" s="8"/>
      <c r="Q107" s="10">
        <f t="shared" si="31"/>
        <v>8.9050000000000011</v>
      </c>
    </row>
    <row r="108" spans="1:17" x14ac:dyDescent="0.35">
      <c r="A108" s="3">
        <v>1955</v>
      </c>
      <c r="B108" s="4">
        <f t="shared" si="24"/>
        <v>56.552</v>
      </c>
      <c r="C108" s="4">
        <f t="shared" si="25"/>
        <v>63.933999999999997</v>
      </c>
      <c r="D108" s="4">
        <f t="shared" si="26"/>
        <v>72.882000000000005</v>
      </c>
      <c r="E108" s="4">
        <f t="shared" si="27"/>
        <v>81.043999999999997</v>
      </c>
      <c r="F108" s="4">
        <f t="shared" si="28"/>
        <v>7.3819999999999979</v>
      </c>
      <c r="G108" s="4">
        <f t="shared" si="29"/>
        <v>0</v>
      </c>
      <c r="H108" s="4">
        <f t="shared" si="30"/>
        <v>8.9480000000000075</v>
      </c>
      <c r="I108" s="5">
        <v>63.933999999999997</v>
      </c>
      <c r="J108" s="5">
        <v>56.552</v>
      </c>
      <c r="K108" s="5"/>
      <c r="L108" s="5"/>
      <c r="M108" s="5">
        <v>81.043999999999997</v>
      </c>
      <c r="N108" s="5">
        <v>72.882000000000005</v>
      </c>
      <c r="O108" s="5"/>
      <c r="P108" s="5"/>
      <c r="Q108" s="10">
        <f t="shared" si="31"/>
        <v>8.1619999999999919</v>
      </c>
    </row>
    <row r="109" spans="1:17" x14ac:dyDescent="0.35">
      <c r="A109" s="6">
        <v>1956</v>
      </c>
      <c r="B109" s="7">
        <f t="shared" si="24"/>
        <v>56.475000000000001</v>
      </c>
      <c r="C109" s="7">
        <f t="shared" si="25"/>
        <v>63.597999999999999</v>
      </c>
      <c r="D109" s="7">
        <f t="shared" si="26"/>
        <v>73.138000000000005</v>
      </c>
      <c r="E109" s="7">
        <f t="shared" si="27"/>
        <v>81.066000000000003</v>
      </c>
      <c r="F109" s="7">
        <f t="shared" si="28"/>
        <v>7.1229999999999976</v>
      </c>
      <c r="G109" s="7">
        <f t="shared" si="29"/>
        <v>0</v>
      </c>
      <c r="H109" s="7">
        <f t="shared" si="30"/>
        <v>9.5400000000000063</v>
      </c>
      <c r="I109" s="8">
        <v>63.597999999999999</v>
      </c>
      <c r="J109" s="8">
        <v>56.475000000000001</v>
      </c>
      <c r="K109" s="8"/>
      <c r="L109" s="8"/>
      <c r="M109" s="8">
        <v>81.066000000000003</v>
      </c>
      <c r="N109" s="8">
        <v>73.138000000000005</v>
      </c>
      <c r="O109" s="8"/>
      <c r="P109" s="8"/>
      <c r="Q109" s="10">
        <f t="shared" si="31"/>
        <v>7.9279999999999973</v>
      </c>
    </row>
    <row r="110" spans="1:17" x14ac:dyDescent="0.35">
      <c r="A110" s="3">
        <v>1957</v>
      </c>
      <c r="B110" s="4">
        <f t="shared" si="24"/>
        <v>55.268000000000001</v>
      </c>
      <c r="C110" s="4">
        <f t="shared" si="25"/>
        <v>61.987000000000002</v>
      </c>
      <c r="D110" s="4">
        <f t="shared" si="26"/>
        <v>72.632999999999996</v>
      </c>
      <c r="E110" s="4">
        <f t="shared" si="27"/>
        <v>80.299000000000007</v>
      </c>
      <c r="F110" s="4">
        <f t="shared" si="28"/>
        <v>6.7190000000000012</v>
      </c>
      <c r="G110" s="4">
        <f t="shared" si="29"/>
        <v>0</v>
      </c>
      <c r="H110" s="4">
        <f t="shared" si="30"/>
        <v>10.645999999999994</v>
      </c>
      <c r="I110" s="5">
        <v>61.987000000000002</v>
      </c>
      <c r="J110" s="5">
        <v>55.268000000000001</v>
      </c>
      <c r="K110" s="5"/>
      <c r="L110" s="5"/>
      <c r="M110" s="5">
        <v>80.299000000000007</v>
      </c>
      <c r="N110" s="5">
        <v>72.632999999999996</v>
      </c>
      <c r="O110" s="5"/>
      <c r="P110" s="5"/>
      <c r="Q110" s="10">
        <f t="shared" si="31"/>
        <v>7.666000000000011</v>
      </c>
    </row>
    <row r="111" spans="1:17" x14ac:dyDescent="0.35">
      <c r="A111" s="6">
        <v>1958</v>
      </c>
      <c r="B111" s="7">
        <f t="shared" si="24"/>
        <v>52.96</v>
      </c>
      <c r="C111" s="7">
        <f t="shared" si="25"/>
        <v>58.98</v>
      </c>
      <c r="D111" s="7">
        <f t="shared" si="26"/>
        <v>70.709999999999994</v>
      </c>
      <c r="E111" s="7">
        <f t="shared" si="27"/>
        <v>77.727999999999994</v>
      </c>
      <c r="F111" s="7">
        <f t="shared" si="28"/>
        <v>6.019999999999996</v>
      </c>
      <c r="G111" s="7">
        <f t="shared" si="29"/>
        <v>0</v>
      </c>
      <c r="H111" s="7">
        <f t="shared" si="30"/>
        <v>11.729999999999997</v>
      </c>
      <c r="I111" s="8">
        <v>58.98</v>
      </c>
      <c r="J111" s="8">
        <v>52.96</v>
      </c>
      <c r="K111" s="8"/>
      <c r="L111" s="8"/>
      <c r="M111" s="8">
        <v>77.727999999999994</v>
      </c>
      <c r="N111" s="8">
        <v>70.709999999999994</v>
      </c>
      <c r="O111" s="8"/>
      <c r="P111" s="8"/>
      <c r="Q111" s="10">
        <f t="shared" si="31"/>
        <v>7.0180000000000007</v>
      </c>
    </row>
    <row r="112" spans="1:17" x14ac:dyDescent="0.35">
      <c r="A112" s="3">
        <v>1959</v>
      </c>
      <c r="B112" s="4">
        <f t="shared" si="24"/>
        <v>51.646999999999998</v>
      </c>
      <c r="C112" s="4">
        <f t="shared" si="25"/>
        <v>57.033000000000001</v>
      </c>
      <c r="D112" s="4">
        <f t="shared" si="26"/>
        <v>69.331999999999994</v>
      </c>
      <c r="E112" s="4">
        <f t="shared" si="27"/>
        <v>75.635999999999996</v>
      </c>
      <c r="F112" s="4">
        <f t="shared" si="28"/>
        <v>5.3860000000000028</v>
      </c>
      <c r="G112" s="4">
        <f t="shared" si="29"/>
        <v>0</v>
      </c>
      <c r="H112" s="4">
        <f t="shared" si="30"/>
        <v>12.298999999999992</v>
      </c>
      <c r="I112" s="5">
        <v>57.033000000000001</v>
      </c>
      <c r="J112" s="5">
        <v>51.646999999999998</v>
      </c>
      <c r="K112" s="5"/>
      <c r="L112" s="5"/>
      <c r="M112" s="5">
        <v>75.635999999999996</v>
      </c>
      <c r="N112" s="5">
        <v>69.331999999999994</v>
      </c>
      <c r="O112" s="5"/>
      <c r="P112" s="5"/>
      <c r="Q112" s="10">
        <f t="shared" si="31"/>
        <v>6.304000000000002</v>
      </c>
    </row>
    <row r="113" spans="1:17" x14ac:dyDescent="0.35">
      <c r="A113" s="6">
        <v>1960</v>
      </c>
      <c r="B113" s="7">
        <f t="shared" si="24"/>
        <v>51.661000000000001</v>
      </c>
      <c r="C113" s="7">
        <f t="shared" si="25"/>
        <v>56.984999999999999</v>
      </c>
      <c r="D113" s="7">
        <f t="shared" si="26"/>
        <v>69.239999999999995</v>
      </c>
      <c r="E113" s="7">
        <f t="shared" si="27"/>
        <v>75.378</v>
      </c>
      <c r="F113" s="7">
        <f t="shared" si="28"/>
        <v>5.3239999999999981</v>
      </c>
      <c r="G113" s="7">
        <f t="shared" si="29"/>
        <v>0</v>
      </c>
      <c r="H113" s="7">
        <f t="shared" si="30"/>
        <v>12.254999999999995</v>
      </c>
      <c r="I113" s="8">
        <v>56.984999999999999</v>
      </c>
      <c r="J113" s="8">
        <v>51.661000000000001</v>
      </c>
      <c r="K113" s="8"/>
      <c r="L113" s="8"/>
      <c r="M113" s="8">
        <v>75.378</v>
      </c>
      <c r="N113" s="8">
        <v>69.239999999999995</v>
      </c>
      <c r="O113" s="8"/>
      <c r="P113" s="8"/>
      <c r="Q113" s="10">
        <f t="shared" si="31"/>
        <v>6.1380000000000052</v>
      </c>
    </row>
    <row r="114" spans="1:17" x14ac:dyDescent="0.35">
      <c r="A114" s="3">
        <v>1961</v>
      </c>
      <c r="B114" s="4">
        <f t="shared" si="24"/>
        <v>52.439</v>
      </c>
      <c r="C114" s="4">
        <f t="shared" si="25"/>
        <v>58.033999999999999</v>
      </c>
      <c r="D114" s="4">
        <f t="shared" si="26"/>
        <v>70.475999999999999</v>
      </c>
      <c r="E114" s="4">
        <f t="shared" si="27"/>
        <v>77.010999999999996</v>
      </c>
      <c r="F114" s="4">
        <f t="shared" si="28"/>
        <v>5.5949999999999989</v>
      </c>
      <c r="G114" s="4">
        <f t="shared" si="29"/>
        <v>0</v>
      </c>
      <c r="H114" s="4">
        <f t="shared" si="30"/>
        <v>12.442</v>
      </c>
      <c r="I114" s="5">
        <v>58.033999999999999</v>
      </c>
      <c r="J114" s="5">
        <v>52.439</v>
      </c>
      <c r="K114" s="5"/>
      <c r="L114" s="5"/>
      <c r="M114" s="5">
        <v>77.010999999999996</v>
      </c>
      <c r="N114" s="5">
        <v>70.475999999999999</v>
      </c>
      <c r="O114" s="5"/>
      <c r="P114" s="5"/>
      <c r="Q114" s="10">
        <f t="shared" si="31"/>
        <v>6.5349999999999966</v>
      </c>
    </row>
    <row r="115" spans="1:17" x14ac:dyDescent="0.35">
      <c r="A115" s="6">
        <v>1962</v>
      </c>
      <c r="B115" s="7">
        <f t="shared" si="24"/>
        <v>53.097000000000001</v>
      </c>
      <c r="C115" s="7">
        <f t="shared" si="25"/>
        <v>58.814999999999998</v>
      </c>
      <c r="D115" s="7">
        <f t="shared" si="26"/>
        <v>71.453000000000003</v>
      </c>
      <c r="E115" s="7">
        <f t="shared" si="27"/>
        <v>78.156999999999996</v>
      </c>
      <c r="F115" s="7">
        <f t="shared" si="28"/>
        <v>5.7179999999999964</v>
      </c>
      <c r="G115" s="7">
        <f t="shared" si="29"/>
        <v>0</v>
      </c>
      <c r="H115" s="7">
        <f t="shared" si="30"/>
        <v>12.638000000000005</v>
      </c>
      <c r="I115" s="8">
        <v>58.814999999999998</v>
      </c>
      <c r="J115" s="8">
        <v>53.097000000000001</v>
      </c>
      <c r="K115" s="8"/>
      <c r="L115" s="8"/>
      <c r="M115" s="8">
        <v>78.156999999999996</v>
      </c>
      <c r="N115" s="8">
        <v>71.453000000000003</v>
      </c>
      <c r="O115" s="8"/>
      <c r="P115" s="8"/>
      <c r="Q115" s="10">
        <f t="shared" si="31"/>
        <v>6.7039999999999935</v>
      </c>
    </row>
    <row r="116" spans="1:17" x14ac:dyDescent="0.35">
      <c r="A116" s="3">
        <v>1963</v>
      </c>
      <c r="B116" s="4">
        <f t="shared" si="24"/>
        <v>53.329000000000001</v>
      </c>
      <c r="C116" s="4">
        <f t="shared" si="25"/>
        <v>58.761000000000003</v>
      </c>
      <c r="D116" s="4">
        <f t="shared" si="26"/>
        <v>71.911000000000001</v>
      </c>
      <c r="E116" s="4">
        <f t="shared" si="27"/>
        <v>78.347999999999999</v>
      </c>
      <c r="F116" s="4">
        <f t="shared" si="28"/>
        <v>5.4320000000000022</v>
      </c>
      <c r="G116" s="4">
        <f t="shared" si="29"/>
        <v>0</v>
      </c>
      <c r="H116" s="4">
        <f t="shared" si="30"/>
        <v>13.149999999999999</v>
      </c>
      <c r="I116" s="5">
        <v>58.761000000000003</v>
      </c>
      <c r="J116" s="5">
        <v>53.329000000000001</v>
      </c>
      <c r="K116" s="5"/>
      <c r="L116" s="5"/>
      <c r="M116" s="5">
        <v>78.347999999999999</v>
      </c>
      <c r="N116" s="5">
        <v>71.911000000000001</v>
      </c>
      <c r="O116" s="5"/>
      <c r="P116" s="5"/>
      <c r="Q116" s="10">
        <f t="shared" si="31"/>
        <v>6.4369999999999976</v>
      </c>
    </row>
    <row r="117" spans="1:17" x14ac:dyDescent="0.35">
      <c r="A117" s="6">
        <v>1964</v>
      </c>
      <c r="B117" s="7">
        <f t="shared" si="24"/>
        <v>53.4</v>
      </c>
      <c r="C117" s="7">
        <f t="shared" si="25"/>
        <v>58.718000000000004</v>
      </c>
      <c r="D117" s="7">
        <f t="shared" si="26"/>
        <v>72.171000000000006</v>
      </c>
      <c r="E117" s="7">
        <f t="shared" si="27"/>
        <v>78.495999999999995</v>
      </c>
      <c r="F117" s="7">
        <f t="shared" si="28"/>
        <v>5.3180000000000049</v>
      </c>
      <c r="G117" s="7">
        <f t="shared" si="29"/>
        <v>0</v>
      </c>
      <c r="H117" s="7">
        <f t="shared" si="30"/>
        <v>13.453000000000003</v>
      </c>
      <c r="I117" s="8">
        <v>58.718000000000004</v>
      </c>
      <c r="J117" s="8">
        <v>53.4</v>
      </c>
      <c r="K117" s="8"/>
      <c r="L117" s="8"/>
      <c r="M117" s="8">
        <v>78.495999999999995</v>
      </c>
      <c r="N117" s="8">
        <v>72.171000000000006</v>
      </c>
      <c r="O117" s="8"/>
      <c r="P117" s="8"/>
      <c r="Q117" s="10">
        <f t="shared" si="31"/>
        <v>6.3249999999999886</v>
      </c>
    </row>
    <row r="118" spans="1:17" x14ac:dyDescent="0.35">
      <c r="A118" s="3">
        <v>1965</v>
      </c>
      <c r="B118" s="4">
        <f t="shared" si="24"/>
        <v>53.146000000000001</v>
      </c>
      <c r="C118" s="4">
        <f t="shared" si="25"/>
        <v>58.143000000000001</v>
      </c>
      <c r="D118" s="4">
        <f t="shared" si="26"/>
        <v>71.95</v>
      </c>
      <c r="E118" s="4">
        <f t="shared" si="27"/>
        <v>77.855000000000004</v>
      </c>
      <c r="F118" s="4">
        <f t="shared" si="28"/>
        <v>4.9969999999999999</v>
      </c>
      <c r="G118" s="4">
        <f t="shared" si="29"/>
        <v>0</v>
      </c>
      <c r="H118" s="4">
        <f t="shared" si="30"/>
        <v>13.807000000000002</v>
      </c>
      <c r="I118" s="5">
        <v>58.143000000000001</v>
      </c>
      <c r="J118" s="5">
        <v>53.146000000000001</v>
      </c>
      <c r="K118" s="5"/>
      <c r="L118" s="5"/>
      <c r="M118" s="5">
        <v>77.855000000000004</v>
      </c>
      <c r="N118" s="5">
        <v>71.95</v>
      </c>
      <c r="O118" s="5"/>
      <c r="P118" s="5"/>
      <c r="Q118" s="10">
        <f t="shared" si="31"/>
        <v>5.9050000000000011</v>
      </c>
    </row>
    <row r="119" spans="1:17" x14ac:dyDescent="0.35">
      <c r="A119" s="6">
        <v>1966</v>
      </c>
      <c r="B119" s="7">
        <f t="shared" si="24"/>
        <v>52.642000000000003</v>
      </c>
      <c r="C119" s="7">
        <f t="shared" si="25"/>
        <v>57.597000000000001</v>
      </c>
      <c r="D119" s="7">
        <f t="shared" si="26"/>
        <v>71.463999999999999</v>
      </c>
      <c r="E119" s="7">
        <f t="shared" si="27"/>
        <v>77.131</v>
      </c>
      <c r="F119" s="7">
        <f t="shared" si="28"/>
        <v>4.9549999999999983</v>
      </c>
      <c r="G119" s="7">
        <f t="shared" si="29"/>
        <v>0</v>
      </c>
      <c r="H119" s="7">
        <f t="shared" si="30"/>
        <v>13.866999999999997</v>
      </c>
      <c r="I119" s="8">
        <v>57.597000000000001</v>
      </c>
      <c r="J119" s="8">
        <v>52.642000000000003</v>
      </c>
      <c r="K119" s="8"/>
      <c r="L119" s="8"/>
      <c r="M119" s="8">
        <v>77.131</v>
      </c>
      <c r="N119" s="8">
        <v>71.463999999999999</v>
      </c>
      <c r="O119" s="8"/>
      <c r="P119" s="8"/>
      <c r="Q119" s="10">
        <f t="shared" si="31"/>
        <v>5.6670000000000016</v>
      </c>
    </row>
    <row r="120" spans="1:17" x14ac:dyDescent="0.35">
      <c r="A120" s="3">
        <v>1967</v>
      </c>
      <c r="B120" s="4">
        <f t="shared" si="24"/>
        <v>53.192999999999998</v>
      </c>
      <c r="C120" s="4">
        <f t="shared" si="25"/>
        <v>58.081000000000003</v>
      </c>
      <c r="D120" s="4">
        <f t="shared" si="26"/>
        <v>72.262</v>
      </c>
      <c r="E120" s="4">
        <f t="shared" si="27"/>
        <v>77.774000000000001</v>
      </c>
      <c r="F120" s="4">
        <f t="shared" si="28"/>
        <v>4.8880000000000052</v>
      </c>
      <c r="G120" s="4">
        <f t="shared" si="29"/>
        <v>0</v>
      </c>
      <c r="H120" s="4">
        <f t="shared" si="30"/>
        <v>14.180999999999997</v>
      </c>
      <c r="I120" s="5">
        <v>58.081000000000003</v>
      </c>
      <c r="J120" s="5">
        <v>53.192999999999998</v>
      </c>
      <c r="K120" s="5"/>
      <c r="L120" s="5"/>
      <c r="M120" s="5">
        <v>77.774000000000001</v>
      </c>
      <c r="N120" s="5">
        <v>72.262</v>
      </c>
      <c r="O120" s="5"/>
      <c r="P120" s="5"/>
      <c r="Q120" s="10">
        <f t="shared" si="31"/>
        <v>5.5120000000000005</v>
      </c>
    </row>
    <row r="121" spans="1:17" x14ac:dyDescent="0.35">
      <c r="A121" s="6">
        <v>1968</v>
      </c>
      <c r="B121" s="7">
        <f t="shared" si="24"/>
        <v>53.27</v>
      </c>
      <c r="C121" s="7">
        <f t="shared" si="25"/>
        <v>58.238999999999997</v>
      </c>
      <c r="D121" s="7">
        <f t="shared" si="26"/>
        <v>72.066000000000003</v>
      </c>
      <c r="E121" s="7">
        <f t="shared" si="27"/>
        <v>77.619</v>
      </c>
      <c r="F121" s="7">
        <f t="shared" si="28"/>
        <v>4.9689999999999941</v>
      </c>
      <c r="G121" s="7">
        <f t="shared" si="29"/>
        <v>0</v>
      </c>
      <c r="H121" s="7">
        <f t="shared" si="30"/>
        <v>13.827000000000005</v>
      </c>
      <c r="I121" s="8">
        <v>58.238999999999997</v>
      </c>
      <c r="J121" s="8">
        <v>53.27</v>
      </c>
      <c r="K121" s="8"/>
      <c r="L121" s="8"/>
      <c r="M121" s="8">
        <v>77.619</v>
      </c>
      <c r="N121" s="8">
        <v>72.066000000000003</v>
      </c>
      <c r="O121" s="8"/>
      <c r="P121" s="8"/>
      <c r="Q121" s="10">
        <f t="shared" si="31"/>
        <v>5.5529999999999973</v>
      </c>
    </row>
    <row r="122" spans="1:17" x14ac:dyDescent="0.35">
      <c r="A122" s="3">
        <v>1969</v>
      </c>
      <c r="B122" s="4">
        <f t="shared" si="24"/>
        <v>53.241</v>
      </c>
      <c r="C122" s="4">
        <f t="shared" si="25"/>
        <v>57.874000000000002</v>
      </c>
      <c r="D122" s="4">
        <f t="shared" si="26"/>
        <v>71.745000000000005</v>
      </c>
      <c r="E122" s="4">
        <f t="shared" si="27"/>
        <v>76.834999999999994</v>
      </c>
      <c r="F122" s="4">
        <f t="shared" si="28"/>
        <v>4.6330000000000027</v>
      </c>
      <c r="G122" s="4">
        <f t="shared" si="29"/>
        <v>0</v>
      </c>
      <c r="H122" s="4">
        <f t="shared" si="30"/>
        <v>13.871000000000002</v>
      </c>
      <c r="I122" s="5">
        <v>57.874000000000002</v>
      </c>
      <c r="J122" s="5">
        <v>53.241</v>
      </c>
      <c r="K122" s="5"/>
      <c r="L122" s="5"/>
      <c r="M122" s="5">
        <v>76.834999999999994</v>
      </c>
      <c r="N122" s="5">
        <v>71.745000000000005</v>
      </c>
      <c r="O122" s="5"/>
      <c r="P122" s="5"/>
      <c r="Q122" s="10">
        <f t="shared" si="31"/>
        <v>5.0899999999999892</v>
      </c>
    </row>
    <row r="123" spans="1:17" x14ac:dyDescent="0.35">
      <c r="A123" s="6">
        <v>1970</v>
      </c>
      <c r="B123" s="7">
        <f t="shared" si="24"/>
        <v>52.622999999999998</v>
      </c>
      <c r="C123" s="7">
        <f t="shared" si="25"/>
        <v>57.128</v>
      </c>
      <c r="D123" s="7">
        <f t="shared" si="26"/>
        <v>69.144999999999996</v>
      </c>
      <c r="E123" s="7">
        <f t="shared" si="27"/>
        <v>75.716999999999999</v>
      </c>
      <c r="F123" s="7">
        <f t="shared" si="28"/>
        <v>4.5050000000000026</v>
      </c>
      <c r="G123" s="7">
        <f t="shared" si="29"/>
        <v>0</v>
      </c>
      <c r="H123" s="7">
        <f t="shared" si="30"/>
        <v>12.016999999999996</v>
      </c>
      <c r="I123" s="8">
        <v>57.128</v>
      </c>
      <c r="J123" s="8">
        <v>52.622999999999998</v>
      </c>
      <c r="K123" s="8">
        <v>52.628</v>
      </c>
      <c r="L123" s="8"/>
      <c r="M123" s="8">
        <v>75.716999999999999</v>
      </c>
      <c r="N123" s="8">
        <v>70.864000000000004</v>
      </c>
      <c r="O123" s="8">
        <v>69.144999999999996</v>
      </c>
      <c r="P123" s="8"/>
      <c r="Q123" s="10">
        <f t="shared" si="31"/>
        <v>6.5720000000000027</v>
      </c>
    </row>
    <row r="124" spans="1:17" x14ac:dyDescent="0.35">
      <c r="A124" s="3">
        <v>1971</v>
      </c>
      <c r="B124" s="4">
        <f t="shared" si="24"/>
        <v>52.018999999999998</v>
      </c>
      <c r="C124" s="4">
        <f t="shared" si="25"/>
        <v>56.014000000000003</v>
      </c>
      <c r="D124" s="4">
        <f t="shared" si="26"/>
        <v>68.703000000000003</v>
      </c>
      <c r="E124" s="4">
        <f t="shared" si="27"/>
        <v>74.884</v>
      </c>
      <c r="F124" s="4">
        <f t="shared" si="28"/>
        <v>3.9950000000000045</v>
      </c>
      <c r="G124" s="4">
        <f t="shared" si="29"/>
        <v>0</v>
      </c>
      <c r="H124" s="4">
        <f t="shared" si="30"/>
        <v>12.689</v>
      </c>
      <c r="I124" s="5">
        <v>56.014000000000003</v>
      </c>
      <c r="J124" s="5">
        <v>52.03</v>
      </c>
      <c r="K124" s="5">
        <v>52.018999999999998</v>
      </c>
      <c r="L124" s="5"/>
      <c r="M124" s="5">
        <v>74.884</v>
      </c>
      <c r="N124" s="5">
        <v>70.478999999999999</v>
      </c>
      <c r="O124" s="5">
        <v>68.703000000000003</v>
      </c>
      <c r="P124" s="5"/>
      <c r="Q124" s="10">
        <f t="shared" si="31"/>
        <v>6.1809999999999974</v>
      </c>
    </row>
    <row r="125" spans="1:17" x14ac:dyDescent="0.35">
      <c r="A125" s="6">
        <v>1972</v>
      </c>
      <c r="B125" s="7">
        <f t="shared" si="24"/>
        <v>51.935000000000002</v>
      </c>
      <c r="C125" s="7">
        <f t="shared" si="25"/>
        <v>55.813000000000002</v>
      </c>
      <c r="D125" s="7">
        <f t="shared" si="26"/>
        <v>68.662000000000006</v>
      </c>
      <c r="E125" s="7">
        <f t="shared" si="27"/>
        <v>74.747</v>
      </c>
      <c r="F125" s="7">
        <f t="shared" si="28"/>
        <v>3.8780000000000001</v>
      </c>
      <c r="G125" s="7">
        <f t="shared" si="29"/>
        <v>0</v>
      </c>
      <c r="H125" s="7">
        <f t="shared" si="30"/>
        <v>12.849000000000004</v>
      </c>
      <c r="I125" s="8">
        <v>55.813000000000002</v>
      </c>
      <c r="J125" s="8">
        <v>52.030999999999999</v>
      </c>
      <c r="K125" s="8">
        <v>51.935000000000002</v>
      </c>
      <c r="L125" s="8"/>
      <c r="M125" s="8">
        <v>74.747</v>
      </c>
      <c r="N125" s="8">
        <v>70.646000000000001</v>
      </c>
      <c r="O125" s="8">
        <v>68.662000000000006</v>
      </c>
      <c r="P125" s="8"/>
      <c r="Q125" s="10">
        <f t="shared" si="31"/>
        <v>6.0849999999999937</v>
      </c>
    </row>
    <row r="126" spans="1:17" x14ac:dyDescent="0.35">
      <c r="A126" s="3">
        <v>1973</v>
      </c>
      <c r="B126" s="4">
        <f t="shared" si="24"/>
        <v>51.694000000000003</v>
      </c>
      <c r="C126" s="4">
        <f t="shared" si="25"/>
        <v>55.390999999999998</v>
      </c>
      <c r="D126" s="4">
        <f t="shared" si="26"/>
        <v>68.441999999999993</v>
      </c>
      <c r="E126" s="4">
        <f t="shared" si="27"/>
        <v>74.174999999999997</v>
      </c>
      <c r="F126" s="4">
        <f t="shared" si="28"/>
        <v>3.6969999999999956</v>
      </c>
      <c r="G126" s="4">
        <f t="shared" si="29"/>
        <v>0</v>
      </c>
      <c r="H126" s="4">
        <f t="shared" si="30"/>
        <v>13.050999999999995</v>
      </c>
      <c r="I126" s="5">
        <v>55.390999999999998</v>
      </c>
      <c r="J126" s="5">
        <v>51.88</v>
      </c>
      <c r="K126" s="5">
        <v>51.694000000000003</v>
      </c>
      <c r="L126" s="5"/>
      <c r="M126" s="5">
        <v>74.174999999999997</v>
      </c>
      <c r="N126" s="5">
        <v>70.418000000000006</v>
      </c>
      <c r="O126" s="5">
        <v>68.441999999999993</v>
      </c>
      <c r="P126" s="5"/>
      <c r="Q126" s="10">
        <f t="shared" si="31"/>
        <v>5.7330000000000041</v>
      </c>
    </row>
    <row r="127" spans="1:17" x14ac:dyDescent="0.35">
      <c r="A127" s="6">
        <v>1974</v>
      </c>
      <c r="B127" s="7">
        <f t="shared" si="24"/>
        <v>50.515000000000001</v>
      </c>
      <c r="C127" s="7">
        <f t="shared" si="25"/>
        <v>54.125</v>
      </c>
      <c r="D127" s="7">
        <f t="shared" si="26"/>
        <v>67.843999999999994</v>
      </c>
      <c r="E127" s="7">
        <f t="shared" si="27"/>
        <v>73.593999999999994</v>
      </c>
      <c r="F127" s="7">
        <f t="shared" si="28"/>
        <v>3.6099999999999994</v>
      </c>
      <c r="G127" s="7">
        <f t="shared" si="29"/>
        <v>0</v>
      </c>
      <c r="H127" s="7">
        <f t="shared" si="30"/>
        <v>13.718999999999994</v>
      </c>
      <c r="I127" s="8">
        <v>54.125</v>
      </c>
      <c r="J127" s="8">
        <v>50.929000000000002</v>
      </c>
      <c r="K127" s="8">
        <v>50.515000000000001</v>
      </c>
      <c r="L127" s="8"/>
      <c r="M127" s="8">
        <v>73.593999999999994</v>
      </c>
      <c r="N127" s="8">
        <v>69.974000000000004</v>
      </c>
      <c r="O127" s="8">
        <v>67.843999999999994</v>
      </c>
      <c r="P127" s="8"/>
      <c r="Q127" s="10">
        <f t="shared" si="31"/>
        <v>5.75</v>
      </c>
    </row>
    <row r="128" spans="1:17" x14ac:dyDescent="0.35">
      <c r="A128" s="3">
        <v>1975</v>
      </c>
      <c r="B128" s="4">
        <f t="shared" si="24"/>
        <v>48.625999999999998</v>
      </c>
      <c r="C128" s="4">
        <f t="shared" si="25"/>
        <v>52.082000000000001</v>
      </c>
      <c r="D128" s="4">
        <f t="shared" si="26"/>
        <v>66.727999999999994</v>
      </c>
      <c r="E128" s="4">
        <f t="shared" si="27"/>
        <v>72.492999999999995</v>
      </c>
      <c r="F128" s="4">
        <f t="shared" si="28"/>
        <v>3.4560000000000031</v>
      </c>
      <c r="G128" s="4">
        <f t="shared" si="29"/>
        <v>0</v>
      </c>
      <c r="H128" s="4">
        <f t="shared" si="30"/>
        <v>14.645999999999994</v>
      </c>
      <c r="I128" s="5">
        <v>52.082000000000001</v>
      </c>
      <c r="J128" s="5">
        <v>48.972999999999999</v>
      </c>
      <c r="K128" s="5">
        <v>48.625999999999998</v>
      </c>
      <c r="L128" s="5"/>
      <c r="M128" s="5">
        <v>72.492999999999995</v>
      </c>
      <c r="N128" s="5">
        <v>68.718999999999994</v>
      </c>
      <c r="O128" s="5">
        <v>66.727999999999994</v>
      </c>
      <c r="P128" s="5"/>
      <c r="Q128" s="10">
        <f t="shared" si="31"/>
        <v>5.7650000000000006</v>
      </c>
    </row>
    <row r="129" spans="1:17" x14ac:dyDescent="0.35">
      <c r="A129" s="6">
        <v>1976</v>
      </c>
      <c r="B129" s="7">
        <f t="shared" si="24"/>
        <v>48.767000000000003</v>
      </c>
      <c r="C129" s="7">
        <f t="shared" si="25"/>
        <v>52.015000000000001</v>
      </c>
      <c r="D129" s="7">
        <f t="shared" si="26"/>
        <v>66.730999999999995</v>
      </c>
      <c r="E129" s="7">
        <f t="shared" si="27"/>
        <v>72.332999999999998</v>
      </c>
      <c r="F129" s="7">
        <f t="shared" si="28"/>
        <v>3.2479999999999976</v>
      </c>
      <c r="G129" s="7">
        <f t="shared" si="29"/>
        <v>0</v>
      </c>
      <c r="H129" s="7">
        <f t="shared" si="30"/>
        <v>14.715999999999994</v>
      </c>
      <c r="I129" s="8">
        <v>52.015000000000001</v>
      </c>
      <c r="J129" s="8">
        <v>49.165999999999997</v>
      </c>
      <c r="K129" s="8">
        <v>48.767000000000003</v>
      </c>
      <c r="L129" s="8"/>
      <c r="M129" s="8">
        <v>72.332999999999998</v>
      </c>
      <c r="N129" s="8">
        <v>68.869</v>
      </c>
      <c r="O129" s="8">
        <v>66.730999999999995</v>
      </c>
      <c r="P129" s="8"/>
      <c r="Q129" s="10">
        <f t="shared" si="31"/>
        <v>5.6020000000000039</v>
      </c>
    </row>
    <row r="130" spans="1:17" x14ac:dyDescent="0.35">
      <c r="A130" s="3">
        <v>1977</v>
      </c>
      <c r="B130" s="4">
        <f t="shared" si="24"/>
        <v>48.14</v>
      </c>
      <c r="C130" s="4">
        <f t="shared" si="25"/>
        <v>51.165999999999997</v>
      </c>
      <c r="D130" s="4">
        <f t="shared" si="26"/>
        <v>66.126000000000005</v>
      </c>
      <c r="E130" s="4">
        <f t="shared" si="27"/>
        <v>71.64</v>
      </c>
      <c r="F130" s="4">
        <f t="shared" si="28"/>
        <v>3.0259999999999962</v>
      </c>
      <c r="G130" s="4">
        <f t="shared" si="29"/>
        <v>0</v>
      </c>
      <c r="H130" s="4">
        <f t="shared" si="30"/>
        <v>14.960000000000008</v>
      </c>
      <c r="I130" s="5">
        <v>51.165999999999997</v>
      </c>
      <c r="J130" s="5">
        <v>48.393999999999998</v>
      </c>
      <c r="K130" s="5">
        <v>48.14</v>
      </c>
      <c r="L130" s="5"/>
      <c r="M130" s="5">
        <v>71.64</v>
      </c>
      <c r="N130" s="5">
        <v>68.218000000000004</v>
      </c>
      <c r="O130" s="5">
        <v>66.126000000000005</v>
      </c>
      <c r="P130" s="5"/>
      <c r="Q130" s="10">
        <f t="shared" si="31"/>
        <v>5.5139999999999958</v>
      </c>
    </row>
    <row r="131" spans="1:17" x14ac:dyDescent="0.35">
      <c r="A131" s="6">
        <v>1978</v>
      </c>
      <c r="B131" s="7">
        <f t="shared" ref="B131:B162" si="32">IFERROR(MIN(I131:L131),"")</f>
        <v>47.165999999999997</v>
      </c>
      <c r="C131" s="7">
        <f t="shared" ref="C131:C162" si="33">IFERROR(MAX(I131:L131),"")</f>
        <v>50.512</v>
      </c>
      <c r="D131" s="7">
        <f t="shared" ref="D131:D162" si="34">IFERROR(MIN(M131:P131),"")</f>
        <v>65.626999999999995</v>
      </c>
      <c r="E131" s="7">
        <f t="shared" ref="E131:E162" si="35">IFERROR(MAX(M131:P131),"")</f>
        <v>71.013000000000005</v>
      </c>
      <c r="F131" s="7">
        <f t="shared" ref="F131:F162" si="36">IFERROR(MIN(C131,D131)-B131,"")</f>
        <v>3.3460000000000036</v>
      </c>
      <c r="G131" s="7">
        <f t="shared" ref="G131:G162" si="37">IFERROR(MAX(0,C131-D131),"")</f>
        <v>0</v>
      </c>
      <c r="H131" s="7">
        <f t="shared" ref="H131:H162" si="38">IFERROR(MAX(0,D131-C131),"")</f>
        <v>15.114999999999995</v>
      </c>
      <c r="I131" s="8">
        <v>50.512</v>
      </c>
      <c r="J131" s="8">
        <v>47.917999999999999</v>
      </c>
      <c r="K131" s="8">
        <v>47.165999999999997</v>
      </c>
      <c r="L131" s="8"/>
      <c r="M131" s="8">
        <v>71.013000000000005</v>
      </c>
      <c r="N131" s="8">
        <v>67.790000000000006</v>
      </c>
      <c r="O131" s="8">
        <v>65.626999999999995</v>
      </c>
      <c r="P131" s="8"/>
      <c r="Q131" s="10">
        <f t="shared" ref="Q131:Q162" si="39">IFERROR(MAX(0,$E131-MAX($C131,$D131)),"")</f>
        <v>5.3860000000000099</v>
      </c>
    </row>
    <row r="132" spans="1:17" x14ac:dyDescent="0.35">
      <c r="A132" s="3">
        <v>1979</v>
      </c>
      <c r="B132" s="4">
        <f t="shared" si="32"/>
        <v>47.003</v>
      </c>
      <c r="C132" s="4">
        <f t="shared" si="33"/>
        <v>50.359000000000002</v>
      </c>
      <c r="D132" s="4">
        <f t="shared" si="34"/>
        <v>65.271000000000001</v>
      </c>
      <c r="E132" s="4">
        <f t="shared" si="35"/>
        <v>70.486999999999995</v>
      </c>
      <c r="F132" s="4">
        <f t="shared" si="36"/>
        <v>3.3560000000000016</v>
      </c>
      <c r="G132" s="4">
        <f t="shared" si="37"/>
        <v>0</v>
      </c>
      <c r="H132" s="4">
        <f t="shared" si="38"/>
        <v>14.911999999999999</v>
      </c>
      <c r="I132" s="5">
        <v>50.359000000000002</v>
      </c>
      <c r="J132" s="5">
        <v>47.777999999999999</v>
      </c>
      <c r="K132" s="5">
        <v>47.003</v>
      </c>
      <c r="L132" s="5"/>
      <c r="M132" s="5">
        <v>70.486999999999995</v>
      </c>
      <c r="N132" s="5">
        <v>67.328000000000003</v>
      </c>
      <c r="O132" s="5">
        <v>65.271000000000001</v>
      </c>
      <c r="P132" s="5"/>
      <c r="Q132" s="10">
        <f t="shared" si="39"/>
        <v>5.215999999999994</v>
      </c>
    </row>
    <row r="133" spans="1:17" x14ac:dyDescent="0.35">
      <c r="A133" s="6">
        <v>1980</v>
      </c>
      <c r="B133" s="7">
        <f t="shared" si="32"/>
        <v>46.006999999999998</v>
      </c>
      <c r="C133" s="7">
        <f t="shared" si="33"/>
        <v>49.39</v>
      </c>
      <c r="D133" s="7">
        <f t="shared" si="34"/>
        <v>64.802999999999997</v>
      </c>
      <c r="E133" s="7">
        <f t="shared" si="35"/>
        <v>70.272000000000006</v>
      </c>
      <c r="F133" s="7">
        <f t="shared" si="36"/>
        <v>3.3830000000000027</v>
      </c>
      <c r="G133" s="7">
        <f t="shared" si="37"/>
        <v>0</v>
      </c>
      <c r="H133" s="7">
        <f t="shared" si="38"/>
        <v>15.412999999999997</v>
      </c>
      <c r="I133" s="8">
        <v>49.39</v>
      </c>
      <c r="J133" s="8">
        <v>46.753999999999998</v>
      </c>
      <c r="K133" s="8">
        <v>46.006999999999998</v>
      </c>
      <c r="L133" s="8"/>
      <c r="M133" s="8">
        <v>70.272000000000006</v>
      </c>
      <c r="N133" s="8">
        <v>66.91</v>
      </c>
      <c r="O133" s="8">
        <v>64.802999999999997</v>
      </c>
      <c r="P133" s="8"/>
      <c r="Q133" s="10">
        <f t="shared" si="39"/>
        <v>5.4690000000000083</v>
      </c>
    </row>
    <row r="134" spans="1:17" x14ac:dyDescent="0.35">
      <c r="A134" s="3">
        <v>1981</v>
      </c>
      <c r="B134" s="4">
        <f t="shared" si="32"/>
        <v>45.749000000000002</v>
      </c>
      <c r="C134" s="4">
        <f t="shared" si="33"/>
        <v>49.005000000000003</v>
      </c>
      <c r="D134" s="4">
        <f t="shared" si="34"/>
        <v>64.608999999999995</v>
      </c>
      <c r="E134" s="4">
        <f t="shared" si="35"/>
        <v>69.968999999999994</v>
      </c>
      <c r="F134" s="4">
        <f t="shared" si="36"/>
        <v>3.2560000000000002</v>
      </c>
      <c r="G134" s="4">
        <f t="shared" si="37"/>
        <v>0</v>
      </c>
      <c r="H134" s="4">
        <f t="shared" si="38"/>
        <v>15.603999999999992</v>
      </c>
      <c r="I134" s="5">
        <v>49.005000000000003</v>
      </c>
      <c r="J134" s="5">
        <v>46.274000000000001</v>
      </c>
      <c r="K134" s="5">
        <v>45.749000000000002</v>
      </c>
      <c r="L134" s="5"/>
      <c r="M134" s="5">
        <v>69.968999999999994</v>
      </c>
      <c r="N134" s="5">
        <v>66.436999999999998</v>
      </c>
      <c r="O134" s="5">
        <v>64.608999999999995</v>
      </c>
      <c r="P134" s="5"/>
      <c r="Q134" s="10">
        <f t="shared" si="39"/>
        <v>5.3599999999999994</v>
      </c>
    </row>
    <row r="135" spans="1:17" x14ac:dyDescent="0.35">
      <c r="A135" s="6">
        <v>1982</v>
      </c>
      <c r="B135" s="7">
        <f t="shared" si="32"/>
        <v>44.326000000000001</v>
      </c>
      <c r="C135" s="7">
        <f t="shared" si="33"/>
        <v>47.33</v>
      </c>
      <c r="D135" s="7">
        <f t="shared" si="34"/>
        <v>63.537999999999997</v>
      </c>
      <c r="E135" s="7">
        <f t="shared" si="35"/>
        <v>68.793000000000006</v>
      </c>
      <c r="F135" s="7">
        <f t="shared" si="36"/>
        <v>3.0039999999999978</v>
      </c>
      <c r="G135" s="7">
        <f t="shared" si="37"/>
        <v>0</v>
      </c>
      <c r="H135" s="7">
        <f t="shared" si="38"/>
        <v>16.207999999999998</v>
      </c>
      <c r="I135" s="8">
        <v>47.33</v>
      </c>
      <c r="J135" s="8">
        <v>44.683999999999997</v>
      </c>
      <c r="K135" s="8">
        <v>44.326000000000001</v>
      </c>
      <c r="L135" s="8"/>
      <c r="M135" s="8">
        <v>68.793000000000006</v>
      </c>
      <c r="N135" s="8">
        <v>65.296999999999997</v>
      </c>
      <c r="O135" s="8">
        <v>63.537999999999997</v>
      </c>
      <c r="P135" s="8"/>
      <c r="Q135" s="10">
        <f t="shared" si="39"/>
        <v>5.2550000000000097</v>
      </c>
    </row>
    <row r="136" spans="1:17" x14ac:dyDescent="0.35">
      <c r="A136" s="3">
        <v>1983</v>
      </c>
      <c r="B136" s="4">
        <f t="shared" si="32"/>
        <v>43.649000000000001</v>
      </c>
      <c r="C136" s="4">
        <f t="shared" si="33"/>
        <v>46.607999999999997</v>
      </c>
      <c r="D136" s="4">
        <f t="shared" si="34"/>
        <v>62.902999999999999</v>
      </c>
      <c r="E136" s="4">
        <f t="shared" si="35"/>
        <v>68.126999999999995</v>
      </c>
      <c r="F136" s="4">
        <f t="shared" si="36"/>
        <v>2.9589999999999961</v>
      </c>
      <c r="G136" s="4">
        <f t="shared" si="37"/>
        <v>0</v>
      </c>
      <c r="H136" s="4">
        <f t="shared" si="38"/>
        <v>16.295000000000002</v>
      </c>
      <c r="I136" s="5">
        <v>46.607999999999997</v>
      </c>
      <c r="J136" s="5">
        <v>44.058</v>
      </c>
      <c r="K136" s="5">
        <v>43.649000000000001</v>
      </c>
      <c r="L136" s="5"/>
      <c r="M136" s="5">
        <v>68.126999999999995</v>
      </c>
      <c r="N136" s="5">
        <v>64.721999999999994</v>
      </c>
      <c r="O136" s="5">
        <v>62.902999999999999</v>
      </c>
      <c r="P136" s="5"/>
      <c r="Q136" s="10">
        <f t="shared" si="39"/>
        <v>5.2239999999999966</v>
      </c>
    </row>
    <row r="137" spans="1:17" x14ac:dyDescent="0.35">
      <c r="A137" s="6">
        <v>1984</v>
      </c>
      <c r="B137" s="7">
        <f t="shared" si="32"/>
        <v>43.573</v>
      </c>
      <c r="C137" s="7">
        <f t="shared" si="33"/>
        <v>46.259</v>
      </c>
      <c r="D137" s="7">
        <f t="shared" si="34"/>
        <v>62.576000000000001</v>
      </c>
      <c r="E137" s="7">
        <f t="shared" si="35"/>
        <v>67.400999999999996</v>
      </c>
      <c r="F137" s="7">
        <f t="shared" si="36"/>
        <v>2.6859999999999999</v>
      </c>
      <c r="G137" s="7">
        <f t="shared" si="37"/>
        <v>0</v>
      </c>
      <c r="H137" s="7">
        <f t="shared" si="38"/>
        <v>16.317</v>
      </c>
      <c r="I137" s="8">
        <v>46.259</v>
      </c>
      <c r="J137" s="8">
        <v>43.914999999999999</v>
      </c>
      <c r="K137" s="8">
        <v>43.573</v>
      </c>
      <c r="L137" s="8"/>
      <c r="M137" s="8">
        <v>67.400999999999996</v>
      </c>
      <c r="N137" s="8">
        <v>64.3</v>
      </c>
      <c r="O137" s="8">
        <v>62.576000000000001</v>
      </c>
      <c r="P137" s="8"/>
      <c r="Q137" s="10">
        <f t="shared" si="39"/>
        <v>4.8249999999999957</v>
      </c>
    </row>
    <row r="138" spans="1:17" x14ac:dyDescent="0.35">
      <c r="A138" s="3">
        <v>1985</v>
      </c>
      <c r="B138" s="4">
        <f t="shared" si="32"/>
        <v>43.01</v>
      </c>
      <c r="C138" s="4">
        <f t="shared" si="33"/>
        <v>45.136000000000003</v>
      </c>
      <c r="D138" s="4">
        <f t="shared" si="34"/>
        <v>62.284999999999997</v>
      </c>
      <c r="E138" s="4">
        <f t="shared" si="35"/>
        <v>66.733999999999995</v>
      </c>
      <c r="F138" s="4">
        <f t="shared" si="36"/>
        <v>2.1260000000000048</v>
      </c>
      <c r="G138" s="4">
        <f t="shared" si="37"/>
        <v>0</v>
      </c>
      <c r="H138" s="4">
        <f t="shared" si="38"/>
        <v>17.148999999999994</v>
      </c>
      <c r="I138" s="5">
        <v>45.136000000000003</v>
      </c>
      <c r="J138" s="5">
        <v>43.01</v>
      </c>
      <c r="K138" s="5">
        <v>43.276000000000003</v>
      </c>
      <c r="L138" s="5"/>
      <c r="M138" s="5">
        <v>66.733999999999995</v>
      </c>
      <c r="N138" s="5">
        <v>63.764000000000003</v>
      </c>
      <c r="O138" s="5">
        <v>62.284999999999997</v>
      </c>
      <c r="P138" s="5"/>
      <c r="Q138" s="10">
        <f t="shared" si="39"/>
        <v>4.4489999999999981</v>
      </c>
    </row>
    <row r="139" spans="1:17" x14ac:dyDescent="0.35">
      <c r="A139" s="6">
        <v>1986</v>
      </c>
      <c r="B139" s="7">
        <f t="shared" si="32"/>
        <v>42.292999999999999</v>
      </c>
      <c r="C139" s="7">
        <f t="shared" si="33"/>
        <v>44.347999999999999</v>
      </c>
      <c r="D139" s="7">
        <f t="shared" si="34"/>
        <v>61.567</v>
      </c>
      <c r="E139" s="7">
        <f t="shared" si="35"/>
        <v>65.799000000000007</v>
      </c>
      <c r="F139" s="7">
        <f t="shared" si="36"/>
        <v>2.0549999999999997</v>
      </c>
      <c r="G139" s="7">
        <f t="shared" si="37"/>
        <v>0</v>
      </c>
      <c r="H139" s="7">
        <f t="shared" si="38"/>
        <v>17.219000000000001</v>
      </c>
      <c r="I139" s="8">
        <v>44.347999999999999</v>
      </c>
      <c r="J139" s="8">
        <v>42.292999999999999</v>
      </c>
      <c r="K139" s="8">
        <v>42.463000000000001</v>
      </c>
      <c r="L139" s="8"/>
      <c r="M139" s="8">
        <v>65.799000000000007</v>
      </c>
      <c r="N139" s="8">
        <v>63.027999999999999</v>
      </c>
      <c r="O139" s="8">
        <v>61.567</v>
      </c>
      <c r="P139" s="8"/>
      <c r="Q139" s="10">
        <f t="shared" si="39"/>
        <v>4.2320000000000064</v>
      </c>
    </row>
    <row r="140" spans="1:17" x14ac:dyDescent="0.35">
      <c r="A140" s="3">
        <v>1987</v>
      </c>
      <c r="B140" s="4">
        <f t="shared" si="32"/>
        <v>42.069000000000003</v>
      </c>
      <c r="C140" s="4">
        <f t="shared" si="33"/>
        <v>44.25</v>
      </c>
      <c r="D140" s="4">
        <f t="shared" si="34"/>
        <v>61.137999999999998</v>
      </c>
      <c r="E140" s="4">
        <f t="shared" si="35"/>
        <v>65.287999999999997</v>
      </c>
      <c r="F140" s="4">
        <f t="shared" si="36"/>
        <v>2.1809999999999974</v>
      </c>
      <c r="G140" s="4">
        <f t="shared" si="37"/>
        <v>0</v>
      </c>
      <c r="H140" s="4">
        <f t="shared" si="38"/>
        <v>16.887999999999998</v>
      </c>
      <c r="I140" s="5">
        <v>44.25</v>
      </c>
      <c r="J140" s="5">
        <v>42.103999999999999</v>
      </c>
      <c r="K140" s="5">
        <v>42.069000000000003</v>
      </c>
      <c r="L140" s="5"/>
      <c r="M140" s="5">
        <v>65.287999999999997</v>
      </c>
      <c r="N140" s="5">
        <v>62.482999999999997</v>
      </c>
      <c r="O140" s="5">
        <v>61.137999999999998</v>
      </c>
      <c r="P140" s="5"/>
      <c r="Q140" s="10">
        <f t="shared" si="39"/>
        <v>4.1499999999999986</v>
      </c>
    </row>
    <row r="141" spans="1:17" x14ac:dyDescent="0.35">
      <c r="A141" s="6">
        <v>1988</v>
      </c>
      <c r="B141" s="7">
        <f t="shared" si="32"/>
        <v>41.927999999999997</v>
      </c>
      <c r="C141" s="7">
        <f t="shared" si="33"/>
        <v>43.893000000000001</v>
      </c>
      <c r="D141" s="7">
        <f t="shared" si="34"/>
        <v>60.563000000000002</v>
      </c>
      <c r="E141" s="7">
        <f t="shared" si="35"/>
        <v>64.358000000000004</v>
      </c>
      <c r="F141" s="7">
        <f t="shared" si="36"/>
        <v>1.9650000000000034</v>
      </c>
      <c r="G141" s="7">
        <f t="shared" si="37"/>
        <v>0</v>
      </c>
      <c r="H141" s="7">
        <f t="shared" si="38"/>
        <v>16.670000000000002</v>
      </c>
      <c r="I141" s="8">
        <v>43.893000000000001</v>
      </c>
      <c r="J141" s="8">
        <v>41.981999999999999</v>
      </c>
      <c r="K141" s="8">
        <v>41.927999999999997</v>
      </c>
      <c r="L141" s="8"/>
      <c r="M141" s="8">
        <v>64.358000000000004</v>
      </c>
      <c r="N141" s="8">
        <v>61.91</v>
      </c>
      <c r="O141" s="8">
        <v>60.563000000000002</v>
      </c>
      <c r="P141" s="8"/>
      <c r="Q141" s="10">
        <f t="shared" si="39"/>
        <v>3.7950000000000017</v>
      </c>
    </row>
    <row r="142" spans="1:17" x14ac:dyDescent="0.35">
      <c r="A142" s="3">
        <v>1989</v>
      </c>
      <c r="B142" s="4">
        <f t="shared" si="32"/>
        <v>41.69</v>
      </c>
      <c r="C142" s="4">
        <f t="shared" si="33"/>
        <v>44.09</v>
      </c>
      <c r="D142" s="4">
        <f t="shared" si="34"/>
        <v>59.889000000000003</v>
      </c>
      <c r="E142" s="4">
        <f t="shared" si="35"/>
        <v>63.832999999999998</v>
      </c>
      <c r="F142" s="4">
        <f t="shared" si="36"/>
        <v>2.4000000000000057</v>
      </c>
      <c r="G142" s="4">
        <f t="shared" si="37"/>
        <v>0</v>
      </c>
      <c r="H142" s="4">
        <f t="shared" si="38"/>
        <v>15.798999999999999</v>
      </c>
      <c r="I142" s="5">
        <v>44.09</v>
      </c>
      <c r="J142" s="5">
        <v>42.003999999999998</v>
      </c>
      <c r="K142" s="5">
        <v>41.69</v>
      </c>
      <c r="L142" s="5"/>
      <c r="M142" s="5">
        <v>63.832999999999998</v>
      </c>
      <c r="N142" s="5">
        <v>61.283999999999999</v>
      </c>
      <c r="O142" s="5">
        <v>59.889000000000003</v>
      </c>
      <c r="P142" s="5"/>
      <c r="Q142" s="10">
        <f t="shared" si="39"/>
        <v>3.9439999999999955</v>
      </c>
    </row>
    <row r="143" spans="1:17" x14ac:dyDescent="0.35">
      <c r="A143" s="6">
        <v>1990</v>
      </c>
      <c r="B143" s="7">
        <f t="shared" si="32"/>
        <v>40.384</v>
      </c>
      <c r="C143" s="7">
        <f t="shared" si="33"/>
        <v>44.924999999999997</v>
      </c>
      <c r="D143" s="7">
        <f t="shared" si="34"/>
        <v>58.904000000000003</v>
      </c>
      <c r="E143" s="7">
        <f t="shared" si="35"/>
        <v>64.495999999999995</v>
      </c>
      <c r="F143" s="7">
        <f t="shared" si="36"/>
        <v>4.5409999999999968</v>
      </c>
      <c r="G143" s="7">
        <f t="shared" si="37"/>
        <v>0</v>
      </c>
      <c r="H143" s="7">
        <f t="shared" si="38"/>
        <v>13.979000000000006</v>
      </c>
      <c r="I143" s="8">
        <v>44.924999999999997</v>
      </c>
      <c r="J143" s="8">
        <v>42.277000000000001</v>
      </c>
      <c r="K143" s="8">
        <v>41.095999999999997</v>
      </c>
      <c r="L143" s="8">
        <v>40.384</v>
      </c>
      <c r="M143" s="8">
        <v>64.495999999999995</v>
      </c>
      <c r="N143" s="8">
        <v>60.826999999999998</v>
      </c>
      <c r="O143" s="8">
        <v>59.5</v>
      </c>
      <c r="P143" s="8">
        <v>58.904000000000003</v>
      </c>
      <c r="Q143" s="10">
        <f t="shared" si="39"/>
        <v>5.5919999999999916</v>
      </c>
    </row>
    <row r="144" spans="1:17" x14ac:dyDescent="0.35">
      <c r="A144" s="3">
        <v>1991</v>
      </c>
      <c r="B144" s="4">
        <f t="shared" si="32"/>
        <v>40.25</v>
      </c>
      <c r="C144" s="4">
        <f t="shared" si="33"/>
        <v>44.143999999999998</v>
      </c>
      <c r="D144" s="4">
        <f t="shared" si="34"/>
        <v>57.947000000000003</v>
      </c>
      <c r="E144" s="4">
        <f t="shared" si="35"/>
        <v>62.183</v>
      </c>
      <c r="F144" s="4">
        <f t="shared" si="36"/>
        <v>3.8939999999999984</v>
      </c>
      <c r="G144" s="4">
        <f t="shared" si="37"/>
        <v>0</v>
      </c>
      <c r="H144" s="4">
        <f t="shared" si="38"/>
        <v>13.803000000000004</v>
      </c>
      <c r="I144" s="5">
        <v>44.143999999999998</v>
      </c>
      <c r="J144" s="5">
        <v>41.892000000000003</v>
      </c>
      <c r="K144" s="5">
        <v>41.03</v>
      </c>
      <c r="L144" s="5">
        <v>40.25</v>
      </c>
      <c r="M144" s="5">
        <v>62.183</v>
      </c>
      <c r="N144" s="5">
        <v>59.18</v>
      </c>
      <c r="O144" s="5">
        <v>58.584000000000003</v>
      </c>
      <c r="P144" s="5">
        <v>57.947000000000003</v>
      </c>
      <c r="Q144" s="10">
        <f t="shared" si="39"/>
        <v>4.2359999999999971</v>
      </c>
    </row>
    <row r="145" spans="1:17" x14ac:dyDescent="0.35">
      <c r="A145" s="6">
        <v>1992</v>
      </c>
      <c r="B145" s="7">
        <f t="shared" si="32"/>
        <v>40.497999999999998</v>
      </c>
      <c r="C145" s="7">
        <f t="shared" si="33"/>
        <v>45.488999999999997</v>
      </c>
      <c r="D145" s="7">
        <f t="shared" si="34"/>
        <v>56.802</v>
      </c>
      <c r="E145" s="7">
        <f t="shared" si="35"/>
        <v>61.738999999999997</v>
      </c>
      <c r="F145" s="7">
        <f t="shared" si="36"/>
        <v>4.9909999999999997</v>
      </c>
      <c r="G145" s="7">
        <f t="shared" si="37"/>
        <v>0</v>
      </c>
      <c r="H145" s="7">
        <f t="shared" si="38"/>
        <v>11.313000000000002</v>
      </c>
      <c r="I145" s="8">
        <v>45.488999999999997</v>
      </c>
      <c r="J145" s="8">
        <v>42.863</v>
      </c>
      <c r="K145" s="8">
        <v>41.213999999999999</v>
      </c>
      <c r="L145" s="8">
        <v>40.497999999999998</v>
      </c>
      <c r="M145" s="8">
        <v>61.738999999999997</v>
      </c>
      <c r="N145" s="8">
        <v>58.453000000000003</v>
      </c>
      <c r="O145" s="8">
        <v>57.466000000000001</v>
      </c>
      <c r="P145" s="8">
        <v>56.802</v>
      </c>
      <c r="Q145" s="10">
        <f t="shared" si="39"/>
        <v>4.9369999999999976</v>
      </c>
    </row>
    <row r="146" spans="1:17" x14ac:dyDescent="0.35">
      <c r="A146" s="3">
        <v>1993</v>
      </c>
      <c r="B146" s="4">
        <f t="shared" si="32"/>
        <v>40.408999999999999</v>
      </c>
      <c r="C146" s="4">
        <f t="shared" si="33"/>
        <v>45.213000000000001</v>
      </c>
      <c r="D146" s="4">
        <f t="shared" si="34"/>
        <v>55.551000000000002</v>
      </c>
      <c r="E146" s="4">
        <f t="shared" si="35"/>
        <v>60.433</v>
      </c>
      <c r="F146" s="4">
        <f t="shared" si="36"/>
        <v>4.804000000000002</v>
      </c>
      <c r="G146" s="4">
        <f t="shared" si="37"/>
        <v>0</v>
      </c>
      <c r="H146" s="4">
        <f t="shared" si="38"/>
        <v>10.338000000000001</v>
      </c>
      <c r="I146" s="5">
        <v>45.213000000000001</v>
      </c>
      <c r="J146" s="5">
        <v>42.774999999999999</v>
      </c>
      <c r="K146" s="5">
        <v>41.277999999999999</v>
      </c>
      <c r="L146" s="5">
        <v>40.408999999999999</v>
      </c>
      <c r="M146" s="5">
        <v>60.433</v>
      </c>
      <c r="N146" s="5">
        <v>57.436</v>
      </c>
      <c r="O146" s="5">
        <v>56.313000000000002</v>
      </c>
      <c r="P146" s="5">
        <v>55.551000000000002</v>
      </c>
      <c r="Q146" s="10">
        <f t="shared" si="39"/>
        <v>4.8819999999999979</v>
      </c>
    </row>
    <row r="147" spans="1:17" x14ac:dyDescent="0.35">
      <c r="A147" s="6">
        <v>1994</v>
      </c>
      <c r="B147" s="7">
        <f t="shared" si="32"/>
        <v>40.738</v>
      </c>
      <c r="C147" s="7">
        <f t="shared" si="33"/>
        <v>45.377000000000002</v>
      </c>
      <c r="D147" s="7">
        <f t="shared" si="34"/>
        <v>54.533000000000001</v>
      </c>
      <c r="E147" s="7">
        <f t="shared" si="35"/>
        <v>59.03</v>
      </c>
      <c r="F147" s="7">
        <f t="shared" si="36"/>
        <v>4.6390000000000029</v>
      </c>
      <c r="G147" s="7">
        <f t="shared" si="37"/>
        <v>0</v>
      </c>
      <c r="H147" s="7">
        <f t="shared" si="38"/>
        <v>9.1559999999999988</v>
      </c>
      <c r="I147" s="8">
        <v>45.377000000000002</v>
      </c>
      <c r="J147" s="8">
        <v>43.106999999999999</v>
      </c>
      <c r="K147" s="8">
        <v>41.512999999999998</v>
      </c>
      <c r="L147" s="8">
        <v>40.738</v>
      </c>
      <c r="M147" s="8">
        <v>59.03</v>
      </c>
      <c r="N147" s="8">
        <v>56.372999999999998</v>
      </c>
      <c r="O147" s="8">
        <v>55.146000000000001</v>
      </c>
      <c r="P147" s="8">
        <v>54.533000000000001</v>
      </c>
      <c r="Q147" s="10">
        <f t="shared" si="39"/>
        <v>4.4969999999999999</v>
      </c>
    </row>
    <row r="148" spans="1:17" x14ac:dyDescent="0.35">
      <c r="A148" s="3">
        <v>1995</v>
      </c>
      <c r="B148" s="4">
        <f t="shared" si="32"/>
        <v>40.259</v>
      </c>
      <c r="C148" s="4">
        <f t="shared" si="33"/>
        <v>44.845999999999997</v>
      </c>
      <c r="D148" s="4">
        <f t="shared" si="34"/>
        <v>53.405999999999999</v>
      </c>
      <c r="E148" s="4">
        <f t="shared" si="35"/>
        <v>58.036999999999999</v>
      </c>
      <c r="F148" s="4">
        <f t="shared" si="36"/>
        <v>4.5869999999999962</v>
      </c>
      <c r="G148" s="4">
        <f t="shared" si="37"/>
        <v>0</v>
      </c>
      <c r="H148" s="4">
        <f t="shared" si="38"/>
        <v>8.5600000000000023</v>
      </c>
      <c r="I148" s="5">
        <v>44.845999999999997</v>
      </c>
      <c r="J148" s="5">
        <v>42.654000000000003</v>
      </c>
      <c r="K148" s="5">
        <v>40.991999999999997</v>
      </c>
      <c r="L148" s="5">
        <v>40.259</v>
      </c>
      <c r="M148" s="5">
        <v>58.036999999999999</v>
      </c>
      <c r="N148" s="5">
        <v>55.353000000000002</v>
      </c>
      <c r="O148" s="5">
        <v>54.055999999999997</v>
      </c>
      <c r="P148" s="5">
        <v>53.405999999999999</v>
      </c>
      <c r="Q148" s="10">
        <f t="shared" si="39"/>
        <v>4.6310000000000002</v>
      </c>
    </row>
    <row r="149" spans="1:17" x14ac:dyDescent="0.35">
      <c r="A149" s="6">
        <v>1996</v>
      </c>
      <c r="B149" s="7">
        <f t="shared" si="32"/>
        <v>40.502000000000002</v>
      </c>
      <c r="C149" s="7">
        <f t="shared" si="33"/>
        <v>44.652999999999999</v>
      </c>
      <c r="D149" s="7">
        <f t="shared" si="34"/>
        <v>53.146999999999998</v>
      </c>
      <c r="E149" s="7">
        <f t="shared" si="35"/>
        <v>57.369</v>
      </c>
      <c r="F149" s="7">
        <f t="shared" si="36"/>
        <v>4.1509999999999962</v>
      </c>
      <c r="G149" s="7">
        <f t="shared" si="37"/>
        <v>0</v>
      </c>
      <c r="H149" s="7">
        <f t="shared" si="38"/>
        <v>8.4939999999999998</v>
      </c>
      <c r="I149" s="8">
        <v>44.652999999999999</v>
      </c>
      <c r="J149" s="8">
        <v>42.491</v>
      </c>
      <c r="K149" s="8">
        <v>41.19</v>
      </c>
      <c r="L149" s="8">
        <v>40.502000000000002</v>
      </c>
      <c r="M149" s="8">
        <v>57.369</v>
      </c>
      <c r="N149" s="8">
        <v>54.692</v>
      </c>
      <c r="O149" s="8">
        <v>53.722000000000001</v>
      </c>
      <c r="P149" s="8">
        <v>53.146999999999998</v>
      </c>
      <c r="Q149" s="10">
        <f t="shared" si="39"/>
        <v>4.2220000000000013</v>
      </c>
    </row>
    <row r="150" spans="1:17" x14ac:dyDescent="0.35">
      <c r="A150" s="3">
        <v>1997</v>
      </c>
      <c r="B150" s="4">
        <f t="shared" si="32"/>
        <v>40.707000000000001</v>
      </c>
      <c r="C150" s="4">
        <f t="shared" si="33"/>
        <v>44.482999999999997</v>
      </c>
      <c r="D150" s="4">
        <f t="shared" si="34"/>
        <v>52.686</v>
      </c>
      <c r="E150" s="4">
        <f t="shared" si="35"/>
        <v>56.665999999999997</v>
      </c>
      <c r="F150" s="4">
        <f t="shared" si="36"/>
        <v>3.7759999999999962</v>
      </c>
      <c r="G150" s="4">
        <f t="shared" si="37"/>
        <v>0</v>
      </c>
      <c r="H150" s="4">
        <f t="shared" si="38"/>
        <v>8.203000000000003</v>
      </c>
      <c r="I150" s="5">
        <v>44.482999999999997</v>
      </c>
      <c r="J150" s="5">
        <v>42.256999999999998</v>
      </c>
      <c r="K150" s="5">
        <v>41.387</v>
      </c>
      <c r="L150" s="5">
        <v>40.707000000000001</v>
      </c>
      <c r="M150" s="5">
        <v>56.665999999999997</v>
      </c>
      <c r="N150" s="5">
        <v>53.932000000000002</v>
      </c>
      <c r="O150" s="5">
        <v>53.247999999999998</v>
      </c>
      <c r="P150" s="5">
        <v>52.686</v>
      </c>
      <c r="Q150" s="10">
        <f t="shared" si="39"/>
        <v>3.9799999999999969</v>
      </c>
    </row>
    <row r="151" spans="1:17" x14ac:dyDescent="0.35">
      <c r="A151" s="6">
        <v>1998</v>
      </c>
      <c r="B151" s="7">
        <f t="shared" si="32"/>
        <v>40.677</v>
      </c>
      <c r="C151" s="7">
        <f t="shared" si="33"/>
        <v>44.954000000000001</v>
      </c>
      <c r="D151" s="7">
        <f t="shared" si="34"/>
        <v>52.319000000000003</v>
      </c>
      <c r="E151" s="7">
        <f t="shared" si="35"/>
        <v>56.901000000000003</v>
      </c>
      <c r="F151" s="7">
        <f t="shared" si="36"/>
        <v>4.277000000000001</v>
      </c>
      <c r="G151" s="7">
        <f t="shared" si="37"/>
        <v>0</v>
      </c>
      <c r="H151" s="7">
        <f t="shared" si="38"/>
        <v>7.365000000000002</v>
      </c>
      <c r="I151" s="8">
        <v>44.954000000000001</v>
      </c>
      <c r="J151" s="8">
        <v>42.438000000000002</v>
      </c>
      <c r="K151" s="8">
        <v>41.399000000000001</v>
      </c>
      <c r="L151" s="8">
        <v>40.677</v>
      </c>
      <c r="M151" s="8">
        <v>56.901000000000003</v>
      </c>
      <c r="N151" s="8">
        <v>53.777000000000001</v>
      </c>
      <c r="O151" s="8">
        <v>52.92</v>
      </c>
      <c r="P151" s="8">
        <v>52.319000000000003</v>
      </c>
      <c r="Q151" s="10">
        <f t="shared" si="39"/>
        <v>4.5820000000000007</v>
      </c>
    </row>
    <row r="152" spans="1:17" x14ac:dyDescent="0.35">
      <c r="A152" s="3">
        <v>1999</v>
      </c>
      <c r="B152" s="4">
        <f t="shared" si="32"/>
        <v>40.557000000000002</v>
      </c>
      <c r="C152" s="4">
        <f t="shared" si="33"/>
        <v>44.466000000000001</v>
      </c>
      <c r="D152" s="4">
        <f t="shared" si="34"/>
        <v>52.079000000000001</v>
      </c>
      <c r="E152" s="4">
        <f t="shared" si="35"/>
        <v>56.058999999999997</v>
      </c>
      <c r="F152" s="4">
        <f t="shared" si="36"/>
        <v>3.9089999999999989</v>
      </c>
      <c r="G152" s="4">
        <f t="shared" si="37"/>
        <v>0</v>
      </c>
      <c r="H152" s="4">
        <f t="shared" si="38"/>
        <v>7.6129999999999995</v>
      </c>
      <c r="I152" s="5">
        <v>44.466000000000001</v>
      </c>
      <c r="J152" s="5">
        <v>41.798999999999999</v>
      </c>
      <c r="K152" s="5">
        <v>41.216000000000001</v>
      </c>
      <c r="L152" s="5">
        <v>40.557000000000002</v>
      </c>
      <c r="M152" s="5">
        <v>56.058999999999997</v>
      </c>
      <c r="N152" s="5">
        <v>52.774000000000001</v>
      </c>
      <c r="O152" s="5">
        <v>52.658999999999999</v>
      </c>
      <c r="P152" s="5">
        <v>52.079000000000001</v>
      </c>
      <c r="Q152" s="10">
        <f t="shared" si="39"/>
        <v>3.9799999999999969</v>
      </c>
    </row>
    <row r="153" spans="1:17" x14ac:dyDescent="0.35">
      <c r="A153" s="6">
        <v>2000</v>
      </c>
      <c r="B153" s="7">
        <f t="shared" si="32"/>
        <v>40.290999999999997</v>
      </c>
      <c r="C153" s="7">
        <f t="shared" si="33"/>
        <v>44.267000000000003</v>
      </c>
      <c r="D153" s="7">
        <f t="shared" si="34"/>
        <v>51.720999999999997</v>
      </c>
      <c r="E153" s="7">
        <f t="shared" si="35"/>
        <v>55.55</v>
      </c>
      <c r="F153" s="7">
        <f t="shared" si="36"/>
        <v>3.9760000000000062</v>
      </c>
      <c r="G153" s="7">
        <f t="shared" si="37"/>
        <v>0</v>
      </c>
      <c r="H153" s="7">
        <f t="shared" si="38"/>
        <v>7.4539999999999935</v>
      </c>
      <c r="I153" s="8">
        <v>44.267000000000003</v>
      </c>
      <c r="J153" s="8">
        <v>41.646999999999998</v>
      </c>
      <c r="K153" s="8">
        <v>40.835000000000001</v>
      </c>
      <c r="L153" s="8">
        <v>40.290999999999997</v>
      </c>
      <c r="M153" s="8">
        <v>55.55</v>
      </c>
      <c r="N153" s="8">
        <v>52.283999999999999</v>
      </c>
      <c r="O153" s="8">
        <v>52.106000000000002</v>
      </c>
      <c r="P153" s="8">
        <v>51.720999999999997</v>
      </c>
      <c r="Q153" s="10">
        <f t="shared" si="39"/>
        <v>3.8290000000000006</v>
      </c>
    </row>
    <row r="154" spans="1:17" x14ac:dyDescent="0.35">
      <c r="A154" s="3">
        <v>2001</v>
      </c>
      <c r="B154" s="4">
        <f t="shared" si="32"/>
        <v>39.795000000000002</v>
      </c>
      <c r="C154" s="4">
        <f t="shared" si="33"/>
        <v>43.655000000000001</v>
      </c>
      <c r="D154" s="4">
        <f t="shared" si="34"/>
        <v>51.097000000000001</v>
      </c>
      <c r="E154" s="4">
        <f t="shared" si="35"/>
        <v>55.079000000000001</v>
      </c>
      <c r="F154" s="4">
        <f t="shared" si="36"/>
        <v>3.8599999999999994</v>
      </c>
      <c r="G154" s="4">
        <f t="shared" si="37"/>
        <v>0</v>
      </c>
      <c r="H154" s="4">
        <f t="shared" si="38"/>
        <v>7.4420000000000002</v>
      </c>
      <c r="I154" s="5">
        <v>43.655000000000001</v>
      </c>
      <c r="J154" s="5">
        <v>41.009</v>
      </c>
      <c r="K154" s="5">
        <v>40.304000000000002</v>
      </c>
      <c r="L154" s="5">
        <v>39.795000000000002</v>
      </c>
      <c r="M154" s="5">
        <v>55.079000000000001</v>
      </c>
      <c r="N154" s="5">
        <v>51.682000000000002</v>
      </c>
      <c r="O154" s="5">
        <v>51.441000000000003</v>
      </c>
      <c r="P154" s="5">
        <v>51.097000000000001</v>
      </c>
      <c r="Q154" s="10">
        <f t="shared" si="39"/>
        <v>3.9819999999999993</v>
      </c>
    </row>
    <row r="155" spans="1:17" x14ac:dyDescent="0.35">
      <c r="A155" s="6">
        <v>2002</v>
      </c>
      <c r="B155" s="7">
        <f t="shared" si="32"/>
        <v>38.945</v>
      </c>
      <c r="C155" s="7">
        <f t="shared" si="33"/>
        <v>43.134999999999998</v>
      </c>
      <c r="D155" s="7">
        <f t="shared" si="34"/>
        <v>50.078000000000003</v>
      </c>
      <c r="E155" s="7">
        <f t="shared" si="35"/>
        <v>54.305</v>
      </c>
      <c r="F155" s="7">
        <f t="shared" si="36"/>
        <v>4.1899999999999977</v>
      </c>
      <c r="G155" s="7">
        <f t="shared" si="37"/>
        <v>0</v>
      </c>
      <c r="H155" s="7">
        <f t="shared" si="38"/>
        <v>6.9430000000000049</v>
      </c>
      <c r="I155" s="8">
        <v>43.134999999999998</v>
      </c>
      <c r="J155" s="8">
        <v>40.381</v>
      </c>
      <c r="K155" s="8">
        <v>39.488</v>
      </c>
      <c r="L155" s="8">
        <v>38.945</v>
      </c>
      <c r="M155" s="8">
        <v>54.305</v>
      </c>
      <c r="N155" s="8">
        <v>50.712000000000003</v>
      </c>
      <c r="O155" s="8">
        <v>50.462000000000003</v>
      </c>
      <c r="P155" s="8">
        <v>50.078000000000003</v>
      </c>
      <c r="Q155" s="10">
        <f t="shared" si="39"/>
        <v>4.2269999999999968</v>
      </c>
    </row>
    <row r="156" spans="1:17" x14ac:dyDescent="0.35">
      <c r="A156" s="3">
        <v>2003</v>
      </c>
      <c r="B156" s="4">
        <f t="shared" si="32"/>
        <v>37.777999999999999</v>
      </c>
      <c r="C156" s="4">
        <f t="shared" si="33"/>
        <v>41.487000000000002</v>
      </c>
      <c r="D156" s="4">
        <f t="shared" si="34"/>
        <v>48.901000000000003</v>
      </c>
      <c r="E156" s="4">
        <f t="shared" si="35"/>
        <v>52.43</v>
      </c>
      <c r="F156" s="4">
        <f t="shared" si="36"/>
        <v>3.7090000000000032</v>
      </c>
      <c r="G156" s="4">
        <f t="shared" si="37"/>
        <v>0</v>
      </c>
      <c r="H156" s="4">
        <f t="shared" si="38"/>
        <v>7.4140000000000015</v>
      </c>
      <c r="I156" s="5">
        <v>41.487000000000002</v>
      </c>
      <c r="J156" s="5">
        <v>38.987000000000002</v>
      </c>
      <c r="K156" s="5">
        <v>38.31</v>
      </c>
      <c r="L156" s="5">
        <v>37.777999999999999</v>
      </c>
      <c r="M156" s="5">
        <v>52.43</v>
      </c>
      <c r="N156" s="5">
        <v>49.124000000000002</v>
      </c>
      <c r="O156" s="5">
        <v>49.232999999999997</v>
      </c>
      <c r="P156" s="5">
        <v>48.901000000000003</v>
      </c>
      <c r="Q156" s="10">
        <f t="shared" si="39"/>
        <v>3.5289999999999964</v>
      </c>
    </row>
    <row r="157" spans="1:17" x14ac:dyDescent="0.35">
      <c r="A157" s="6">
        <v>2004</v>
      </c>
      <c r="B157" s="7">
        <f t="shared" si="32"/>
        <v>36.686999999999998</v>
      </c>
      <c r="C157" s="7">
        <f t="shared" si="33"/>
        <v>40.540999999999997</v>
      </c>
      <c r="D157" s="7">
        <f t="shared" si="34"/>
        <v>47.335999999999999</v>
      </c>
      <c r="E157" s="7">
        <f t="shared" si="35"/>
        <v>51.255000000000003</v>
      </c>
      <c r="F157" s="7">
        <f t="shared" si="36"/>
        <v>3.8539999999999992</v>
      </c>
      <c r="G157" s="7">
        <f t="shared" si="37"/>
        <v>0</v>
      </c>
      <c r="H157" s="7">
        <f t="shared" si="38"/>
        <v>6.7950000000000017</v>
      </c>
      <c r="I157" s="8">
        <v>40.540999999999997</v>
      </c>
      <c r="J157" s="8">
        <v>37.979999999999997</v>
      </c>
      <c r="K157" s="8">
        <v>37.116999999999997</v>
      </c>
      <c r="L157" s="8">
        <v>36.686999999999998</v>
      </c>
      <c r="M157" s="8">
        <v>51.255000000000003</v>
      </c>
      <c r="N157" s="8">
        <v>47.856000000000002</v>
      </c>
      <c r="O157" s="8">
        <v>47.613</v>
      </c>
      <c r="P157" s="8">
        <v>47.335999999999999</v>
      </c>
      <c r="Q157" s="10">
        <f t="shared" si="39"/>
        <v>3.919000000000004</v>
      </c>
    </row>
    <row r="158" spans="1:17" x14ac:dyDescent="0.35">
      <c r="A158" s="3">
        <v>2005</v>
      </c>
      <c r="B158" s="4">
        <f t="shared" si="32"/>
        <v>35.487000000000002</v>
      </c>
      <c r="C158" s="4">
        <f t="shared" si="33"/>
        <v>39.271999999999998</v>
      </c>
      <c r="D158" s="4">
        <f t="shared" si="34"/>
        <v>45.895000000000003</v>
      </c>
      <c r="E158" s="4">
        <f t="shared" si="35"/>
        <v>49.811</v>
      </c>
      <c r="F158" s="4">
        <f t="shared" si="36"/>
        <v>3.7849999999999966</v>
      </c>
      <c r="G158" s="4">
        <f t="shared" si="37"/>
        <v>0</v>
      </c>
      <c r="H158" s="4">
        <f t="shared" si="38"/>
        <v>6.6230000000000047</v>
      </c>
      <c r="I158" s="5">
        <v>39.271999999999998</v>
      </c>
      <c r="J158" s="5">
        <v>36.747999999999998</v>
      </c>
      <c r="K158" s="5">
        <v>35.947000000000003</v>
      </c>
      <c r="L158" s="5">
        <v>35.487000000000002</v>
      </c>
      <c r="M158" s="5">
        <v>49.811</v>
      </c>
      <c r="N158" s="5">
        <v>46.405999999999999</v>
      </c>
      <c r="O158" s="5">
        <v>46.116</v>
      </c>
      <c r="P158" s="5">
        <v>45.895000000000003</v>
      </c>
      <c r="Q158" s="10">
        <f t="shared" si="39"/>
        <v>3.9159999999999968</v>
      </c>
    </row>
    <row r="159" spans="1:17" x14ac:dyDescent="0.35">
      <c r="A159" s="6">
        <v>2006</v>
      </c>
      <c r="B159" s="7">
        <f t="shared" si="32"/>
        <v>34.295000000000002</v>
      </c>
      <c r="C159" s="7">
        <f t="shared" si="33"/>
        <v>37.787999999999997</v>
      </c>
      <c r="D159" s="7">
        <f t="shared" si="34"/>
        <v>44.633000000000003</v>
      </c>
      <c r="E159" s="7">
        <f t="shared" si="35"/>
        <v>48.387</v>
      </c>
      <c r="F159" s="7">
        <f t="shared" si="36"/>
        <v>3.492999999999995</v>
      </c>
      <c r="G159" s="7">
        <f t="shared" si="37"/>
        <v>0</v>
      </c>
      <c r="H159" s="7">
        <f t="shared" si="38"/>
        <v>6.845000000000006</v>
      </c>
      <c r="I159" s="8">
        <v>37.787999999999997</v>
      </c>
      <c r="J159" s="8">
        <v>35.564</v>
      </c>
      <c r="K159" s="8">
        <v>34.549999999999997</v>
      </c>
      <c r="L159" s="8">
        <v>34.295000000000002</v>
      </c>
      <c r="M159" s="8">
        <v>48.387</v>
      </c>
      <c r="N159" s="8">
        <v>45.265999999999998</v>
      </c>
      <c r="O159" s="8">
        <v>44.673999999999999</v>
      </c>
      <c r="P159" s="8">
        <v>44.633000000000003</v>
      </c>
      <c r="Q159" s="10">
        <f t="shared" si="39"/>
        <v>3.7539999999999978</v>
      </c>
    </row>
    <row r="160" spans="1:17" x14ac:dyDescent="0.35">
      <c r="A160" s="3">
        <v>2007</v>
      </c>
      <c r="B160" s="4">
        <f t="shared" si="32"/>
        <v>33.524999999999999</v>
      </c>
      <c r="C160" s="4">
        <f t="shared" si="33"/>
        <v>37.054000000000002</v>
      </c>
      <c r="D160" s="4">
        <f t="shared" si="34"/>
        <v>43.683</v>
      </c>
      <c r="E160" s="4">
        <f t="shared" si="35"/>
        <v>47.561</v>
      </c>
      <c r="F160" s="4">
        <f t="shared" si="36"/>
        <v>3.5290000000000035</v>
      </c>
      <c r="G160" s="4">
        <f t="shared" si="37"/>
        <v>0</v>
      </c>
      <c r="H160" s="4">
        <f t="shared" si="38"/>
        <v>6.6289999999999978</v>
      </c>
      <c r="I160" s="5">
        <v>37.054000000000002</v>
      </c>
      <c r="J160" s="5">
        <v>35.005000000000003</v>
      </c>
      <c r="K160" s="5">
        <v>33.789000000000001</v>
      </c>
      <c r="L160" s="5">
        <v>33.524999999999999</v>
      </c>
      <c r="M160" s="5">
        <v>47.561</v>
      </c>
      <c r="N160" s="5">
        <v>44.601999999999997</v>
      </c>
      <c r="O160" s="5">
        <v>43.76</v>
      </c>
      <c r="P160" s="5">
        <v>43.683</v>
      </c>
      <c r="Q160" s="10">
        <f t="shared" si="39"/>
        <v>3.8780000000000001</v>
      </c>
    </row>
    <row r="161" spans="1:17" x14ac:dyDescent="0.35">
      <c r="A161" s="6">
        <v>2008</v>
      </c>
      <c r="B161" s="7">
        <f t="shared" si="32"/>
        <v>32.32</v>
      </c>
      <c r="C161" s="7">
        <f t="shared" si="33"/>
        <v>35.448</v>
      </c>
      <c r="D161" s="7">
        <f t="shared" si="34"/>
        <v>42.281999999999996</v>
      </c>
      <c r="E161" s="7">
        <f t="shared" si="35"/>
        <v>45.78</v>
      </c>
      <c r="F161" s="7">
        <f t="shared" si="36"/>
        <v>3.1280000000000001</v>
      </c>
      <c r="G161" s="7">
        <f t="shared" si="37"/>
        <v>0</v>
      </c>
      <c r="H161" s="7">
        <f t="shared" si="38"/>
        <v>6.8339999999999961</v>
      </c>
      <c r="I161" s="8">
        <v>35.448</v>
      </c>
      <c r="J161" s="8">
        <v>33.692</v>
      </c>
      <c r="K161" s="8">
        <v>32.643999999999998</v>
      </c>
      <c r="L161" s="8">
        <v>32.32</v>
      </c>
      <c r="M161" s="8">
        <v>45.78</v>
      </c>
      <c r="N161" s="8">
        <v>43.155000000000001</v>
      </c>
      <c r="O161" s="8">
        <v>42.445999999999998</v>
      </c>
      <c r="P161" s="8">
        <v>42.281999999999996</v>
      </c>
      <c r="Q161" s="10">
        <f t="shared" si="39"/>
        <v>3.4980000000000047</v>
      </c>
    </row>
    <row r="162" spans="1:17" x14ac:dyDescent="0.35">
      <c r="A162" s="3">
        <v>2009</v>
      </c>
      <c r="B162" s="4">
        <f t="shared" si="32"/>
        <v>30.771000000000001</v>
      </c>
      <c r="C162" s="4">
        <f t="shared" si="33"/>
        <v>33.557000000000002</v>
      </c>
      <c r="D162" s="4">
        <f t="shared" si="34"/>
        <v>40.198999999999998</v>
      </c>
      <c r="E162" s="4">
        <f t="shared" si="35"/>
        <v>43.402999999999999</v>
      </c>
      <c r="F162" s="4">
        <f t="shared" si="36"/>
        <v>2.7860000000000014</v>
      </c>
      <c r="G162" s="4">
        <f t="shared" si="37"/>
        <v>0</v>
      </c>
      <c r="H162" s="4">
        <f t="shared" si="38"/>
        <v>6.6419999999999959</v>
      </c>
      <c r="I162" s="5">
        <v>33.557000000000002</v>
      </c>
      <c r="J162" s="5">
        <v>32.036000000000001</v>
      </c>
      <c r="K162" s="5">
        <v>30.974</v>
      </c>
      <c r="L162" s="5">
        <v>30.771000000000001</v>
      </c>
      <c r="M162" s="5">
        <v>43.402999999999999</v>
      </c>
      <c r="N162" s="5">
        <v>40.966000000000001</v>
      </c>
      <c r="O162" s="5">
        <v>40.262999999999998</v>
      </c>
      <c r="P162" s="5">
        <v>40.198999999999998</v>
      </c>
      <c r="Q162" s="10">
        <f t="shared" si="39"/>
        <v>3.2040000000000006</v>
      </c>
    </row>
    <row r="163" spans="1:17" x14ac:dyDescent="0.35">
      <c r="A163" s="6">
        <v>2010</v>
      </c>
      <c r="B163" s="7">
        <f t="shared" ref="B163:B177" si="40">IFERROR(MIN(I163:L163),"")</f>
        <v>30.26</v>
      </c>
      <c r="C163" s="7">
        <f t="shared" ref="C163:C177" si="41">IFERROR(MAX(I163:L163),"")</f>
        <v>32.725999999999999</v>
      </c>
      <c r="D163" s="7">
        <f t="shared" ref="D163:D177" si="42">IFERROR(MIN(M163:P163),"")</f>
        <v>39.546999999999997</v>
      </c>
      <c r="E163" s="7">
        <f t="shared" ref="E163:E177" si="43">IFERROR(MAX(M163:P163),"")</f>
        <v>42.494999999999997</v>
      </c>
      <c r="F163" s="7">
        <f t="shared" ref="F163:F177" si="44">IFERROR(MIN(C163,D163)-B163,"")</f>
        <v>2.4659999999999975</v>
      </c>
      <c r="G163" s="7">
        <f t="shared" ref="G163:G177" si="45">IFERROR(MAX(0,C163-D163),"")</f>
        <v>0</v>
      </c>
      <c r="H163" s="7">
        <f t="shared" ref="H163:H177" si="46">IFERROR(MAX(0,D163-C163),"")</f>
        <v>6.820999999999998</v>
      </c>
      <c r="I163" s="8">
        <v>32.725999999999999</v>
      </c>
      <c r="J163" s="8">
        <v>31.527000000000001</v>
      </c>
      <c r="K163" s="8">
        <v>30.483000000000001</v>
      </c>
      <c r="L163" s="8">
        <v>30.26</v>
      </c>
      <c r="M163" s="8">
        <v>42.494999999999997</v>
      </c>
      <c r="N163" s="8">
        <v>40.423999999999999</v>
      </c>
      <c r="O163" s="8">
        <v>39.706000000000003</v>
      </c>
      <c r="P163" s="8">
        <v>39.546999999999997</v>
      </c>
      <c r="Q163" s="10">
        <f t="shared" ref="Q163:Q177" si="47">IFERROR(MAX(0,$E163-MAX($C163,$D163)),"")</f>
        <v>2.9480000000000004</v>
      </c>
    </row>
    <row r="164" spans="1:17" x14ac:dyDescent="0.35">
      <c r="A164" s="3">
        <v>2011</v>
      </c>
      <c r="B164" s="4">
        <f t="shared" si="40"/>
        <v>28.942</v>
      </c>
      <c r="C164" s="4">
        <f t="shared" si="41"/>
        <v>31.027000000000001</v>
      </c>
      <c r="D164" s="4">
        <f t="shared" si="42"/>
        <v>38.201000000000001</v>
      </c>
      <c r="E164" s="4">
        <f t="shared" si="43"/>
        <v>40.761000000000003</v>
      </c>
      <c r="F164" s="4">
        <f t="shared" si="44"/>
        <v>2.0850000000000009</v>
      </c>
      <c r="G164" s="4">
        <f t="shared" si="45"/>
        <v>0</v>
      </c>
      <c r="H164" s="4">
        <f t="shared" si="46"/>
        <v>7.1739999999999995</v>
      </c>
      <c r="I164" s="5">
        <v>31.027000000000001</v>
      </c>
      <c r="J164" s="5">
        <v>29.984000000000002</v>
      </c>
      <c r="K164" s="5">
        <v>28.942</v>
      </c>
      <c r="L164" s="5">
        <v>28.998000000000001</v>
      </c>
      <c r="M164" s="5">
        <v>40.761000000000003</v>
      </c>
      <c r="N164" s="5">
        <v>38.843000000000004</v>
      </c>
      <c r="O164" s="5">
        <v>38.201000000000001</v>
      </c>
      <c r="P164" s="5">
        <v>38.32</v>
      </c>
      <c r="Q164" s="10">
        <f t="shared" si="47"/>
        <v>2.5600000000000023</v>
      </c>
    </row>
    <row r="165" spans="1:17" x14ac:dyDescent="0.35">
      <c r="A165" s="6">
        <v>2012</v>
      </c>
      <c r="B165" s="7">
        <f t="shared" si="40"/>
        <v>28.073</v>
      </c>
      <c r="C165" s="7">
        <f t="shared" si="41"/>
        <v>30.068000000000001</v>
      </c>
      <c r="D165" s="7">
        <f t="shared" si="42"/>
        <v>37.18</v>
      </c>
      <c r="E165" s="7">
        <f t="shared" si="43"/>
        <v>39.692</v>
      </c>
      <c r="F165" s="7">
        <f t="shared" si="44"/>
        <v>1.995000000000001</v>
      </c>
      <c r="G165" s="7">
        <f t="shared" si="45"/>
        <v>0</v>
      </c>
      <c r="H165" s="7">
        <f t="shared" si="46"/>
        <v>7.1119999999999983</v>
      </c>
      <c r="I165" s="8">
        <v>30.068000000000001</v>
      </c>
      <c r="J165" s="8">
        <v>29.100999999999999</v>
      </c>
      <c r="K165" s="8">
        <v>28.073</v>
      </c>
      <c r="L165" s="8">
        <v>28.238</v>
      </c>
      <c r="M165" s="8">
        <v>39.692</v>
      </c>
      <c r="N165" s="8">
        <v>37.847999999999999</v>
      </c>
      <c r="O165" s="8">
        <v>37.18</v>
      </c>
      <c r="P165" s="8">
        <v>37.353000000000002</v>
      </c>
      <c r="Q165" s="10">
        <f t="shared" si="47"/>
        <v>2.5120000000000005</v>
      </c>
    </row>
    <row r="166" spans="1:17" x14ac:dyDescent="0.35">
      <c r="A166" s="3">
        <v>2013</v>
      </c>
      <c r="B166" s="4">
        <f t="shared" si="40"/>
        <v>27.788</v>
      </c>
      <c r="C166" s="4">
        <f t="shared" si="41"/>
        <v>30.062000000000001</v>
      </c>
      <c r="D166" s="4">
        <f t="shared" si="42"/>
        <v>36.555999999999997</v>
      </c>
      <c r="E166" s="4">
        <f t="shared" si="43"/>
        <v>39.348999999999997</v>
      </c>
      <c r="F166" s="4">
        <f t="shared" si="44"/>
        <v>2.2740000000000009</v>
      </c>
      <c r="G166" s="4">
        <f t="shared" si="45"/>
        <v>0</v>
      </c>
      <c r="H166" s="4">
        <f t="shared" si="46"/>
        <v>6.4939999999999962</v>
      </c>
      <c r="I166" s="5">
        <v>30.062000000000001</v>
      </c>
      <c r="J166" s="5">
        <v>29.097000000000001</v>
      </c>
      <c r="K166" s="5">
        <v>27.788</v>
      </c>
      <c r="L166" s="5">
        <v>27.844000000000001</v>
      </c>
      <c r="M166" s="5">
        <v>39.348999999999997</v>
      </c>
      <c r="N166" s="5">
        <v>37.515000000000001</v>
      </c>
      <c r="O166" s="5">
        <v>36.555999999999997</v>
      </c>
      <c r="P166" s="5">
        <v>36.622999999999998</v>
      </c>
      <c r="Q166" s="10">
        <f t="shared" si="47"/>
        <v>2.7929999999999993</v>
      </c>
    </row>
    <row r="167" spans="1:17" x14ac:dyDescent="0.35">
      <c r="A167" s="6">
        <v>2014</v>
      </c>
      <c r="B167" s="7">
        <f t="shared" si="40"/>
        <v>27.225999999999999</v>
      </c>
      <c r="C167" s="7">
        <f t="shared" si="41"/>
        <v>29.489000000000001</v>
      </c>
      <c r="D167" s="7">
        <f t="shared" si="42"/>
        <v>35.817999999999998</v>
      </c>
      <c r="E167" s="7">
        <f t="shared" si="43"/>
        <v>38.606000000000002</v>
      </c>
      <c r="F167" s="7">
        <f t="shared" si="44"/>
        <v>2.2630000000000017</v>
      </c>
      <c r="G167" s="7">
        <f t="shared" si="45"/>
        <v>0</v>
      </c>
      <c r="H167" s="7">
        <f t="shared" si="46"/>
        <v>6.3289999999999971</v>
      </c>
      <c r="I167" s="8">
        <v>29.489000000000001</v>
      </c>
      <c r="J167" s="8">
        <v>28.47</v>
      </c>
      <c r="K167" s="8">
        <v>27.225999999999999</v>
      </c>
      <c r="L167" s="8">
        <v>27.404</v>
      </c>
      <c r="M167" s="8">
        <v>38.606000000000002</v>
      </c>
      <c r="N167" s="8">
        <v>36.69</v>
      </c>
      <c r="O167" s="8">
        <v>35.817999999999998</v>
      </c>
      <c r="P167" s="8">
        <v>35.99</v>
      </c>
      <c r="Q167" s="10">
        <f t="shared" si="47"/>
        <v>2.7880000000000038</v>
      </c>
    </row>
    <row r="168" spans="1:17" x14ac:dyDescent="0.35">
      <c r="A168" s="3">
        <v>2015</v>
      </c>
      <c r="B168" s="4">
        <f t="shared" si="40"/>
        <v>27.009</v>
      </c>
      <c r="C168" s="4">
        <f t="shared" si="41"/>
        <v>29.116</v>
      </c>
      <c r="D168" s="4">
        <f t="shared" si="42"/>
        <v>35.584000000000003</v>
      </c>
      <c r="E168" s="4">
        <f t="shared" si="43"/>
        <v>38.222999999999999</v>
      </c>
      <c r="F168" s="4">
        <f t="shared" si="44"/>
        <v>2.1069999999999993</v>
      </c>
      <c r="G168" s="4">
        <f t="shared" si="45"/>
        <v>0</v>
      </c>
      <c r="H168" s="4">
        <f t="shared" si="46"/>
        <v>6.4680000000000035</v>
      </c>
      <c r="I168" s="5">
        <v>29.116</v>
      </c>
      <c r="J168" s="5">
        <v>27.936</v>
      </c>
      <c r="K168" s="5">
        <v>27.009</v>
      </c>
      <c r="L168" s="5">
        <v>27.271999999999998</v>
      </c>
      <c r="M168" s="5">
        <v>38.222999999999999</v>
      </c>
      <c r="N168" s="5">
        <v>36.026000000000003</v>
      </c>
      <c r="O168" s="5">
        <v>35.584000000000003</v>
      </c>
      <c r="P168" s="5">
        <v>35.715000000000003</v>
      </c>
      <c r="Q168" s="10">
        <f t="shared" si="47"/>
        <v>2.6389999999999958</v>
      </c>
    </row>
    <row r="169" spans="1:17" x14ac:dyDescent="0.35">
      <c r="A169" s="6">
        <v>2016</v>
      </c>
      <c r="B169" s="7">
        <f t="shared" si="40"/>
        <v>26.564</v>
      </c>
      <c r="C169" s="7">
        <f t="shared" si="41"/>
        <v>28.576000000000001</v>
      </c>
      <c r="D169" s="7">
        <f t="shared" si="42"/>
        <v>35.18</v>
      </c>
      <c r="E169" s="7">
        <f t="shared" si="43"/>
        <v>37.811999999999998</v>
      </c>
      <c r="F169" s="7">
        <f t="shared" si="44"/>
        <v>2.0120000000000005</v>
      </c>
      <c r="G169" s="7">
        <f t="shared" si="45"/>
        <v>0</v>
      </c>
      <c r="H169" s="7">
        <f t="shared" si="46"/>
        <v>6.6039999999999992</v>
      </c>
      <c r="I169" s="8">
        <v>28.576000000000001</v>
      </c>
      <c r="J169" s="8">
        <v>27.297999999999998</v>
      </c>
      <c r="K169" s="8">
        <v>26.564</v>
      </c>
      <c r="L169" s="8">
        <v>26.808</v>
      </c>
      <c r="M169" s="8">
        <v>37.811999999999998</v>
      </c>
      <c r="N169" s="8">
        <v>35.448</v>
      </c>
      <c r="O169" s="8">
        <v>35.18</v>
      </c>
      <c r="P169" s="8">
        <v>35.326000000000001</v>
      </c>
      <c r="Q169" s="10">
        <f t="shared" si="47"/>
        <v>2.6319999999999979</v>
      </c>
    </row>
    <row r="170" spans="1:17" x14ac:dyDescent="0.35">
      <c r="A170" s="3">
        <v>2017</v>
      </c>
      <c r="B170" s="4">
        <f t="shared" si="40"/>
        <v>26.036000000000001</v>
      </c>
      <c r="C170" s="4">
        <f t="shared" si="41"/>
        <v>27.995000000000001</v>
      </c>
      <c r="D170" s="4">
        <f t="shared" si="42"/>
        <v>34.719000000000001</v>
      </c>
      <c r="E170" s="4">
        <f t="shared" si="43"/>
        <v>37.287999999999997</v>
      </c>
      <c r="F170" s="4">
        <f t="shared" si="44"/>
        <v>1.9589999999999996</v>
      </c>
      <c r="G170" s="4">
        <f t="shared" si="45"/>
        <v>0</v>
      </c>
      <c r="H170" s="4">
        <f t="shared" si="46"/>
        <v>6.7240000000000002</v>
      </c>
      <c r="I170" s="5">
        <v>27.995000000000001</v>
      </c>
      <c r="J170" s="5">
        <v>26.683</v>
      </c>
      <c r="K170" s="5">
        <v>26.036000000000001</v>
      </c>
      <c r="L170" s="5">
        <v>26.358000000000001</v>
      </c>
      <c r="M170" s="5">
        <v>37.287999999999997</v>
      </c>
      <c r="N170" s="5">
        <v>34.838999999999999</v>
      </c>
      <c r="O170" s="5">
        <v>34.719000000000001</v>
      </c>
      <c r="P170" s="5">
        <v>34.914999999999999</v>
      </c>
      <c r="Q170" s="10">
        <f t="shared" si="47"/>
        <v>2.5689999999999955</v>
      </c>
    </row>
    <row r="171" spans="1:17" x14ac:dyDescent="0.35">
      <c r="A171" s="6">
        <v>2018</v>
      </c>
      <c r="B171" s="7">
        <f t="shared" si="40"/>
        <v>25.611000000000001</v>
      </c>
      <c r="C171" s="7">
        <f t="shared" si="41"/>
        <v>27.606999999999999</v>
      </c>
      <c r="D171" s="7">
        <f t="shared" si="42"/>
        <v>34.32</v>
      </c>
      <c r="E171" s="7">
        <f t="shared" si="43"/>
        <v>36.875999999999998</v>
      </c>
      <c r="F171" s="7">
        <f t="shared" si="44"/>
        <v>1.9959999999999987</v>
      </c>
      <c r="G171" s="7">
        <f t="shared" si="45"/>
        <v>0</v>
      </c>
      <c r="H171" s="7">
        <f t="shared" si="46"/>
        <v>6.713000000000001</v>
      </c>
      <c r="I171" s="8">
        <v>27.606999999999999</v>
      </c>
      <c r="J171" s="8">
        <v>26.437000000000001</v>
      </c>
      <c r="K171" s="8">
        <v>25.611000000000001</v>
      </c>
      <c r="L171" s="8">
        <v>26.113</v>
      </c>
      <c r="M171" s="8">
        <v>36.875999999999998</v>
      </c>
      <c r="N171" s="8">
        <v>34.610999999999997</v>
      </c>
      <c r="O171" s="8">
        <v>34.32</v>
      </c>
      <c r="P171" s="8">
        <v>34.725000000000001</v>
      </c>
      <c r="Q171" s="10">
        <f t="shared" si="47"/>
        <v>2.5559999999999974</v>
      </c>
    </row>
    <row r="172" spans="1:17" x14ac:dyDescent="0.35">
      <c r="A172" s="3">
        <v>2019</v>
      </c>
      <c r="B172" s="4">
        <f t="shared" si="40"/>
        <v>24.867999999999999</v>
      </c>
      <c r="C172" s="4">
        <f t="shared" si="41"/>
        <v>26.681999999999999</v>
      </c>
      <c r="D172" s="4">
        <f t="shared" si="42"/>
        <v>33.47</v>
      </c>
      <c r="E172" s="4">
        <f t="shared" si="43"/>
        <v>35.734999999999999</v>
      </c>
      <c r="F172" s="4">
        <f t="shared" si="44"/>
        <v>1.8140000000000001</v>
      </c>
      <c r="G172" s="4">
        <f t="shared" si="45"/>
        <v>0</v>
      </c>
      <c r="H172" s="4">
        <f t="shared" si="46"/>
        <v>6.7880000000000003</v>
      </c>
      <c r="I172" s="5">
        <v>26.681999999999999</v>
      </c>
      <c r="J172" s="5">
        <v>25.693000000000001</v>
      </c>
      <c r="K172" s="5">
        <v>24.867999999999999</v>
      </c>
      <c r="L172" s="5">
        <v>25.356000000000002</v>
      </c>
      <c r="M172" s="5">
        <v>35.734999999999999</v>
      </c>
      <c r="N172" s="5">
        <v>33.715000000000003</v>
      </c>
      <c r="O172" s="5">
        <v>33.47</v>
      </c>
      <c r="P172" s="5">
        <v>33.819000000000003</v>
      </c>
      <c r="Q172" s="10">
        <f t="shared" si="47"/>
        <v>2.2650000000000006</v>
      </c>
    </row>
    <row r="173" spans="1:17" x14ac:dyDescent="0.35">
      <c r="A173" s="6">
        <v>2020</v>
      </c>
      <c r="B173" s="7">
        <f t="shared" si="40"/>
        <v>23.545000000000002</v>
      </c>
      <c r="C173" s="7">
        <f t="shared" si="41"/>
        <v>25.23</v>
      </c>
      <c r="D173" s="7">
        <f t="shared" si="42"/>
        <v>32.143000000000001</v>
      </c>
      <c r="E173" s="7">
        <f t="shared" si="43"/>
        <v>34.325000000000003</v>
      </c>
      <c r="F173" s="7">
        <f t="shared" si="44"/>
        <v>1.6849999999999987</v>
      </c>
      <c r="G173" s="7">
        <f t="shared" si="45"/>
        <v>0</v>
      </c>
      <c r="H173" s="7">
        <f t="shared" si="46"/>
        <v>6.9130000000000003</v>
      </c>
      <c r="I173" s="8">
        <v>25.23</v>
      </c>
      <c r="J173" s="8">
        <v>24.324000000000002</v>
      </c>
      <c r="K173" s="8">
        <v>23.545000000000002</v>
      </c>
      <c r="L173" s="8">
        <v>23.978000000000002</v>
      </c>
      <c r="M173" s="8">
        <v>34.325000000000003</v>
      </c>
      <c r="N173" s="8">
        <v>32.347000000000001</v>
      </c>
      <c r="O173" s="8">
        <v>32.143000000000001</v>
      </c>
      <c r="P173" s="8">
        <v>32.432000000000002</v>
      </c>
      <c r="Q173" s="10">
        <f t="shared" si="47"/>
        <v>2.1820000000000022</v>
      </c>
    </row>
    <row r="174" spans="1:17" x14ac:dyDescent="0.35">
      <c r="A174" s="3">
        <v>2021</v>
      </c>
      <c r="B174" s="4">
        <f t="shared" si="40"/>
        <v>23.468</v>
      </c>
      <c r="C174" s="4">
        <f t="shared" si="41"/>
        <v>25.391999999999999</v>
      </c>
      <c r="D174" s="4">
        <f t="shared" si="42"/>
        <v>32.201999999999998</v>
      </c>
      <c r="E174" s="4">
        <f t="shared" si="43"/>
        <v>34.488999999999997</v>
      </c>
      <c r="F174" s="4">
        <f t="shared" si="44"/>
        <v>1.9239999999999995</v>
      </c>
      <c r="G174" s="4">
        <f t="shared" si="45"/>
        <v>0</v>
      </c>
      <c r="H174" s="4">
        <f t="shared" si="46"/>
        <v>6.8099999999999987</v>
      </c>
      <c r="I174" s="5">
        <v>25.391999999999999</v>
      </c>
      <c r="J174" s="5">
        <v>24.364000000000001</v>
      </c>
      <c r="K174" s="5">
        <v>23.468</v>
      </c>
      <c r="L174" s="5">
        <v>23.869</v>
      </c>
      <c r="M174" s="5">
        <v>34.488999999999997</v>
      </c>
      <c r="N174" s="5">
        <v>32.392000000000003</v>
      </c>
      <c r="O174" s="5">
        <v>32.201999999999998</v>
      </c>
      <c r="P174" s="5">
        <v>32.503</v>
      </c>
      <c r="Q174" s="10">
        <f t="shared" si="47"/>
        <v>2.286999999999999</v>
      </c>
    </row>
    <row r="175" spans="1:17" x14ac:dyDescent="0.35">
      <c r="A175" s="6">
        <v>2022</v>
      </c>
      <c r="B175" s="7">
        <f t="shared" si="40"/>
        <v>23.234000000000002</v>
      </c>
      <c r="C175" s="7">
        <f t="shared" si="41"/>
        <v>24.818000000000001</v>
      </c>
      <c r="D175" s="7">
        <f t="shared" si="42"/>
        <v>31.547999999999998</v>
      </c>
      <c r="E175" s="7">
        <f t="shared" si="43"/>
        <v>33.491</v>
      </c>
      <c r="F175" s="7">
        <f t="shared" si="44"/>
        <v>1.5839999999999996</v>
      </c>
      <c r="G175" s="7">
        <f t="shared" si="45"/>
        <v>0</v>
      </c>
      <c r="H175" s="7">
        <f t="shared" si="46"/>
        <v>6.7299999999999969</v>
      </c>
      <c r="I175" s="8">
        <v>24.818000000000001</v>
      </c>
      <c r="J175" s="8">
        <v>24.015999999999998</v>
      </c>
      <c r="K175" s="8">
        <v>23.234000000000002</v>
      </c>
      <c r="L175" s="8">
        <v>23.678999999999998</v>
      </c>
      <c r="M175" s="8">
        <v>33.491</v>
      </c>
      <c r="N175" s="8">
        <v>31.699000000000002</v>
      </c>
      <c r="O175" s="8">
        <v>31.547999999999998</v>
      </c>
      <c r="P175" s="8">
        <v>31.96</v>
      </c>
      <c r="Q175" s="10">
        <f t="shared" si="47"/>
        <v>1.9430000000000014</v>
      </c>
    </row>
    <row r="176" spans="1:17" x14ac:dyDescent="0.35">
      <c r="A176" s="3">
        <v>2023</v>
      </c>
      <c r="B176" s="4">
        <f t="shared" si="40"/>
        <v>22.091999999999999</v>
      </c>
      <c r="C176" s="4">
        <f t="shared" si="41"/>
        <v>23.654</v>
      </c>
      <c r="D176" s="4">
        <f t="shared" si="42"/>
        <v>30.262</v>
      </c>
      <c r="E176" s="4">
        <f t="shared" si="43"/>
        <v>32.273000000000003</v>
      </c>
      <c r="F176" s="4">
        <f t="shared" si="44"/>
        <v>1.5620000000000012</v>
      </c>
      <c r="G176" s="4">
        <f t="shared" si="45"/>
        <v>0</v>
      </c>
      <c r="H176" s="4">
        <f t="shared" si="46"/>
        <v>6.6080000000000005</v>
      </c>
      <c r="I176" s="5">
        <v>23.654</v>
      </c>
      <c r="J176" s="5">
        <v>22.922000000000001</v>
      </c>
      <c r="K176" s="5">
        <v>22.091999999999999</v>
      </c>
      <c r="L176" s="5">
        <v>22.638999999999999</v>
      </c>
      <c r="M176" s="5">
        <v>32.273000000000003</v>
      </c>
      <c r="N176" s="5">
        <v>30.459</v>
      </c>
      <c r="O176" s="5">
        <v>30.262</v>
      </c>
      <c r="P176" s="5">
        <v>30.77</v>
      </c>
      <c r="Q176" s="10">
        <f t="shared" si="47"/>
        <v>2.0110000000000028</v>
      </c>
    </row>
    <row r="177" spans="1:17" x14ac:dyDescent="0.35">
      <c r="A177" s="6">
        <v>2024</v>
      </c>
      <c r="B177" s="7">
        <f t="shared" si="40"/>
        <v>21.73</v>
      </c>
      <c r="C177" s="7">
        <f t="shared" si="41"/>
        <v>24.324999999999999</v>
      </c>
      <c r="D177" s="7">
        <f t="shared" si="42"/>
        <v>29.905999999999999</v>
      </c>
      <c r="E177" s="7">
        <f t="shared" si="43"/>
        <v>32.228999999999999</v>
      </c>
      <c r="F177" s="7">
        <f t="shared" si="44"/>
        <v>2.5949999999999989</v>
      </c>
      <c r="G177" s="7">
        <f t="shared" si="45"/>
        <v>0</v>
      </c>
      <c r="H177" s="7">
        <f t="shared" si="46"/>
        <v>5.5809999999999995</v>
      </c>
      <c r="I177" s="8">
        <v>23.206</v>
      </c>
      <c r="J177" s="8">
        <v>24.324999999999999</v>
      </c>
      <c r="K177" s="8">
        <v>21.73</v>
      </c>
      <c r="L177" s="8"/>
      <c r="M177" s="8">
        <v>31.882999999999999</v>
      </c>
      <c r="N177" s="8">
        <v>32.228999999999999</v>
      </c>
      <c r="O177" s="8">
        <v>29.905999999999999</v>
      </c>
      <c r="P177" s="8"/>
      <c r="Q177" s="10">
        <f t="shared" si="47"/>
        <v>2.3230000000000004</v>
      </c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8ADB2-2C48-4201-A934-EA830972EFE8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21BB-7C98-4E7D-B90B-720B82D478F2}">
  <sheetPr>
    <tabColor rgb="FF0B4C5B"/>
  </sheetPr>
  <dimension ref="A1:Q177"/>
  <sheetViews>
    <sheetView workbookViewId="0">
      <selection sqref="A1:Q1"/>
    </sheetView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7" ht="30" customHeight="1" x14ac:dyDescent="0.35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9</v>
      </c>
      <c r="J2" s="1" t="s">
        <v>11</v>
      </c>
      <c r="K2" s="1" t="s">
        <v>15</v>
      </c>
      <c r="L2" s="1" t="s">
        <v>17</v>
      </c>
      <c r="M2" s="1" t="s">
        <v>10</v>
      </c>
      <c r="N2" s="1" t="s">
        <v>12</v>
      </c>
      <c r="O2" s="1" t="s">
        <v>16</v>
      </c>
      <c r="P2" s="1" t="s">
        <v>18</v>
      </c>
      <c r="Q2" s="2" t="s">
        <v>8</v>
      </c>
    </row>
    <row r="3" spans="1:17" x14ac:dyDescent="0.35">
      <c r="A3" s="6">
        <v>1850</v>
      </c>
      <c r="B3" s="7">
        <f t="shared" ref="B3:B34" si="0">IFERROR(MIN(I3:L3),"")</f>
        <v>35.536000000000001</v>
      </c>
      <c r="C3" s="7">
        <f t="shared" ref="C3:C34" si="1">IFERROR(MAX(I3:L3),"")</f>
        <v>44.923000000000002</v>
      </c>
      <c r="D3" s="7">
        <f t="shared" ref="D3:D34" si="2">IFERROR(MIN(M3:P3),"")</f>
        <v>57.667000000000002</v>
      </c>
      <c r="E3" s="7">
        <f t="shared" ref="E3:E34" si="3">IFERROR(MAX(M3:P3),"")</f>
        <v>59.670999999999999</v>
      </c>
      <c r="F3" s="7">
        <f t="shared" ref="F3:F34" si="4">IFERROR(MIN(C3,D3)-B3,"")</f>
        <v>9.3870000000000005</v>
      </c>
      <c r="G3" s="7">
        <f t="shared" ref="G3:G34" si="5">IFERROR(MAX(0,C3-D3),"")</f>
        <v>0</v>
      </c>
      <c r="H3" s="7">
        <f t="shared" ref="H3:H34" si="6">IFERROR(MAX(0,D3-C3),"")</f>
        <v>12.744</v>
      </c>
      <c r="I3" s="8">
        <v>35.536000000000001</v>
      </c>
      <c r="J3" s="8">
        <v>43.831000000000003</v>
      </c>
      <c r="K3" s="8">
        <v>35.536000000000001</v>
      </c>
      <c r="L3" s="8">
        <v>44.923000000000002</v>
      </c>
      <c r="M3" s="8">
        <v>57.667000000000002</v>
      </c>
      <c r="N3" s="8">
        <v>59.534999999999997</v>
      </c>
      <c r="O3" s="8">
        <v>57.667000000000002</v>
      </c>
      <c r="P3" s="8">
        <v>59.670999999999999</v>
      </c>
      <c r="Q3" s="10">
        <f t="shared" ref="Q3:Q34" si="7">IFERROR(MAX(0,$E3-MAX($C3,$D3)),"")</f>
        <v>2.0039999999999978</v>
      </c>
    </row>
    <row r="4" spans="1:17" x14ac:dyDescent="0.35">
      <c r="A4" s="3">
        <v>1851</v>
      </c>
      <c r="B4" s="4">
        <f t="shared" si="0"/>
        <v>35.619</v>
      </c>
      <c r="C4" s="4">
        <f t="shared" si="1"/>
        <v>45.195</v>
      </c>
      <c r="D4" s="4">
        <f t="shared" si="2"/>
        <v>57.02</v>
      </c>
      <c r="E4" s="4">
        <f t="shared" si="3"/>
        <v>60.71</v>
      </c>
      <c r="F4" s="4">
        <f t="shared" si="4"/>
        <v>9.5760000000000005</v>
      </c>
      <c r="G4" s="4">
        <f t="shared" si="5"/>
        <v>0</v>
      </c>
      <c r="H4" s="4">
        <f t="shared" si="6"/>
        <v>11.825000000000003</v>
      </c>
      <c r="I4" s="5">
        <v>35.619</v>
      </c>
      <c r="J4" s="5">
        <v>44.779000000000003</v>
      </c>
      <c r="K4" s="5">
        <v>35.619</v>
      </c>
      <c r="L4" s="5">
        <v>45.195</v>
      </c>
      <c r="M4" s="5">
        <v>57.02</v>
      </c>
      <c r="N4" s="5">
        <v>60.71</v>
      </c>
      <c r="O4" s="5">
        <v>57.02</v>
      </c>
      <c r="P4" s="5">
        <v>59.209000000000003</v>
      </c>
      <c r="Q4" s="10">
        <f t="shared" si="7"/>
        <v>3.6899999999999977</v>
      </c>
    </row>
    <row r="5" spans="1:17" x14ac:dyDescent="0.35">
      <c r="A5" s="6">
        <v>1852</v>
      </c>
      <c r="B5" s="7">
        <f t="shared" si="0"/>
        <v>35.264000000000003</v>
      </c>
      <c r="C5" s="7">
        <f t="shared" si="1"/>
        <v>51.564</v>
      </c>
      <c r="D5" s="7">
        <f t="shared" si="2"/>
        <v>56.984999999999999</v>
      </c>
      <c r="E5" s="7">
        <f t="shared" si="3"/>
        <v>66.043999999999997</v>
      </c>
      <c r="F5" s="7">
        <f t="shared" si="4"/>
        <v>16.299999999999997</v>
      </c>
      <c r="G5" s="7">
        <f t="shared" si="5"/>
        <v>0</v>
      </c>
      <c r="H5" s="7">
        <f t="shared" si="6"/>
        <v>5.4209999999999994</v>
      </c>
      <c r="I5" s="8">
        <v>35.264000000000003</v>
      </c>
      <c r="J5" s="8">
        <v>51.564</v>
      </c>
      <c r="K5" s="8">
        <v>35.264000000000003</v>
      </c>
      <c r="L5" s="8">
        <v>44.552999999999997</v>
      </c>
      <c r="M5" s="8">
        <v>56.984999999999999</v>
      </c>
      <c r="N5" s="8">
        <v>66.043999999999997</v>
      </c>
      <c r="O5" s="8">
        <v>56.984999999999999</v>
      </c>
      <c r="P5" s="8">
        <v>59.43</v>
      </c>
      <c r="Q5" s="10">
        <f t="shared" si="7"/>
        <v>9.0589999999999975</v>
      </c>
    </row>
    <row r="6" spans="1:17" x14ac:dyDescent="0.35">
      <c r="A6" s="3">
        <v>1853</v>
      </c>
      <c r="B6" s="4">
        <f t="shared" si="0"/>
        <v>36.100999999999999</v>
      </c>
      <c r="C6" s="4">
        <f t="shared" si="1"/>
        <v>53.215000000000003</v>
      </c>
      <c r="D6" s="4">
        <f t="shared" si="2"/>
        <v>56.912999999999997</v>
      </c>
      <c r="E6" s="4">
        <f t="shared" si="3"/>
        <v>67.73</v>
      </c>
      <c r="F6" s="4">
        <f t="shared" si="4"/>
        <v>17.114000000000004</v>
      </c>
      <c r="G6" s="4">
        <f t="shared" si="5"/>
        <v>0</v>
      </c>
      <c r="H6" s="4">
        <f t="shared" si="6"/>
        <v>3.6979999999999933</v>
      </c>
      <c r="I6" s="5">
        <v>36.100999999999999</v>
      </c>
      <c r="J6" s="5">
        <v>53.215000000000003</v>
      </c>
      <c r="K6" s="5">
        <v>36.100999999999999</v>
      </c>
      <c r="L6" s="5">
        <v>46.058</v>
      </c>
      <c r="M6" s="5">
        <v>56.912999999999997</v>
      </c>
      <c r="N6" s="5">
        <v>67.73</v>
      </c>
      <c r="O6" s="5">
        <v>56.912999999999997</v>
      </c>
      <c r="P6" s="5">
        <v>59.649000000000001</v>
      </c>
      <c r="Q6" s="10">
        <f t="shared" si="7"/>
        <v>10.817000000000007</v>
      </c>
    </row>
    <row r="7" spans="1:17" x14ac:dyDescent="0.35">
      <c r="A7" s="6">
        <v>1854</v>
      </c>
      <c r="B7" s="7">
        <f t="shared" si="0"/>
        <v>36.94</v>
      </c>
      <c r="C7" s="7">
        <f t="shared" si="1"/>
        <v>55.421999999999997</v>
      </c>
      <c r="D7" s="7">
        <f t="shared" si="2"/>
        <v>57.963000000000001</v>
      </c>
      <c r="E7" s="7">
        <f t="shared" si="3"/>
        <v>69.81</v>
      </c>
      <c r="F7" s="7">
        <f t="shared" si="4"/>
        <v>18.481999999999999</v>
      </c>
      <c r="G7" s="7">
        <f t="shared" si="5"/>
        <v>0</v>
      </c>
      <c r="H7" s="7">
        <f t="shared" si="6"/>
        <v>2.5410000000000039</v>
      </c>
      <c r="I7" s="8">
        <v>36.94</v>
      </c>
      <c r="J7" s="8">
        <v>55.421999999999997</v>
      </c>
      <c r="K7" s="8">
        <v>36.94</v>
      </c>
      <c r="L7" s="8">
        <v>46.786000000000001</v>
      </c>
      <c r="M7" s="8">
        <v>57.963000000000001</v>
      </c>
      <c r="N7" s="8">
        <v>69.81</v>
      </c>
      <c r="O7" s="8">
        <v>57.963000000000001</v>
      </c>
      <c r="P7" s="8">
        <v>60.777000000000001</v>
      </c>
      <c r="Q7" s="10">
        <f t="shared" si="7"/>
        <v>11.847000000000001</v>
      </c>
    </row>
    <row r="8" spans="1:17" x14ac:dyDescent="0.35">
      <c r="A8" s="3">
        <v>1855</v>
      </c>
      <c r="B8" s="4">
        <f t="shared" si="0"/>
        <v>36.764000000000003</v>
      </c>
      <c r="C8" s="4">
        <f t="shared" si="1"/>
        <v>56.927999999999997</v>
      </c>
      <c r="D8" s="4">
        <f t="shared" si="2"/>
        <v>57.54</v>
      </c>
      <c r="E8" s="4">
        <f t="shared" si="3"/>
        <v>71.44</v>
      </c>
      <c r="F8" s="4">
        <f t="shared" si="4"/>
        <v>20.163999999999994</v>
      </c>
      <c r="G8" s="4">
        <f t="shared" si="5"/>
        <v>0</v>
      </c>
      <c r="H8" s="4">
        <f t="shared" si="6"/>
        <v>0.61200000000000188</v>
      </c>
      <c r="I8" s="5">
        <v>36.764000000000003</v>
      </c>
      <c r="J8" s="5">
        <v>56.927999999999997</v>
      </c>
      <c r="K8" s="5">
        <v>36.764000000000003</v>
      </c>
      <c r="L8" s="5">
        <v>46.76</v>
      </c>
      <c r="M8" s="5">
        <v>57.54</v>
      </c>
      <c r="N8" s="5">
        <v>71.44</v>
      </c>
      <c r="O8" s="5">
        <v>57.54</v>
      </c>
      <c r="P8" s="5">
        <v>60.625</v>
      </c>
      <c r="Q8" s="10">
        <f t="shared" si="7"/>
        <v>13.899999999999999</v>
      </c>
    </row>
    <row r="9" spans="1:17" x14ac:dyDescent="0.35">
      <c r="A9" s="6">
        <v>1856</v>
      </c>
      <c r="B9" s="7">
        <f t="shared" si="0"/>
        <v>37.067</v>
      </c>
      <c r="C9" s="7">
        <f t="shared" si="1"/>
        <v>57.84</v>
      </c>
      <c r="D9" s="7">
        <f t="shared" si="2"/>
        <v>57.777000000000001</v>
      </c>
      <c r="E9" s="7">
        <f t="shared" si="3"/>
        <v>72.194000000000003</v>
      </c>
      <c r="F9" s="7">
        <f t="shared" si="4"/>
        <v>20.71</v>
      </c>
      <c r="G9" s="7">
        <f t="shared" si="5"/>
        <v>6.3000000000002387E-2</v>
      </c>
      <c r="H9" s="7">
        <f t="shared" si="6"/>
        <v>0</v>
      </c>
      <c r="I9" s="8">
        <v>37.067</v>
      </c>
      <c r="J9" s="8">
        <v>57.84</v>
      </c>
      <c r="K9" s="8">
        <v>37.067</v>
      </c>
      <c r="L9" s="8">
        <v>46.921999999999997</v>
      </c>
      <c r="M9" s="8">
        <v>57.777000000000001</v>
      </c>
      <c r="N9" s="8">
        <v>72.194000000000003</v>
      </c>
      <c r="O9" s="8">
        <v>57.777000000000001</v>
      </c>
      <c r="P9" s="8">
        <v>60.670999999999999</v>
      </c>
      <c r="Q9" s="10">
        <f t="shared" si="7"/>
        <v>14.353999999999999</v>
      </c>
    </row>
    <row r="10" spans="1:17" x14ac:dyDescent="0.35">
      <c r="A10" s="3">
        <v>1857</v>
      </c>
      <c r="B10" s="4">
        <f t="shared" si="0"/>
        <v>37.204000000000001</v>
      </c>
      <c r="C10" s="4">
        <f t="shared" si="1"/>
        <v>58.417000000000002</v>
      </c>
      <c r="D10" s="4">
        <f t="shared" si="2"/>
        <v>57.923000000000002</v>
      </c>
      <c r="E10" s="4">
        <f t="shared" si="3"/>
        <v>72.7</v>
      </c>
      <c r="F10" s="4">
        <f t="shared" si="4"/>
        <v>20.719000000000001</v>
      </c>
      <c r="G10" s="4">
        <f t="shared" si="5"/>
        <v>0.49399999999999977</v>
      </c>
      <c r="H10" s="4">
        <f t="shared" si="6"/>
        <v>0</v>
      </c>
      <c r="I10" s="5">
        <v>37.204000000000001</v>
      </c>
      <c r="J10" s="5">
        <v>58.417000000000002</v>
      </c>
      <c r="K10" s="5">
        <v>37.204000000000001</v>
      </c>
      <c r="L10" s="5">
        <v>46.826999999999998</v>
      </c>
      <c r="M10" s="5">
        <v>57.923000000000002</v>
      </c>
      <c r="N10" s="5">
        <v>72.7</v>
      </c>
      <c r="O10" s="5">
        <v>57.923000000000002</v>
      </c>
      <c r="P10" s="5">
        <v>60.612000000000002</v>
      </c>
      <c r="Q10" s="10">
        <f t="shared" si="7"/>
        <v>14.283000000000001</v>
      </c>
    </row>
    <row r="11" spans="1:17" x14ac:dyDescent="0.35">
      <c r="A11" s="6">
        <v>1858</v>
      </c>
      <c r="B11" s="7">
        <f t="shared" si="0"/>
        <v>37.631</v>
      </c>
      <c r="C11" s="7">
        <f t="shared" si="1"/>
        <v>58.942</v>
      </c>
      <c r="D11" s="7">
        <f t="shared" si="2"/>
        <v>58.244999999999997</v>
      </c>
      <c r="E11" s="7">
        <f t="shared" si="3"/>
        <v>73.171999999999997</v>
      </c>
      <c r="F11" s="7">
        <f t="shared" si="4"/>
        <v>20.613999999999997</v>
      </c>
      <c r="G11" s="7">
        <f t="shared" si="5"/>
        <v>0.69700000000000273</v>
      </c>
      <c r="H11" s="7">
        <f t="shared" si="6"/>
        <v>0</v>
      </c>
      <c r="I11" s="8">
        <v>37.631</v>
      </c>
      <c r="J11" s="8">
        <v>58.942</v>
      </c>
      <c r="K11" s="8">
        <v>37.631</v>
      </c>
      <c r="L11" s="8">
        <v>47.557000000000002</v>
      </c>
      <c r="M11" s="8">
        <v>58.244999999999997</v>
      </c>
      <c r="N11" s="8">
        <v>73.171999999999997</v>
      </c>
      <c r="O11" s="8">
        <v>58.244999999999997</v>
      </c>
      <c r="P11" s="8">
        <v>61.234000000000002</v>
      </c>
      <c r="Q11" s="10">
        <f t="shared" si="7"/>
        <v>14.229999999999997</v>
      </c>
    </row>
    <row r="12" spans="1:17" x14ac:dyDescent="0.35">
      <c r="A12" s="3">
        <v>1859</v>
      </c>
      <c r="B12" s="4">
        <f t="shared" si="0"/>
        <v>38.124000000000002</v>
      </c>
      <c r="C12" s="4">
        <f t="shared" si="1"/>
        <v>59.698</v>
      </c>
      <c r="D12" s="4">
        <f t="shared" si="2"/>
        <v>58.570999999999998</v>
      </c>
      <c r="E12" s="4">
        <f t="shared" si="3"/>
        <v>73.748000000000005</v>
      </c>
      <c r="F12" s="4">
        <f t="shared" si="4"/>
        <v>20.446999999999996</v>
      </c>
      <c r="G12" s="4">
        <f t="shared" si="5"/>
        <v>1.1270000000000024</v>
      </c>
      <c r="H12" s="4">
        <f t="shared" si="6"/>
        <v>0</v>
      </c>
      <c r="I12" s="5">
        <v>38.124000000000002</v>
      </c>
      <c r="J12" s="5">
        <v>59.698</v>
      </c>
      <c r="K12" s="5">
        <v>38.124000000000002</v>
      </c>
      <c r="L12" s="5">
        <v>48.203000000000003</v>
      </c>
      <c r="M12" s="5">
        <v>58.570999999999998</v>
      </c>
      <c r="N12" s="5">
        <v>73.748000000000005</v>
      </c>
      <c r="O12" s="5">
        <v>58.570999999999998</v>
      </c>
      <c r="P12" s="5">
        <v>61.747999999999998</v>
      </c>
      <c r="Q12" s="10">
        <f t="shared" si="7"/>
        <v>14.050000000000004</v>
      </c>
    </row>
    <row r="13" spans="1:17" x14ac:dyDescent="0.35">
      <c r="A13" s="6">
        <v>1860</v>
      </c>
      <c r="B13" s="7">
        <f t="shared" si="0"/>
        <v>40.396999999999998</v>
      </c>
      <c r="C13" s="7">
        <f t="shared" si="1"/>
        <v>60.607999999999997</v>
      </c>
      <c r="D13" s="7">
        <f t="shared" si="2"/>
        <v>61.777000000000001</v>
      </c>
      <c r="E13" s="7">
        <f t="shared" si="3"/>
        <v>74.465999999999994</v>
      </c>
      <c r="F13" s="7">
        <f t="shared" si="4"/>
        <v>20.210999999999999</v>
      </c>
      <c r="G13" s="7">
        <f t="shared" si="5"/>
        <v>0</v>
      </c>
      <c r="H13" s="7">
        <f t="shared" si="6"/>
        <v>1.169000000000004</v>
      </c>
      <c r="I13" s="8">
        <v>40.396999999999998</v>
      </c>
      <c r="J13" s="8">
        <v>60.607999999999997</v>
      </c>
      <c r="K13" s="8">
        <v>40.396999999999998</v>
      </c>
      <c r="L13" s="8">
        <v>49.722999999999999</v>
      </c>
      <c r="M13" s="8">
        <v>61.777000000000001</v>
      </c>
      <c r="N13" s="8">
        <v>74.465999999999994</v>
      </c>
      <c r="O13" s="8">
        <v>61.777000000000001</v>
      </c>
      <c r="P13" s="8">
        <v>62.521999999999998</v>
      </c>
      <c r="Q13" s="10">
        <f t="shared" si="7"/>
        <v>12.688999999999993</v>
      </c>
    </row>
    <row r="14" spans="1:17" x14ac:dyDescent="0.35">
      <c r="A14" s="3">
        <v>1861</v>
      </c>
      <c r="B14" s="4">
        <f t="shared" si="0"/>
        <v>40.640999999999998</v>
      </c>
      <c r="C14" s="4">
        <f t="shared" si="1"/>
        <v>60.661999999999999</v>
      </c>
      <c r="D14" s="4">
        <f t="shared" si="2"/>
        <v>62.911999999999999</v>
      </c>
      <c r="E14" s="4">
        <f t="shared" si="3"/>
        <v>74.811999999999998</v>
      </c>
      <c r="F14" s="4">
        <f t="shared" si="4"/>
        <v>20.021000000000001</v>
      </c>
      <c r="G14" s="4">
        <f t="shared" si="5"/>
        <v>0</v>
      </c>
      <c r="H14" s="4">
        <f t="shared" si="6"/>
        <v>2.25</v>
      </c>
      <c r="I14" s="5">
        <v>40.640999999999998</v>
      </c>
      <c r="J14" s="5">
        <v>60.661999999999999</v>
      </c>
      <c r="K14" s="5">
        <v>40.640999999999998</v>
      </c>
      <c r="L14" s="5">
        <v>49.598999999999997</v>
      </c>
      <c r="M14" s="5">
        <v>62.975000000000001</v>
      </c>
      <c r="N14" s="5">
        <v>74.811999999999998</v>
      </c>
      <c r="O14" s="5">
        <v>62.975000000000001</v>
      </c>
      <c r="P14" s="5">
        <v>62.911999999999999</v>
      </c>
      <c r="Q14" s="10">
        <f t="shared" si="7"/>
        <v>11.899999999999999</v>
      </c>
    </row>
    <row r="15" spans="1:17" x14ac:dyDescent="0.35">
      <c r="A15" s="6">
        <v>1862</v>
      </c>
      <c r="B15" s="7">
        <f t="shared" si="0"/>
        <v>41.938000000000002</v>
      </c>
      <c r="C15" s="7">
        <f t="shared" si="1"/>
        <v>58.179000000000002</v>
      </c>
      <c r="D15" s="7">
        <f t="shared" si="2"/>
        <v>63.543999999999997</v>
      </c>
      <c r="E15" s="7">
        <f t="shared" si="3"/>
        <v>72.55</v>
      </c>
      <c r="F15" s="7">
        <f t="shared" si="4"/>
        <v>16.241</v>
      </c>
      <c r="G15" s="7">
        <f t="shared" si="5"/>
        <v>0</v>
      </c>
      <c r="H15" s="7">
        <f t="shared" si="6"/>
        <v>5.3649999999999949</v>
      </c>
      <c r="I15" s="8">
        <v>41.938000000000002</v>
      </c>
      <c r="J15" s="8">
        <v>58.179000000000002</v>
      </c>
      <c r="K15" s="8">
        <v>41.938000000000002</v>
      </c>
      <c r="L15" s="8">
        <v>50.436999999999998</v>
      </c>
      <c r="M15" s="8">
        <v>64.701999999999998</v>
      </c>
      <c r="N15" s="8">
        <v>72.55</v>
      </c>
      <c r="O15" s="8">
        <v>64.701999999999998</v>
      </c>
      <c r="P15" s="8">
        <v>63.543999999999997</v>
      </c>
      <c r="Q15" s="10">
        <f t="shared" si="7"/>
        <v>9.0060000000000002</v>
      </c>
    </row>
    <row r="16" spans="1:17" x14ac:dyDescent="0.35">
      <c r="A16" s="3">
        <v>1863</v>
      </c>
      <c r="B16" s="4">
        <f t="shared" si="0"/>
        <v>42.908000000000001</v>
      </c>
      <c r="C16" s="4">
        <f t="shared" si="1"/>
        <v>58.493000000000002</v>
      </c>
      <c r="D16" s="4">
        <f t="shared" si="2"/>
        <v>63.960999999999999</v>
      </c>
      <c r="E16" s="4">
        <f t="shared" si="3"/>
        <v>72.908000000000001</v>
      </c>
      <c r="F16" s="4">
        <f t="shared" si="4"/>
        <v>15.585000000000001</v>
      </c>
      <c r="G16" s="4">
        <f t="shared" si="5"/>
        <v>0</v>
      </c>
      <c r="H16" s="4">
        <f t="shared" si="6"/>
        <v>5.4679999999999964</v>
      </c>
      <c r="I16" s="5">
        <v>42.908000000000001</v>
      </c>
      <c r="J16" s="5">
        <v>58.493000000000002</v>
      </c>
      <c r="K16" s="5">
        <v>42.908000000000001</v>
      </c>
      <c r="L16" s="5">
        <v>51.401000000000003</v>
      </c>
      <c r="M16" s="5">
        <v>65.488</v>
      </c>
      <c r="N16" s="5">
        <v>72.908000000000001</v>
      </c>
      <c r="O16" s="5">
        <v>65.488</v>
      </c>
      <c r="P16" s="5">
        <v>63.960999999999999</v>
      </c>
      <c r="Q16" s="10">
        <f t="shared" si="7"/>
        <v>8.9470000000000027</v>
      </c>
    </row>
    <row r="17" spans="1:17" x14ac:dyDescent="0.35">
      <c r="A17" s="6">
        <v>1864</v>
      </c>
      <c r="B17" s="7">
        <f t="shared" si="0"/>
        <v>42.61</v>
      </c>
      <c r="C17" s="7">
        <f t="shared" si="1"/>
        <v>58.881999999999998</v>
      </c>
      <c r="D17" s="7">
        <f t="shared" si="2"/>
        <v>64.634</v>
      </c>
      <c r="E17" s="7">
        <f t="shared" si="3"/>
        <v>73.242999999999995</v>
      </c>
      <c r="F17" s="7">
        <f t="shared" si="4"/>
        <v>16.271999999999998</v>
      </c>
      <c r="G17" s="7">
        <f t="shared" si="5"/>
        <v>0</v>
      </c>
      <c r="H17" s="7">
        <f t="shared" si="6"/>
        <v>5.7520000000000024</v>
      </c>
      <c r="I17" s="8">
        <v>42.61</v>
      </c>
      <c r="J17" s="8">
        <v>58.881999999999998</v>
      </c>
      <c r="K17" s="8">
        <v>42.61</v>
      </c>
      <c r="L17" s="8">
        <v>50.933999999999997</v>
      </c>
      <c r="M17" s="8">
        <v>65.974999999999994</v>
      </c>
      <c r="N17" s="8">
        <v>73.242999999999995</v>
      </c>
      <c r="O17" s="8">
        <v>65.974999999999994</v>
      </c>
      <c r="P17" s="8">
        <v>64.634</v>
      </c>
      <c r="Q17" s="10">
        <f t="shared" si="7"/>
        <v>8.6089999999999947</v>
      </c>
    </row>
    <row r="18" spans="1:17" x14ac:dyDescent="0.35">
      <c r="A18" s="3">
        <v>1865</v>
      </c>
      <c r="B18" s="4">
        <f t="shared" si="0"/>
        <v>43.389000000000003</v>
      </c>
      <c r="C18" s="4">
        <f t="shared" si="1"/>
        <v>59.174999999999997</v>
      </c>
      <c r="D18" s="4">
        <f t="shared" si="2"/>
        <v>65.055000000000007</v>
      </c>
      <c r="E18" s="4">
        <f t="shared" si="3"/>
        <v>73.504999999999995</v>
      </c>
      <c r="F18" s="4">
        <f t="shared" si="4"/>
        <v>15.785999999999994</v>
      </c>
      <c r="G18" s="4">
        <f t="shared" si="5"/>
        <v>0</v>
      </c>
      <c r="H18" s="4">
        <f t="shared" si="6"/>
        <v>5.8800000000000097</v>
      </c>
      <c r="I18" s="5">
        <v>43.389000000000003</v>
      </c>
      <c r="J18" s="5">
        <v>59.174999999999997</v>
      </c>
      <c r="K18" s="5">
        <v>43.389000000000003</v>
      </c>
      <c r="L18" s="5">
        <v>51.853000000000002</v>
      </c>
      <c r="M18" s="5">
        <v>66.680000000000007</v>
      </c>
      <c r="N18" s="5">
        <v>73.504999999999995</v>
      </c>
      <c r="O18" s="5">
        <v>66.680000000000007</v>
      </c>
      <c r="P18" s="5">
        <v>65.055000000000007</v>
      </c>
      <c r="Q18" s="10">
        <f t="shared" si="7"/>
        <v>8.4499999999999886</v>
      </c>
    </row>
    <row r="19" spans="1:17" x14ac:dyDescent="0.35">
      <c r="A19" s="6">
        <v>1866</v>
      </c>
      <c r="B19" s="7">
        <f t="shared" si="0"/>
        <v>43.152000000000001</v>
      </c>
      <c r="C19" s="7">
        <f t="shared" si="1"/>
        <v>59.334000000000003</v>
      </c>
      <c r="D19" s="7">
        <f t="shared" si="2"/>
        <v>65.820999999999998</v>
      </c>
      <c r="E19" s="7">
        <f t="shared" si="3"/>
        <v>73.704999999999998</v>
      </c>
      <c r="F19" s="7">
        <f t="shared" si="4"/>
        <v>16.182000000000002</v>
      </c>
      <c r="G19" s="7">
        <f t="shared" si="5"/>
        <v>0</v>
      </c>
      <c r="H19" s="7">
        <f t="shared" si="6"/>
        <v>6.4869999999999948</v>
      </c>
      <c r="I19" s="8">
        <v>43.152000000000001</v>
      </c>
      <c r="J19" s="8">
        <v>59.334000000000003</v>
      </c>
      <c r="K19" s="8">
        <v>43.152000000000001</v>
      </c>
      <c r="L19" s="8">
        <v>51.414999999999999</v>
      </c>
      <c r="M19" s="8">
        <v>67.385000000000005</v>
      </c>
      <c r="N19" s="8">
        <v>73.704999999999998</v>
      </c>
      <c r="O19" s="8">
        <v>67.385000000000005</v>
      </c>
      <c r="P19" s="8">
        <v>65.820999999999998</v>
      </c>
      <c r="Q19" s="10">
        <f t="shared" si="7"/>
        <v>7.8840000000000003</v>
      </c>
    </row>
    <row r="20" spans="1:17" x14ac:dyDescent="0.35">
      <c r="A20" s="3">
        <v>1867</v>
      </c>
      <c r="B20" s="4">
        <f t="shared" si="0"/>
        <v>44.636000000000003</v>
      </c>
      <c r="C20" s="4">
        <f t="shared" si="1"/>
        <v>59.723999999999997</v>
      </c>
      <c r="D20" s="4">
        <f t="shared" si="2"/>
        <v>66.034999999999997</v>
      </c>
      <c r="E20" s="4">
        <f t="shared" si="3"/>
        <v>74.055999999999997</v>
      </c>
      <c r="F20" s="4">
        <f t="shared" si="4"/>
        <v>15.087999999999994</v>
      </c>
      <c r="G20" s="4">
        <f t="shared" si="5"/>
        <v>0</v>
      </c>
      <c r="H20" s="4">
        <f t="shared" si="6"/>
        <v>6.3109999999999999</v>
      </c>
      <c r="I20" s="5">
        <v>44.636000000000003</v>
      </c>
      <c r="J20" s="5">
        <v>59.723999999999997</v>
      </c>
      <c r="K20" s="5">
        <v>44.636000000000003</v>
      </c>
      <c r="L20" s="5">
        <v>53.319000000000003</v>
      </c>
      <c r="M20" s="5">
        <v>67.691999999999993</v>
      </c>
      <c r="N20" s="5">
        <v>74.055999999999997</v>
      </c>
      <c r="O20" s="5">
        <v>67.691999999999993</v>
      </c>
      <c r="P20" s="5">
        <v>66.034999999999997</v>
      </c>
      <c r="Q20" s="10">
        <f t="shared" si="7"/>
        <v>8.0210000000000008</v>
      </c>
    </row>
    <row r="21" spans="1:17" x14ac:dyDescent="0.35">
      <c r="A21" s="6">
        <v>1868</v>
      </c>
      <c r="B21" s="7">
        <f t="shared" si="0"/>
        <v>44.674999999999997</v>
      </c>
      <c r="C21" s="7">
        <f t="shared" si="1"/>
        <v>59.82</v>
      </c>
      <c r="D21" s="7">
        <f t="shared" si="2"/>
        <v>66.686999999999998</v>
      </c>
      <c r="E21" s="7">
        <f t="shared" si="3"/>
        <v>74.215999999999994</v>
      </c>
      <c r="F21" s="7">
        <f t="shared" si="4"/>
        <v>15.145000000000003</v>
      </c>
      <c r="G21" s="7">
        <f t="shared" si="5"/>
        <v>0</v>
      </c>
      <c r="H21" s="7">
        <f t="shared" si="6"/>
        <v>6.8669999999999973</v>
      </c>
      <c r="I21" s="8">
        <v>44.674999999999997</v>
      </c>
      <c r="J21" s="8">
        <v>59.82</v>
      </c>
      <c r="K21" s="8">
        <v>44.674999999999997</v>
      </c>
      <c r="L21" s="8">
        <v>53.405000000000001</v>
      </c>
      <c r="M21" s="8">
        <v>68.239999999999995</v>
      </c>
      <c r="N21" s="8">
        <v>74.215999999999994</v>
      </c>
      <c r="O21" s="8">
        <v>68.239999999999995</v>
      </c>
      <c r="P21" s="8">
        <v>66.686999999999998</v>
      </c>
      <c r="Q21" s="10">
        <f t="shared" si="7"/>
        <v>7.5289999999999964</v>
      </c>
    </row>
    <row r="22" spans="1:17" x14ac:dyDescent="0.35">
      <c r="A22" s="3">
        <v>1869</v>
      </c>
      <c r="B22" s="4">
        <f t="shared" si="0"/>
        <v>44.634</v>
      </c>
      <c r="C22" s="4">
        <f t="shared" si="1"/>
        <v>60.201000000000001</v>
      </c>
      <c r="D22" s="4">
        <f t="shared" si="2"/>
        <v>66.709000000000003</v>
      </c>
      <c r="E22" s="4">
        <f t="shared" si="3"/>
        <v>74.569999999999993</v>
      </c>
      <c r="F22" s="4">
        <f t="shared" si="4"/>
        <v>15.567</v>
      </c>
      <c r="G22" s="4">
        <f t="shared" si="5"/>
        <v>0</v>
      </c>
      <c r="H22" s="4">
        <f t="shared" si="6"/>
        <v>6.5080000000000027</v>
      </c>
      <c r="I22" s="5">
        <v>44.634</v>
      </c>
      <c r="J22" s="5">
        <v>60.201000000000001</v>
      </c>
      <c r="K22" s="5">
        <v>44.634</v>
      </c>
      <c r="L22" s="5">
        <v>53.311999999999998</v>
      </c>
      <c r="M22" s="5">
        <v>68.274000000000001</v>
      </c>
      <c r="N22" s="5">
        <v>74.569999999999993</v>
      </c>
      <c r="O22" s="5">
        <v>68.274000000000001</v>
      </c>
      <c r="P22" s="5">
        <v>66.709000000000003</v>
      </c>
      <c r="Q22" s="10">
        <f t="shared" si="7"/>
        <v>7.86099999999999</v>
      </c>
    </row>
    <row r="23" spans="1:17" x14ac:dyDescent="0.35">
      <c r="A23" s="6">
        <v>1870</v>
      </c>
      <c r="B23" s="7">
        <f t="shared" si="0"/>
        <v>47.566000000000003</v>
      </c>
      <c r="C23" s="7">
        <f t="shared" si="1"/>
        <v>60.255000000000003</v>
      </c>
      <c r="D23" s="7">
        <f t="shared" si="2"/>
        <v>68.010000000000005</v>
      </c>
      <c r="E23" s="7">
        <f t="shared" si="3"/>
        <v>74.686999999999998</v>
      </c>
      <c r="F23" s="7">
        <f t="shared" si="4"/>
        <v>12.689</v>
      </c>
      <c r="G23" s="7">
        <f t="shared" si="5"/>
        <v>0</v>
      </c>
      <c r="H23" s="7">
        <f t="shared" si="6"/>
        <v>7.7550000000000026</v>
      </c>
      <c r="I23" s="8">
        <v>47.566000000000003</v>
      </c>
      <c r="J23" s="8">
        <v>60.255000000000003</v>
      </c>
      <c r="K23" s="8">
        <v>47.566000000000003</v>
      </c>
      <c r="L23" s="8">
        <v>53.944000000000003</v>
      </c>
      <c r="M23" s="8">
        <v>70.569999999999993</v>
      </c>
      <c r="N23" s="8">
        <v>74.686999999999998</v>
      </c>
      <c r="O23" s="8">
        <v>70.569999999999993</v>
      </c>
      <c r="P23" s="8">
        <v>68.010000000000005</v>
      </c>
      <c r="Q23" s="10">
        <f t="shared" si="7"/>
        <v>6.6769999999999925</v>
      </c>
    </row>
    <row r="24" spans="1:17" x14ac:dyDescent="0.35">
      <c r="A24" s="3">
        <v>1871</v>
      </c>
      <c r="B24" s="4">
        <f t="shared" si="0"/>
        <v>49.723999999999997</v>
      </c>
      <c r="C24" s="4">
        <f t="shared" si="1"/>
        <v>59.021999999999998</v>
      </c>
      <c r="D24" s="4">
        <f t="shared" si="2"/>
        <v>68.882000000000005</v>
      </c>
      <c r="E24" s="4">
        <f t="shared" si="3"/>
        <v>72.665999999999997</v>
      </c>
      <c r="F24" s="4">
        <f t="shared" si="4"/>
        <v>9.2980000000000018</v>
      </c>
      <c r="G24" s="4">
        <f t="shared" si="5"/>
        <v>0</v>
      </c>
      <c r="H24" s="4">
        <f t="shared" si="6"/>
        <v>9.8600000000000065</v>
      </c>
      <c r="I24" s="5">
        <v>49.723999999999997</v>
      </c>
      <c r="J24" s="5">
        <v>59.021999999999998</v>
      </c>
      <c r="K24" s="5">
        <v>49.723999999999997</v>
      </c>
      <c r="L24" s="5">
        <v>56.25</v>
      </c>
      <c r="M24" s="5">
        <v>71.596999999999994</v>
      </c>
      <c r="N24" s="5">
        <v>72.665999999999997</v>
      </c>
      <c r="O24" s="5">
        <v>71.596999999999994</v>
      </c>
      <c r="P24" s="5">
        <v>68.882000000000005</v>
      </c>
      <c r="Q24" s="10">
        <f t="shared" si="7"/>
        <v>3.7839999999999918</v>
      </c>
    </row>
    <row r="25" spans="1:17" x14ac:dyDescent="0.35">
      <c r="A25" s="6">
        <v>1872</v>
      </c>
      <c r="B25" s="7">
        <f t="shared" si="0"/>
        <v>49.966000000000001</v>
      </c>
      <c r="C25" s="7">
        <f t="shared" si="1"/>
        <v>63.622999999999998</v>
      </c>
      <c r="D25" s="7">
        <f t="shared" si="2"/>
        <v>69.391999999999996</v>
      </c>
      <c r="E25" s="7">
        <f t="shared" si="3"/>
        <v>75.588999999999999</v>
      </c>
      <c r="F25" s="7">
        <f t="shared" si="4"/>
        <v>13.656999999999996</v>
      </c>
      <c r="G25" s="7">
        <f t="shared" si="5"/>
        <v>0</v>
      </c>
      <c r="H25" s="7">
        <f t="shared" si="6"/>
        <v>5.7689999999999984</v>
      </c>
      <c r="I25" s="8">
        <v>49.966000000000001</v>
      </c>
      <c r="J25" s="8">
        <v>63.622999999999998</v>
      </c>
      <c r="K25" s="8">
        <v>49.966000000000001</v>
      </c>
      <c r="L25" s="8">
        <v>56.253999999999998</v>
      </c>
      <c r="M25" s="8">
        <v>71.763999999999996</v>
      </c>
      <c r="N25" s="8">
        <v>75.588999999999999</v>
      </c>
      <c r="O25" s="8">
        <v>71.763999999999996</v>
      </c>
      <c r="P25" s="8">
        <v>69.391999999999996</v>
      </c>
      <c r="Q25" s="10">
        <f t="shared" si="7"/>
        <v>6.1970000000000027</v>
      </c>
    </row>
    <row r="26" spans="1:17" x14ac:dyDescent="0.35">
      <c r="A26" s="3">
        <v>1873</v>
      </c>
      <c r="B26" s="4">
        <f t="shared" si="0"/>
        <v>51.424999999999997</v>
      </c>
      <c r="C26" s="4">
        <f t="shared" si="1"/>
        <v>64.040999999999997</v>
      </c>
      <c r="D26" s="4">
        <f t="shared" si="2"/>
        <v>70.245000000000005</v>
      </c>
      <c r="E26" s="4">
        <f t="shared" si="3"/>
        <v>75.760000000000005</v>
      </c>
      <c r="F26" s="4">
        <f t="shared" si="4"/>
        <v>12.616</v>
      </c>
      <c r="G26" s="4">
        <f t="shared" si="5"/>
        <v>0</v>
      </c>
      <c r="H26" s="4">
        <f t="shared" si="6"/>
        <v>6.2040000000000077</v>
      </c>
      <c r="I26" s="5">
        <v>51.424999999999997</v>
      </c>
      <c r="J26" s="5">
        <v>64.040999999999997</v>
      </c>
      <c r="K26" s="5">
        <v>51.424999999999997</v>
      </c>
      <c r="L26" s="5">
        <v>57.959000000000003</v>
      </c>
      <c r="M26" s="5">
        <v>72.494</v>
      </c>
      <c r="N26" s="5">
        <v>75.760000000000005</v>
      </c>
      <c r="O26" s="5">
        <v>72.494</v>
      </c>
      <c r="P26" s="5">
        <v>70.245000000000005</v>
      </c>
      <c r="Q26" s="10">
        <f t="shared" si="7"/>
        <v>5.5150000000000006</v>
      </c>
    </row>
    <row r="27" spans="1:17" x14ac:dyDescent="0.35">
      <c r="A27" s="6">
        <v>1874</v>
      </c>
      <c r="B27" s="7">
        <f t="shared" si="0"/>
        <v>51.067</v>
      </c>
      <c r="C27" s="7">
        <f t="shared" si="1"/>
        <v>63.548000000000002</v>
      </c>
      <c r="D27" s="7">
        <f t="shared" si="2"/>
        <v>70.311000000000007</v>
      </c>
      <c r="E27" s="7">
        <f t="shared" si="3"/>
        <v>75.462999999999994</v>
      </c>
      <c r="F27" s="7">
        <f t="shared" si="4"/>
        <v>12.481000000000002</v>
      </c>
      <c r="G27" s="7">
        <f t="shared" si="5"/>
        <v>0</v>
      </c>
      <c r="H27" s="7">
        <f t="shared" si="6"/>
        <v>6.7630000000000052</v>
      </c>
      <c r="I27" s="8">
        <v>51.067</v>
      </c>
      <c r="J27" s="8">
        <v>63.548000000000002</v>
      </c>
      <c r="K27" s="8">
        <v>51.067</v>
      </c>
      <c r="L27" s="8">
        <v>57.162999999999997</v>
      </c>
      <c r="M27" s="8">
        <v>72.712000000000003</v>
      </c>
      <c r="N27" s="8">
        <v>75.462999999999994</v>
      </c>
      <c r="O27" s="8">
        <v>72.712000000000003</v>
      </c>
      <c r="P27" s="8">
        <v>70.311000000000007</v>
      </c>
      <c r="Q27" s="10">
        <f t="shared" si="7"/>
        <v>5.1519999999999868</v>
      </c>
    </row>
    <row r="28" spans="1:17" x14ac:dyDescent="0.35">
      <c r="A28" s="3">
        <v>1875</v>
      </c>
      <c r="B28" s="4">
        <f t="shared" si="0"/>
        <v>52.271000000000001</v>
      </c>
      <c r="C28" s="4">
        <f t="shared" si="1"/>
        <v>64.275000000000006</v>
      </c>
      <c r="D28" s="4">
        <f t="shared" si="2"/>
        <v>70.900999999999996</v>
      </c>
      <c r="E28" s="4">
        <f t="shared" si="3"/>
        <v>75.908000000000001</v>
      </c>
      <c r="F28" s="4">
        <f t="shared" si="4"/>
        <v>12.004000000000005</v>
      </c>
      <c r="G28" s="4">
        <f t="shared" si="5"/>
        <v>0</v>
      </c>
      <c r="H28" s="4">
        <f t="shared" si="6"/>
        <v>6.6259999999999906</v>
      </c>
      <c r="I28" s="5">
        <v>52.271000000000001</v>
      </c>
      <c r="J28" s="5">
        <v>64.275000000000006</v>
      </c>
      <c r="K28" s="5">
        <v>52.271000000000001</v>
      </c>
      <c r="L28" s="5">
        <v>58.500999999999998</v>
      </c>
      <c r="M28" s="5">
        <v>73.335999999999999</v>
      </c>
      <c r="N28" s="5">
        <v>75.908000000000001</v>
      </c>
      <c r="O28" s="5">
        <v>73.335999999999999</v>
      </c>
      <c r="P28" s="5">
        <v>70.900999999999996</v>
      </c>
      <c r="Q28" s="10">
        <f t="shared" si="7"/>
        <v>5.007000000000005</v>
      </c>
    </row>
    <row r="29" spans="1:17" x14ac:dyDescent="0.35">
      <c r="A29" s="6">
        <v>1876</v>
      </c>
      <c r="B29" s="7">
        <f t="shared" si="0"/>
        <v>52.506</v>
      </c>
      <c r="C29" s="7">
        <f t="shared" si="1"/>
        <v>64.177000000000007</v>
      </c>
      <c r="D29" s="7">
        <f t="shared" si="2"/>
        <v>71.099000000000004</v>
      </c>
      <c r="E29" s="7">
        <f t="shared" si="3"/>
        <v>76.037000000000006</v>
      </c>
      <c r="F29" s="7">
        <f t="shared" si="4"/>
        <v>11.671000000000006</v>
      </c>
      <c r="G29" s="7">
        <f t="shared" si="5"/>
        <v>0</v>
      </c>
      <c r="H29" s="7">
        <f t="shared" si="6"/>
        <v>6.921999999999997</v>
      </c>
      <c r="I29" s="8">
        <v>52.506</v>
      </c>
      <c r="J29" s="8">
        <v>64.177000000000007</v>
      </c>
      <c r="K29" s="8">
        <v>52.506</v>
      </c>
      <c r="L29" s="8">
        <v>58.424999999999997</v>
      </c>
      <c r="M29" s="8">
        <v>73.751000000000005</v>
      </c>
      <c r="N29" s="8">
        <v>76.037000000000006</v>
      </c>
      <c r="O29" s="8">
        <v>73.751000000000005</v>
      </c>
      <c r="P29" s="8">
        <v>71.099000000000004</v>
      </c>
      <c r="Q29" s="10">
        <f t="shared" si="7"/>
        <v>4.9380000000000024</v>
      </c>
    </row>
    <row r="30" spans="1:17" x14ac:dyDescent="0.35">
      <c r="A30" s="3">
        <v>1877</v>
      </c>
      <c r="B30" s="4">
        <f t="shared" si="0"/>
        <v>52.704000000000001</v>
      </c>
      <c r="C30" s="4">
        <f t="shared" si="1"/>
        <v>64.497</v>
      </c>
      <c r="D30" s="4">
        <f t="shared" si="2"/>
        <v>71.197999999999993</v>
      </c>
      <c r="E30" s="4">
        <f t="shared" si="3"/>
        <v>76.194999999999993</v>
      </c>
      <c r="F30" s="4">
        <f t="shared" si="4"/>
        <v>11.792999999999999</v>
      </c>
      <c r="G30" s="4">
        <f t="shared" si="5"/>
        <v>0</v>
      </c>
      <c r="H30" s="4">
        <f t="shared" si="6"/>
        <v>6.7009999999999934</v>
      </c>
      <c r="I30" s="5">
        <v>52.704000000000001</v>
      </c>
      <c r="J30" s="5">
        <v>64.497</v>
      </c>
      <c r="K30" s="5">
        <v>52.704000000000001</v>
      </c>
      <c r="L30" s="5">
        <v>58.624000000000002</v>
      </c>
      <c r="M30" s="5">
        <v>73.725999999999999</v>
      </c>
      <c r="N30" s="5">
        <v>76.194999999999993</v>
      </c>
      <c r="O30" s="5">
        <v>73.725999999999999</v>
      </c>
      <c r="P30" s="5">
        <v>71.197999999999993</v>
      </c>
      <c r="Q30" s="10">
        <f t="shared" si="7"/>
        <v>4.9969999999999999</v>
      </c>
    </row>
    <row r="31" spans="1:17" x14ac:dyDescent="0.35">
      <c r="A31" s="6">
        <v>1878</v>
      </c>
      <c r="B31" s="7">
        <f t="shared" si="0"/>
        <v>52.963999999999999</v>
      </c>
      <c r="C31" s="7">
        <f t="shared" si="1"/>
        <v>64.510999999999996</v>
      </c>
      <c r="D31" s="7">
        <f t="shared" si="2"/>
        <v>71.537000000000006</v>
      </c>
      <c r="E31" s="7">
        <f t="shared" si="3"/>
        <v>76.234999999999999</v>
      </c>
      <c r="F31" s="7">
        <f t="shared" si="4"/>
        <v>11.546999999999997</v>
      </c>
      <c r="G31" s="7">
        <f t="shared" si="5"/>
        <v>0</v>
      </c>
      <c r="H31" s="7">
        <f t="shared" si="6"/>
        <v>7.0260000000000105</v>
      </c>
      <c r="I31" s="8">
        <v>52.963999999999999</v>
      </c>
      <c r="J31" s="8">
        <v>64.510999999999996</v>
      </c>
      <c r="K31" s="8">
        <v>52.963999999999999</v>
      </c>
      <c r="L31" s="8">
        <v>58.710999999999999</v>
      </c>
      <c r="M31" s="8">
        <v>74.128</v>
      </c>
      <c r="N31" s="8">
        <v>76.234999999999999</v>
      </c>
      <c r="O31" s="8">
        <v>74.128</v>
      </c>
      <c r="P31" s="8">
        <v>71.537000000000006</v>
      </c>
      <c r="Q31" s="10">
        <f t="shared" si="7"/>
        <v>4.6979999999999933</v>
      </c>
    </row>
    <row r="32" spans="1:17" x14ac:dyDescent="0.35">
      <c r="A32" s="3">
        <v>1879</v>
      </c>
      <c r="B32" s="4">
        <f t="shared" si="0"/>
        <v>53.776000000000003</v>
      </c>
      <c r="C32" s="4">
        <f t="shared" si="1"/>
        <v>65.093999999999994</v>
      </c>
      <c r="D32" s="4">
        <f t="shared" si="2"/>
        <v>72.227000000000004</v>
      </c>
      <c r="E32" s="4">
        <f t="shared" si="3"/>
        <v>76.644000000000005</v>
      </c>
      <c r="F32" s="4">
        <f t="shared" si="4"/>
        <v>11.317999999999991</v>
      </c>
      <c r="G32" s="4">
        <f t="shared" si="5"/>
        <v>0</v>
      </c>
      <c r="H32" s="4">
        <f t="shared" si="6"/>
        <v>7.1330000000000098</v>
      </c>
      <c r="I32" s="5">
        <v>53.776000000000003</v>
      </c>
      <c r="J32" s="5">
        <v>65.093999999999994</v>
      </c>
      <c r="K32" s="5">
        <v>53.776000000000003</v>
      </c>
      <c r="L32" s="5">
        <v>59.451999999999998</v>
      </c>
      <c r="M32" s="5">
        <v>74.814999999999998</v>
      </c>
      <c r="N32" s="5">
        <v>76.644000000000005</v>
      </c>
      <c r="O32" s="5">
        <v>74.814999999999998</v>
      </c>
      <c r="P32" s="5">
        <v>72.227000000000004</v>
      </c>
      <c r="Q32" s="10">
        <f t="shared" si="7"/>
        <v>4.4170000000000016</v>
      </c>
    </row>
    <row r="33" spans="1:17" x14ac:dyDescent="0.35">
      <c r="A33" s="6">
        <v>1880</v>
      </c>
      <c r="B33" s="7">
        <f t="shared" si="0"/>
        <v>51.543999999999997</v>
      </c>
      <c r="C33" s="7">
        <f t="shared" si="1"/>
        <v>66.192999999999998</v>
      </c>
      <c r="D33" s="7">
        <f t="shared" si="2"/>
        <v>71.94</v>
      </c>
      <c r="E33" s="7">
        <f t="shared" si="3"/>
        <v>77.394999999999996</v>
      </c>
      <c r="F33" s="7">
        <f t="shared" si="4"/>
        <v>14.649000000000001</v>
      </c>
      <c r="G33" s="7">
        <f t="shared" si="5"/>
        <v>0</v>
      </c>
      <c r="H33" s="7">
        <f t="shared" si="6"/>
        <v>5.7469999999999999</v>
      </c>
      <c r="I33" s="8">
        <v>51.543999999999997</v>
      </c>
      <c r="J33" s="8">
        <v>66.192999999999998</v>
      </c>
      <c r="K33" s="8">
        <v>51.543999999999997</v>
      </c>
      <c r="L33" s="8">
        <v>59.366</v>
      </c>
      <c r="M33" s="8">
        <v>72.707999999999998</v>
      </c>
      <c r="N33" s="8">
        <v>77.394999999999996</v>
      </c>
      <c r="O33" s="8">
        <v>72.707999999999998</v>
      </c>
      <c r="P33" s="8">
        <v>71.94</v>
      </c>
      <c r="Q33" s="10">
        <f t="shared" si="7"/>
        <v>5.4549999999999983</v>
      </c>
    </row>
    <row r="34" spans="1:17" x14ac:dyDescent="0.35">
      <c r="A34" s="3">
        <v>1881</v>
      </c>
      <c r="B34" s="4">
        <f t="shared" si="0"/>
        <v>50.209000000000003</v>
      </c>
      <c r="C34" s="4">
        <f t="shared" si="1"/>
        <v>64.353999999999999</v>
      </c>
      <c r="D34" s="4">
        <f t="shared" si="2"/>
        <v>70.596000000000004</v>
      </c>
      <c r="E34" s="4">
        <f t="shared" si="3"/>
        <v>75.113</v>
      </c>
      <c r="F34" s="4">
        <f t="shared" si="4"/>
        <v>14.144999999999996</v>
      </c>
      <c r="G34" s="4">
        <f t="shared" si="5"/>
        <v>0</v>
      </c>
      <c r="H34" s="4">
        <f t="shared" si="6"/>
        <v>6.2420000000000044</v>
      </c>
      <c r="I34" s="5">
        <v>50.209000000000003</v>
      </c>
      <c r="J34" s="5">
        <v>64.353999999999999</v>
      </c>
      <c r="K34" s="5">
        <v>50.209000000000003</v>
      </c>
      <c r="L34" s="5">
        <v>58.131999999999998</v>
      </c>
      <c r="M34" s="5">
        <v>71.537000000000006</v>
      </c>
      <c r="N34" s="5">
        <v>75.113</v>
      </c>
      <c r="O34" s="5">
        <v>71.537000000000006</v>
      </c>
      <c r="P34" s="5">
        <v>70.596000000000004</v>
      </c>
      <c r="Q34" s="10">
        <f t="shared" si="7"/>
        <v>4.5169999999999959</v>
      </c>
    </row>
    <row r="35" spans="1:17" x14ac:dyDescent="0.35">
      <c r="A35" s="6">
        <v>1882</v>
      </c>
      <c r="B35" s="7">
        <f t="shared" ref="B35:B66" si="8">IFERROR(MIN(I35:L35),"")</f>
        <v>49.930999999999997</v>
      </c>
      <c r="C35" s="7">
        <f t="shared" ref="C35:C66" si="9">IFERROR(MAX(I35:L35),"")</f>
        <v>62.12</v>
      </c>
      <c r="D35" s="7">
        <f t="shared" ref="D35:D66" si="10">IFERROR(MIN(M35:P35),"")</f>
        <v>70.575000000000003</v>
      </c>
      <c r="E35" s="7">
        <f t="shared" ref="E35:E66" si="11">IFERROR(MAX(M35:P35),"")</f>
        <v>73.313999999999993</v>
      </c>
      <c r="F35" s="7">
        <f t="shared" ref="F35:F66" si="12">IFERROR(MIN(C35,D35)-B35,"")</f>
        <v>12.189</v>
      </c>
      <c r="G35" s="7">
        <f t="shared" ref="G35:G66" si="13">IFERROR(MAX(0,C35-D35),"")</f>
        <v>0</v>
      </c>
      <c r="H35" s="7">
        <f t="shared" ref="H35:H66" si="14">IFERROR(MAX(0,D35-C35),"")</f>
        <v>8.4550000000000054</v>
      </c>
      <c r="I35" s="8">
        <v>49.930999999999997</v>
      </c>
      <c r="J35" s="8">
        <v>62.12</v>
      </c>
      <c r="K35" s="8">
        <v>49.930999999999997</v>
      </c>
      <c r="L35" s="8">
        <v>58.206000000000003</v>
      </c>
      <c r="M35" s="8">
        <v>71.117999999999995</v>
      </c>
      <c r="N35" s="8">
        <v>73.313999999999993</v>
      </c>
      <c r="O35" s="8">
        <v>71.117999999999995</v>
      </c>
      <c r="P35" s="8">
        <v>70.575000000000003</v>
      </c>
      <c r="Q35" s="10">
        <f t="shared" ref="Q35:Q66" si="15">IFERROR(MAX(0,$E35-MAX($C35,$D35)),"")</f>
        <v>2.7389999999999901</v>
      </c>
    </row>
    <row r="36" spans="1:17" x14ac:dyDescent="0.35">
      <c r="A36" s="3">
        <v>1883</v>
      </c>
      <c r="B36" s="4">
        <f t="shared" si="8"/>
        <v>50.104999999999997</v>
      </c>
      <c r="C36" s="4">
        <f t="shared" si="9"/>
        <v>62.052999999999997</v>
      </c>
      <c r="D36" s="4">
        <f t="shared" si="10"/>
        <v>70.808999999999997</v>
      </c>
      <c r="E36" s="4">
        <f t="shared" si="11"/>
        <v>73.185000000000002</v>
      </c>
      <c r="F36" s="4">
        <f t="shared" si="12"/>
        <v>11.948</v>
      </c>
      <c r="G36" s="4">
        <f t="shared" si="13"/>
        <v>0</v>
      </c>
      <c r="H36" s="4">
        <f t="shared" si="14"/>
        <v>8.7560000000000002</v>
      </c>
      <c r="I36" s="5">
        <v>50.104999999999997</v>
      </c>
      <c r="J36" s="5">
        <v>62.052999999999997</v>
      </c>
      <c r="K36" s="5">
        <v>50.104999999999997</v>
      </c>
      <c r="L36" s="5">
        <v>58.551000000000002</v>
      </c>
      <c r="M36" s="5">
        <v>71.198999999999998</v>
      </c>
      <c r="N36" s="5">
        <v>73.185000000000002</v>
      </c>
      <c r="O36" s="5">
        <v>71.198999999999998</v>
      </c>
      <c r="P36" s="5">
        <v>70.808999999999997</v>
      </c>
      <c r="Q36" s="10">
        <f t="shared" si="15"/>
        <v>2.3760000000000048</v>
      </c>
    </row>
    <row r="37" spans="1:17" x14ac:dyDescent="0.35">
      <c r="A37" s="6">
        <v>1884</v>
      </c>
      <c r="B37" s="7">
        <f t="shared" si="8"/>
        <v>49.643999999999998</v>
      </c>
      <c r="C37" s="7">
        <f t="shared" si="9"/>
        <v>61.639000000000003</v>
      </c>
      <c r="D37" s="7">
        <f t="shared" si="10"/>
        <v>70.927000000000007</v>
      </c>
      <c r="E37" s="7">
        <f t="shared" si="11"/>
        <v>72.756</v>
      </c>
      <c r="F37" s="7">
        <f t="shared" si="12"/>
        <v>11.995000000000005</v>
      </c>
      <c r="G37" s="7">
        <f t="shared" si="13"/>
        <v>0</v>
      </c>
      <c r="H37" s="7">
        <f t="shared" si="14"/>
        <v>9.2880000000000038</v>
      </c>
      <c r="I37" s="8">
        <v>49.643999999999998</v>
      </c>
      <c r="J37" s="8">
        <v>61.639000000000003</v>
      </c>
      <c r="K37" s="8">
        <v>49.643999999999998</v>
      </c>
      <c r="L37" s="8">
        <v>58.253</v>
      </c>
      <c r="M37" s="8">
        <v>71.164000000000001</v>
      </c>
      <c r="N37" s="8">
        <v>72.756</v>
      </c>
      <c r="O37" s="8">
        <v>71.164000000000001</v>
      </c>
      <c r="P37" s="8">
        <v>70.927000000000007</v>
      </c>
      <c r="Q37" s="10">
        <f t="shared" si="15"/>
        <v>1.8289999999999935</v>
      </c>
    </row>
    <row r="38" spans="1:17" x14ac:dyDescent="0.35">
      <c r="A38" s="3">
        <v>1885</v>
      </c>
      <c r="B38" s="4">
        <f t="shared" si="8"/>
        <v>49.146999999999998</v>
      </c>
      <c r="C38" s="4">
        <f t="shared" si="9"/>
        <v>61.228999999999999</v>
      </c>
      <c r="D38" s="4">
        <f t="shared" si="10"/>
        <v>70.852999999999994</v>
      </c>
      <c r="E38" s="4">
        <f t="shared" si="11"/>
        <v>72.393000000000001</v>
      </c>
      <c r="F38" s="4">
        <f t="shared" si="12"/>
        <v>12.082000000000001</v>
      </c>
      <c r="G38" s="4">
        <f t="shared" si="13"/>
        <v>0</v>
      </c>
      <c r="H38" s="4">
        <f t="shared" si="14"/>
        <v>9.6239999999999952</v>
      </c>
      <c r="I38" s="5">
        <v>49.146999999999998</v>
      </c>
      <c r="J38" s="5">
        <v>61.228999999999999</v>
      </c>
      <c r="K38" s="5">
        <v>49.146999999999998</v>
      </c>
      <c r="L38" s="5">
        <v>57.890999999999998</v>
      </c>
      <c r="M38" s="5">
        <v>70.983999999999995</v>
      </c>
      <c r="N38" s="5">
        <v>72.393000000000001</v>
      </c>
      <c r="O38" s="5">
        <v>70.983999999999995</v>
      </c>
      <c r="P38" s="5">
        <v>70.852999999999994</v>
      </c>
      <c r="Q38" s="10">
        <f t="shared" si="15"/>
        <v>1.5400000000000063</v>
      </c>
    </row>
    <row r="39" spans="1:17" x14ac:dyDescent="0.35">
      <c r="A39" s="6">
        <v>1886</v>
      </c>
      <c r="B39" s="7">
        <f t="shared" si="8"/>
        <v>49.207999999999998</v>
      </c>
      <c r="C39" s="7">
        <f t="shared" si="9"/>
        <v>61.057000000000002</v>
      </c>
      <c r="D39" s="7">
        <f t="shared" si="10"/>
        <v>70.519000000000005</v>
      </c>
      <c r="E39" s="7">
        <f t="shared" si="11"/>
        <v>72.239000000000004</v>
      </c>
      <c r="F39" s="7">
        <f t="shared" si="12"/>
        <v>11.849000000000004</v>
      </c>
      <c r="G39" s="7">
        <f t="shared" si="13"/>
        <v>0</v>
      </c>
      <c r="H39" s="7">
        <f t="shared" si="14"/>
        <v>9.4620000000000033</v>
      </c>
      <c r="I39" s="8">
        <v>49.207999999999998</v>
      </c>
      <c r="J39" s="8">
        <v>61.057000000000002</v>
      </c>
      <c r="K39" s="8">
        <v>49.207999999999998</v>
      </c>
      <c r="L39" s="8">
        <v>58.066000000000003</v>
      </c>
      <c r="M39" s="8">
        <v>70.790999999999997</v>
      </c>
      <c r="N39" s="8">
        <v>72.239000000000004</v>
      </c>
      <c r="O39" s="8">
        <v>70.790999999999997</v>
      </c>
      <c r="P39" s="8">
        <v>70.519000000000005</v>
      </c>
      <c r="Q39" s="10">
        <f t="shared" si="15"/>
        <v>1.7199999999999989</v>
      </c>
    </row>
    <row r="40" spans="1:17" x14ac:dyDescent="0.35">
      <c r="A40" s="3">
        <v>1887</v>
      </c>
      <c r="B40" s="4">
        <f t="shared" si="8"/>
        <v>49.634</v>
      </c>
      <c r="C40" s="4">
        <f t="shared" si="9"/>
        <v>61.213000000000001</v>
      </c>
      <c r="D40" s="4">
        <f t="shared" si="10"/>
        <v>70.441999999999993</v>
      </c>
      <c r="E40" s="4">
        <f t="shared" si="11"/>
        <v>72.349999999999994</v>
      </c>
      <c r="F40" s="4">
        <f t="shared" si="12"/>
        <v>11.579000000000001</v>
      </c>
      <c r="G40" s="4">
        <f t="shared" si="13"/>
        <v>0</v>
      </c>
      <c r="H40" s="4">
        <f t="shared" si="14"/>
        <v>9.2289999999999921</v>
      </c>
      <c r="I40" s="5">
        <v>49.634</v>
      </c>
      <c r="J40" s="5">
        <v>61.213000000000001</v>
      </c>
      <c r="K40" s="5">
        <v>49.634</v>
      </c>
      <c r="L40" s="5">
        <v>58.652999999999999</v>
      </c>
      <c r="M40" s="5">
        <v>70.638999999999996</v>
      </c>
      <c r="N40" s="5">
        <v>72.349999999999994</v>
      </c>
      <c r="O40" s="5">
        <v>70.638999999999996</v>
      </c>
      <c r="P40" s="5">
        <v>70.441999999999993</v>
      </c>
      <c r="Q40" s="10">
        <f t="shared" si="15"/>
        <v>1.9080000000000013</v>
      </c>
    </row>
    <row r="41" spans="1:17" x14ac:dyDescent="0.35">
      <c r="A41" s="6">
        <v>1888</v>
      </c>
      <c r="B41" s="7">
        <f t="shared" si="8"/>
        <v>50.378999999999998</v>
      </c>
      <c r="C41" s="7">
        <f t="shared" si="9"/>
        <v>62.014000000000003</v>
      </c>
      <c r="D41" s="7">
        <f t="shared" si="10"/>
        <v>71.087999999999994</v>
      </c>
      <c r="E41" s="7">
        <f t="shared" si="11"/>
        <v>73.031000000000006</v>
      </c>
      <c r="F41" s="7">
        <f t="shared" si="12"/>
        <v>11.635000000000005</v>
      </c>
      <c r="G41" s="7">
        <f t="shared" si="13"/>
        <v>0</v>
      </c>
      <c r="H41" s="7">
        <f t="shared" si="14"/>
        <v>9.073999999999991</v>
      </c>
      <c r="I41" s="8">
        <v>50.378999999999998</v>
      </c>
      <c r="J41" s="8">
        <v>62.014000000000003</v>
      </c>
      <c r="K41" s="8">
        <v>50.378999999999998</v>
      </c>
      <c r="L41" s="8">
        <v>59.265999999999998</v>
      </c>
      <c r="M41" s="8">
        <v>71.373000000000005</v>
      </c>
      <c r="N41" s="8">
        <v>73.031000000000006</v>
      </c>
      <c r="O41" s="8">
        <v>71.373000000000005</v>
      </c>
      <c r="P41" s="8">
        <v>71.087999999999994</v>
      </c>
      <c r="Q41" s="10">
        <f t="shared" si="15"/>
        <v>1.9430000000000121</v>
      </c>
    </row>
    <row r="42" spans="1:17" x14ac:dyDescent="0.35">
      <c r="A42" s="3">
        <v>1889</v>
      </c>
      <c r="B42" s="4">
        <f t="shared" si="8"/>
        <v>49.497999999999998</v>
      </c>
      <c r="C42" s="4">
        <f t="shared" si="9"/>
        <v>61.567</v>
      </c>
      <c r="D42" s="4">
        <f t="shared" si="10"/>
        <v>70.406000000000006</v>
      </c>
      <c r="E42" s="4">
        <f t="shared" si="11"/>
        <v>72.811000000000007</v>
      </c>
      <c r="F42" s="4">
        <f t="shared" si="12"/>
        <v>12.069000000000003</v>
      </c>
      <c r="G42" s="4">
        <f t="shared" si="13"/>
        <v>0</v>
      </c>
      <c r="H42" s="4">
        <f t="shared" si="14"/>
        <v>8.8390000000000057</v>
      </c>
      <c r="I42" s="5">
        <v>49.497999999999998</v>
      </c>
      <c r="J42" s="5">
        <v>61.567</v>
      </c>
      <c r="K42" s="5">
        <v>49.497999999999998</v>
      </c>
      <c r="L42" s="5">
        <v>58.265999999999998</v>
      </c>
      <c r="M42" s="5">
        <v>70.715000000000003</v>
      </c>
      <c r="N42" s="5">
        <v>72.811000000000007</v>
      </c>
      <c r="O42" s="5">
        <v>70.715000000000003</v>
      </c>
      <c r="P42" s="5">
        <v>70.406000000000006</v>
      </c>
      <c r="Q42" s="10">
        <f t="shared" si="15"/>
        <v>2.4050000000000011</v>
      </c>
    </row>
    <row r="43" spans="1:17" x14ac:dyDescent="0.35">
      <c r="A43" s="6">
        <v>1890</v>
      </c>
      <c r="B43" s="7">
        <f t="shared" si="8"/>
        <v>49.363999999999997</v>
      </c>
      <c r="C43" s="7">
        <f t="shared" si="9"/>
        <v>62.244</v>
      </c>
      <c r="D43" s="7">
        <f t="shared" si="10"/>
        <v>70.793999999999997</v>
      </c>
      <c r="E43" s="7">
        <f t="shared" si="11"/>
        <v>73.399000000000001</v>
      </c>
      <c r="F43" s="7">
        <f t="shared" si="12"/>
        <v>12.880000000000003</v>
      </c>
      <c r="G43" s="7">
        <f t="shared" si="13"/>
        <v>0</v>
      </c>
      <c r="H43" s="7">
        <f t="shared" si="14"/>
        <v>8.5499999999999972</v>
      </c>
      <c r="I43" s="8">
        <v>49.363999999999997</v>
      </c>
      <c r="J43" s="8">
        <v>62.244</v>
      </c>
      <c r="K43" s="8">
        <v>49.363999999999997</v>
      </c>
      <c r="L43" s="8">
        <v>57.597000000000001</v>
      </c>
      <c r="M43" s="8">
        <v>71.394999999999996</v>
      </c>
      <c r="N43" s="8">
        <v>73.399000000000001</v>
      </c>
      <c r="O43" s="8">
        <v>71.394999999999996</v>
      </c>
      <c r="P43" s="8">
        <v>70.793999999999997</v>
      </c>
      <c r="Q43" s="10">
        <f t="shared" si="15"/>
        <v>2.605000000000004</v>
      </c>
    </row>
    <row r="44" spans="1:17" x14ac:dyDescent="0.35">
      <c r="A44" s="3">
        <v>1891</v>
      </c>
      <c r="B44" s="4">
        <f t="shared" si="8"/>
        <v>49.472000000000001</v>
      </c>
      <c r="C44" s="4">
        <f t="shared" si="9"/>
        <v>62.533000000000001</v>
      </c>
      <c r="D44" s="4">
        <f t="shared" si="10"/>
        <v>71.013999999999996</v>
      </c>
      <c r="E44" s="4">
        <f t="shared" si="11"/>
        <v>73.783000000000001</v>
      </c>
      <c r="F44" s="4">
        <f t="shared" si="12"/>
        <v>13.061</v>
      </c>
      <c r="G44" s="4">
        <f t="shared" si="13"/>
        <v>0</v>
      </c>
      <c r="H44" s="4">
        <f t="shared" si="14"/>
        <v>8.4809999999999945</v>
      </c>
      <c r="I44" s="5">
        <v>49.472000000000001</v>
      </c>
      <c r="J44" s="5">
        <v>62.533000000000001</v>
      </c>
      <c r="K44" s="5">
        <v>49.472000000000001</v>
      </c>
      <c r="L44" s="5">
        <v>57.831000000000003</v>
      </c>
      <c r="M44" s="5">
        <v>71.462999999999994</v>
      </c>
      <c r="N44" s="5">
        <v>73.783000000000001</v>
      </c>
      <c r="O44" s="5">
        <v>71.462999999999994</v>
      </c>
      <c r="P44" s="5">
        <v>71.013999999999996</v>
      </c>
      <c r="Q44" s="10">
        <f t="shared" si="15"/>
        <v>2.7690000000000055</v>
      </c>
    </row>
    <row r="45" spans="1:17" x14ac:dyDescent="0.35">
      <c r="A45" s="6">
        <v>1892</v>
      </c>
      <c r="B45" s="7">
        <f t="shared" si="8"/>
        <v>49.636000000000003</v>
      </c>
      <c r="C45" s="7">
        <f t="shared" si="9"/>
        <v>62.988</v>
      </c>
      <c r="D45" s="7">
        <f t="shared" si="10"/>
        <v>71.466999999999999</v>
      </c>
      <c r="E45" s="7">
        <f t="shared" si="11"/>
        <v>74.094999999999999</v>
      </c>
      <c r="F45" s="7">
        <f t="shared" si="12"/>
        <v>13.351999999999997</v>
      </c>
      <c r="G45" s="7">
        <f t="shared" si="13"/>
        <v>0</v>
      </c>
      <c r="H45" s="7">
        <f t="shared" si="14"/>
        <v>8.4789999999999992</v>
      </c>
      <c r="I45" s="8">
        <v>49.636000000000003</v>
      </c>
      <c r="J45" s="8">
        <v>62.988</v>
      </c>
      <c r="K45" s="8">
        <v>49.636000000000003</v>
      </c>
      <c r="L45" s="8">
        <v>58.055999999999997</v>
      </c>
      <c r="M45" s="8">
        <v>71.924000000000007</v>
      </c>
      <c r="N45" s="8">
        <v>74.094999999999999</v>
      </c>
      <c r="O45" s="8">
        <v>71.924000000000007</v>
      </c>
      <c r="P45" s="8">
        <v>71.466999999999999</v>
      </c>
      <c r="Q45" s="10">
        <f t="shared" si="15"/>
        <v>2.6280000000000001</v>
      </c>
    </row>
    <row r="46" spans="1:17" x14ac:dyDescent="0.35">
      <c r="A46" s="3">
        <v>1893</v>
      </c>
      <c r="B46" s="4">
        <f t="shared" si="8"/>
        <v>49.697000000000003</v>
      </c>
      <c r="C46" s="4">
        <f t="shared" si="9"/>
        <v>62.552</v>
      </c>
      <c r="D46" s="4">
        <f t="shared" si="10"/>
        <v>71.078000000000003</v>
      </c>
      <c r="E46" s="4">
        <f t="shared" si="11"/>
        <v>73.936000000000007</v>
      </c>
      <c r="F46" s="4">
        <f t="shared" si="12"/>
        <v>12.854999999999997</v>
      </c>
      <c r="G46" s="4">
        <f t="shared" si="13"/>
        <v>0</v>
      </c>
      <c r="H46" s="4">
        <f t="shared" si="14"/>
        <v>8.5260000000000034</v>
      </c>
      <c r="I46" s="5">
        <v>49.697000000000003</v>
      </c>
      <c r="J46" s="5">
        <v>62.552</v>
      </c>
      <c r="K46" s="5">
        <v>49.697000000000003</v>
      </c>
      <c r="L46" s="5">
        <v>57.786000000000001</v>
      </c>
      <c r="M46" s="5">
        <v>71.998999999999995</v>
      </c>
      <c r="N46" s="5">
        <v>73.936000000000007</v>
      </c>
      <c r="O46" s="5">
        <v>71.998999999999995</v>
      </c>
      <c r="P46" s="5">
        <v>71.078000000000003</v>
      </c>
      <c r="Q46" s="10">
        <f t="shared" si="15"/>
        <v>2.8580000000000041</v>
      </c>
    </row>
    <row r="47" spans="1:17" x14ac:dyDescent="0.35">
      <c r="A47" s="6">
        <v>1894</v>
      </c>
      <c r="B47" s="7">
        <f t="shared" si="8"/>
        <v>49.514000000000003</v>
      </c>
      <c r="C47" s="7">
        <f t="shared" si="9"/>
        <v>62.097999999999999</v>
      </c>
      <c r="D47" s="7">
        <f t="shared" si="10"/>
        <v>71.403000000000006</v>
      </c>
      <c r="E47" s="7">
        <f t="shared" si="11"/>
        <v>73.254999999999995</v>
      </c>
      <c r="F47" s="7">
        <f t="shared" si="12"/>
        <v>12.583999999999996</v>
      </c>
      <c r="G47" s="7">
        <f t="shared" si="13"/>
        <v>0</v>
      </c>
      <c r="H47" s="7">
        <f t="shared" si="14"/>
        <v>9.3050000000000068</v>
      </c>
      <c r="I47" s="8">
        <v>49.514000000000003</v>
      </c>
      <c r="J47" s="8">
        <v>62.097999999999999</v>
      </c>
      <c r="K47" s="8">
        <v>49.514000000000003</v>
      </c>
      <c r="L47" s="8">
        <v>57.462000000000003</v>
      </c>
      <c r="M47" s="8">
        <v>72.179000000000002</v>
      </c>
      <c r="N47" s="8">
        <v>73.254999999999995</v>
      </c>
      <c r="O47" s="8">
        <v>72.179000000000002</v>
      </c>
      <c r="P47" s="8">
        <v>71.403000000000006</v>
      </c>
      <c r="Q47" s="10">
        <f t="shared" si="15"/>
        <v>1.8519999999999897</v>
      </c>
    </row>
    <row r="48" spans="1:17" x14ac:dyDescent="0.35">
      <c r="A48" s="3">
        <v>1895</v>
      </c>
      <c r="B48" s="4">
        <f t="shared" si="8"/>
        <v>50.082999999999998</v>
      </c>
      <c r="C48" s="4">
        <f t="shared" si="9"/>
        <v>62.481000000000002</v>
      </c>
      <c r="D48" s="4">
        <f t="shared" si="10"/>
        <v>71.475999999999999</v>
      </c>
      <c r="E48" s="4">
        <f t="shared" si="11"/>
        <v>73.629000000000005</v>
      </c>
      <c r="F48" s="4">
        <f t="shared" si="12"/>
        <v>12.398000000000003</v>
      </c>
      <c r="G48" s="4">
        <f t="shared" si="13"/>
        <v>0</v>
      </c>
      <c r="H48" s="4">
        <f t="shared" si="14"/>
        <v>8.9949999999999974</v>
      </c>
      <c r="I48" s="5">
        <v>50.082999999999998</v>
      </c>
      <c r="J48" s="5">
        <v>62.481000000000002</v>
      </c>
      <c r="K48" s="5">
        <v>50.082999999999998</v>
      </c>
      <c r="L48" s="5">
        <v>58.048000000000002</v>
      </c>
      <c r="M48" s="5">
        <v>72.317999999999998</v>
      </c>
      <c r="N48" s="5">
        <v>73.629000000000005</v>
      </c>
      <c r="O48" s="5">
        <v>72.317999999999998</v>
      </c>
      <c r="P48" s="5">
        <v>71.475999999999999</v>
      </c>
      <c r="Q48" s="10">
        <f t="shared" si="15"/>
        <v>2.1530000000000058</v>
      </c>
    </row>
    <row r="49" spans="1:17" x14ac:dyDescent="0.35">
      <c r="A49" s="6">
        <v>1896</v>
      </c>
      <c r="B49" s="7">
        <f t="shared" si="8"/>
        <v>50.518999999999998</v>
      </c>
      <c r="C49" s="7">
        <f t="shared" si="9"/>
        <v>62.621000000000002</v>
      </c>
      <c r="D49" s="7">
        <f t="shared" si="10"/>
        <v>71.638000000000005</v>
      </c>
      <c r="E49" s="7">
        <f t="shared" si="11"/>
        <v>73.787999999999997</v>
      </c>
      <c r="F49" s="7">
        <f t="shared" si="12"/>
        <v>12.102000000000004</v>
      </c>
      <c r="G49" s="7">
        <f t="shared" si="13"/>
        <v>0</v>
      </c>
      <c r="H49" s="7">
        <f t="shared" si="14"/>
        <v>9.017000000000003</v>
      </c>
      <c r="I49" s="8">
        <v>50.518999999999998</v>
      </c>
      <c r="J49" s="8">
        <v>62.621000000000002</v>
      </c>
      <c r="K49" s="8">
        <v>50.518999999999998</v>
      </c>
      <c r="L49" s="8">
        <v>58.335999999999999</v>
      </c>
      <c r="M49" s="8">
        <v>72.668999999999997</v>
      </c>
      <c r="N49" s="8">
        <v>73.787999999999997</v>
      </c>
      <c r="O49" s="8">
        <v>72.668999999999997</v>
      </c>
      <c r="P49" s="8">
        <v>71.638000000000005</v>
      </c>
      <c r="Q49" s="10">
        <f t="shared" si="15"/>
        <v>2.1499999999999915</v>
      </c>
    </row>
    <row r="50" spans="1:17" x14ac:dyDescent="0.35">
      <c r="A50" s="3">
        <v>1897</v>
      </c>
      <c r="B50" s="4">
        <f t="shared" si="8"/>
        <v>50.579000000000001</v>
      </c>
      <c r="C50" s="4">
        <f t="shared" si="9"/>
        <v>62.878999999999998</v>
      </c>
      <c r="D50" s="4">
        <f t="shared" si="10"/>
        <v>71.731999999999999</v>
      </c>
      <c r="E50" s="4">
        <f t="shared" si="11"/>
        <v>74.097999999999999</v>
      </c>
      <c r="F50" s="4">
        <f t="shared" si="12"/>
        <v>12.299999999999997</v>
      </c>
      <c r="G50" s="4">
        <f t="shared" si="13"/>
        <v>0</v>
      </c>
      <c r="H50" s="4">
        <f t="shared" si="14"/>
        <v>8.8530000000000015</v>
      </c>
      <c r="I50" s="5">
        <v>50.579000000000001</v>
      </c>
      <c r="J50" s="5">
        <v>62.878999999999998</v>
      </c>
      <c r="K50" s="5">
        <v>50.579000000000001</v>
      </c>
      <c r="L50" s="5">
        <v>58.265999999999998</v>
      </c>
      <c r="M50" s="5">
        <v>72.703000000000003</v>
      </c>
      <c r="N50" s="5">
        <v>74.097999999999999</v>
      </c>
      <c r="O50" s="5">
        <v>72.703000000000003</v>
      </c>
      <c r="P50" s="5">
        <v>71.731999999999999</v>
      </c>
      <c r="Q50" s="10">
        <f t="shared" si="15"/>
        <v>2.3659999999999997</v>
      </c>
    </row>
    <row r="51" spans="1:17" x14ac:dyDescent="0.35">
      <c r="A51" s="6">
        <v>1898</v>
      </c>
      <c r="B51" s="7">
        <f t="shared" si="8"/>
        <v>51.168999999999997</v>
      </c>
      <c r="C51" s="7">
        <f t="shared" si="9"/>
        <v>63.11</v>
      </c>
      <c r="D51" s="7">
        <f t="shared" si="10"/>
        <v>72.266999999999996</v>
      </c>
      <c r="E51" s="7">
        <f t="shared" si="11"/>
        <v>74.402000000000001</v>
      </c>
      <c r="F51" s="7">
        <f t="shared" si="12"/>
        <v>11.941000000000003</v>
      </c>
      <c r="G51" s="7">
        <f t="shared" si="13"/>
        <v>0</v>
      </c>
      <c r="H51" s="7">
        <f t="shared" si="14"/>
        <v>9.1569999999999965</v>
      </c>
      <c r="I51" s="8">
        <v>51.168999999999997</v>
      </c>
      <c r="J51" s="8">
        <v>63.11</v>
      </c>
      <c r="K51" s="8">
        <v>51.168999999999997</v>
      </c>
      <c r="L51" s="8">
        <v>58.612000000000002</v>
      </c>
      <c r="M51" s="8">
        <v>73.405000000000001</v>
      </c>
      <c r="N51" s="8">
        <v>74.402000000000001</v>
      </c>
      <c r="O51" s="8">
        <v>73.405000000000001</v>
      </c>
      <c r="P51" s="8">
        <v>72.266999999999996</v>
      </c>
      <c r="Q51" s="10">
        <f t="shared" si="15"/>
        <v>2.1350000000000051</v>
      </c>
    </row>
    <row r="52" spans="1:17" x14ac:dyDescent="0.35">
      <c r="A52" s="3">
        <v>1899</v>
      </c>
      <c r="B52" s="4">
        <f t="shared" si="8"/>
        <v>52.137999999999998</v>
      </c>
      <c r="C52" s="4">
        <f t="shared" si="9"/>
        <v>64.012</v>
      </c>
      <c r="D52" s="4">
        <f t="shared" si="10"/>
        <v>72.786000000000001</v>
      </c>
      <c r="E52" s="4">
        <f t="shared" si="11"/>
        <v>75.155000000000001</v>
      </c>
      <c r="F52" s="4">
        <f t="shared" si="12"/>
        <v>11.874000000000002</v>
      </c>
      <c r="G52" s="4">
        <f t="shared" si="13"/>
        <v>0</v>
      </c>
      <c r="H52" s="4">
        <f t="shared" si="14"/>
        <v>8.7740000000000009</v>
      </c>
      <c r="I52" s="5">
        <v>52.137999999999998</v>
      </c>
      <c r="J52" s="5">
        <v>64.012</v>
      </c>
      <c r="K52" s="5">
        <v>52.137999999999998</v>
      </c>
      <c r="L52" s="5">
        <v>59.478000000000002</v>
      </c>
      <c r="M52" s="5">
        <v>73.912999999999997</v>
      </c>
      <c r="N52" s="5">
        <v>75.155000000000001</v>
      </c>
      <c r="O52" s="5">
        <v>73.912999999999997</v>
      </c>
      <c r="P52" s="5">
        <v>72.786000000000001</v>
      </c>
      <c r="Q52" s="10">
        <f t="shared" si="15"/>
        <v>2.3689999999999998</v>
      </c>
    </row>
    <row r="53" spans="1:17" x14ac:dyDescent="0.35">
      <c r="A53" s="6">
        <v>1900</v>
      </c>
      <c r="B53" s="7">
        <f t="shared" si="8"/>
        <v>51.793999999999997</v>
      </c>
      <c r="C53" s="7">
        <f t="shared" si="9"/>
        <v>64.503</v>
      </c>
      <c r="D53" s="7">
        <f t="shared" si="10"/>
        <v>73.147999999999996</v>
      </c>
      <c r="E53" s="7">
        <f t="shared" si="11"/>
        <v>75.623999999999995</v>
      </c>
      <c r="F53" s="7">
        <f t="shared" si="12"/>
        <v>12.709000000000003</v>
      </c>
      <c r="G53" s="7">
        <f t="shared" si="13"/>
        <v>0</v>
      </c>
      <c r="H53" s="7">
        <f t="shared" si="14"/>
        <v>8.644999999999996</v>
      </c>
      <c r="I53" s="8">
        <v>51.793999999999997</v>
      </c>
      <c r="J53" s="8">
        <v>64.503</v>
      </c>
      <c r="K53" s="8">
        <v>51.793999999999997</v>
      </c>
      <c r="L53" s="8">
        <v>60.302</v>
      </c>
      <c r="M53" s="8">
        <v>74.168999999999997</v>
      </c>
      <c r="N53" s="8">
        <v>75.623999999999995</v>
      </c>
      <c r="O53" s="8">
        <v>74.168999999999997</v>
      </c>
      <c r="P53" s="8">
        <v>73.147999999999996</v>
      </c>
      <c r="Q53" s="10">
        <f t="shared" si="15"/>
        <v>2.4759999999999991</v>
      </c>
    </row>
    <row r="54" spans="1:17" x14ac:dyDescent="0.35">
      <c r="A54" s="3">
        <v>1901</v>
      </c>
      <c r="B54" s="4">
        <f t="shared" si="8"/>
        <v>50.518999999999998</v>
      </c>
      <c r="C54" s="4">
        <f t="shared" si="9"/>
        <v>61.529000000000003</v>
      </c>
      <c r="D54" s="4">
        <f t="shared" si="10"/>
        <v>72.274000000000001</v>
      </c>
      <c r="E54" s="4">
        <f t="shared" si="11"/>
        <v>73.426000000000002</v>
      </c>
      <c r="F54" s="4">
        <f t="shared" si="12"/>
        <v>11.010000000000005</v>
      </c>
      <c r="G54" s="4">
        <f t="shared" si="13"/>
        <v>0</v>
      </c>
      <c r="H54" s="4">
        <f t="shared" si="14"/>
        <v>10.744999999999997</v>
      </c>
      <c r="I54" s="5">
        <v>50.518999999999998</v>
      </c>
      <c r="J54" s="5">
        <v>61.529000000000003</v>
      </c>
      <c r="K54" s="5">
        <v>50.518999999999998</v>
      </c>
      <c r="L54" s="5">
        <v>59.332999999999998</v>
      </c>
      <c r="M54" s="5">
        <v>73.426000000000002</v>
      </c>
      <c r="N54" s="5">
        <v>72.274000000000001</v>
      </c>
      <c r="O54" s="5">
        <v>73.426000000000002</v>
      </c>
      <c r="P54" s="5">
        <v>72.570999999999998</v>
      </c>
      <c r="Q54" s="10">
        <f t="shared" si="15"/>
        <v>1.152000000000001</v>
      </c>
    </row>
    <row r="55" spans="1:17" x14ac:dyDescent="0.35">
      <c r="A55" s="6">
        <v>1902</v>
      </c>
      <c r="B55" s="7">
        <f t="shared" si="8"/>
        <v>50.506999999999998</v>
      </c>
      <c r="C55" s="7">
        <f t="shared" si="9"/>
        <v>59.642000000000003</v>
      </c>
      <c r="D55" s="7">
        <f t="shared" si="10"/>
        <v>70.015000000000001</v>
      </c>
      <c r="E55" s="7">
        <f t="shared" si="11"/>
        <v>73.343999999999994</v>
      </c>
      <c r="F55" s="7">
        <f t="shared" si="12"/>
        <v>9.1350000000000051</v>
      </c>
      <c r="G55" s="7">
        <f t="shared" si="13"/>
        <v>0</v>
      </c>
      <c r="H55" s="7">
        <f t="shared" si="14"/>
        <v>10.372999999999998</v>
      </c>
      <c r="I55" s="8">
        <v>50.506999999999998</v>
      </c>
      <c r="J55" s="8">
        <v>59.445</v>
      </c>
      <c r="K55" s="8">
        <v>50.506999999999998</v>
      </c>
      <c r="L55" s="8">
        <v>59.642000000000003</v>
      </c>
      <c r="M55" s="8">
        <v>73.343999999999994</v>
      </c>
      <c r="N55" s="8">
        <v>70.015000000000001</v>
      </c>
      <c r="O55" s="8">
        <v>73.343999999999994</v>
      </c>
      <c r="P55" s="8">
        <v>72.62</v>
      </c>
      <c r="Q55" s="10">
        <f t="shared" si="15"/>
        <v>3.3289999999999935</v>
      </c>
    </row>
    <row r="56" spans="1:17" x14ac:dyDescent="0.35">
      <c r="A56" s="3">
        <v>1903</v>
      </c>
      <c r="B56" s="4">
        <f t="shared" si="8"/>
        <v>51.110999999999997</v>
      </c>
      <c r="C56" s="4">
        <f t="shared" si="9"/>
        <v>60.302</v>
      </c>
      <c r="D56" s="4">
        <f t="shared" si="10"/>
        <v>69.290000000000006</v>
      </c>
      <c r="E56" s="4">
        <f t="shared" si="11"/>
        <v>74.007000000000005</v>
      </c>
      <c r="F56" s="4">
        <f t="shared" si="12"/>
        <v>9.1910000000000025</v>
      </c>
      <c r="G56" s="4">
        <f t="shared" si="13"/>
        <v>0</v>
      </c>
      <c r="H56" s="4">
        <f t="shared" si="14"/>
        <v>8.9880000000000067</v>
      </c>
      <c r="I56" s="5">
        <v>51.110999999999997</v>
      </c>
      <c r="J56" s="5">
        <v>59.216000000000001</v>
      </c>
      <c r="K56" s="5">
        <v>51.110999999999997</v>
      </c>
      <c r="L56" s="5">
        <v>60.302</v>
      </c>
      <c r="M56" s="5">
        <v>74.007000000000005</v>
      </c>
      <c r="N56" s="5">
        <v>69.290000000000006</v>
      </c>
      <c r="O56" s="5">
        <v>74.007000000000005</v>
      </c>
      <c r="P56" s="5">
        <v>73.081999999999994</v>
      </c>
      <c r="Q56" s="10">
        <f t="shared" si="15"/>
        <v>4.7169999999999987</v>
      </c>
    </row>
    <row r="57" spans="1:17" x14ac:dyDescent="0.35">
      <c r="A57" s="6">
        <v>1904</v>
      </c>
      <c r="B57" s="7">
        <f t="shared" si="8"/>
        <v>50.795999999999999</v>
      </c>
      <c r="C57" s="7">
        <f t="shared" si="9"/>
        <v>59.527000000000001</v>
      </c>
      <c r="D57" s="7">
        <f t="shared" si="10"/>
        <v>67.707999999999998</v>
      </c>
      <c r="E57" s="7">
        <f t="shared" si="11"/>
        <v>73.900999999999996</v>
      </c>
      <c r="F57" s="7">
        <f t="shared" si="12"/>
        <v>8.7310000000000016</v>
      </c>
      <c r="G57" s="7">
        <f t="shared" si="13"/>
        <v>0</v>
      </c>
      <c r="H57" s="7">
        <f t="shared" si="14"/>
        <v>8.1809999999999974</v>
      </c>
      <c r="I57" s="8">
        <v>50.795999999999999</v>
      </c>
      <c r="J57" s="8">
        <v>57.652999999999999</v>
      </c>
      <c r="K57" s="8">
        <v>50.795999999999999</v>
      </c>
      <c r="L57" s="8">
        <v>59.527000000000001</v>
      </c>
      <c r="M57" s="8">
        <v>73.900999999999996</v>
      </c>
      <c r="N57" s="8">
        <v>67.707999999999998</v>
      </c>
      <c r="O57" s="8">
        <v>73.900999999999996</v>
      </c>
      <c r="P57" s="8">
        <v>72.287000000000006</v>
      </c>
      <c r="Q57" s="10">
        <f t="shared" si="15"/>
        <v>6.1929999999999978</v>
      </c>
    </row>
    <row r="58" spans="1:17" x14ac:dyDescent="0.35">
      <c r="A58" s="3">
        <v>1905</v>
      </c>
      <c r="B58" s="4">
        <f t="shared" si="8"/>
        <v>51.344999999999999</v>
      </c>
      <c r="C58" s="4">
        <f t="shared" si="9"/>
        <v>60.386000000000003</v>
      </c>
      <c r="D58" s="4">
        <f t="shared" si="10"/>
        <v>67.054000000000002</v>
      </c>
      <c r="E58" s="4">
        <f t="shared" si="11"/>
        <v>74.611999999999995</v>
      </c>
      <c r="F58" s="4">
        <f t="shared" si="12"/>
        <v>9.0410000000000039</v>
      </c>
      <c r="G58" s="4">
        <f t="shared" si="13"/>
        <v>0</v>
      </c>
      <c r="H58" s="4">
        <f t="shared" si="14"/>
        <v>6.6679999999999993</v>
      </c>
      <c r="I58" s="5">
        <v>51.344999999999999</v>
      </c>
      <c r="J58" s="5">
        <v>57.41</v>
      </c>
      <c r="K58" s="5">
        <v>51.344999999999999</v>
      </c>
      <c r="L58" s="5">
        <v>60.386000000000003</v>
      </c>
      <c r="M58" s="5">
        <v>74.611999999999995</v>
      </c>
      <c r="N58" s="5">
        <v>67.054000000000002</v>
      </c>
      <c r="O58" s="5">
        <v>74.611999999999995</v>
      </c>
      <c r="P58" s="5">
        <v>73.319999999999993</v>
      </c>
      <c r="Q58" s="10">
        <f t="shared" si="15"/>
        <v>7.5579999999999927</v>
      </c>
    </row>
    <row r="59" spans="1:17" x14ac:dyDescent="0.35">
      <c r="A59" s="6">
        <v>1906</v>
      </c>
      <c r="B59" s="7">
        <f t="shared" si="8"/>
        <v>51.151000000000003</v>
      </c>
      <c r="C59" s="7">
        <f t="shared" si="9"/>
        <v>60.081000000000003</v>
      </c>
      <c r="D59" s="7">
        <f t="shared" si="10"/>
        <v>65.843999999999994</v>
      </c>
      <c r="E59" s="7">
        <f t="shared" si="11"/>
        <v>74.459000000000003</v>
      </c>
      <c r="F59" s="7">
        <f t="shared" si="12"/>
        <v>8.93</v>
      </c>
      <c r="G59" s="7">
        <f t="shared" si="13"/>
        <v>0</v>
      </c>
      <c r="H59" s="7">
        <f t="shared" si="14"/>
        <v>5.762999999999991</v>
      </c>
      <c r="I59" s="8">
        <v>51.151000000000003</v>
      </c>
      <c r="J59" s="8">
        <v>56.279000000000003</v>
      </c>
      <c r="K59" s="8">
        <v>51.151000000000003</v>
      </c>
      <c r="L59" s="8">
        <v>60.081000000000003</v>
      </c>
      <c r="M59" s="8">
        <v>74.459000000000003</v>
      </c>
      <c r="N59" s="8">
        <v>65.843999999999994</v>
      </c>
      <c r="O59" s="8">
        <v>74.459000000000003</v>
      </c>
      <c r="P59" s="8">
        <v>72.978999999999999</v>
      </c>
      <c r="Q59" s="10">
        <f t="shared" si="15"/>
        <v>8.6150000000000091</v>
      </c>
    </row>
    <row r="60" spans="1:17" x14ac:dyDescent="0.35">
      <c r="A60" s="3">
        <v>1907</v>
      </c>
      <c r="B60" s="4">
        <f t="shared" si="8"/>
        <v>52.642000000000003</v>
      </c>
      <c r="C60" s="4">
        <f t="shared" si="9"/>
        <v>61.517000000000003</v>
      </c>
      <c r="D60" s="4">
        <f t="shared" si="10"/>
        <v>67.049000000000007</v>
      </c>
      <c r="E60" s="4">
        <f t="shared" si="11"/>
        <v>75.665000000000006</v>
      </c>
      <c r="F60" s="4">
        <f t="shared" si="12"/>
        <v>8.875</v>
      </c>
      <c r="G60" s="4">
        <f t="shared" si="13"/>
        <v>0</v>
      </c>
      <c r="H60" s="4">
        <f t="shared" si="14"/>
        <v>5.5320000000000036</v>
      </c>
      <c r="I60" s="5">
        <v>52.642000000000003</v>
      </c>
      <c r="J60" s="5">
        <v>57.698999999999998</v>
      </c>
      <c r="K60" s="5">
        <v>52.642000000000003</v>
      </c>
      <c r="L60" s="5">
        <v>61.517000000000003</v>
      </c>
      <c r="M60" s="5">
        <v>75.665000000000006</v>
      </c>
      <c r="N60" s="5">
        <v>67.049000000000007</v>
      </c>
      <c r="O60" s="5">
        <v>75.665000000000006</v>
      </c>
      <c r="P60" s="5">
        <v>74.378</v>
      </c>
      <c r="Q60" s="10">
        <f t="shared" si="15"/>
        <v>8.6159999999999997</v>
      </c>
    </row>
    <row r="61" spans="1:17" x14ac:dyDescent="0.35">
      <c r="A61" s="6">
        <v>1908</v>
      </c>
      <c r="B61" s="7">
        <f t="shared" si="8"/>
        <v>51.689</v>
      </c>
      <c r="C61" s="7">
        <f t="shared" si="9"/>
        <v>60.191000000000003</v>
      </c>
      <c r="D61" s="7">
        <f t="shared" si="10"/>
        <v>65.792000000000002</v>
      </c>
      <c r="E61" s="7">
        <f t="shared" si="11"/>
        <v>75.385000000000005</v>
      </c>
      <c r="F61" s="7">
        <f t="shared" si="12"/>
        <v>8.5020000000000024</v>
      </c>
      <c r="G61" s="7">
        <f t="shared" si="13"/>
        <v>0</v>
      </c>
      <c r="H61" s="7">
        <f t="shared" si="14"/>
        <v>5.6009999999999991</v>
      </c>
      <c r="I61" s="8">
        <v>51.689</v>
      </c>
      <c r="J61" s="8">
        <v>56.192999999999998</v>
      </c>
      <c r="K61" s="8">
        <v>51.689</v>
      </c>
      <c r="L61" s="8">
        <v>60.191000000000003</v>
      </c>
      <c r="M61" s="8">
        <v>75.385000000000005</v>
      </c>
      <c r="N61" s="8">
        <v>65.792000000000002</v>
      </c>
      <c r="O61" s="8">
        <v>75.385000000000005</v>
      </c>
      <c r="P61" s="8">
        <v>73.494</v>
      </c>
      <c r="Q61" s="10">
        <f t="shared" si="15"/>
        <v>9.5930000000000035</v>
      </c>
    </row>
    <row r="62" spans="1:17" x14ac:dyDescent="0.35">
      <c r="A62" s="3">
        <v>1909</v>
      </c>
      <c r="B62" s="4">
        <f t="shared" si="8"/>
        <v>51.927999999999997</v>
      </c>
      <c r="C62" s="4">
        <f t="shared" si="9"/>
        <v>60.08</v>
      </c>
      <c r="D62" s="4">
        <f t="shared" si="10"/>
        <v>65.989999999999995</v>
      </c>
      <c r="E62" s="4">
        <f t="shared" si="11"/>
        <v>75.66</v>
      </c>
      <c r="F62" s="4">
        <f t="shared" si="12"/>
        <v>8.152000000000001</v>
      </c>
      <c r="G62" s="4">
        <f t="shared" si="13"/>
        <v>0</v>
      </c>
      <c r="H62" s="4">
        <f t="shared" si="14"/>
        <v>5.9099999999999966</v>
      </c>
      <c r="I62" s="5">
        <v>51.927999999999997</v>
      </c>
      <c r="J62" s="5">
        <v>56.444000000000003</v>
      </c>
      <c r="K62" s="5">
        <v>51.927999999999997</v>
      </c>
      <c r="L62" s="5">
        <v>60.08</v>
      </c>
      <c r="M62" s="5">
        <v>75.66</v>
      </c>
      <c r="N62" s="5">
        <v>65.989999999999995</v>
      </c>
      <c r="O62" s="5">
        <v>75.66</v>
      </c>
      <c r="P62" s="5">
        <v>73.433999999999997</v>
      </c>
      <c r="Q62" s="10">
        <f t="shared" si="15"/>
        <v>9.6700000000000017</v>
      </c>
    </row>
    <row r="63" spans="1:17" x14ac:dyDescent="0.35">
      <c r="A63" s="6">
        <v>1910</v>
      </c>
      <c r="B63" s="7">
        <f t="shared" si="8"/>
        <v>53.735999999999997</v>
      </c>
      <c r="C63" s="7">
        <f t="shared" si="9"/>
        <v>61.2</v>
      </c>
      <c r="D63" s="7">
        <f t="shared" si="10"/>
        <v>66.355000000000004</v>
      </c>
      <c r="E63" s="7">
        <f t="shared" si="11"/>
        <v>73.042000000000002</v>
      </c>
      <c r="F63" s="7">
        <f t="shared" si="12"/>
        <v>7.4640000000000057</v>
      </c>
      <c r="G63" s="7">
        <f t="shared" si="13"/>
        <v>0</v>
      </c>
      <c r="H63" s="7">
        <f t="shared" si="14"/>
        <v>5.1550000000000011</v>
      </c>
      <c r="I63" s="8">
        <v>53.735999999999997</v>
      </c>
      <c r="J63" s="8">
        <v>57.097999999999999</v>
      </c>
      <c r="K63" s="8">
        <v>53.735999999999997</v>
      </c>
      <c r="L63" s="8">
        <v>61.2</v>
      </c>
      <c r="M63" s="8">
        <v>73.042000000000002</v>
      </c>
      <c r="N63" s="8">
        <v>66.355000000000004</v>
      </c>
      <c r="O63" s="8">
        <v>73.042000000000002</v>
      </c>
      <c r="P63" s="8">
        <v>72.296000000000006</v>
      </c>
      <c r="Q63" s="10">
        <f t="shared" si="15"/>
        <v>6.6869999999999976</v>
      </c>
    </row>
    <row r="64" spans="1:17" x14ac:dyDescent="0.35">
      <c r="A64" s="3">
        <v>1911</v>
      </c>
      <c r="B64" s="4">
        <f t="shared" si="8"/>
        <v>54.046999999999997</v>
      </c>
      <c r="C64" s="4">
        <f t="shared" si="9"/>
        <v>60.759</v>
      </c>
      <c r="D64" s="4">
        <f t="shared" si="10"/>
        <v>68.466999999999999</v>
      </c>
      <c r="E64" s="4">
        <f t="shared" si="11"/>
        <v>71.957999999999998</v>
      </c>
      <c r="F64" s="4">
        <f t="shared" si="12"/>
        <v>6.7120000000000033</v>
      </c>
      <c r="G64" s="4">
        <f t="shared" si="13"/>
        <v>0</v>
      </c>
      <c r="H64" s="4">
        <f t="shared" si="14"/>
        <v>7.7079999999999984</v>
      </c>
      <c r="I64" s="5">
        <v>54.046999999999997</v>
      </c>
      <c r="J64" s="5">
        <v>58.804000000000002</v>
      </c>
      <c r="K64" s="5">
        <v>54.046999999999997</v>
      </c>
      <c r="L64" s="5">
        <v>60.759</v>
      </c>
      <c r="M64" s="5">
        <v>71.957999999999998</v>
      </c>
      <c r="N64" s="5">
        <v>68.466999999999999</v>
      </c>
      <c r="O64" s="5">
        <v>71.957999999999998</v>
      </c>
      <c r="P64" s="5">
        <v>71.460999999999999</v>
      </c>
      <c r="Q64" s="10">
        <f t="shared" si="15"/>
        <v>3.4909999999999997</v>
      </c>
    </row>
    <row r="65" spans="1:17" x14ac:dyDescent="0.35">
      <c r="A65" s="6">
        <v>1912</v>
      </c>
      <c r="B65" s="7">
        <f t="shared" si="8"/>
        <v>54.654000000000003</v>
      </c>
      <c r="C65" s="7">
        <f t="shared" si="9"/>
        <v>60.756</v>
      </c>
      <c r="D65" s="7">
        <f t="shared" si="10"/>
        <v>69.558999999999997</v>
      </c>
      <c r="E65" s="7">
        <f t="shared" si="11"/>
        <v>71.968000000000004</v>
      </c>
      <c r="F65" s="7">
        <f t="shared" si="12"/>
        <v>6.1019999999999968</v>
      </c>
      <c r="G65" s="7">
        <f t="shared" si="13"/>
        <v>0</v>
      </c>
      <c r="H65" s="7">
        <f t="shared" si="14"/>
        <v>8.8029999999999973</v>
      </c>
      <c r="I65" s="8">
        <v>54.654000000000003</v>
      </c>
      <c r="J65" s="8">
        <v>59.497999999999998</v>
      </c>
      <c r="K65" s="8">
        <v>54.654000000000003</v>
      </c>
      <c r="L65" s="8">
        <v>60.756</v>
      </c>
      <c r="M65" s="8">
        <v>71.968000000000004</v>
      </c>
      <c r="N65" s="8">
        <v>69.558999999999997</v>
      </c>
      <c r="O65" s="8">
        <v>71.968000000000004</v>
      </c>
      <c r="P65" s="8">
        <v>71.947999999999993</v>
      </c>
      <c r="Q65" s="10">
        <f t="shared" si="15"/>
        <v>2.409000000000006</v>
      </c>
    </row>
    <row r="66" spans="1:17" x14ac:dyDescent="0.35">
      <c r="A66" s="3">
        <v>1913</v>
      </c>
      <c r="B66" s="4">
        <f t="shared" si="8"/>
        <v>55.99</v>
      </c>
      <c r="C66" s="4">
        <f t="shared" si="9"/>
        <v>61.469000000000001</v>
      </c>
      <c r="D66" s="4">
        <f t="shared" si="10"/>
        <v>71.843999999999994</v>
      </c>
      <c r="E66" s="4">
        <f t="shared" si="11"/>
        <v>71.864000000000004</v>
      </c>
      <c r="F66" s="4">
        <f t="shared" si="12"/>
        <v>5.4789999999999992</v>
      </c>
      <c r="G66" s="4">
        <f t="shared" si="13"/>
        <v>0</v>
      </c>
      <c r="H66" s="4">
        <f t="shared" si="14"/>
        <v>10.374999999999993</v>
      </c>
      <c r="I66" s="5">
        <v>55.99</v>
      </c>
      <c r="J66" s="5">
        <v>61.469000000000001</v>
      </c>
      <c r="K66" s="5">
        <v>55.99</v>
      </c>
      <c r="L66" s="5">
        <v>61.462000000000003</v>
      </c>
      <c r="M66" s="5">
        <v>71.863</v>
      </c>
      <c r="N66" s="5">
        <v>71.843999999999994</v>
      </c>
      <c r="O66" s="5">
        <v>71.863</v>
      </c>
      <c r="P66" s="5">
        <v>71.864000000000004</v>
      </c>
      <c r="Q66" s="10">
        <f t="shared" si="15"/>
        <v>2.0000000000010232E-2</v>
      </c>
    </row>
    <row r="67" spans="1:17" x14ac:dyDescent="0.35">
      <c r="A67" s="6">
        <v>1914</v>
      </c>
      <c r="B67" s="7">
        <f t="shared" ref="B67:B98" si="16">IFERROR(MIN(I67:L67),"")</f>
        <v>55.034999999999997</v>
      </c>
      <c r="C67" s="7">
        <f t="shared" ref="C67:C98" si="17">IFERROR(MAX(I67:L67),"")</f>
        <v>60.338000000000001</v>
      </c>
      <c r="D67" s="7">
        <f t="shared" ref="D67:D98" si="18">IFERROR(MIN(M67:P67),"")</f>
        <v>70.11</v>
      </c>
      <c r="E67" s="7">
        <f t="shared" ref="E67:E98" si="19">IFERROR(MAX(M67:P67),"")</f>
        <v>70.808999999999997</v>
      </c>
      <c r="F67" s="7">
        <f t="shared" ref="F67:F98" si="20">IFERROR(MIN(C67,D67)-B67,"")</f>
        <v>5.3030000000000044</v>
      </c>
      <c r="G67" s="7">
        <f t="shared" ref="G67:G98" si="21">IFERROR(MAX(0,C67-D67),"")</f>
        <v>0</v>
      </c>
      <c r="H67" s="7">
        <f t="shared" ref="H67:H98" si="22">IFERROR(MAX(0,D67-C67),"")</f>
        <v>9.7719999999999985</v>
      </c>
      <c r="I67" s="8">
        <v>55.034999999999997</v>
      </c>
      <c r="J67" s="8">
        <v>60.338000000000001</v>
      </c>
      <c r="K67" s="8">
        <v>55.034999999999997</v>
      </c>
      <c r="L67" s="8">
        <v>60.170999999999999</v>
      </c>
      <c r="M67" s="8">
        <v>70.11</v>
      </c>
      <c r="N67" s="8">
        <v>70.808999999999997</v>
      </c>
      <c r="O67" s="8">
        <v>70.11</v>
      </c>
      <c r="P67" s="8">
        <v>70.238</v>
      </c>
      <c r="Q67" s="10">
        <f t="shared" ref="Q67:Q98" si="23">IFERROR(MAX(0,$E67-MAX($C67,$D67)),"")</f>
        <v>0.69899999999999807</v>
      </c>
    </row>
    <row r="68" spans="1:17" x14ac:dyDescent="0.35">
      <c r="A68" s="3">
        <v>1915</v>
      </c>
      <c r="B68" s="4">
        <f t="shared" si="16"/>
        <v>55.110999999999997</v>
      </c>
      <c r="C68" s="4">
        <f t="shared" si="17"/>
        <v>60.465000000000003</v>
      </c>
      <c r="D68" s="4">
        <f t="shared" si="18"/>
        <v>69.343999999999994</v>
      </c>
      <c r="E68" s="4">
        <f t="shared" si="19"/>
        <v>70.981999999999999</v>
      </c>
      <c r="F68" s="4">
        <f t="shared" si="20"/>
        <v>5.3540000000000063</v>
      </c>
      <c r="G68" s="4">
        <f t="shared" si="21"/>
        <v>0</v>
      </c>
      <c r="H68" s="4">
        <f t="shared" si="22"/>
        <v>8.8789999999999907</v>
      </c>
      <c r="I68" s="5">
        <v>55.110999999999997</v>
      </c>
      <c r="J68" s="5">
        <v>60.465000000000003</v>
      </c>
      <c r="K68" s="5">
        <v>55.110999999999997</v>
      </c>
      <c r="L68" s="5">
        <v>59.576999999999998</v>
      </c>
      <c r="M68" s="5">
        <v>69.343999999999994</v>
      </c>
      <c r="N68" s="5">
        <v>70.981999999999999</v>
      </c>
      <c r="O68" s="5">
        <v>69.343999999999994</v>
      </c>
      <c r="P68" s="5">
        <v>69.423000000000002</v>
      </c>
      <c r="Q68" s="10">
        <f t="shared" si="23"/>
        <v>1.6380000000000052</v>
      </c>
    </row>
    <row r="69" spans="1:17" x14ac:dyDescent="0.35">
      <c r="A69" s="6">
        <v>1916</v>
      </c>
      <c r="B69" s="7">
        <f t="shared" si="16"/>
        <v>56.103000000000002</v>
      </c>
      <c r="C69" s="7">
        <f t="shared" si="17"/>
        <v>61.292000000000002</v>
      </c>
      <c r="D69" s="7">
        <f t="shared" si="18"/>
        <v>70.082999999999998</v>
      </c>
      <c r="E69" s="7">
        <f t="shared" si="19"/>
        <v>71.813000000000002</v>
      </c>
      <c r="F69" s="7">
        <f t="shared" si="20"/>
        <v>5.1890000000000001</v>
      </c>
      <c r="G69" s="7">
        <f t="shared" si="21"/>
        <v>0</v>
      </c>
      <c r="H69" s="7">
        <f t="shared" si="22"/>
        <v>8.7909999999999968</v>
      </c>
      <c r="I69" s="8">
        <v>56.103000000000002</v>
      </c>
      <c r="J69" s="8">
        <v>61.292000000000002</v>
      </c>
      <c r="K69" s="8">
        <v>56.103000000000002</v>
      </c>
      <c r="L69" s="8">
        <v>59.781999999999996</v>
      </c>
      <c r="M69" s="8">
        <v>70.082999999999998</v>
      </c>
      <c r="N69" s="8">
        <v>71.813000000000002</v>
      </c>
      <c r="O69" s="8">
        <v>70.082999999999998</v>
      </c>
      <c r="P69" s="8">
        <v>70.108000000000004</v>
      </c>
      <c r="Q69" s="10">
        <f t="shared" si="23"/>
        <v>1.730000000000004</v>
      </c>
    </row>
    <row r="70" spans="1:17" x14ac:dyDescent="0.35">
      <c r="A70" s="3">
        <v>1917</v>
      </c>
      <c r="B70" s="4">
        <f t="shared" si="16"/>
        <v>57.234000000000002</v>
      </c>
      <c r="C70" s="4">
        <f t="shared" si="17"/>
        <v>61.667999999999999</v>
      </c>
      <c r="D70" s="4">
        <f t="shared" si="18"/>
        <v>69.599000000000004</v>
      </c>
      <c r="E70" s="4">
        <f t="shared" si="19"/>
        <v>72.037999999999997</v>
      </c>
      <c r="F70" s="4">
        <f t="shared" si="20"/>
        <v>4.4339999999999975</v>
      </c>
      <c r="G70" s="4">
        <f t="shared" si="21"/>
        <v>0</v>
      </c>
      <c r="H70" s="4">
        <f t="shared" si="22"/>
        <v>7.9310000000000045</v>
      </c>
      <c r="I70" s="5">
        <v>57.234000000000002</v>
      </c>
      <c r="J70" s="5">
        <v>61.667999999999999</v>
      </c>
      <c r="K70" s="5">
        <v>57.234000000000002</v>
      </c>
      <c r="L70" s="5">
        <v>60.154000000000003</v>
      </c>
      <c r="M70" s="5">
        <v>69.974999999999994</v>
      </c>
      <c r="N70" s="5">
        <v>72.037999999999997</v>
      </c>
      <c r="O70" s="5">
        <v>69.974999999999994</v>
      </c>
      <c r="P70" s="5">
        <v>69.599000000000004</v>
      </c>
      <c r="Q70" s="10">
        <f t="shared" si="23"/>
        <v>2.438999999999993</v>
      </c>
    </row>
    <row r="71" spans="1:17" x14ac:dyDescent="0.35">
      <c r="A71" s="6">
        <v>1918</v>
      </c>
      <c r="B71" s="7">
        <f t="shared" si="16"/>
        <v>58.505000000000003</v>
      </c>
      <c r="C71" s="7">
        <f t="shared" si="17"/>
        <v>62.375</v>
      </c>
      <c r="D71" s="7">
        <f t="shared" si="18"/>
        <v>69.326999999999998</v>
      </c>
      <c r="E71" s="7">
        <f t="shared" si="19"/>
        <v>71.596000000000004</v>
      </c>
      <c r="F71" s="7">
        <f t="shared" si="20"/>
        <v>3.8699999999999974</v>
      </c>
      <c r="G71" s="7">
        <f t="shared" si="21"/>
        <v>0</v>
      </c>
      <c r="H71" s="7">
        <f t="shared" si="22"/>
        <v>6.9519999999999982</v>
      </c>
      <c r="I71" s="8">
        <v>58.505000000000003</v>
      </c>
      <c r="J71" s="8">
        <v>62.375</v>
      </c>
      <c r="K71" s="8">
        <v>58.505000000000003</v>
      </c>
      <c r="L71" s="8">
        <v>61.445</v>
      </c>
      <c r="M71" s="8">
        <v>69.393000000000001</v>
      </c>
      <c r="N71" s="8">
        <v>71.596000000000004</v>
      </c>
      <c r="O71" s="8">
        <v>69.393000000000001</v>
      </c>
      <c r="P71" s="8">
        <v>69.326999999999998</v>
      </c>
      <c r="Q71" s="10">
        <f t="shared" si="23"/>
        <v>2.2690000000000055</v>
      </c>
    </row>
    <row r="72" spans="1:17" x14ac:dyDescent="0.35">
      <c r="A72" s="3">
        <v>1919</v>
      </c>
      <c r="B72" s="4">
        <f t="shared" si="16"/>
        <v>57.182000000000002</v>
      </c>
      <c r="C72" s="4">
        <f t="shared" si="17"/>
        <v>60.607999999999997</v>
      </c>
      <c r="D72" s="4">
        <f t="shared" si="18"/>
        <v>66.537999999999997</v>
      </c>
      <c r="E72" s="4">
        <f t="shared" si="19"/>
        <v>68.77</v>
      </c>
      <c r="F72" s="4">
        <f t="shared" si="20"/>
        <v>3.4259999999999948</v>
      </c>
      <c r="G72" s="4">
        <f t="shared" si="21"/>
        <v>0</v>
      </c>
      <c r="H72" s="4">
        <f t="shared" si="22"/>
        <v>5.93</v>
      </c>
      <c r="I72" s="5">
        <v>57.182000000000002</v>
      </c>
      <c r="J72" s="5">
        <v>60.607999999999997</v>
      </c>
      <c r="K72" s="5">
        <v>57.182000000000002</v>
      </c>
      <c r="L72" s="5">
        <v>59.573</v>
      </c>
      <c r="M72" s="5">
        <v>66.905000000000001</v>
      </c>
      <c r="N72" s="5">
        <v>68.77</v>
      </c>
      <c r="O72" s="5">
        <v>66.905000000000001</v>
      </c>
      <c r="P72" s="5">
        <v>66.537999999999997</v>
      </c>
      <c r="Q72" s="10">
        <f t="shared" si="23"/>
        <v>2.2319999999999993</v>
      </c>
    </row>
    <row r="73" spans="1:17" x14ac:dyDescent="0.35">
      <c r="A73" s="6">
        <v>1920</v>
      </c>
      <c r="B73" s="7">
        <f t="shared" si="16"/>
        <v>54.771000000000001</v>
      </c>
      <c r="C73" s="7">
        <f t="shared" si="17"/>
        <v>61.691000000000003</v>
      </c>
      <c r="D73" s="7">
        <f t="shared" si="18"/>
        <v>66.180000000000007</v>
      </c>
      <c r="E73" s="7">
        <f t="shared" si="19"/>
        <v>70.412000000000006</v>
      </c>
      <c r="F73" s="7">
        <f t="shared" si="20"/>
        <v>6.9200000000000017</v>
      </c>
      <c r="G73" s="7">
        <f t="shared" si="21"/>
        <v>0</v>
      </c>
      <c r="H73" s="7">
        <f t="shared" si="22"/>
        <v>4.4890000000000043</v>
      </c>
      <c r="I73" s="8">
        <v>54.771000000000001</v>
      </c>
      <c r="J73" s="8">
        <v>61.691000000000003</v>
      </c>
      <c r="K73" s="8">
        <v>54.771000000000001</v>
      </c>
      <c r="L73" s="8">
        <v>59.57</v>
      </c>
      <c r="M73" s="8">
        <v>66.180000000000007</v>
      </c>
      <c r="N73" s="8">
        <v>70.412000000000006</v>
      </c>
      <c r="O73" s="8">
        <v>66.180000000000007</v>
      </c>
      <c r="P73" s="8">
        <v>67.781999999999996</v>
      </c>
      <c r="Q73" s="10">
        <f t="shared" si="23"/>
        <v>4.2319999999999993</v>
      </c>
    </row>
    <row r="74" spans="1:17" x14ac:dyDescent="0.35">
      <c r="A74" s="3">
        <v>1921</v>
      </c>
      <c r="B74" s="4">
        <f t="shared" si="16"/>
        <v>51.046999999999997</v>
      </c>
      <c r="C74" s="4">
        <f t="shared" si="17"/>
        <v>56.661000000000001</v>
      </c>
      <c r="D74" s="4">
        <f t="shared" si="18"/>
        <v>63.45</v>
      </c>
      <c r="E74" s="4">
        <f t="shared" si="19"/>
        <v>65.884</v>
      </c>
      <c r="F74" s="4">
        <f t="shared" si="20"/>
        <v>5.6140000000000043</v>
      </c>
      <c r="G74" s="4">
        <f t="shared" si="21"/>
        <v>0</v>
      </c>
      <c r="H74" s="4">
        <f t="shared" si="22"/>
        <v>6.7890000000000015</v>
      </c>
      <c r="I74" s="5">
        <v>51.046999999999997</v>
      </c>
      <c r="J74" s="5">
        <v>56.661000000000001</v>
      </c>
      <c r="K74" s="5">
        <v>51.046999999999997</v>
      </c>
      <c r="L74" s="5">
        <v>56.131</v>
      </c>
      <c r="M74" s="5">
        <v>63.45</v>
      </c>
      <c r="N74" s="5">
        <v>65.884</v>
      </c>
      <c r="O74" s="5">
        <v>63.45</v>
      </c>
      <c r="P74" s="5">
        <v>65.108000000000004</v>
      </c>
      <c r="Q74" s="10">
        <f t="shared" si="23"/>
        <v>2.4339999999999975</v>
      </c>
    </row>
    <row r="75" spans="1:17" x14ac:dyDescent="0.35">
      <c r="A75" s="6">
        <v>1922</v>
      </c>
      <c r="B75" s="7">
        <f t="shared" si="16"/>
        <v>51.220999999999997</v>
      </c>
      <c r="C75" s="7">
        <f t="shared" si="17"/>
        <v>56.908999999999999</v>
      </c>
      <c r="D75" s="7">
        <f t="shared" si="18"/>
        <v>63.502000000000002</v>
      </c>
      <c r="E75" s="7">
        <f t="shared" si="19"/>
        <v>65.713999999999999</v>
      </c>
      <c r="F75" s="7">
        <f t="shared" si="20"/>
        <v>5.6880000000000024</v>
      </c>
      <c r="G75" s="7">
        <f t="shared" si="21"/>
        <v>0</v>
      </c>
      <c r="H75" s="7">
        <f t="shared" si="22"/>
        <v>6.5930000000000035</v>
      </c>
      <c r="I75" s="8">
        <v>51.220999999999997</v>
      </c>
      <c r="J75" s="8">
        <v>56.496000000000002</v>
      </c>
      <c r="K75" s="8">
        <v>51.220999999999997</v>
      </c>
      <c r="L75" s="8">
        <v>56.908999999999999</v>
      </c>
      <c r="M75" s="8">
        <v>63.502000000000002</v>
      </c>
      <c r="N75" s="8">
        <v>65.634</v>
      </c>
      <c r="O75" s="8">
        <v>63.502000000000002</v>
      </c>
      <c r="P75" s="8">
        <v>65.713999999999999</v>
      </c>
      <c r="Q75" s="10">
        <f t="shared" si="23"/>
        <v>2.2119999999999962</v>
      </c>
    </row>
    <row r="76" spans="1:17" x14ac:dyDescent="0.35">
      <c r="A76" s="3">
        <v>1923</v>
      </c>
      <c r="B76" s="4">
        <f t="shared" si="16"/>
        <v>52.158999999999999</v>
      </c>
      <c r="C76" s="4">
        <f t="shared" si="17"/>
        <v>58.667000000000002</v>
      </c>
      <c r="D76" s="4">
        <f t="shared" si="18"/>
        <v>64.266999999999996</v>
      </c>
      <c r="E76" s="4">
        <f t="shared" si="19"/>
        <v>67.097999999999999</v>
      </c>
      <c r="F76" s="4">
        <f t="shared" si="20"/>
        <v>6.5080000000000027</v>
      </c>
      <c r="G76" s="4">
        <f t="shared" si="21"/>
        <v>0</v>
      </c>
      <c r="H76" s="4">
        <f t="shared" si="22"/>
        <v>5.5999999999999943</v>
      </c>
      <c r="I76" s="5">
        <v>52.158999999999999</v>
      </c>
      <c r="J76" s="5">
        <v>58.667000000000002</v>
      </c>
      <c r="K76" s="5">
        <v>52.158999999999999</v>
      </c>
      <c r="L76" s="5">
        <v>58.267000000000003</v>
      </c>
      <c r="M76" s="5">
        <v>64.266999999999996</v>
      </c>
      <c r="N76" s="5">
        <v>67.097999999999999</v>
      </c>
      <c r="O76" s="5">
        <v>64.266999999999996</v>
      </c>
      <c r="P76" s="5">
        <v>66.796000000000006</v>
      </c>
      <c r="Q76" s="10">
        <f t="shared" si="23"/>
        <v>2.8310000000000031</v>
      </c>
    </row>
    <row r="77" spans="1:17" x14ac:dyDescent="0.35">
      <c r="A77" s="6">
        <v>1924</v>
      </c>
      <c r="B77" s="7">
        <f t="shared" si="16"/>
        <v>51.878999999999998</v>
      </c>
      <c r="C77" s="7">
        <f t="shared" si="17"/>
        <v>58.335000000000001</v>
      </c>
      <c r="D77" s="7">
        <f t="shared" si="18"/>
        <v>63.546999999999997</v>
      </c>
      <c r="E77" s="7">
        <f t="shared" si="19"/>
        <v>66.429000000000002</v>
      </c>
      <c r="F77" s="7">
        <f t="shared" si="20"/>
        <v>6.4560000000000031</v>
      </c>
      <c r="G77" s="7">
        <f t="shared" si="21"/>
        <v>0</v>
      </c>
      <c r="H77" s="7">
        <f t="shared" si="22"/>
        <v>5.2119999999999962</v>
      </c>
      <c r="I77" s="8">
        <v>51.878999999999998</v>
      </c>
      <c r="J77" s="8">
        <v>57.753</v>
      </c>
      <c r="K77" s="8">
        <v>51.878999999999998</v>
      </c>
      <c r="L77" s="8">
        <v>58.335000000000001</v>
      </c>
      <c r="M77" s="8">
        <v>63.546999999999997</v>
      </c>
      <c r="N77" s="8">
        <v>66.429000000000002</v>
      </c>
      <c r="O77" s="8">
        <v>63.546999999999997</v>
      </c>
      <c r="P77" s="8">
        <v>66.081999999999994</v>
      </c>
      <c r="Q77" s="10">
        <f t="shared" si="23"/>
        <v>2.882000000000005</v>
      </c>
    </row>
    <row r="78" spans="1:17" x14ac:dyDescent="0.35">
      <c r="A78" s="3">
        <v>1925</v>
      </c>
      <c r="B78" s="4">
        <f t="shared" si="16"/>
        <v>51.378</v>
      </c>
      <c r="C78" s="4">
        <f t="shared" si="17"/>
        <v>57.847000000000001</v>
      </c>
      <c r="D78" s="4">
        <f t="shared" si="18"/>
        <v>63.69</v>
      </c>
      <c r="E78" s="4">
        <f t="shared" si="19"/>
        <v>66.200999999999993</v>
      </c>
      <c r="F78" s="4">
        <f t="shared" si="20"/>
        <v>6.4690000000000012</v>
      </c>
      <c r="G78" s="4">
        <f t="shared" si="21"/>
        <v>0</v>
      </c>
      <c r="H78" s="4">
        <f t="shared" si="22"/>
        <v>5.8429999999999964</v>
      </c>
      <c r="I78" s="5">
        <v>51.378</v>
      </c>
      <c r="J78" s="5">
        <v>57.567</v>
      </c>
      <c r="K78" s="5">
        <v>51.378</v>
      </c>
      <c r="L78" s="5">
        <v>57.847000000000001</v>
      </c>
      <c r="M78" s="5">
        <v>63.69</v>
      </c>
      <c r="N78" s="5">
        <v>66.200999999999993</v>
      </c>
      <c r="O78" s="5">
        <v>63.69</v>
      </c>
      <c r="P78" s="5">
        <v>66.188000000000002</v>
      </c>
      <c r="Q78" s="10">
        <f t="shared" si="23"/>
        <v>2.5109999999999957</v>
      </c>
    </row>
    <row r="79" spans="1:17" x14ac:dyDescent="0.35">
      <c r="A79" s="6">
        <v>1926</v>
      </c>
      <c r="B79" s="7">
        <f t="shared" si="16"/>
        <v>50.368000000000002</v>
      </c>
      <c r="C79" s="7">
        <f t="shared" si="17"/>
        <v>57.073999999999998</v>
      </c>
      <c r="D79" s="7">
        <f t="shared" si="18"/>
        <v>63.192999999999998</v>
      </c>
      <c r="E79" s="7">
        <f t="shared" si="19"/>
        <v>65.869</v>
      </c>
      <c r="F79" s="7">
        <f t="shared" si="20"/>
        <v>6.705999999999996</v>
      </c>
      <c r="G79" s="7">
        <f t="shared" si="21"/>
        <v>0</v>
      </c>
      <c r="H79" s="7">
        <f t="shared" si="22"/>
        <v>6.1189999999999998</v>
      </c>
      <c r="I79" s="8">
        <v>50.368000000000002</v>
      </c>
      <c r="J79" s="8">
        <v>56.307000000000002</v>
      </c>
      <c r="K79" s="8">
        <v>50.368000000000002</v>
      </c>
      <c r="L79" s="8">
        <v>57.073999999999998</v>
      </c>
      <c r="M79" s="8">
        <v>63.192999999999998</v>
      </c>
      <c r="N79" s="8">
        <v>65.751000000000005</v>
      </c>
      <c r="O79" s="8">
        <v>63.192999999999998</v>
      </c>
      <c r="P79" s="8">
        <v>65.869</v>
      </c>
      <c r="Q79" s="10">
        <f t="shared" si="23"/>
        <v>2.6760000000000019</v>
      </c>
    </row>
    <row r="80" spans="1:17" x14ac:dyDescent="0.35">
      <c r="A80" s="3">
        <v>1927</v>
      </c>
      <c r="B80" s="4">
        <f t="shared" si="16"/>
        <v>51.122</v>
      </c>
      <c r="C80" s="4">
        <f t="shared" si="17"/>
        <v>58.387</v>
      </c>
      <c r="D80" s="4">
        <f t="shared" si="18"/>
        <v>63.991</v>
      </c>
      <c r="E80" s="4">
        <f t="shared" si="19"/>
        <v>67.834000000000003</v>
      </c>
      <c r="F80" s="4">
        <f t="shared" si="20"/>
        <v>7.2650000000000006</v>
      </c>
      <c r="G80" s="4">
        <f t="shared" si="21"/>
        <v>0</v>
      </c>
      <c r="H80" s="4">
        <f t="shared" si="22"/>
        <v>5.6039999999999992</v>
      </c>
      <c r="I80" s="5">
        <v>51.122</v>
      </c>
      <c r="J80" s="5">
        <v>58.387</v>
      </c>
      <c r="K80" s="5">
        <v>51.122</v>
      </c>
      <c r="L80" s="5">
        <v>57.951999999999998</v>
      </c>
      <c r="M80" s="5">
        <v>63.991</v>
      </c>
      <c r="N80" s="5">
        <v>67.834000000000003</v>
      </c>
      <c r="O80" s="5">
        <v>63.991</v>
      </c>
      <c r="P80" s="5">
        <v>66.811000000000007</v>
      </c>
      <c r="Q80" s="10">
        <f t="shared" si="23"/>
        <v>3.8430000000000035</v>
      </c>
    </row>
    <row r="81" spans="1:17" x14ac:dyDescent="0.35">
      <c r="A81" s="6">
        <v>1928</v>
      </c>
      <c r="B81" s="7">
        <f t="shared" si="16"/>
        <v>50.344999999999999</v>
      </c>
      <c r="C81" s="7">
        <f t="shared" si="17"/>
        <v>57.618000000000002</v>
      </c>
      <c r="D81" s="7">
        <f t="shared" si="18"/>
        <v>63.405000000000001</v>
      </c>
      <c r="E81" s="7">
        <f t="shared" si="19"/>
        <v>67.355000000000004</v>
      </c>
      <c r="F81" s="7">
        <f t="shared" si="20"/>
        <v>7.2730000000000032</v>
      </c>
      <c r="G81" s="7">
        <f t="shared" si="21"/>
        <v>0</v>
      </c>
      <c r="H81" s="7">
        <f t="shared" si="22"/>
        <v>5.786999999999999</v>
      </c>
      <c r="I81" s="8">
        <v>50.344999999999999</v>
      </c>
      <c r="J81" s="8">
        <v>57.618000000000002</v>
      </c>
      <c r="K81" s="8">
        <v>50.344999999999999</v>
      </c>
      <c r="L81" s="8">
        <v>57.25</v>
      </c>
      <c r="M81" s="8">
        <v>63.405000000000001</v>
      </c>
      <c r="N81" s="8">
        <v>67.355000000000004</v>
      </c>
      <c r="O81" s="8">
        <v>63.405000000000001</v>
      </c>
      <c r="P81" s="8">
        <v>66.216999999999999</v>
      </c>
      <c r="Q81" s="10">
        <f t="shared" si="23"/>
        <v>3.9500000000000028</v>
      </c>
    </row>
    <row r="82" spans="1:17" x14ac:dyDescent="0.35">
      <c r="A82" s="3">
        <v>1929</v>
      </c>
      <c r="B82" s="4">
        <f t="shared" si="16"/>
        <v>50.805</v>
      </c>
      <c r="C82" s="4">
        <f t="shared" si="17"/>
        <v>59.012999999999998</v>
      </c>
      <c r="D82" s="4">
        <f t="shared" si="18"/>
        <v>64.308999999999997</v>
      </c>
      <c r="E82" s="4">
        <f t="shared" si="19"/>
        <v>68.620999999999995</v>
      </c>
      <c r="F82" s="4">
        <f t="shared" si="20"/>
        <v>8.2079999999999984</v>
      </c>
      <c r="G82" s="4">
        <f t="shared" si="21"/>
        <v>0</v>
      </c>
      <c r="H82" s="4">
        <f t="shared" si="22"/>
        <v>5.2959999999999994</v>
      </c>
      <c r="I82" s="5">
        <v>50.805</v>
      </c>
      <c r="J82" s="5">
        <v>59.012999999999998</v>
      </c>
      <c r="K82" s="5">
        <v>50.805</v>
      </c>
      <c r="L82" s="5">
        <v>57.66</v>
      </c>
      <c r="M82" s="5">
        <v>64.308999999999997</v>
      </c>
      <c r="N82" s="5">
        <v>68.620999999999995</v>
      </c>
      <c r="O82" s="5">
        <v>64.308999999999997</v>
      </c>
      <c r="P82" s="5">
        <v>67.247</v>
      </c>
      <c r="Q82" s="10">
        <f t="shared" si="23"/>
        <v>4.3119999999999976</v>
      </c>
    </row>
    <row r="83" spans="1:17" x14ac:dyDescent="0.35">
      <c r="A83" s="6">
        <v>1930</v>
      </c>
      <c r="B83" s="7">
        <f t="shared" si="16"/>
        <v>47.213000000000001</v>
      </c>
      <c r="C83" s="7">
        <f t="shared" si="17"/>
        <v>58.186</v>
      </c>
      <c r="D83" s="7">
        <f t="shared" si="18"/>
        <v>63.351999999999997</v>
      </c>
      <c r="E83" s="7">
        <f t="shared" si="19"/>
        <v>68.069999999999993</v>
      </c>
      <c r="F83" s="7">
        <f t="shared" si="20"/>
        <v>10.972999999999999</v>
      </c>
      <c r="G83" s="7">
        <f t="shared" si="21"/>
        <v>0</v>
      </c>
      <c r="H83" s="7">
        <f t="shared" si="22"/>
        <v>5.1659999999999968</v>
      </c>
      <c r="I83" s="8">
        <v>47.213000000000001</v>
      </c>
      <c r="J83" s="8">
        <v>58.186</v>
      </c>
      <c r="K83" s="8">
        <v>47.213000000000001</v>
      </c>
      <c r="L83" s="8">
        <v>55.374000000000002</v>
      </c>
      <c r="M83" s="8">
        <v>63.351999999999997</v>
      </c>
      <c r="N83" s="8">
        <v>68.069999999999993</v>
      </c>
      <c r="O83" s="8">
        <v>63.351999999999997</v>
      </c>
      <c r="P83" s="8">
        <v>66.08</v>
      </c>
      <c r="Q83" s="10">
        <f t="shared" si="23"/>
        <v>4.7179999999999964</v>
      </c>
    </row>
    <row r="84" spans="1:17" x14ac:dyDescent="0.35">
      <c r="A84" s="3">
        <v>1931</v>
      </c>
      <c r="B84" s="4">
        <f t="shared" si="16"/>
        <v>43.904000000000003</v>
      </c>
      <c r="C84" s="4">
        <f t="shared" si="17"/>
        <v>55.067</v>
      </c>
      <c r="D84" s="4">
        <f t="shared" si="18"/>
        <v>61.725000000000001</v>
      </c>
      <c r="E84" s="4">
        <f t="shared" si="19"/>
        <v>65.838999999999999</v>
      </c>
      <c r="F84" s="4">
        <f t="shared" si="20"/>
        <v>11.162999999999997</v>
      </c>
      <c r="G84" s="4">
        <f t="shared" si="21"/>
        <v>0</v>
      </c>
      <c r="H84" s="4">
        <f t="shared" si="22"/>
        <v>6.6580000000000013</v>
      </c>
      <c r="I84" s="5">
        <v>43.904000000000003</v>
      </c>
      <c r="J84" s="5">
        <v>55.067</v>
      </c>
      <c r="K84" s="5">
        <v>43.904000000000003</v>
      </c>
      <c r="L84" s="5">
        <v>52.662999999999997</v>
      </c>
      <c r="M84" s="5">
        <v>61.725000000000001</v>
      </c>
      <c r="N84" s="5">
        <v>65.838999999999999</v>
      </c>
      <c r="O84" s="5">
        <v>61.725000000000001</v>
      </c>
      <c r="P84" s="5">
        <v>64.503</v>
      </c>
      <c r="Q84" s="10">
        <f t="shared" si="23"/>
        <v>4.1139999999999972</v>
      </c>
    </row>
    <row r="85" spans="1:17" x14ac:dyDescent="0.35">
      <c r="A85" s="6">
        <v>1932</v>
      </c>
      <c r="B85" s="7">
        <f t="shared" si="16"/>
        <v>40.927</v>
      </c>
      <c r="C85" s="7">
        <f t="shared" si="17"/>
        <v>49.930999999999997</v>
      </c>
      <c r="D85" s="7">
        <f t="shared" si="18"/>
        <v>60.030999999999999</v>
      </c>
      <c r="E85" s="7">
        <f t="shared" si="19"/>
        <v>62.161999999999999</v>
      </c>
      <c r="F85" s="7">
        <f t="shared" si="20"/>
        <v>9.0039999999999978</v>
      </c>
      <c r="G85" s="7">
        <f t="shared" si="21"/>
        <v>0</v>
      </c>
      <c r="H85" s="7">
        <f t="shared" si="22"/>
        <v>10.100000000000001</v>
      </c>
      <c r="I85" s="8">
        <v>40.927</v>
      </c>
      <c r="J85" s="8">
        <v>49.930999999999997</v>
      </c>
      <c r="K85" s="8">
        <v>40.927</v>
      </c>
      <c r="L85" s="8">
        <v>49.768999999999998</v>
      </c>
      <c r="M85" s="8">
        <v>60.030999999999999</v>
      </c>
      <c r="N85" s="8">
        <v>61.91</v>
      </c>
      <c r="O85" s="8">
        <v>60.030999999999999</v>
      </c>
      <c r="P85" s="8">
        <v>62.161999999999999</v>
      </c>
      <c r="Q85" s="10">
        <f t="shared" si="23"/>
        <v>2.1310000000000002</v>
      </c>
    </row>
    <row r="86" spans="1:17" x14ac:dyDescent="0.35">
      <c r="A86" s="3">
        <v>1933</v>
      </c>
      <c r="B86" s="4">
        <f t="shared" si="16"/>
        <v>41.222000000000001</v>
      </c>
      <c r="C86" s="4">
        <f t="shared" si="17"/>
        <v>50.511000000000003</v>
      </c>
      <c r="D86" s="4">
        <f t="shared" si="18"/>
        <v>60.335000000000001</v>
      </c>
      <c r="E86" s="4">
        <f t="shared" si="19"/>
        <v>62.661999999999999</v>
      </c>
      <c r="F86" s="4">
        <f t="shared" si="20"/>
        <v>9.2890000000000015</v>
      </c>
      <c r="G86" s="4">
        <f t="shared" si="21"/>
        <v>0</v>
      </c>
      <c r="H86" s="4">
        <f t="shared" si="22"/>
        <v>9.8239999999999981</v>
      </c>
      <c r="I86" s="5">
        <v>41.222000000000001</v>
      </c>
      <c r="J86" s="5">
        <v>50.234999999999999</v>
      </c>
      <c r="K86" s="5">
        <v>41.222000000000001</v>
      </c>
      <c r="L86" s="5">
        <v>50.511000000000003</v>
      </c>
      <c r="M86" s="5">
        <v>60.335000000000001</v>
      </c>
      <c r="N86" s="5">
        <v>62.231999999999999</v>
      </c>
      <c r="O86" s="5">
        <v>60.335000000000001</v>
      </c>
      <c r="P86" s="5">
        <v>62.661999999999999</v>
      </c>
      <c r="Q86" s="10">
        <f t="shared" si="23"/>
        <v>2.3269999999999982</v>
      </c>
    </row>
    <row r="87" spans="1:17" x14ac:dyDescent="0.35">
      <c r="A87" s="6">
        <v>1934</v>
      </c>
      <c r="B87" s="7">
        <f t="shared" si="16"/>
        <v>41.564</v>
      </c>
      <c r="C87" s="7">
        <f t="shared" si="17"/>
        <v>51.048000000000002</v>
      </c>
      <c r="D87" s="7">
        <f t="shared" si="18"/>
        <v>60.875</v>
      </c>
      <c r="E87" s="7">
        <f t="shared" si="19"/>
        <v>63.106999999999999</v>
      </c>
      <c r="F87" s="7">
        <f t="shared" si="20"/>
        <v>9.4840000000000018</v>
      </c>
      <c r="G87" s="7">
        <f t="shared" si="21"/>
        <v>0</v>
      </c>
      <c r="H87" s="7">
        <f t="shared" si="22"/>
        <v>9.8269999999999982</v>
      </c>
      <c r="I87" s="8">
        <v>41.564</v>
      </c>
      <c r="J87" s="8">
        <v>50.902999999999999</v>
      </c>
      <c r="K87" s="8">
        <v>41.564</v>
      </c>
      <c r="L87" s="8">
        <v>51.048000000000002</v>
      </c>
      <c r="M87" s="8">
        <v>60.875</v>
      </c>
      <c r="N87" s="8">
        <v>63.106999999999999</v>
      </c>
      <c r="O87" s="8">
        <v>60.875</v>
      </c>
      <c r="P87" s="8">
        <v>62.991</v>
      </c>
      <c r="Q87" s="10">
        <f t="shared" si="23"/>
        <v>2.2319999999999993</v>
      </c>
    </row>
    <row r="88" spans="1:17" x14ac:dyDescent="0.35">
      <c r="A88" s="3">
        <v>1935</v>
      </c>
      <c r="B88" s="4">
        <f t="shared" si="16"/>
        <v>41.573</v>
      </c>
      <c r="C88" s="4">
        <f t="shared" si="17"/>
        <v>51.335999999999999</v>
      </c>
      <c r="D88" s="4">
        <f t="shared" si="18"/>
        <v>61.518999999999998</v>
      </c>
      <c r="E88" s="4">
        <f t="shared" si="19"/>
        <v>63.838000000000001</v>
      </c>
      <c r="F88" s="4">
        <f t="shared" si="20"/>
        <v>9.7629999999999981</v>
      </c>
      <c r="G88" s="4">
        <f t="shared" si="21"/>
        <v>0</v>
      </c>
      <c r="H88" s="4">
        <f t="shared" si="22"/>
        <v>10.183</v>
      </c>
      <c r="I88" s="5">
        <v>41.573</v>
      </c>
      <c r="J88" s="5">
        <v>50.982999999999997</v>
      </c>
      <c r="K88" s="5">
        <v>41.573</v>
      </c>
      <c r="L88" s="5">
        <v>51.335999999999999</v>
      </c>
      <c r="M88" s="5">
        <v>61.518999999999998</v>
      </c>
      <c r="N88" s="5">
        <v>63.277999999999999</v>
      </c>
      <c r="O88" s="5">
        <v>61.518999999999998</v>
      </c>
      <c r="P88" s="5">
        <v>63.838000000000001</v>
      </c>
      <c r="Q88" s="10">
        <f t="shared" si="23"/>
        <v>2.3190000000000026</v>
      </c>
    </row>
    <row r="89" spans="1:17" x14ac:dyDescent="0.35">
      <c r="A89" s="6">
        <v>1936</v>
      </c>
      <c r="B89" s="7">
        <f t="shared" si="16"/>
        <v>42.179000000000002</v>
      </c>
      <c r="C89" s="7">
        <f t="shared" si="17"/>
        <v>51.883000000000003</v>
      </c>
      <c r="D89" s="7">
        <f t="shared" si="18"/>
        <v>62.375</v>
      </c>
      <c r="E89" s="7">
        <f t="shared" si="19"/>
        <v>64.713999999999999</v>
      </c>
      <c r="F89" s="7">
        <f t="shared" si="20"/>
        <v>9.7040000000000006</v>
      </c>
      <c r="G89" s="7">
        <f t="shared" si="21"/>
        <v>0</v>
      </c>
      <c r="H89" s="7">
        <f t="shared" si="22"/>
        <v>10.491999999999997</v>
      </c>
      <c r="I89" s="8">
        <v>42.179000000000002</v>
      </c>
      <c r="J89" s="8">
        <v>51.731000000000002</v>
      </c>
      <c r="K89" s="8">
        <v>42.179000000000002</v>
      </c>
      <c r="L89" s="8">
        <v>51.883000000000003</v>
      </c>
      <c r="M89" s="8">
        <v>62.375</v>
      </c>
      <c r="N89" s="8">
        <v>63.942</v>
      </c>
      <c r="O89" s="8">
        <v>62.375</v>
      </c>
      <c r="P89" s="8">
        <v>64.713999999999999</v>
      </c>
      <c r="Q89" s="10">
        <f t="shared" si="23"/>
        <v>2.3389999999999986</v>
      </c>
    </row>
    <row r="90" spans="1:17" x14ac:dyDescent="0.35">
      <c r="A90" s="3">
        <v>1937</v>
      </c>
      <c r="B90" s="4">
        <f t="shared" si="16"/>
        <v>42.768999999999998</v>
      </c>
      <c r="C90" s="4">
        <f t="shared" si="17"/>
        <v>52.652999999999999</v>
      </c>
      <c r="D90" s="4">
        <f t="shared" si="18"/>
        <v>62.771999999999998</v>
      </c>
      <c r="E90" s="4">
        <f t="shared" si="19"/>
        <v>65.165999999999997</v>
      </c>
      <c r="F90" s="4">
        <f t="shared" si="20"/>
        <v>9.8840000000000003</v>
      </c>
      <c r="G90" s="4">
        <f t="shared" si="21"/>
        <v>0</v>
      </c>
      <c r="H90" s="4">
        <f t="shared" si="22"/>
        <v>10.119</v>
      </c>
      <c r="I90" s="5">
        <v>42.768999999999998</v>
      </c>
      <c r="J90" s="5">
        <v>52.101999999999997</v>
      </c>
      <c r="K90" s="5">
        <v>42.768999999999998</v>
      </c>
      <c r="L90" s="5">
        <v>52.652999999999999</v>
      </c>
      <c r="M90" s="5">
        <v>62.771999999999998</v>
      </c>
      <c r="N90" s="5">
        <v>64.106999999999999</v>
      </c>
      <c r="O90" s="5">
        <v>62.771999999999998</v>
      </c>
      <c r="P90" s="5">
        <v>65.165999999999997</v>
      </c>
      <c r="Q90" s="10">
        <f t="shared" si="23"/>
        <v>2.3939999999999984</v>
      </c>
    </row>
    <row r="91" spans="1:17" x14ac:dyDescent="0.35">
      <c r="A91" s="6">
        <v>1938</v>
      </c>
      <c r="B91" s="7">
        <f t="shared" si="16"/>
        <v>40.776000000000003</v>
      </c>
      <c r="C91" s="7">
        <f t="shared" si="17"/>
        <v>50.664000000000001</v>
      </c>
      <c r="D91" s="7">
        <f t="shared" si="18"/>
        <v>61.838999999999999</v>
      </c>
      <c r="E91" s="7">
        <f t="shared" si="19"/>
        <v>63.866</v>
      </c>
      <c r="F91" s="7">
        <f t="shared" si="20"/>
        <v>9.8879999999999981</v>
      </c>
      <c r="G91" s="7">
        <f t="shared" si="21"/>
        <v>0</v>
      </c>
      <c r="H91" s="7">
        <f t="shared" si="22"/>
        <v>11.174999999999997</v>
      </c>
      <c r="I91" s="8">
        <v>40.776000000000003</v>
      </c>
      <c r="J91" s="8">
        <v>49.738</v>
      </c>
      <c r="K91" s="8">
        <v>40.776000000000003</v>
      </c>
      <c r="L91" s="8">
        <v>50.664000000000001</v>
      </c>
      <c r="M91" s="8">
        <v>61.838999999999999</v>
      </c>
      <c r="N91" s="8">
        <v>62.442</v>
      </c>
      <c r="O91" s="8">
        <v>61.838999999999999</v>
      </c>
      <c r="P91" s="8">
        <v>63.866</v>
      </c>
      <c r="Q91" s="10">
        <f t="shared" si="23"/>
        <v>2.027000000000001</v>
      </c>
    </row>
    <row r="92" spans="1:17" x14ac:dyDescent="0.35">
      <c r="A92" s="3">
        <v>1939</v>
      </c>
      <c r="B92" s="4">
        <f t="shared" si="16"/>
        <v>41.56</v>
      </c>
      <c r="C92" s="4">
        <f t="shared" si="17"/>
        <v>51.616999999999997</v>
      </c>
      <c r="D92" s="4">
        <f t="shared" si="18"/>
        <v>62.305999999999997</v>
      </c>
      <c r="E92" s="4">
        <f t="shared" si="19"/>
        <v>64.313000000000002</v>
      </c>
      <c r="F92" s="4">
        <f t="shared" si="20"/>
        <v>10.056999999999995</v>
      </c>
      <c r="G92" s="4">
        <f t="shared" si="21"/>
        <v>0</v>
      </c>
      <c r="H92" s="4">
        <f t="shared" si="22"/>
        <v>10.689</v>
      </c>
      <c r="I92" s="5">
        <v>41.56</v>
      </c>
      <c r="J92" s="5">
        <v>50.734000000000002</v>
      </c>
      <c r="K92" s="5">
        <v>41.56</v>
      </c>
      <c r="L92" s="5">
        <v>51.616999999999997</v>
      </c>
      <c r="M92" s="5">
        <v>62.305999999999997</v>
      </c>
      <c r="N92" s="5">
        <v>62.923999999999999</v>
      </c>
      <c r="O92" s="5">
        <v>62.305999999999997</v>
      </c>
      <c r="P92" s="5">
        <v>64.313000000000002</v>
      </c>
      <c r="Q92" s="10">
        <f t="shared" si="23"/>
        <v>2.007000000000005</v>
      </c>
    </row>
    <row r="93" spans="1:17" x14ac:dyDescent="0.35">
      <c r="A93" s="6">
        <v>1940</v>
      </c>
      <c r="B93" s="7">
        <f t="shared" si="16"/>
        <v>41.201000000000001</v>
      </c>
      <c r="C93" s="7">
        <f t="shared" si="17"/>
        <v>51.094999999999999</v>
      </c>
      <c r="D93" s="7">
        <f t="shared" si="18"/>
        <v>58.857999999999997</v>
      </c>
      <c r="E93" s="7">
        <f t="shared" si="19"/>
        <v>64.063000000000002</v>
      </c>
      <c r="F93" s="7">
        <f t="shared" si="20"/>
        <v>9.8939999999999984</v>
      </c>
      <c r="G93" s="7">
        <f t="shared" si="21"/>
        <v>0</v>
      </c>
      <c r="H93" s="7">
        <f t="shared" si="22"/>
        <v>7.7629999999999981</v>
      </c>
      <c r="I93" s="8">
        <v>41.201000000000001</v>
      </c>
      <c r="J93" s="8">
        <v>49.941000000000003</v>
      </c>
      <c r="K93" s="8">
        <v>41.201000000000001</v>
      </c>
      <c r="L93" s="8">
        <v>51.094999999999999</v>
      </c>
      <c r="M93" s="8">
        <v>58.857999999999997</v>
      </c>
      <c r="N93" s="8">
        <v>63.893999999999998</v>
      </c>
      <c r="O93" s="8">
        <v>58.857999999999997</v>
      </c>
      <c r="P93" s="8">
        <v>64.063000000000002</v>
      </c>
      <c r="Q93" s="10">
        <f t="shared" si="23"/>
        <v>5.2050000000000054</v>
      </c>
    </row>
    <row r="94" spans="1:17" x14ac:dyDescent="0.35">
      <c r="A94" s="3">
        <v>1941</v>
      </c>
      <c r="B94" s="4">
        <f t="shared" si="16"/>
        <v>41.744</v>
      </c>
      <c r="C94" s="4">
        <f t="shared" si="17"/>
        <v>51.393999999999998</v>
      </c>
      <c r="D94" s="4">
        <f t="shared" si="18"/>
        <v>56.920999999999999</v>
      </c>
      <c r="E94" s="4">
        <f t="shared" si="19"/>
        <v>63.917999999999999</v>
      </c>
      <c r="F94" s="4">
        <f t="shared" si="20"/>
        <v>9.6499999999999986</v>
      </c>
      <c r="G94" s="4">
        <f t="shared" si="21"/>
        <v>0</v>
      </c>
      <c r="H94" s="4">
        <f t="shared" si="22"/>
        <v>5.527000000000001</v>
      </c>
      <c r="I94" s="5">
        <v>41.744</v>
      </c>
      <c r="J94" s="5">
        <v>51.393999999999998</v>
      </c>
      <c r="K94" s="5">
        <v>41.744</v>
      </c>
      <c r="L94" s="5">
        <v>51.375</v>
      </c>
      <c r="M94" s="5">
        <v>56.920999999999999</v>
      </c>
      <c r="N94" s="5">
        <v>63.917999999999999</v>
      </c>
      <c r="O94" s="5">
        <v>56.920999999999999</v>
      </c>
      <c r="P94" s="5">
        <v>63.064999999999998</v>
      </c>
      <c r="Q94" s="10">
        <f t="shared" si="23"/>
        <v>6.9969999999999999</v>
      </c>
    </row>
    <row r="95" spans="1:17" x14ac:dyDescent="0.35">
      <c r="A95" s="6">
        <v>1942</v>
      </c>
      <c r="B95" s="7">
        <f t="shared" si="16"/>
        <v>43.143000000000001</v>
      </c>
      <c r="C95" s="7">
        <f t="shared" si="17"/>
        <v>53.204999999999998</v>
      </c>
      <c r="D95" s="7">
        <f t="shared" si="18"/>
        <v>55.646999999999998</v>
      </c>
      <c r="E95" s="7">
        <f t="shared" si="19"/>
        <v>64.209999999999994</v>
      </c>
      <c r="F95" s="7">
        <f t="shared" si="20"/>
        <v>10.061999999999998</v>
      </c>
      <c r="G95" s="7">
        <f t="shared" si="21"/>
        <v>0</v>
      </c>
      <c r="H95" s="7">
        <f t="shared" si="22"/>
        <v>2.4420000000000002</v>
      </c>
      <c r="I95" s="8">
        <v>43.143000000000001</v>
      </c>
      <c r="J95" s="8">
        <v>53.204999999999998</v>
      </c>
      <c r="K95" s="8">
        <v>43.143000000000001</v>
      </c>
      <c r="L95" s="8">
        <v>52.890999999999998</v>
      </c>
      <c r="M95" s="8">
        <v>55.646999999999998</v>
      </c>
      <c r="N95" s="8">
        <v>64.209999999999994</v>
      </c>
      <c r="O95" s="8">
        <v>55.646999999999998</v>
      </c>
      <c r="P95" s="8">
        <v>62.536000000000001</v>
      </c>
      <c r="Q95" s="10">
        <f t="shared" si="23"/>
        <v>8.5629999999999953</v>
      </c>
    </row>
    <row r="96" spans="1:17" x14ac:dyDescent="0.35">
      <c r="A96" s="3">
        <v>1943</v>
      </c>
      <c r="B96" s="4">
        <f t="shared" si="16"/>
        <v>43.320999999999998</v>
      </c>
      <c r="C96" s="4">
        <f t="shared" si="17"/>
        <v>52.787999999999997</v>
      </c>
      <c r="D96" s="4">
        <f t="shared" si="18"/>
        <v>54.933</v>
      </c>
      <c r="E96" s="4">
        <f t="shared" si="19"/>
        <v>63.878999999999998</v>
      </c>
      <c r="F96" s="4">
        <f t="shared" si="20"/>
        <v>9.4669999999999987</v>
      </c>
      <c r="G96" s="4">
        <f t="shared" si="21"/>
        <v>0</v>
      </c>
      <c r="H96" s="4">
        <f t="shared" si="22"/>
        <v>2.1450000000000031</v>
      </c>
      <c r="I96" s="5">
        <v>43.320999999999998</v>
      </c>
      <c r="J96" s="5">
        <v>52.212000000000003</v>
      </c>
      <c r="K96" s="5">
        <v>43.320999999999998</v>
      </c>
      <c r="L96" s="5">
        <v>52.787999999999997</v>
      </c>
      <c r="M96" s="5">
        <v>54.933</v>
      </c>
      <c r="N96" s="5">
        <v>63.878999999999998</v>
      </c>
      <c r="O96" s="5">
        <v>54.933</v>
      </c>
      <c r="P96" s="5">
        <v>62.365000000000002</v>
      </c>
      <c r="Q96" s="10">
        <f t="shared" si="23"/>
        <v>8.945999999999998</v>
      </c>
    </row>
    <row r="97" spans="1:17" x14ac:dyDescent="0.35">
      <c r="A97" s="6">
        <v>1944</v>
      </c>
      <c r="B97" s="7">
        <f t="shared" si="16"/>
        <v>43.241</v>
      </c>
      <c r="C97" s="7">
        <f t="shared" si="17"/>
        <v>52.222999999999999</v>
      </c>
      <c r="D97" s="7">
        <f t="shared" si="18"/>
        <v>54.134999999999998</v>
      </c>
      <c r="E97" s="7">
        <f t="shared" si="19"/>
        <v>62.655000000000001</v>
      </c>
      <c r="F97" s="7">
        <f t="shared" si="20"/>
        <v>8.9819999999999993</v>
      </c>
      <c r="G97" s="7">
        <f t="shared" si="21"/>
        <v>0</v>
      </c>
      <c r="H97" s="7">
        <f t="shared" si="22"/>
        <v>1.911999999999999</v>
      </c>
      <c r="I97" s="8">
        <v>43.241</v>
      </c>
      <c r="J97" s="8">
        <v>51.741999999999997</v>
      </c>
      <c r="K97" s="8">
        <v>43.241</v>
      </c>
      <c r="L97" s="8">
        <v>52.222999999999999</v>
      </c>
      <c r="M97" s="8">
        <v>54.134999999999998</v>
      </c>
      <c r="N97" s="8">
        <v>62.655000000000001</v>
      </c>
      <c r="O97" s="8">
        <v>54.134999999999998</v>
      </c>
      <c r="P97" s="8">
        <v>61.970999999999997</v>
      </c>
      <c r="Q97" s="10">
        <f t="shared" si="23"/>
        <v>8.5200000000000031</v>
      </c>
    </row>
    <row r="98" spans="1:17" x14ac:dyDescent="0.35">
      <c r="A98" s="3">
        <v>1945</v>
      </c>
      <c r="B98" s="4">
        <f t="shared" si="16"/>
        <v>40.518000000000001</v>
      </c>
      <c r="C98" s="4">
        <f t="shared" si="17"/>
        <v>49.28</v>
      </c>
      <c r="D98" s="4">
        <f t="shared" si="18"/>
        <v>50.23</v>
      </c>
      <c r="E98" s="4">
        <f t="shared" si="19"/>
        <v>58.579000000000001</v>
      </c>
      <c r="F98" s="4">
        <f t="shared" si="20"/>
        <v>8.7620000000000005</v>
      </c>
      <c r="G98" s="4">
        <f t="shared" si="21"/>
        <v>0</v>
      </c>
      <c r="H98" s="4">
        <f t="shared" si="22"/>
        <v>0.94999999999999574</v>
      </c>
      <c r="I98" s="5">
        <v>40.518000000000001</v>
      </c>
      <c r="J98" s="5">
        <v>48.023000000000003</v>
      </c>
      <c r="K98" s="5">
        <v>40.518000000000001</v>
      </c>
      <c r="L98" s="5">
        <v>49.28</v>
      </c>
      <c r="M98" s="5">
        <v>50.23</v>
      </c>
      <c r="N98" s="5">
        <v>57.81</v>
      </c>
      <c r="O98" s="5">
        <v>50.23</v>
      </c>
      <c r="P98" s="5">
        <v>58.579000000000001</v>
      </c>
      <c r="Q98" s="10">
        <f t="shared" si="23"/>
        <v>8.3490000000000038</v>
      </c>
    </row>
    <row r="99" spans="1:17" x14ac:dyDescent="0.35">
      <c r="A99" s="6">
        <v>1946</v>
      </c>
      <c r="B99" s="7">
        <f t="shared" ref="B99:B130" si="24">IFERROR(MIN(I99:L99),"")</f>
        <v>41.271999999999998</v>
      </c>
      <c r="C99" s="7">
        <f t="shared" ref="C99:C130" si="25">IFERROR(MAX(I99:L99),"")</f>
        <v>49.594999999999999</v>
      </c>
      <c r="D99" s="7">
        <f t="shared" ref="D99:D130" si="26">IFERROR(MIN(M99:P99),"")</f>
        <v>50.640999999999998</v>
      </c>
      <c r="E99" s="7">
        <f t="shared" ref="E99:E130" si="27">IFERROR(MAX(M99:P99),"")</f>
        <v>59.405999999999999</v>
      </c>
      <c r="F99" s="7">
        <f t="shared" ref="F99:F130" si="28">IFERROR(MIN(C99,D99)-B99,"")</f>
        <v>8.3230000000000004</v>
      </c>
      <c r="G99" s="7">
        <f t="shared" ref="G99:G130" si="29">IFERROR(MAX(0,C99-D99),"")</f>
        <v>0</v>
      </c>
      <c r="H99" s="7">
        <f t="shared" ref="H99:H130" si="30">IFERROR(MAX(0,D99-C99),"")</f>
        <v>1.0459999999999994</v>
      </c>
      <c r="I99" s="8">
        <v>41.271999999999998</v>
      </c>
      <c r="J99" s="8">
        <v>46.545000000000002</v>
      </c>
      <c r="K99" s="8">
        <v>41.271999999999998</v>
      </c>
      <c r="L99" s="8">
        <v>49.594999999999999</v>
      </c>
      <c r="M99" s="8">
        <v>50.640999999999998</v>
      </c>
      <c r="N99" s="8">
        <v>56.53</v>
      </c>
      <c r="O99" s="8">
        <v>50.640999999999998</v>
      </c>
      <c r="P99" s="8">
        <v>59.405999999999999</v>
      </c>
      <c r="Q99" s="10">
        <f t="shared" ref="Q99:Q130" si="31">IFERROR(MAX(0,$E99-MAX($C99,$D99)),"")</f>
        <v>8.7650000000000006</v>
      </c>
    </row>
    <row r="100" spans="1:17" x14ac:dyDescent="0.35">
      <c r="A100" s="3">
        <v>1947</v>
      </c>
      <c r="B100" s="4">
        <f t="shared" si="24"/>
        <v>43.081000000000003</v>
      </c>
      <c r="C100" s="4">
        <f t="shared" si="25"/>
        <v>50.957999999999998</v>
      </c>
      <c r="D100" s="4">
        <f t="shared" si="26"/>
        <v>51.761000000000003</v>
      </c>
      <c r="E100" s="4">
        <f t="shared" si="27"/>
        <v>60.651000000000003</v>
      </c>
      <c r="F100" s="4">
        <f t="shared" si="28"/>
        <v>7.8769999999999953</v>
      </c>
      <c r="G100" s="4">
        <f t="shared" si="29"/>
        <v>0</v>
      </c>
      <c r="H100" s="4">
        <f t="shared" si="30"/>
        <v>0.80300000000000438</v>
      </c>
      <c r="I100" s="5">
        <v>43.081000000000003</v>
      </c>
      <c r="J100" s="5">
        <v>48.552999999999997</v>
      </c>
      <c r="K100" s="5">
        <v>43.081000000000003</v>
      </c>
      <c r="L100" s="5">
        <v>50.957999999999998</v>
      </c>
      <c r="M100" s="5">
        <v>51.761000000000003</v>
      </c>
      <c r="N100" s="5">
        <v>58.518999999999998</v>
      </c>
      <c r="O100" s="5">
        <v>51.761000000000003</v>
      </c>
      <c r="P100" s="5">
        <v>60.651000000000003</v>
      </c>
      <c r="Q100" s="10">
        <f t="shared" si="31"/>
        <v>8.89</v>
      </c>
    </row>
    <row r="101" spans="1:17" x14ac:dyDescent="0.35">
      <c r="A101" s="6">
        <v>1948</v>
      </c>
      <c r="B101" s="7">
        <f t="shared" si="24"/>
        <v>44.244</v>
      </c>
      <c r="C101" s="7">
        <f t="shared" si="25"/>
        <v>51.857999999999997</v>
      </c>
      <c r="D101" s="7">
        <f t="shared" si="26"/>
        <v>52.323</v>
      </c>
      <c r="E101" s="7">
        <f t="shared" si="27"/>
        <v>61.408000000000001</v>
      </c>
      <c r="F101" s="7">
        <f t="shared" si="28"/>
        <v>7.6139999999999972</v>
      </c>
      <c r="G101" s="7">
        <f t="shared" si="29"/>
        <v>0</v>
      </c>
      <c r="H101" s="7">
        <f t="shared" si="30"/>
        <v>0.46500000000000341</v>
      </c>
      <c r="I101" s="8">
        <v>44.244</v>
      </c>
      <c r="J101" s="8">
        <v>49.179000000000002</v>
      </c>
      <c r="K101" s="8">
        <v>44.244</v>
      </c>
      <c r="L101" s="8">
        <v>51.857999999999997</v>
      </c>
      <c r="M101" s="8">
        <v>52.323</v>
      </c>
      <c r="N101" s="8">
        <v>59.162999999999997</v>
      </c>
      <c r="O101" s="8">
        <v>52.323</v>
      </c>
      <c r="P101" s="8">
        <v>61.408000000000001</v>
      </c>
      <c r="Q101" s="10">
        <f t="shared" si="31"/>
        <v>9.0850000000000009</v>
      </c>
    </row>
    <row r="102" spans="1:17" x14ac:dyDescent="0.35">
      <c r="A102" s="3">
        <v>1949</v>
      </c>
      <c r="B102" s="4">
        <f t="shared" si="24"/>
        <v>42.305999999999997</v>
      </c>
      <c r="C102" s="4">
        <f t="shared" si="25"/>
        <v>49.688000000000002</v>
      </c>
      <c r="D102" s="4">
        <f t="shared" si="26"/>
        <v>50.435000000000002</v>
      </c>
      <c r="E102" s="4">
        <f t="shared" si="27"/>
        <v>59.999000000000002</v>
      </c>
      <c r="F102" s="4">
        <f t="shared" si="28"/>
        <v>7.382000000000005</v>
      </c>
      <c r="G102" s="4">
        <f t="shared" si="29"/>
        <v>0</v>
      </c>
      <c r="H102" s="4">
        <f t="shared" si="30"/>
        <v>0.74699999999999989</v>
      </c>
      <c r="I102" s="5">
        <v>42.305999999999997</v>
      </c>
      <c r="J102" s="5">
        <v>46.244999999999997</v>
      </c>
      <c r="K102" s="5">
        <v>42.305999999999997</v>
      </c>
      <c r="L102" s="5">
        <v>49.688000000000002</v>
      </c>
      <c r="M102" s="5">
        <v>50.435000000000002</v>
      </c>
      <c r="N102" s="5">
        <v>57.313000000000002</v>
      </c>
      <c r="O102" s="5">
        <v>50.435000000000002</v>
      </c>
      <c r="P102" s="5">
        <v>59.999000000000002</v>
      </c>
      <c r="Q102" s="10">
        <f t="shared" si="31"/>
        <v>9.5640000000000001</v>
      </c>
    </row>
    <row r="103" spans="1:17" x14ac:dyDescent="0.35">
      <c r="A103" s="6">
        <v>1950</v>
      </c>
      <c r="B103" s="7">
        <f t="shared" si="24"/>
        <v>39.899000000000001</v>
      </c>
      <c r="C103" s="7">
        <f t="shared" si="25"/>
        <v>48.661000000000001</v>
      </c>
      <c r="D103" s="7">
        <f t="shared" si="26"/>
        <v>49.435000000000002</v>
      </c>
      <c r="E103" s="7">
        <f t="shared" si="27"/>
        <v>59.918999999999997</v>
      </c>
      <c r="F103" s="7">
        <f t="shared" si="28"/>
        <v>8.7620000000000005</v>
      </c>
      <c r="G103" s="7">
        <f t="shared" si="29"/>
        <v>0</v>
      </c>
      <c r="H103" s="7">
        <f t="shared" si="30"/>
        <v>0.77400000000000091</v>
      </c>
      <c r="I103" s="8">
        <v>39.899000000000001</v>
      </c>
      <c r="J103" s="8">
        <v>48.661000000000001</v>
      </c>
      <c r="K103" s="8">
        <v>39.899000000000001</v>
      </c>
      <c r="L103" s="8">
        <v>48.656999999999996</v>
      </c>
      <c r="M103" s="8">
        <v>49.435000000000002</v>
      </c>
      <c r="N103" s="8">
        <v>59.918999999999997</v>
      </c>
      <c r="O103" s="8">
        <v>49.435000000000002</v>
      </c>
      <c r="P103" s="8">
        <v>59.536999999999999</v>
      </c>
      <c r="Q103" s="10">
        <f t="shared" si="31"/>
        <v>10.483999999999995</v>
      </c>
    </row>
    <row r="104" spans="1:17" x14ac:dyDescent="0.35">
      <c r="A104" s="3">
        <v>1951</v>
      </c>
      <c r="B104" s="4">
        <f t="shared" si="24"/>
        <v>38.531999999999996</v>
      </c>
      <c r="C104" s="4">
        <f t="shared" si="25"/>
        <v>47.323</v>
      </c>
      <c r="D104" s="4">
        <f t="shared" si="26"/>
        <v>48.887</v>
      </c>
      <c r="E104" s="4">
        <f t="shared" si="27"/>
        <v>61.203000000000003</v>
      </c>
      <c r="F104" s="4">
        <f t="shared" si="28"/>
        <v>8.7910000000000039</v>
      </c>
      <c r="G104" s="4">
        <f t="shared" si="29"/>
        <v>0</v>
      </c>
      <c r="H104" s="4">
        <f t="shared" si="30"/>
        <v>1.5640000000000001</v>
      </c>
      <c r="I104" s="5">
        <v>38.531999999999996</v>
      </c>
      <c r="J104" s="5">
        <v>47.286000000000001</v>
      </c>
      <c r="K104" s="5">
        <v>38.531999999999996</v>
      </c>
      <c r="L104" s="5">
        <v>47.323</v>
      </c>
      <c r="M104" s="5">
        <v>48.887</v>
      </c>
      <c r="N104" s="5">
        <v>61.203000000000003</v>
      </c>
      <c r="O104" s="5">
        <v>48.887</v>
      </c>
      <c r="P104" s="5">
        <v>58.582000000000001</v>
      </c>
      <c r="Q104" s="10">
        <f t="shared" si="31"/>
        <v>12.316000000000003</v>
      </c>
    </row>
    <row r="105" spans="1:17" x14ac:dyDescent="0.35">
      <c r="A105" s="6">
        <v>1952</v>
      </c>
      <c r="B105" s="7">
        <f t="shared" si="24"/>
        <v>37.968000000000004</v>
      </c>
      <c r="C105" s="7">
        <f t="shared" si="25"/>
        <v>46.417999999999999</v>
      </c>
      <c r="D105" s="7">
        <f t="shared" si="26"/>
        <v>49.176000000000002</v>
      </c>
      <c r="E105" s="7">
        <f t="shared" si="27"/>
        <v>59.901000000000003</v>
      </c>
      <c r="F105" s="7">
        <f t="shared" si="28"/>
        <v>8.4499999999999957</v>
      </c>
      <c r="G105" s="7">
        <f t="shared" si="29"/>
        <v>0</v>
      </c>
      <c r="H105" s="7">
        <f t="shared" si="30"/>
        <v>2.7580000000000027</v>
      </c>
      <c r="I105" s="8">
        <v>37.968000000000004</v>
      </c>
      <c r="J105" s="8">
        <v>44.92</v>
      </c>
      <c r="K105" s="8">
        <v>37.968000000000004</v>
      </c>
      <c r="L105" s="8">
        <v>46.417999999999999</v>
      </c>
      <c r="M105" s="8">
        <v>49.176000000000002</v>
      </c>
      <c r="N105" s="8">
        <v>59.901000000000003</v>
      </c>
      <c r="O105" s="8">
        <v>49.176000000000002</v>
      </c>
      <c r="P105" s="8">
        <v>58.256</v>
      </c>
      <c r="Q105" s="10">
        <f t="shared" si="31"/>
        <v>10.725000000000001</v>
      </c>
    </row>
    <row r="106" spans="1:17" x14ac:dyDescent="0.35">
      <c r="A106" s="3">
        <v>1953</v>
      </c>
      <c r="B106" s="4">
        <f t="shared" si="24"/>
        <v>37.595999999999997</v>
      </c>
      <c r="C106" s="4">
        <f t="shared" si="25"/>
        <v>46.158000000000001</v>
      </c>
      <c r="D106" s="4">
        <f t="shared" si="26"/>
        <v>49.576000000000001</v>
      </c>
      <c r="E106" s="4">
        <f t="shared" si="27"/>
        <v>60.448</v>
      </c>
      <c r="F106" s="4">
        <f t="shared" si="28"/>
        <v>8.5620000000000047</v>
      </c>
      <c r="G106" s="4">
        <f t="shared" si="29"/>
        <v>0</v>
      </c>
      <c r="H106" s="4">
        <f t="shared" si="30"/>
        <v>3.4179999999999993</v>
      </c>
      <c r="I106" s="5">
        <v>37.595999999999997</v>
      </c>
      <c r="J106" s="5">
        <v>44.470999999999997</v>
      </c>
      <c r="K106" s="5">
        <v>37.595999999999997</v>
      </c>
      <c r="L106" s="5">
        <v>46.158000000000001</v>
      </c>
      <c r="M106" s="5">
        <v>49.576000000000001</v>
      </c>
      <c r="N106" s="5">
        <v>60.448</v>
      </c>
      <c r="O106" s="5">
        <v>49.576000000000001</v>
      </c>
      <c r="P106" s="5">
        <v>58.317</v>
      </c>
      <c r="Q106" s="10">
        <f t="shared" si="31"/>
        <v>10.872</v>
      </c>
    </row>
    <row r="107" spans="1:17" x14ac:dyDescent="0.35">
      <c r="A107" s="6">
        <v>1954</v>
      </c>
      <c r="B107" s="7">
        <f t="shared" si="24"/>
        <v>35.686</v>
      </c>
      <c r="C107" s="7">
        <f t="shared" si="25"/>
        <v>44.576999999999998</v>
      </c>
      <c r="D107" s="7">
        <f t="shared" si="26"/>
        <v>48.228000000000002</v>
      </c>
      <c r="E107" s="7">
        <f t="shared" si="27"/>
        <v>59.912999999999997</v>
      </c>
      <c r="F107" s="7">
        <f t="shared" si="28"/>
        <v>8.8909999999999982</v>
      </c>
      <c r="G107" s="7">
        <f t="shared" si="29"/>
        <v>0</v>
      </c>
      <c r="H107" s="7">
        <f t="shared" si="30"/>
        <v>3.6510000000000034</v>
      </c>
      <c r="I107" s="8">
        <v>35.686</v>
      </c>
      <c r="J107" s="8">
        <v>43.043999999999997</v>
      </c>
      <c r="K107" s="8">
        <v>35.686</v>
      </c>
      <c r="L107" s="8">
        <v>44.576999999999998</v>
      </c>
      <c r="M107" s="8">
        <v>48.228000000000002</v>
      </c>
      <c r="N107" s="8">
        <v>59.912999999999997</v>
      </c>
      <c r="O107" s="8">
        <v>48.228000000000002</v>
      </c>
      <c r="P107" s="8">
        <v>57.427</v>
      </c>
      <c r="Q107" s="10">
        <f t="shared" si="31"/>
        <v>11.684999999999995</v>
      </c>
    </row>
    <row r="108" spans="1:17" x14ac:dyDescent="0.35">
      <c r="A108" s="3">
        <v>1955</v>
      </c>
      <c r="B108" s="4">
        <f t="shared" si="24"/>
        <v>36.234999999999999</v>
      </c>
      <c r="C108" s="4">
        <f t="shared" si="25"/>
        <v>44.667000000000002</v>
      </c>
      <c r="D108" s="4">
        <f t="shared" si="26"/>
        <v>49.323999999999998</v>
      </c>
      <c r="E108" s="4">
        <f t="shared" si="27"/>
        <v>60.597000000000001</v>
      </c>
      <c r="F108" s="4">
        <f t="shared" si="28"/>
        <v>8.4320000000000022</v>
      </c>
      <c r="G108" s="4">
        <f t="shared" si="29"/>
        <v>0</v>
      </c>
      <c r="H108" s="4">
        <f t="shared" si="30"/>
        <v>4.6569999999999965</v>
      </c>
      <c r="I108" s="5">
        <v>36.234999999999999</v>
      </c>
      <c r="J108" s="5">
        <v>43.223999999999997</v>
      </c>
      <c r="K108" s="5">
        <v>36.234999999999999</v>
      </c>
      <c r="L108" s="5">
        <v>44.667000000000002</v>
      </c>
      <c r="M108" s="5">
        <v>49.323999999999998</v>
      </c>
      <c r="N108" s="5">
        <v>60.597000000000001</v>
      </c>
      <c r="O108" s="5">
        <v>49.323999999999998</v>
      </c>
      <c r="P108" s="5">
        <v>57.820999999999998</v>
      </c>
      <c r="Q108" s="10">
        <f t="shared" si="31"/>
        <v>11.273000000000003</v>
      </c>
    </row>
    <row r="109" spans="1:17" x14ac:dyDescent="0.35">
      <c r="A109" s="6">
        <v>1956</v>
      </c>
      <c r="B109" s="7">
        <f t="shared" si="24"/>
        <v>36.581000000000003</v>
      </c>
      <c r="C109" s="7">
        <f t="shared" si="25"/>
        <v>44.716999999999999</v>
      </c>
      <c r="D109" s="7">
        <f t="shared" si="26"/>
        <v>50.173000000000002</v>
      </c>
      <c r="E109" s="7">
        <f t="shared" si="27"/>
        <v>61.215000000000003</v>
      </c>
      <c r="F109" s="7">
        <f t="shared" si="28"/>
        <v>8.1359999999999957</v>
      </c>
      <c r="G109" s="7">
        <f t="shared" si="29"/>
        <v>0</v>
      </c>
      <c r="H109" s="7">
        <f t="shared" si="30"/>
        <v>5.4560000000000031</v>
      </c>
      <c r="I109" s="8">
        <v>36.581000000000003</v>
      </c>
      <c r="J109" s="8">
        <v>43.305999999999997</v>
      </c>
      <c r="K109" s="8">
        <v>36.581000000000003</v>
      </c>
      <c r="L109" s="8">
        <v>44.716999999999999</v>
      </c>
      <c r="M109" s="8">
        <v>50.173000000000002</v>
      </c>
      <c r="N109" s="8">
        <v>61.215000000000003</v>
      </c>
      <c r="O109" s="8">
        <v>50.173000000000002</v>
      </c>
      <c r="P109" s="8">
        <v>58.189</v>
      </c>
      <c r="Q109" s="10">
        <f t="shared" si="31"/>
        <v>11.042000000000002</v>
      </c>
    </row>
    <row r="110" spans="1:17" x14ac:dyDescent="0.35">
      <c r="A110" s="3">
        <v>1957</v>
      </c>
      <c r="B110" s="4">
        <f t="shared" si="24"/>
        <v>35.738</v>
      </c>
      <c r="C110" s="4">
        <f t="shared" si="25"/>
        <v>43.677999999999997</v>
      </c>
      <c r="D110" s="4">
        <f t="shared" si="26"/>
        <v>49.890999999999998</v>
      </c>
      <c r="E110" s="4">
        <f t="shared" si="27"/>
        <v>61.14</v>
      </c>
      <c r="F110" s="4">
        <f t="shared" si="28"/>
        <v>7.9399999999999977</v>
      </c>
      <c r="G110" s="4">
        <f t="shared" si="29"/>
        <v>0</v>
      </c>
      <c r="H110" s="4">
        <f t="shared" si="30"/>
        <v>6.213000000000001</v>
      </c>
      <c r="I110" s="5">
        <v>35.738</v>
      </c>
      <c r="J110" s="5">
        <v>42.207000000000001</v>
      </c>
      <c r="K110" s="5">
        <v>35.738</v>
      </c>
      <c r="L110" s="5">
        <v>43.677999999999997</v>
      </c>
      <c r="M110" s="5">
        <v>49.890999999999998</v>
      </c>
      <c r="N110" s="5">
        <v>61.14</v>
      </c>
      <c r="O110" s="5">
        <v>49.890999999999998</v>
      </c>
      <c r="P110" s="5">
        <v>57.639000000000003</v>
      </c>
      <c r="Q110" s="10">
        <f t="shared" si="31"/>
        <v>11.249000000000002</v>
      </c>
    </row>
    <row r="111" spans="1:17" x14ac:dyDescent="0.35">
      <c r="A111" s="6">
        <v>1958</v>
      </c>
      <c r="B111" s="7">
        <f t="shared" si="24"/>
        <v>34.479999999999997</v>
      </c>
      <c r="C111" s="7">
        <f t="shared" si="25"/>
        <v>41.603999999999999</v>
      </c>
      <c r="D111" s="7">
        <f t="shared" si="26"/>
        <v>49.186999999999998</v>
      </c>
      <c r="E111" s="7">
        <f t="shared" si="27"/>
        <v>60.188000000000002</v>
      </c>
      <c r="F111" s="7">
        <f t="shared" si="28"/>
        <v>7.1240000000000023</v>
      </c>
      <c r="G111" s="7">
        <f t="shared" si="29"/>
        <v>0</v>
      </c>
      <c r="H111" s="7">
        <f t="shared" si="30"/>
        <v>7.5829999999999984</v>
      </c>
      <c r="I111" s="8">
        <v>34.479999999999997</v>
      </c>
      <c r="J111" s="8">
        <v>40.69</v>
      </c>
      <c r="K111" s="8">
        <v>34.479999999999997</v>
      </c>
      <c r="L111" s="8">
        <v>41.603999999999999</v>
      </c>
      <c r="M111" s="8">
        <v>49.186999999999998</v>
      </c>
      <c r="N111" s="8">
        <v>60.188000000000002</v>
      </c>
      <c r="O111" s="8">
        <v>49.186999999999998</v>
      </c>
      <c r="P111" s="8">
        <v>56.119</v>
      </c>
      <c r="Q111" s="10">
        <f t="shared" si="31"/>
        <v>11.001000000000005</v>
      </c>
    </row>
    <row r="112" spans="1:17" x14ac:dyDescent="0.35">
      <c r="A112" s="3">
        <v>1959</v>
      </c>
      <c r="B112" s="4">
        <f t="shared" si="24"/>
        <v>32.722000000000001</v>
      </c>
      <c r="C112" s="4">
        <f t="shared" si="25"/>
        <v>40.435000000000002</v>
      </c>
      <c r="D112" s="4">
        <f t="shared" si="26"/>
        <v>49.627000000000002</v>
      </c>
      <c r="E112" s="4">
        <f t="shared" si="27"/>
        <v>58.866999999999997</v>
      </c>
      <c r="F112" s="4">
        <f t="shared" si="28"/>
        <v>7.713000000000001</v>
      </c>
      <c r="G112" s="4">
        <f t="shared" si="29"/>
        <v>0</v>
      </c>
      <c r="H112" s="4">
        <f t="shared" si="30"/>
        <v>9.1920000000000002</v>
      </c>
      <c r="I112" s="5">
        <v>32.722000000000001</v>
      </c>
      <c r="J112" s="5">
        <v>40.435000000000002</v>
      </c>
      <c r="K112" s="5">
        <v>32.722000000000001</v>
      </c>
      <c r="L112" s="5">
        <v>40.307000000000002</v>
      </c>
      <c r="M112" s="5">
        <v>49.627000000000002</v>
      </c>
      <c r="N112" s="5">
        <v>58.866999999999997</v>
      </c>
      <c r="O112" s="5">
        <v>49.627000000000002</v>
      </c>
      <c r="P112" s="5">
        <v>55.082999999999998</v>
      </c>
      <c r="Q112" s="10">
        <f t="shared" si="31"/>
        <v>9.2399999999999949</v>
      </c>
    </row>
    <row r="113" spans="1:17" x14ac:dyDescent="0.35">
      <c r="A113" s="6">
        <v>1960</v>
      </c>
      <c r="B113" s="7">
        <f t="shared" si="24"/>
        <v>35.92</v>
      </c>
      <c r="C113" s="7">
        <f t="shared" si="25"/>
        <v>41.088999999999999</v>
      </c>
      <c r="D113" s="7">
        <f t="shared" si="26"/>
        <v>51.777000000000001</v>
      </c>
      <c r="E113" s="7">
        <f t="shared" si="27"/>
        <v>59.433</v>
      </c>
      <c r="F113" s="7">
        <f t="shared" si="28"/>
        <v>5.1689999999999969</v>
      </c>
      <c r="G113" s="7">
        <f t="shared" si="29"/>
        <v>0</v>
      </c>
      <c r="H113" s="7">
        <f t="shared" si="30"/>
        <v>10.688000000000002</v>
      </c>
      <c r="I113" s="8">
        <v>35.92</v>
      </c>
      <c r="J113" s="8">
        <v>40.963999999999999</v>
      </c>
      <c r="K113" s="8">
        <v>35.92</v>
      </c>
      <c r="L113" s="8">
        <v>41.088999999999999</v>
      </c>
      <c r="M113" s="8">
        <v>51.777000000000001</v>
      </c>
      <c r="N113" s="8">
        <v>59.433</v>
      </c>
      <c r="O113" s="8">
        <v>51.777000000000001</v>
      </c>
      <c r="P113" s="8">
        <v>56.22</v>
      </c>
      <c r="Q113" s="10">
        <f t="shared" si="31"/>
        <v>7.6559999999999988</v>
      </c>
    </row>
    <row r="114" spans="1:17" x14ac:dyDescent="0.35">
      <c r="A114" s="3">
        <v>1961</v>
      </c>
      <c r="B114" s="4">
        <f t="shared" si="24"/>
        <v>35.677</v>
      </c>
      <c r="C114" s="4">
        <f t="shared" si="25"/>
        <v>41.66</v>
      </c>
      <c r="D114" s="4">
        <f t="shared" si="26"/>
        <v>51.953000000000003</v>
      </c>
      <c r="E114" s="4">
        <f t="shared" si="27"/>
        <v>59.015000000000001</v>
      </c>
      <c r="F114" s="4">
        <f t="shared" si="28"/>
        <v>5.982999999999997</v>
      </c>
      <c r="G114" s="4">
        <f t="shared" si="29"/>
        <v>0</v>
      </c>
      <c r="H114" s="4">
        <f t="shared" si="30"/>
        <v>10.293000000000006</v>
      </c>
      <c r="I114" s="5">
        <v>35.677</v>
      </c>
      <c r="J114" s="5">
        <v>40.582000000000001</v>
      </c>
      <c r="K114" s="5">
        <v>35.677</v>
      </c>
      <c r="L114" s="5">
        <v>41.66</v>
      </c>
      <c r="M114" s="5">
        <v>51.953000000000003</v>
      </c>
      <c r="N114" s="5">
        <v>59.015000000000001</v>
      </c>
      <c r="O114" s="5">
        <v>51.953000000000003</v>
      </c>
      <c r="P114" s="5">
        <v>57.09</v>
      </c>
      <c r="Q114" s="10">
        <f t="shared" si="31"/>
        <v>7.0619999999999976</v>
      </c>
    </row>
    <row r="115" spans="1:17" x14ac:dyDescent="0.35">
      <c r="A115" s="6">
        <v>1962</v>
      </c>
      <c r="B115" s="7">
        <f t="shared" si="24"/>
        <v>37.877000000000002</v>
      </c>
      <c r="C115" s="7">
        <f t="shared" si="25"/>
        <v>43.268999999999998</v>
      </c>
      <c r="D115" s="7">
        <f t="shared" si="26"/>
        <v>53.012999999999998</v>
      </c>
      <c r="E115" s="7">
        <f t="shared" si="27"/>
        <v>60.21</v>
      </c>
      <c r="F115" s="7">
        <f t="shared" si="28"/>
        <v>5.3919999999999959</v>
      </c>
      <c r="G115" s="7">
        <f t="shared" si="29"/>
        <v>0</v>
      </c>
      <c r="H115" s="7">
        <f t="shared" si="30"/>
        <v>9.7439999999999998</v>
      </c>
      <c r="I115" s="8">
        <v>37.877000000000002</v>
      </c>
      <c r="J115" s="8">
        <v>41.564999999999998</v>
      </c>
      <c r="K115" s="8">
        <v>37.877000000000002</v>
      </c>
      <c r="L115" s="8">
        <v>43.268999999999998</v>
      </c>
      <c r="M115" s="8">
        <v>53.012999999999998</v>
      </c>
      <c r="N115" s="8">
        <v>60.21</v>
      </c>
      <c r="O115" s="8">
        <v>53.014000000000003</v>
      </c>
      <c r="P115" s="8">
        <v>57.972000000000001</v>
      </c>
      <c r="Q115" s="10">
        <f t="shared" si="31"/>
        <v>7.1970000000000027</v>
      </c>
    </row>
    <row r="116" spans="1:17" x14ac:dyDescent="0.35">
      <c r="A116" s="3">
        <v>1963</v>
      </c>
      <c r="B116" s="4">
        <f t="shared" si="24"/>
        <v>38.472000000000001</v>
      </c>
      <c r="C116" s="4">
        <f t="shared" si="25"/>
        <v>43.518000000000001</v>
      </c>
      <c r="D116" s="4">
        <f t="shared" si="26"/>
        <v>53.792999999999999</v>
      </c>
      <c r="E116" s="4">
        <f t="shared" si="27"/>
        <v>60.787999999999997</v>
      </c>
      <c r="F116" s="4">
        <f t="shared" si="28"/>
        <v>5.0459999999999994</v>
      </c>
      <c r="G116" s="4">
        <f t="shared" si="29"/>
        <v>0</v>
      </c>
      <c r="H116" s="4">
        <f t="shared" si="30"/>
        <v>10.274999999999999</v>
      </c>
      <c r="I116" s="5">
        <v>38.472000000000001</v>
      </c>
      <c r="J116" s="5">
        <v>42.027000000000001</v>
      </c>
      <c r="K116" s="5">
        <v>38.472999999999999</v>
      </c>
      <c r="L116" s="5">
        <v>43.518000000000001</v>
      </c>
      <c r="M116" s="5">
        <v>53.792999999999999</v>
      </c>
      <c r="N116" s="5">
        <v>60.787999999999997</v>
      </c>
      <c r="O116" s="5">
        <v>53.792999999999999</v>
      </c>
      <c r="P116" s="5">
        <v>58.798000000000002</v>
      </c>
      <c r="Q116" s="10">
        <f t="shared" si="31"/>
        <v>6.9949999999999974</v>
      </c>
    </row>
    <row r="117" spans="1:17" x14ac:dyDescent="0.35">
      <c r="A117" s="6">
        <v>1964</v>
      </c>
      <c r="B117" s="7">
        <f t="shared" si="24"/>
        <v>39.951999999999998</v>
      </c>
      <c r="C117" s="7">
        <f t="shared" si="25"/>
        <v>44.091999999999999</v>
      </c>
      <c r="D117" s="7">
        <f t="shared" si="26"/>
        <v>55.451999999999998</v>
      </c>
      <c r="E117" s="7">
        <f t="shared" si="27"/>
        <v>61.244999999999997</v>
      </c>
      <c r="F117" s="7">
        <f t="shared" si="28"/>
        <v>4.1400000000000006</v>
      </c>
      <c r="G117" s="7">
        <f t="shared" si="29"/>
        <v>0</v>
      </c>
      <c r="H117" s="7">
        <f t="shared" si="30"/>
        <v>11.36</v>
      </c>
      <c r="I117" s="8">
        <v>39.951999999999998</v>
      </c>
      <c r="J117" s="8">
        <v>42.319000000000003</v>
      </c>
      <c r="K117" s="8">
        <v>39.951999999999998</v>
      </c>
      <c r="L117" s="8">
        <v>44.091999999999999</v>
      </c>
      <c r="M117" s="8">
        <v>55.451999999999998</v>
      </c>
      <c r="N117" s="8">
        <v>61.244999999999997</v>
      </c>
      <c r="O117" s="8">
        <v>55.453000000000003</v>
      </c>
      <c r="P117" s="8">
        <v>59.561999999999998</v>
      </c>
      <c r="Q117" s="10">
        <f t="shared" si="31"/>
        <v>5.7929999999999993</v>
      </c>
    </row>
    <row r="118" spans="1:17" x14ac:dyDescent="0.35">
      <c r="A118" s="3">
        <v>1965</v>
      </c>
      <c r="B118" s="4">
        <f t="shared" si="24"/>
        <v>40.838000000000001</v>
      </c>
      <c r="C118" s="4">
        <f t="shared" si="25"/>
        <v>44.72</v>
      </c>
      <c r="D118" s="4">
        <f t="shared" si="26"/>
        <v>56.454000000000001</v>
      </c>
      <c r="E118" s="4">
        <f t="shared" si="27"/>
        <v>61.182000000000002</v>
      </c>
      <c r="F118" s="4">
        <f t="shared" si="28"/>
        <v>3.8819999999999979</v>
      </c>
      <c r="G118" s="4">
        <f t="shared" si="29"/>
        <v>0</v>
      </c>
      <c r="H118" s="4">
        <f t="shared" si="30"/>
        <v>11.734000000000002</v>
      </c>
      <c r="I118" s="5">
        <v>40.838000000000001</v>
      </c>
      <c r="J118" s="5">
        <v>42.276000000000003</v>
      </c>
      <c r="K118" s="5">
        <v>40.838000000000001</v>
      </c>
      <c r="L118" s="5">
        <v>44.72</v>
      </c>
      <c r="M118" s="5">
        <v>56.454000000000001</v>
      </c>
      <c r="N118" s="5">
        <v>61.182000000000002</v>
      </c>
      <c r="O118" s="5">
        <v>56.454000000000001</v>
      </c>
      <c r="P118" s="5">
        <v>60.521000000000001</v>
      </c>
      <c r="Q118" s="10">
        <f t="shared" si="31"/>
        <v>4.7280000000000015</v>
      </c>
    </row>
    <row r="119" spans="1:17" x14ac:dyDescent="0.35">
      <c r="A119" s="6">
        <v>1966</v>
      </c>
      <c r="B119" s="7">
        <f t="shared" si="24"/>
        <v>41.881999999999998</v>
      </c>
      <c r="C119" s="7">
        <f t="shared" si="25"/>
        <v>45.398000000000003</v>
      </c>
      <c r="D119" s="7">
        <f t="shared" si="26"/>
        <v>57.709000000000003</v>
      </c>
      <c r="E119" s="7">
        <f t="shared" si="27"/>
        <v>61.484999999999999</v>
      </c>
      <c r="F119" s="7">
        <f t="shared" si="28"/>
        <v>3.5160000000000053</v>
      </c>
      <c r="G119" s="7">
        <f t="shared" si="29"/>
        <v>0</v>
      </c>
      <c r="H119" s="7">
        <f t="shared" si="30"/>
        <v>12.311</v>
      </c>
      <c r="I119" s="8">
        <v>41.881999999999998</v>
      </c>
      <c r="J119" s="8">
        <v>42.8</v>
      </c>
      <c r="K119" s="8">
        <v>41.883000000000003</v>
      </c>
      <c r="L119" s="8">
        <v>45.398000000000003</v>
      </c>
      <c r="M119" s="8">
        <v>57.709000000000003</v>
      </c>
      <c r="N119" s="8">
        <v>61.484999999999999</v>
      </c>
      <c r="O119" s="8">
        <v>57.709000000000003</v>
      </c>
      <c r="P119" s="8">
        <v>61.32</v>
      </c>
      <c r="Q119" s="10">
        <f t="shared" si="31"/>
        <v>3.7759999999999962</v>
      </c>
    </row>
    <row r="120" spans="1:17" x14ac:dyDescent="0.35">
      <c r="A120" s="3">
        <v>1967</v>
      </c>
      <c r="B120" s="4">
        <f t="shared" si="24"/>
        <v>43.436</v>
      </c>
      <c r="C120" s="4">
        <f t="shared" si="25"/>
        <v>46.628999999999998</v>
      </c>
      <c r="D120" s="4">
        <f t="shared" si="26"/>
        <v>60.655000000000001</v>
      </c>
      <c r="E120" s="4">
        <f t="shared" si="27"/>
        <v>62.783000000000001</v>
      </c>
      <c r="F120" s="4">
        <f t="shared" si="28"/>
        <v>3.1929999999999978</v>
      </c>
      <c r="G120" s="4">
        <f t="shared" si="29"/>
        <v>0</v>
      </c>
      <c r="H120" s="4">
        <f t="shared" si="30"/>
        <v>14.026000000000003</v>
      </c>
      <c r="I120" s="5">
        <v>44.795000000000002</v>
      </c>
      <c r="J120" s="5">
        <v>43.436</v>
      </c>
      <c r="K120" s="5">
        <v>44.795000000000002</v>
      </c>
      <c r="L120" s="5">
        <v>46.628999999999998</v>
      </c>
      <c r="M120" s="5">
        <v>60.655000000000001</v>
      </c>
      <c r="N120" s="5">
        <v>62.137</v>
      </c>
      <c r="O120" s="5">
        <v>60.655000000000001</v>
      </c>
      <c r="P120" s="5">
        <v>62.783000000000001</v>
      </c>
      <c r="Q120" s="10">
        <f t="shared" si="31"/>
        <v>2.1280000000000001</v>
      </c>
    </row>
    <row r="121" spans="1:17" x14ac:dyDescent="0.35">
      <c r="A121" s="6">
        <v>1968</v>
      </c>
      <c r="B121" s="7">
        <f t="shared" si="24"/>
        <v>44.531999999999996</v>
      </c>
      <c r="C121" s="7">
        <f t="shared" si="25"/>
        <v>47.216000000000001</v>
      </c>
      <c r="D121" s="7">
        <f t="shared" si="26"/>
        <v>62.21</v>
      </c>
      <c r="E121" s="7">
        <f t="shared" si="27"/>
        <v>63.499000000000002</v>
      </c>
      <c r="F121" s="7">
        <f t="shared" si="28"/>
        <v>2.6840000000000046</v>
      </c>
      <c r="G121" s="7">
        <f t="shared" si="29"/>
        <v>0</v>
      </c>
      <c r="H121" s="7">
        <f t="shared" si="30"/>
        <v>14.994</v>
      </c>
      <c r="I121" s="8">
        <v>45.848999999999997</v>
      </c>
      <c r="J121" s="8">
        <v>44.531999999999996</v>
      </c>
      <c r="K121" s="8">
        <v>45.848999999999997</v>
      </c>
      <c r="L121" s="8">
        <v>47.216000000000001</v>
      </c>
      <c r="M121" s="8">
        <v>62.21</v>
      </c>
      <c r="N121" s="8">
        <v>63.119</v>
      </c>
      <c r="O121" s="8">
        <v>62.21</v>
      </c>
      <c r="P121" s="8">
        <v>63.499000000000002</v>
      </c>
      <c r="Q121" s="10">
        <f t="shared" si="31"/>
        <v>1.2890000000000015</v>
      </c>
    </row>
    <row r="122" spans="1:17" x14ac:dyDescent="0.35">
      <c r="A122" s="3">
        <v>1969</v>
      </c>
      <c r="B122" s="4">
        <f t="shared" si="24"/>
        <v>42.356999999999999</v>
      </c>
      <c r="C122" s="4">
        <f t="shared" si="25"/>
        <v>46.494</v>
      </c>
      <c r="D122" s="4">
        <f t="shared" si="26"/>
        <v>57.677999999999997</v>
      </c>
      <c r="E122" s="4">
        <f t="shared" si="27"/>
        <v>63.463999999999999</v>
      </c>
      <c r="F122" s="4">
        <f t="shared" si="28"/>
        <v>4.1370000000000005</v>
      </c>
      <c r="G122" s="4">
        <f t="shared" si="29"/>
        <v>0</v>
      </c>
      <c r="H122" s="4">
        <f t="shared" si="30"/>
        <v>11.183999999999997</v>
      </c>
      <c r="I122" s="5">
        <v>42.356999999999999</v>
      </c>
      <c r="J122" s="5">
        <v>45.198</v>
      </c>
      <c r="K122" s="5">
        <v>42.356999999999999</v>
      </c>
      <c r="L122" s="5">
        <v>46.494</v>
      </c>
      <c r="M122" s="5">
        <v>57.677999999999997</v>
      </c>
      <c r="N122" s="5">
        <v>63.463999999999999</v>
      </c>
      <c r="O122" s="5">
        <v>57.679000000000002</v>
      </c>
      <c r="P122" s="5">
        <v>62.542999999999999</v>
      </c>
      <c r="Q122" s="10">
        <f t="shared" si="31"/>
        <v>5.7860000000000014</v>
      </c>
    </row>
    <row r="123" spans="1:17" x14ac:dyDescent="0.35">
      <c r="A123" s="6">
        <v>1970</v>
      </c>
      <c r="B123" s="7">
        <f t="shared" si="24"/>
        <v>42.756999999999998</v>
      </c>
      <c r="C123" s="7">
        <f t="shared" si="25"/>
        <v>45.759</v>
      </c>
      <c r="D123" s="7">
        <f t="shared" si="26"/>
        <v>58.97</v>
      </c>
      <c r="E123" s="7">
        <f t="shared" si="27"/>
        <v>63.350999999999999</v>
      </c>
      <c r="F123" s="7">
        <f t="shared" si="28"/>
        <v>3.0020000000000024</v>
      </c>
      <c r="G123" s="7">
        <f t="shared" si="29"/>
        <v>0</v>
      </c>
      <c r="H123" s="7">
        <f t="shared" si="30"/>
        <v>13.210999999999999</v>
      </c>
      <c r="I123" s="8">
        <v>42.756999999999998</v>
      </c>
      <c r="J123" s="8">
        <v>45.734000000000002</v>
      </c>
      <c r="K123" s="8">
        <v>42.756999999999998</v>
      </c>
      <c r="L123" s="8">
        <v>45.759</v>
      </c>
      <c r="M123" s="8">
        <v>58.97</v>
      </c>
      <c r="N123" s="8">
        <v>63.350999999999999</v>
      </c>
      <c r="O123" s="8">
        <v>58.970999999999997</v>
      </c>
      <c r="P123" s="8">
        <v>61.828000000000003</v>
      </c>
      <c r="Q123" s="10">
        <f t="shared" si="31"/>
        <v>4.3810000000000002</v>
      </c>
    </row>
    <row r="124" spans="1:17" x14ac:dyDescent="0.35">
      <c r="A124" s="3">
        <v>1971</v>
      </c>
      <c r="B124" s="4">
        <f t="shared" si="24"/>
        <v>43.143000000000001</v>
      </c>
      <c r="C124" s="4">
        <f t="shared" si="25"/>
        <v>46.192999999999998</v>
      </c>
      <c r="D124" s="4">
        <f t="shared" si="26"/>
        <v>59.279000000000003</v>
      </c>
      <c r="E124" s="4">
        <f t="shared" si="27"/>
        <v>63.134</v>
      </c>
      <c r="F124" s="4">
        <f t="shared" si="28"/>
        <v>3.0499999999999972</v>
      </c>
      <c r="G124" s="4">
        <f t="shared" si="29"/>
        <v>0</v>
      </c>
      <c r="H124" s="4">
        <f t="shared" si="30"/>
        <v>13.086000000000006</v>
      </c>
      <c r="I124" s="5">
        <v>43.143000000000001</v>
      </c>
      <c r="J124" s="5">
        <v>45.155000000000001</v>
      </c>
      <c r="K124" s="5">
        <v>43.143999999999998</v>
      </c>
      <c r="L124" s="5">
        <v>46.192999999999998</v>
      </c>
      <c r="M124" s="5">
        <v>59.279000000000003</v>
      </c>
      <c r="N124" s="5">
        <v>63.134</v>
      </c>
      <c r="O124" s="5">
        <v>59.279000000000003</v>
      </c>
      <c r="P124" s="5">
        <v>62.124000000000002</v>
      </c>
      <c r="Q124" s="10">
        <f t="shared" si="31"/>
        <v>3.8549999999999969</v>
      </c>
    </row>
    <row r="125" spans="1:17" x14ac:dyDescent="0.35">
      <c r="A125" s="6">
        <v>1972</v>
      </c>
      <c r="B125" s="7">
        <f t="shared" si="24"/>
        <v>41.69</v>
      </c>
      <c r="C125" s="7">
        <f t="shared" si="25"/>
        <v>46.256999999999998</v>
      </c>
      <c r="D125" s="7">
        <f t="shared" si="26"/>
        <v>57.338000000000001</v>
      </c>
      <c r="E125" s="7">
        <f t="shared" si="27"/>
        <v>63.691000000000003</v>
      </c>
      <c r="F125" s="7">
        <f t="shared" si="28"/>
        <v>4.5670000000000002</v>
      </c>
      <c r="G125" s="7">
        <f t="shared" si="29"/>
        <v>0</v>
      </c>
      <c r="H125" s="7">
        <f t="shared" si="30"/>
        <v>11.081000000000003</v>
      </c>
      <c r="I125" s="8">
        <v>41.69</v>
      </c>
      <c r="J125" s="8">
        <v>45.698999999999998</v>
      </c>
      <c r="K125" s="8">
        <v>41.69</v>
      </c>
      <c r="L125" s="8">
        <v>46.256999999999998</v>
      </c>
      <c r="M125" s="8">
        <v>57.338000000000001</v>
      </c>
      <c r="N125" s="8">
        <v>63.691000000000003</v>
      </c>
      <c r="O125" s="8">
        <v>57.338000000000001</v>
      </c>
      <c r="P125" s="8">
        <v>62.374000000000002</v>
      </c>
      <c r="Q125" s="10">
        <f t="shared" si="31"/>
        <v>6.3530000000000015</v>
      </c>
    </row>
    <row r="126" spans="1:17" x14ac:dyDescent="0.35">
      <c r="A126" s="3">
        <v>1973</v>
      </c>
      <c r="B126" s="4">
        <f t="shared" si="24"/>
        <v>42.527000000000001</v>
      </c>
      <c r="C126" s="4">
        <f t="shared" si="25"/>
        <v>46.314</v>
      </c>
      <c r="D126" s="4">
        <f t="shared" si="26"/>
        <v>58.569000000000003</v>
      </c>
      <c r="E126" s="4">
        <f t="shared" si="27"/>
        <v>63.546999999999997</v>
      </c>
      <c r="F126" s="4">
        <f t="shared" si="28"/>
        <v>3.786999999999999</v>
      </c>
      <c r="G126" s="4">
        <f t="shared" si="29"/>
        <v>0</v>
      </c>
      <c r="H126" s="4">
        <f t="shared" si="30"/>
        <v>12.255000000000003</v>
      </c>
      <c r="I126" s="5">
        <v>42.527000000000001</v>
      </c>
      <c r="J126" s="5">
        <v>45.786000000000001</v>
      </c>
      <c r="K126" s="5">
        <v>42.527999999999999</v>
      </c>
      <c r="L126" s="5">
        <v>46.314</v>
      </c>
      <c r="M126" s="5">
        <v>58.569000000000003</v>
      </c>
      <c r="N126" s="5">
        <v>63.546999999999997</v>
      </c>
      <c r="O126" s="5">
        <v>58.569000000000003</v>
      </c>
      <c r="P126" s="5">
        <v>62.46</v>
      </c>
      <c r="Q126" s="10">
        <f t="shared" si="31"/>
        <v>4.9779999999999944</v>
      </c>
    </row>
    <row r="127" spans="1:17" x14ac:dyDescent="0.35">
      <c r="A127" s="6">
        <v>1974</v>
      </c>
      <c r="B127" s="7">
        <f t="shared" si="24"/>
        <v>41.606999999999999</v>
      </c>
      <c r="C127" s="7">
        <f t="shared" si="25"/>
        <v>45.098999999999997</v>
      </c>
      <c r="D127" s="7">
        <f t="shared" si="26"/>
        <v>58.064999999999998</v>
      </c>
      <c r="E127" s="7">
        <f t="shared" si="27"/>
        <v>62.683999999999997</v>
      </c>
      <c r="F127" s="7">
        <f t="shared" si="28"/>
        <v>3.4919999999999973</v>
      </c>
      <c r="G127" s="7">
        <f t="shared" si="29"/>
        <v>0</v>
      </c>
      <c r="H127" s="7">
        <f t="shared" si="30"/>
        <v>12.966000000000001</v>
      </c>
      <c r="I127" s="8">
        <v>41.606999999999999</v>
      </c>
      <c r="J127" s="8">
        <v>44.573999999999998</v>
      </c>
      <c r="K127" s="8">
        <v>41.607999999999997</v>
      </c>
      <c r="L127" s="8">
        <v>45.098999999999997</v>
      </c>
      <c r="M127" s="8">
        <v>58.064999999999998</v>
      </c>
      <c r="N127" s="8">
        <v>62.683999999999997</v>
      </c>
      <c r="O127" s="8">
        <v>58.066000000000003</v>
      </c>
      <c r="P127" s="8">
        <v>61.81</v>
      </c>
      <c r="Q127" s="10">
        <f t="shared" si="31"/>
        <v>4.6189999999999998</v>
      </c>
    </row>
    <row r="128" spans="1:17" x14ac:dyDescent="0.35">
      <c r="A128" s="3">
        <v>1975</v>
      </c>
      <c r="B128" s="4">
        <f t="shared" si="24"/>
        <v>40.646000000000001</v>
      </c>
      <c r="C128" s="4">
        <f t="shared" si="25"/>
        <v>43.491</v>
      </c>
      <c r="D128" s="4">
        <f t="shared" si="26"/>
        <v>57.947000000000003</v>
      </c>
      <c r="E128" s="4">
        <f t="shared" si="27"/>
        <v>61.688000000000002</v>
      </c>
      <c r="F128" s="4">
        <f t="shared" si="28"/>
        <v>2.8449999999999989</v>
      </c>
      <c r="G128" s="4">
        <f t="shared" si="29"/>
        <v>0</v>
      </c>
      <c r="H128" s="4">
        <f t="shared" si="30"/>
        <v>14.456000000000003</v>
      </c>
      <c r="I128" s="5">
        <v>40.646000000000001</v>
      </c>
      <c r="J128" s="5">
        <v>42.838999999999999</v>
      </c>
      <c r="K128" s="5">
        <v>40.646999999999998</v>
      </c>
      <c r="L128" s="5">
        <v>43.491</v>
      </c>
      <c r="M128" s="5">
        <v>57.947000000000003</v>
      </c>
      <c r="N128" s="5">
        <v>61.688000000000002</v>
      </c>
      <c r="O128" s="5">
        <v>57.948</v>
      </c>
      <c r="P128" s="5">
        <v>60.749000000000002</v>
      </c>
      <c r="Q128" s="10">
        <f t="shared" si="31"/>
        <v>3.7409999999999997</v>
      </c>
    </row>
    <row r="129" spans="1:17" x14ac:dyDescent="0.35">
      <c r="A129" s="6">
        <v>1976</v>
      </c>
      <c r="B129" s="7">
        <f t="shared" si="24"/>
        <v>41.429000000000002</v>
      </c>
      <c r="C129" s="7">
        <f t="shared" si="25"/>
        <v>43.722000000000001</v>
      </c>
      <c r="D129" s="7">
        <f t="shared" si="26"/>
        <v>58.954999999999998</v>
      </c>
      <c r="E129" s="7">
        <f t="shared" si="27"/>
        <v>61.698999999999998</v>
      </c>
      <c r="F129" s="7">
        <f t="shared" si="28"/>
        <v>2.2929999999999993</v>
      </c>
      <c r="G129" s="7">
        <f t="shared" si="29"/>
        <v>0</v>
      </c>
      <c r="H129" s="7">
        <f t="shared" si="30"/>
        <v>15.232999999999997</v>
      </c>
      <c r="I129" s="8">
        <v>41.429000000000002</v>
      </c>
      <c r="J129" s="8">
        <v>43.139000000000003</v>
      </c>
      <c r="K129" s="8">
        <v>41.429000000000002</v>
      </c>
      <c r="L129" s="8">
        <v>43.722000000000001</v>
      </c>
      <c r="M129" s="8">
        <v>58.954999999999998</v>
      </c>
      <c r="N129" s="8">
        <v>61.698999999999998</v>
      </c>
      <c r="O129" s="8">
        <v>58.954999999999998</v>
      </c>
      <c r="P129" s="8">
        <v>61.177</v>
      </c>
      <c r="Q129" s="10">
        <f t="shared" si="31"/>
        <v>2.7439999999999998</v>
      </c>
    </row>
    <row r="130" spans="1:17" x14ac:dyDescent="0.35">
      <c r="A130" s="3">
        <v>1977</v>
      </c>
      <c r="B130" s="4">
        <f t="shared" si="24"/>
        <v>40.590000000000003</v>
      </c>
      <c r="C130" s="4">
        <f t="shared" si="25"/>
        <v>43.124000000000002</v>
      </c>
      <c r="D130" s="4">
        <f t="shared" si="26"/>
        <v>57.542999999999999</v>
      </c>
      <c r="E130" s="4">
        <f t="shared" si="27"/>
        <v>61.314999999999998</v>
      </c>
      <c r="F130" s="4">
        <f t="shared" si="28"/>
        <v>2.5339999999999989</v>
      </c>
      <c r="G130" s="4">
        <f t="shared" si="29"/>
        <v>0</v>
      </c>
      <c r="H130" s="4">
        <f t="shared" si="30"/>
        <v>14.418999999999997</v>
      </c>
      <c r="I130" s="5">
        <v>40.590000000000003</v>
      </c>
      <c r="J130" s="5">
        <v>42.689</v>
      </c>
      <c r="K130" s="5">
        <v>40.590000000000003</v>
      </c>
      <c r="L130" s="5">
        <v>43.124000000000002</v>
      </c>
      <c r="M130" s="5">
        <v>57.542999999999999</v>
      </c>
      <c r="N130" s="5">
        <v>61.314999999999998</v>
      </c>
      <c r="O130" s="5">
        <v>57.543999999999997</v>
      </c>
      <c r="P130" s="5">
        <v>60.677999999999997</v>
      </c>
      <c r="Q130" s="10">
        <f t="shared" si="31"/>
        <v>3.7719999999999985</v>
      </c>
    </row>
    <row r="131" spans="1:17" x14ac:dyDescent="0.35">
      <c r="A131" s="6">
        <v>1978</v>
      </c>
      <c r="B131" s="7">
        <f t="shared" ref="B131:B162" si="32">IFERROR(MIN(I131:L131),"")</f>
        <v>40.033999999999999</v>
      </c>
      <c r="C131" s="7">
        <f t="shared" ref="C131:C162" si="33">IFERROR(MAX(I131:L131),"")</f>
        <v>42.652000000000001</v>
      </c>
      <c r="D131" s="7">
        <f t="shared" ref="D131:D162" si="34">IFERROR(MIN(M131:P131),"")</f>
        <v>57.247</v>
      </c>
      <c r="E131" s="7">
        <f t="shared" ref="E131:E162" si="35">IFERROR(MAX(M131:P131),"")</f>
        <v>61.173000000000002</v>
      </c>
      <c r="F131" s="7">
        <f t="shared" ref="F131:F162" si="36">IFERROR(MIN(C131,D131)-B131,"")</f>
        <v>2.6180000000000021</v>
      </c>
      <c r="G131" s="7">
        <f t="shared" ref="G131:G162" si="37">IFERROR(MAX(0,C131-D131),"")</f>
        <v>0</v>
      </c>
      <c r="H131" s="7">
        <f t="shared" ref="H131:H162" si="38">IFERROR(MAX(0,D131-C131),"")</f>
        <v>14.594999999999999</v>
      </c>
      <c r="I131" s="8">
        <v>40.033999999999999</v>
      </c>
      <c r="J131" s="8">
        <v>42.584000000000003</v>
      </c>
      <c r="K131" s="8">
        <v>40.033999999999999</v>
      </c>
      <c r="L131" s="8">
        <v>42.652000000000001</v>
      </c>
      <c r="M131" s="8">
        <v>57.247</v>
      </c>
      <c r="N131" s="8">
        <v>61.173000000000002</v>
      </c>
      <c r="O131" s="8">
        <v>57.247</v>
      </c>
      <c r="P131" s="8">
        <v>60.204999999999998</v>
      </c>
      <c r="Q131" s="10">
        <f t="shared" ref="Q131:Q162" si="39">IFERROR(MAX(0,$E131-MAX($C131,$D131)),"")</f>
        <v>3.9260000000000019</v>
      </c>
    </row>
    <row r="132" spans="1:17" x14ac:dyDescent="0.35">
      <c r="A132" s="3">
        <v>1979</v>
      </c>
      <c r="B132" s="4">
        <f t="shared" si="32"/>
        <v>41.738999999999997</v>
      </c>
      <c r="C132" s="4">
        <f t="shared" si="33"/>
        <v>43.290999999999997</v>
      </c>
      <c r="D132" s="4">
        <f t="shared" si="34"/>
        <v>59.122999999999998</v>
      </c>
      <c r="E132" s="4">
        <f t="shared" si="35"/>
        <v>61.241</v>
      </c>
      <c r="F132" s="4">
        <f t="shared" si="36"/>
        <v>1.5519999999999996</v>
      </c>
      <c r="G132" s="4">
        <f t="shared" si="37"/>
        <v>0</v>
      </c>
      <c r="H132" s="4">
        <f t="shared" si="38"/>
        <v>15.832000000000001</v>
      </c>
      <c r="I132" s="5">
        <v>41.738999999999997</v>
      </c>
      <c r="J132" s="5">
        <v>42.912999999999997</v>
      </c>
      <c r="K132" s="5">
        <v>41.738999999999997</v>
      </c>
      <c r="L132" s="5">
        <v>43.290999999999997</v>
      </c>
      <c r="M132" s="5">
        <v>59.122999999999998</v>
      </c>
      <c r="N132" s="5">
        <v>61.241</v>
      </c>
      <c r="O132" s="5">
        <v>59.122999999999998</v>
      </c>
      <c r="P132" s="5">
        <v>60.7</v>
      </c>
      <c r="Q132" s="10">
        <f t="shared" si="39"/>
        <v>2.1180000000000021</v>
      </c>
    </row>
    <row r="133" spans="1:17" x14ac:dyDescent="0.35">
      <c r="A133" s="6">
        <v>1980</v>
      </c>
      <c r="B133" s="7">
        <f t="shared" si="32"/>
        <v>40.563000000000002</v>
      </c>
      <c r="C133" s="7">
        <f t="shared" si="33"/>
        <v>42.344999999999999</v>
      </c>
      <c r="D133" s="7">
        <f t="shared" si="34"/>
        <v>58.970999999999997</v>
      </c>
      <c r="E133" s="7">
        <f t="shared" si="35"/>
        <v>61.000999999999998</v>
      </c>
      <c r="F133" s="7">
        <f t="shared" si="36"/>
        <v>1.7819999999999965</v>
      </c>
      <c r="G133" s="7">
        <f t="shared" si="37"/>
        <v>0</v>
      </c>
      <c r="H133" s="7">
        <f t="shared" si="38"/>
        <v>16.625999999999998</v>
      </c>
      <c r="I133" s="8">
        <v>40.563000000000002</v>
      </c>
      <c r="J133" s="8">
        <v>41.968000000000004</v>
      </c>
      <c r="K133" s="8">
        <v>40.563000000000002</v>
      </c>
      <c r="L133" s="8">
        <v>42.344999999999999</v>
      </c>
      <c r="M133" s="8">
        <v>58.970999999999997</v>
      </c>
      <c r="N133" s="8">
        <v>61.000999999999998</v>
      </c>
      <c r="O133" s="8">
        <v>58.972000000000001</v>
      </c>
      <c r="P133" s="8">
        <v>60.762</v>
      </c>
      <c r="Q133" s="10">
        <f t="shared" si="39"/>
        <v>2.0300000000000011</v>
      </c>
    </row>
    <row r="134" spans="1:17" x14ac:dyDescent="0.35">
      <c r="A134" s="3">
        <v>1981</v>
      </c>
      <c r="B134" s="4">
        <f t="shared" si="32"/>
        <v>40.093000000000004</v>
      </c>
      <c r="C134" s="4">
        <f t="shared" si="33"/>
        <v>41.743000000000002</v>
      </c>
      <c r="D134" s="4">
        <f t="shared" si="34"/>
        <v>57.883000000000003</v>
      </c>
      <c r="E134" s="4">
        <f t="shared" si="35"/>
        <v>59.890999999999998</v>
      </c>
      <c r="F134" s="4">
        <f t="shared" si="36"/>
        <v>1.6499999999999986</v>
      </c>
      <c r="G134" s="4">
        <f t="shared" si="37"/>
        <v>0</v>
      </c>
      <c r="H134" s="4">
        <f t="shared" si="38"/>
        <v>16.14</v>
      </c>
      <c r="I134" s="5">
        <v>40.093000000000004</v>
      </c>
      <c r="J134" s="5">
        <v>41.113</v>
      </c>
      <c r="K134" s="5">
        <v>40.093000000000004</v>
      </c>
      <c r="L134" s="5">
        <v>41.743000000000002</v>
      </c>
      <c r="M134" s="5">
        <v>57.883000000000003</v>
      </c>
      <c r="N134" s="5">
        <v>59.890999999999998</v>
      </c>
      <c r="O134" s="5">
        <v>57.883000000000003</v>
      </c>
      <c r="P134" s="5">
        <v>59.731000000000002</v>
      </c>
      <c r="Q134" s="10">
        <f t="shared" si="39"/>
        <v>2.0079999999999956</v>
      </c>
    </row>
    <row r="135" spans="1:17" x14ac:dyDescent="0.35">
      <c r="A135" s="6">
        <v>1982</v>
      </c>
      <c r="B135" s="7">
        <f t="shared" si="32"/>
        <v>38.466999999999999</v>
      </c>
      <c r="C135" s="7">
        <f t="shared" si="33"/>
        <v>40.247</v>
      </c>
      <c r="D135" s="7">
        <f t="shared" si="34"/>
        <v>57.12</v>
      </c>
      <c r="E135" s="7">
        <f t="shared" si="35"/>
        <v>58.807000000000002</v>
      </c>
      <c r="F135" s="7">
        <f t="shared" si="36"/>
        <v>1.7800000000000011</v>
      </c>
      <c r="G135" s="7">
        <f t="shared" si="37"/>
        <v>0</v>
      </c>
      <c r="H135" s="7">
        <f t="shared" si="38"/>
        <v>16.872999999999998</v>
      </c>
      <c r="I135" s="8">
        <v>39.057000000000002</v>
      </c>
      <c r="J135" s="8">
        <v>38.466999999999999</v>
      </c>
      <c r="K135" s="8">
        <v>39.057000000000002</v>
      </c>
      <c r="L135" s="8">
        <v>40.247</v>
      </c>
      <c r="M135" s="8">
        <v>57.631999999999998</v>
      </c>
      <c r="N135" s="8">
        <v>57.12</v>
      </c>
      <c r="O135" s="8">
        <v>57.633000000000003</v>
      </c>
      <c r="P135" s="8">
        <v>58.807000000000002</v>
      </c>
      <c r="Q135" s="10">
        <f t="shared" si="39"/>
        <v>1.6870000000000047</v>
      </c>
    </row>
    <row r="136" spans="1:17" x14ac:dyDescent="0.35">
      <c r="A136" s="3">
        <v>1983</v>
      </c>
      <c r="B136" s="4">
        <f t="shared" si="32"/>
        <v>37.710999999999999</v>
      </c>
      <c r="C136" s="4">
        <f t="shared" si="33"/>
        <v>39.402999999999999</v>
      </c>
      <c r="D136" s="4">
        <f t="shared" si="34"/>
        <v>56.265999999999998</v>
      </c>
      <c r="E136" s="4">
        <f t="shared" si="35"/>
        <v>57.790999999999997</v>
      </c>
      <c r="F136" s="4">
        <f t="shared" si="36"/>
        <v>1.6920000000000002</v>
      </c>
      <c r="G136" s="4">
        <f t="shared" si="37"/>
        <v>0</v>
      </c>
      <c r="H136" s="4">
        <f t="shared" si="38"/>
        <v>16.863</v>
      </c>
      <c r="I136" s="5">
        <v>38.473999999999997</v>
      </c>
      <c r="J136" s="5">
        <v>37.710999999999999</v>
      </c>
      <c r="K136" s="5">
        <v>38.473999999999997</v>
      </c>
      <c r="L136" s="5">
        <v>39.402999999999999</v>
      </c>
      <c r="M136" s="5">
        <v>56.884</v>
      </c>
      <c r="N136" s="5">
        <v>56.265999999999998</v>
      </c>
      <c r="O136" s="5">
        <v>56.884</v>
      </c>
      <c r="P136" s="5">
        <v>57.790999999999997</v>
      </c>
      <c r="Q136" s="10">
        <f t="shared" si="39"/>
        <v>1.5249999999999986</v>
      </c>
    </row>
    <row r="137" spans="1:17" x14ac:dyDescent="0.35">
      <c r="A137" s="6">
        <v>1984</v>
      </c>
      <c r="B137" s="7">
        <f t="shared" si="32"/>
        <v>37.191000000000003</v>
      </c>
      <c r="C137" s="7">
        <f t="shared" si="33"/>
        <v>39.075000000000003</v>
      </c>
      <c r="D137" s="7">
        <f t="shared" si="34"/>
        <v>54.912999999999997</v>
      </c>
      <c r="E137" s="7">
        <f t="shared" si="35"/>
        <v>57.052999999999997</v>
      </c>
      <c r="F137" s="7">
        <f t="shared" si="36"/>
        <v>1.8840000000000003</v>
      </c>
      <c r="G137" s="7">
        <f t="shared" si="37"/>
        <v>0</v>
      </c>
      <c r="H137" s="7">
        <f t="shared" si="38"/>
        <v>15.837999999999994</v>
      </c>
      <c r="I137" s="8">
        <v>37.191000000000003</v>
      </c>
      <c r="J137" s="8">
        <v>37.463000000000001</v>
      </c>
      <c r="K137" s="8">
        <v>37.191000000000003</v>
      </c>
      <c r="L137" s="8">
        <v>39.075000000000003</v>
      </c>
      <c r="M137" s="8">
        <v>54.912999999999997</v>
      </c>
      <c r="N137" s="8">
        <v>55.627000000000002</v>
      </c>
      <c r="O137" s="8">
        <v>54.912999999999997</v>
      </c>
      <c r="P137" s="8">
        <v>57.052999999999997</v>
      </c>
      <c r="Q137" s="10">
        <f t="shared" si="39"/>
        <v>2.1400000000000006</v>
      </c>
    </row>
    <row r="138" spans="1:17" x14ac:dyDescent="0.35">
      <c r="A138" s="3">
        <v>1985</v>
      </c>
      <c r="B138" s="4">
        <f t="shared" si="32"/>
        <v>35.822000000000003</v>
      </c>
      <c r="C138" s="4">
        <f t="shared" si="33"/>
        <v>37.643000000000001</v>
      </c>
      <c r="D138" s="4">
        <f t="shared" si="34"/>
        <v>53.970999999999997</v>
      </c>
      <c r="E138" s="4">
        <f t="shared" si="35"/>
        <v>56.104999999999997</v>
      </c>
      <c r="F138" s="4">
        <f t="shared" si="36"/>
        <v>1.820999999999998</v>
      </c>
      <c r="G138" s="4">
        <f t="shared" si="37"/>
        <v>0</v>
      </c>
      <c r="H138" s="4">
        <f t="shared" si="38"/>
        <v>16.327999999999996</v>
      </c>
      <c r="I138" s="5">
        <v>35.822000000000003</v>
      </c>
      <c r="J138" s="5">
        <v>36.613999999999997</v>
      </c>
      <c r="K138" s="5">
        <v>35.822000000000003</v>
      </c>
      <c r="L138" s="5">
        <v>37.643000000000001</v>
      </c>
      <c r="M138" s="5">
        <v>53.970999999999997</v>
      </c>
      <c r="N138" s="5">
        <v>55.207999999999998</v>
      </c>
      <c r="O138" s="5">
        <v>53.972000000000001</v>
      </c>
      <c r="P138" s="5">
        <v>56.104999999999997</v>
      </c>
      <c r="Q138" s="10">
        <f t="shared" si="39"/>
        <v>2.1340000000000003</v>
      </c>
    </row>
    <row r="139" spans="1:17" x14ac:dyDescent="0.35">
      <c r="A139" s="6">
        <v>1986</v>
      </c>
      <c r="B139" s="7">
        <f t="shared" si="32"/>
        <v>34.771999999999998</v>
      </c>
      <c r="C139" s="7">
        <f t="shared" si="33"/>
        <v>36.905999999999999</v>
      </c>
      <c r="D139" s="7">
        <f t="shared" si="34"/>
        <v>52.756</v>
      </c>
      <c r="E139" s="7">
        <f t="shared" si="35"/>
        <v>55.017000000000003</v>
      </c>
      <c r="F139" s="7">
        <f t="shared" si="36"/>
        <v>2.1340000000000003</v>
      </c>
      <c r="G139" s="7">
        <f t="shared" si="37"/>
        <v>0</v>
      </c>
      <c r="H139" s="7">
        <f t="shared" si="38"/>
        <v>15.850000000000001</v>
      </c>
      <c r="I139" s="8">
        <v>34.771999999999998</v>
      </c>
      <c r="J139" s="8">
        <v>36.078000000000003</v>
      </c>
      <c r="K139" s="8">
        <v>34.773000000000003</v>
      </c>
      <c r="L139" s="8">
        <v>36.905999999999999</v>
      </c>
      <c r="M139" s="8">
        <v>52.756</v>
      </c>
      <c r="N139" s="8">
        <v>54.6</v>
      </c>
      <c r="O139" s="8">
        <v>52.756</v>
      </c>
      <c r="P139" s="8">
        <v>55.017000000000003</v>
      </c>
      <c r="Q139" s="10">
        <f t="shared" si="39"/>
        <v>2.2610000000000028</v>
      </c>
    </row>
    <row r="140" spans="1:17" x14ac:dyDescent="0.35">
      <c r="A140" s="3">
        <v>1987</v>
      </c>
      <c r="B140" s="4">
        <f t="shared" si="32"/>
        <v>35.771000000000001</v>
      </c>
      <c r="C140" s="4">
        <f t="shared" si="33"/>
        <v>37.262</v>
      </c>
      <c r="D140" s="4">
        <f t="shared" si="34"/>
        <v>53.662999999999997</v>
      </c>
      <c r="E140" s="4">
        <f t="shared" si="35"/>
        <v>55.198999999999998</v>
      </c>
      <c r="F140" s="4">
        <f t="shared" si="36"/>
        <v>1.4909999999999997</v>
      </c>
      <c r="G140" s="4">
        <f t="shared" si="37"/>
        <v>0</v>
      </c>
      <c r="H140" s="4">
        <f t="shared" si="38"/>
        <v>16.400999999999996</v>
      </c>
      <c r="I140" s="5">
        <v>35.771000000000001</v>
      </c>
      <c r="J140" s="5">
        <v>36.247999999999998</v>
      </c>
      <c r="K140" s="5">
        <v>35.771000000000001</v>
      </c>
      <c r="L140" s="5">
        <v>37.262</v>
      </c>
      <c r="M140" s="5">
        <v>53.662999999999997</v>
      </c>
      <c r="N140" s="5">
        <v>54.43</v>
      </c>
      <c r="O140" s="5">
        <v>53.662999999999997</v>
      </c>
      <c r="P140" s="5">
        <v>55.198999999999998</v>
      </c>
      <c r="Q140" s="10">
        <f t="shared" si="39"/>
        <v>1.5360000000000014</v>
      </c>
    </row>
    <row r="141" spans="1:17" x14ac:dyDescent="0.35">
      <c r="A141" s="6">
        <v>1988</v>
      </c>
      <c r="B141" s="7">
        <f t="shared" si="32"/>
        <v>36.392000000000003</v>
      </c>
      <c r="C141" s="7">
        <f t="shared" si="33"/>
        <v>37.454000000000001</v>
      </c>
      <c r="D141" s="7">
        <f t="shared" si="34"/>
        <v>54.082999999999998</v>
      </c>
      <c r="E141" s="7">
        <f t="shared" si="35"/>
        <v>55.031999999999996</v>
      </c>
      <c r="F141" s="7">
        <f t="shared" si="36"/>
        <v>1.0619999999999976</v>
      </c>
      <c r="G141" s="7">
        <f t="shared" si="37"/>
        <v>0</v>
      </c>
      <c r="H141" s="7">
        <f t="shared" si="38"/>
        <v>16.628999999999998</v>
      </c>
      <c r="I141" s="8">
        <v>36.392000000000003</v>
      </c>
      <c r="J141" s="8">
        <v>36.438000000000002</v>
      </c>
      <c r="K141" s="8">
        <v>36.393000000000001</v>
      </c>
      <c r="L141" s="8">
        <v>37.454000000000001</v>
      </c>
      <c r="M141" s="8">
        <v>54.195</v>
      </c>
      <c r="N141" s="8">
        <v>54.082999999999998</v>
      </c>
      <c r="O141" s="8">
        <v>54.195</v>
      </c>
      <c r="P141" s="8">
        <v>55.031999999999996</v>
      </c>
      <c r="Q141" s="10">
        <f t="shared" si="39"/>
        <v>0.94899999999999807</v>
      </c>
    </row>
    <row r="142" spans="1:17" x14ac:dyDescent="0.35">
      <c r="A142" s="3">
        <v>1989</v>
      </c>
      <c r="B142" s="4">
        <f t="shared" si="32"/>
        <v>36.694000000000003</v>
      </c>
      <c r="C142" s="4">
        <f t="shared" si="33"/>
        <v>37.912999999999997</v>
      </c>
      <c r="D142" s="4">
        <f t="shared" si="34"/>
        <v>53.634</v>
      </c>
      <c r="E142" s="4">
        <f t="shared" si="35"/>
        <v>54.892000000000003</v>
      </c>
      <c r="F142" s="4">
        <f t="shared" si="36"/>
        <v>1.2189999999999941</v>
      </c>
      <c r="G142" s="4">
        <f t="shared" si="37"/>
        <v>0</v>
      </c>
      <c r="H142" s="4">
        <f t="shared" si="38"/>
        <v>15.721000000000004</v>
      </c>
      <c r="I142" s="5">
        <v>37.088000000000001</v>
      </c>
      <c r="J142" s="5">
        <v>36.694000000000003</v>
      </c>
      <c r="K142" s="5">
        <v>37.088000000000001</v>
      </c>
      <c r="L142" s="5">
        <v>37.912999999999997</v>
      </c>
      <c r="M142" s="5">
        <v>54.35</v>
      </c>
      <c r="N142" s="5">
        <v>53.634</v>
      </c>
      <c r="O142" s="5">
        <v>54.35</v>
      </c>
      <c r="P142" s="5">
        <v>54.892000000000003</v>
      </c>
      <c r="Q142" s="10">
        <f t="shared" si="39"/>
        <v>1.2580000000000027</v>
      </c>
    </row>
    <row r="143" spans="1:17" x14ac:dyDescent="0.35">
      <c r="A143" s="6">
        <v>1990</v>
      </c>
      <c r="B143" s="7">
        <f t="shared" si="32"/>
        <v>38.500999999999998</v>
      </c>
      <c r="C143" s="7">
        <f t="shared" si="33"/>
        <v>40.631</v>
      </c>
      <c r="D143" s="7">
        <f t="shared" si="34"/>
        <v>55.843000000000004</v>
      </c>
      <c r="E143" s="7">
        <f t="shared" si="35"/>
        <v>56.029000000000003</v>
      </c>
      <c r="F143" s="7">
        <f t="shared" si="36"/>
        <v>2.1300000000000026</v>
      </c>
      <c r="G143" s="7">
        <f t="shared" si="37"/>
        <v>0</v>
      </c>
      <c r="H143" s="7">
        <f t="shared" si="38"/>
        <v>15.212000000000003</v>
      </c>
      <c r="I143" s="8">
        <v>38.500999999999998</v>
      </c>
      <c r="J143" s="8">
        <v>40.631</v>
      </c>
      <c r="K143" s="8">
        <v>38.500999999999998</v>
      </c>
      <c r="L143" s="8">
        <v>39.017000000000003</v>
      </c>
      <c r="M143" s="8">
        <v>55.843000000000004</v>
      </c>
      <c r="N143" s="8">
        <v>56.029000000000003</v>
      </c>
      <c r="O143" s="8">
        <v>55.843000000000004</v>
      </c>
      <c r="P143" s="8">
        <v>55.884</v>
      </c>
      <c r="Q143" s="10">
        <f t="shared" si="39"/>
        <v>0.18599999999999994</v>
      </c>
    </row>
    <row r="144" spans="1:17" x14ac:dyDescent="0.35">
      <c r="A144" s="3">
        <v>1991</v>
      </c>
      <c r="B144" s="4">
        <f t="shared" si="32"/>
        <v>37.798999999999999</v>
      </c>
      <c r="C144" s="4">
        <f t="shared" si="33"/>
        <v>39.860999999999997</v>
      </c>
      <c r="D144" s="4">
        <f t="shared" si="34"/>
        <v>53.015999999999998</v>
      </c>
      <c r="E144" s="4">
        <f t="shared" si="35"/>
        <v>54.911000000000001</v>
      </c>
      <c r="F144" s="4">
        <f t="shared" si="36"/>
        <v>2.0619999999999976</v>
      </c>
      <c r="G144" s="4">
        <f t="shared" si="37"/>
        <v>0</v>
      </c>
      <c r="H144" s="4">
        <f t="shared" si="38"/>
        <v>13.155000000000001</v>
      </c>
      <c r="I144" s="5">
        <v>37.798999999999999</v>
      </c>
      <c r="J144" s="5">
        <v>39.860999999999997</v>
      </c>
      <c r="K144" s="5">
        <v>38.439</v>
      </c>
      <c r="L144" s="5">
        <v>39.045000000000002</v>
      </c>
      <c r="M144" s="5">
        <v>53.975000000000001</v>
      </c>
      <c r="N144" s="5">
        <v>53.015999999999998</v>
      </c>
      <c r="O144" s="5">
        <v>54.889000000000003</v>
      </c>
      <c r="P144" s="5">
        <v>54.911000000000001</v>
      </c>
      <c r="Q144" s="10">
        <f t="shared" si="39"/>
        <v>1.8950000000000031</v>
      </c>
    </row>
    <row r="145" spans="1:17" x14ac:dyDescent="0.35">
      <c r="A145" s="6">
        <v>1992</v>
      </c>
      <c r="B145" s="7">
        <f t="shared" si="32"/>
        <v>38.497</v>
      </c>
      <c r="C145" s="7">
        <f t="shared" si="33"/>
        <v>40.886000000000003</v>
      </c>
      <c r="D145" s="7">
        <f t="shared" si="34"/>
        <v>51.682000000000002</v>
      </c>
      <c r="E145" s="7">
        <f t="shared" si="35"/>
        <v>53.41</v>
      </c>
      <c r="F145" s="7">
        <f t="shared" si="36"/>
        <v>2.3890000000000029</v>
      </c>
      <c r="G145" s="7">
        <f t="shared" si="37"/>
        <v>0</v>
      </c>
      <c r="H145" s="7">
        <f t="shared" si="38"/>
        <v>10.795999999999999</v>
      </c>
      <c r="I145" s="8">
        <v>38.497</v>
      </c>
      <c r="J145" s="8">
        <v>40.886000000000003</v>
      </c>
      <c r="K145" s="8">
        <v>38.497</v>
      </c>
      <c r="L145" s="8">
        <v>39.460999999999999</v>
      </c>
      <c r="M145" s="8">
        <v>52.44</v>
      </c>
      <c r="N145" s="8">
        <v>51.682000000000002</v>
      </c>
      <c r="O145" s="8">
        <v>52.44</v>
      </c>
      <c r="P145" s="8">
        <v>53.41</v>
      </c>
      <c r="Q145" s="10">
        <f t="shared" si="39"/>
        <v>1.7279999999999944</v>
      </c>
    </row>
    <row r="146" spans="1:17" x14ac:dyDescent="0.35">
      <c r="A146" s="3">
        <v>1993</v>
      </c>
      <c r="B146" s="4">
        <f t="shared" si="32"/>
        <v>38.784999999999997</v>
      </c>
      <c r="C146" s="4">
        <f t="shared" si="33"/>
        <v>40.902999999999999</v>
      </c>
      <c r="D146" s="4">
        <f t="shared" si="34"/>
        <v>50.128</v>
      </c>
      <c r="E146" s="4">
        <f t="shared" si="35"/>
        <v>52.189</v>
      </c>
      <c r="F146" s="4">
        <f t="shared" si="36"/>
        <v>2.1180000000000021</v>
      </c>
      <c r="G146" s="4">
        <f t="shared" si="37"/>
        <v>0</v>
      </c>
      <c r="H146" s="4">
        <f t="shared" si="38"/>
        <v>9.2250000000000014</v>
      </c>
      <c r="I146" s="5">
        <v>38.784999999999997</v>
      </c>
      <c r="J146" s="5">
        <v>40.902999999999999</v>
      </c>
      <c r="K146" s="5">
        <v>38.784999999999997</v>
      </c>
      <c r="L146" s="5">
        <v>39.283999999999999</v>
      </c>
      <c r="M146" s="5">
        <v>51.887</v>
      </c>
      <c r="N146" s="5">
        <v>50.128</v>
      </c>
      <c r="O146" s="5">
        <v>51.887</v>
      </c>
      <c r="P146" s="5">
        <v>52.189</v>
      </c>
      <c r="Q146" s="10">
        <f t="shared" si="39"/>
        <v>2.0609999999999999</v>
      </c>
    </row>
    <row r="147" spans="1:17" x14ac:dyDescent="0.35">
      <c r="A147" s="6">
        <v>1994</v>
      </c>
      <c r="B147" s="7">
        <f t="shared" si="32"/>
        <v>37.484000000000002</v>
      </c>
      <c r="C147" s="7">
        <f t="shared" si="33"/>
        <v>46.47</v>
      </c>
      <c r="D147" s="7">
        <f t="shared" si="34"/>
        <v>48.646999999999998</v>
      </c>
      <c r="E147" s="7">
        <f t="shared" si="35"/>
        <v>54.08</v>
      </c>
      <c r="F147" s="7">
        <f t="shared" si="36"/>
        <v>8.9859999999999971</v>
      </c>
      <c r="G147" s="7">
        <f t="shared" si="37"/>
        <v>0</v>
      </c>
      <c r="H147" s="7">
        <f t="shared" si="38"/>
        <v>2.1769999999999996</v>
      </c>
      <c r="I147" s="8">
        <v>37.484000000000002</v>
      </c>
      <c r="J147" s="8">
        <v>46.47</v>
      </c>
      <c r="K147" s="8">
        <v>37.484000000000002</v>
      </c>
      <c r="L147" s="8">
        <v>39.026000000000003</v>
      </c>
      <c r="M147" s="8">
        <v>48.646999999999998</v>
      </c>
      <c r="N147" s="8">
        <v>54.08</v>
      </c>
      <c r="O147" s="8">
        <v>48.646999999999998</v>
      </c>
      <c r="P147" s="8">
        <v>50.326000000000001</v>
      </c>
      <c r="Q147" s="10">
        <f t="shared" si="39"/>
        <v>5.4329999999999998</v>
      </c>
    </row>
    <row r="148" spans="1:17" x14ac:dyDescent="0.35">
      <c r="A148" s="3">
        <v>1995</v>
      </c>
      <c r="B148" s="4">
        <f t="shared" si="32"/>
        <v>38.218000000000004</v>
      </c>
      <c r="C148" s="4">
        <f t="shared" si="33"/>
        <v>44.88</v>
      </c>
      <c r="D148" s="4">
        <f t="shared" si="34"/>
        <v>48.816000000000003</v>
      </c>
      <c r="E148" s="4">
        <f t="shared" si="35"/>
        <v>51.465000000000003</v>
      </c>
      <c r="F148" s="4">
        <f t="shared" si="36"/>
        <v>6.661999999999999</v>
      </c>
      <c r="G148" s="4">
        <f t="shared" si="37"/>
        <v>0</v>
      </c>
      <c r="H148" s="4">
        <f t="shared" si="38"/>
        <v>3.9359999999999999</v>
      </c>
      <c r="I148" s="5">
        <v>38.218000000000004</v>
      </c>
      <c r="J148" s="5">
        <v>44.88</v>
      </c>
      <c r="K148" s="5">
        <v>38.218000000000004</v>
      </c>
      <c r="L148" s="5">
        <v>38.823999999999998</v>
      </c>
      <c r="M148" s="5">
        <v>48.816000000000003</v>
      </c>
      <c r="N148" s="5">
        <v>51.465000000000003</v>
      </c>
      <c r="O148" s="5">
        <v>48.816000000000003</v>
      </c>
      <c r="P148" s="5">
        <v>49.639000000000003</v>
      </c>
      <c r="Q148" s="10">
        <f t="shared" si="39"/>
        <v>2.6490000000000009</v>
      </c>
    </row>
    <row r="149" spans="1:17" x14ac:dyDescent="0.35">
      <c r="A149" s="6">
        <v>1996</v>
      </c>
      <c r="B149" s="7">
        <f t="shared" si="32"/>
        <v>38.085000000000001</v>
      </c>
      <c r="C149" s="7">
        <f t="shared" si="33"/>
        <v>45.582000000000001</v>
      </c>
      <c r="D149" s="7">
        <f t="shared" si="34"/>
        <v>49.634</v>
      </c>
      <c r="E149" s="7">
        <f t="shared" si="35"/>
        <v>53.142000000000003</v>
      </c>
      <c r="F149" s="7">
        <f t="shared" si="36"/>
        <v>7.4969999999999999</v>
      </c>
      <c r="G149" s="7">
        <f t="shared" si="37"/>
        <v>0</v>
      </c>
      <c r="H149" s="7">
        <f t="shared" si="38"/>
        <v>4.0519999999999996</v>
      </c>
      <c r="I149" s="8">
        <v>38.085000000000001</v>
      </c>
      <c r="J149" s="8">
        <v>45.582000000000001</v>
      </c>
      <c r="K149" s="8">
        <v>38.085000000000001</v>
      </c>
      <c r="L149" s="8">
        <v>38.594999999999999</v>
      </c>
      <c r="M149" s="8">
        <v>49.634</v>
      </c>
      <c r="N149" s="8">
        <v>53.142000000000003</v>
      </c>
      <c r="O149" s="8">
        <v>49.634</v>
      </c>
      <c r="P149" s="8">
        <v>49.988</v>
      </c>
      <c r="Q149" s="10">
        <f t="shared" si="39"/>
        <v>3.5080000000000027</v>
      </c>
    </row>
    <row r="150" spans="1:17" x14ac:dyDescent="0.35">
      <c r="A150" s="3">
        <v>1997</v>
      </c>
      <c r="B150" s="4">
        <f t="shared" si="32"/>
        <v>36.061</v>
      </c>
      <c r="C150" s="4">
        <f t="shared" si="33"/>
        <v>46.89</v>
      </c>
      <c r="D150" s="4">
        <f t="shared" si="34"/>
        <v>45.347000000000001</v>
      </c>
      <c r="E150" s="4">
        <f t="shared" si="35"/>
        <v>52.802</v>
      </c>
      <c r="F150" s="4">
        <f t="shared" si="36"/>
        <v>9.2860000000000014</v>
      </c>
      <c r="G150" s="4">
        <f t="shared" si="37"/>
        <v>1.5429999999999993</v>
      </c>
      <c r="H150" s="4">
        <f t="shared" si="38"/>
        <v>0</v>
      </c>
      <c r="I150" s="5">
        <v>36.061</v>
      </c>
      <c r="J150" s="5">
        <v>46.89</v>
      </c>
      <c r="K150" s="5">
        <v>36.061</v>
      </c>
      <c r="L150" s="5">
        <v>36.479999999999997</v>
      </c>
      <c r="M150" s="5">
        <v>45.347000000000001</v>
      </c>
      <c r="N150" s="5">
        <v>52.802</v>
      </c>
      <c r="O150" s="5">
        <v>45.347000000000001</v>
      </c>
      <c r="P150" s="5">
        <v>45.886000000000003</v>
      </c>
      <c r="Q150" s="10">
        <f t="shared" si="39"/>
        <v>5.911999999999999</v>
      </c>
    </row>
    <row r="151" spans="1:17" x14ac:dyDescent="0.35">
      <c r="A151" s="6">
        <v>1998</v>
      </c>
      <c r="B151" s="7">
        <f t="shared" si="32"/>
        <v>37.965000000000003</v>
      </c>
      <c r="C151" s="7">
        <f t="shared" si="33"/>
        <v>46.066000000000003</v>
      </c>
      <c r="D151" s="7">
        <f t="shared" si="34"/>
        <v>47.463999999999999</v>
      </c>
      <c r="E151" s="7">
        <f t="shared" si="35"/>
        <v>52.801000000000002</v>
      </c>
      <c r="F151" s="7">
        <f t="shared" si="36"/>
        <v>8.1009999999999991</v>
      </c>
      <c r="G151" s="7">
        <f t="shared" si="37"/>
        <v>0</v>
      </c>
      <c r="H151" s="7">
        <f t="shared" si="38"/>
        <v>1.3979999999999961</v>
      </c>
      <c r="I151" s="8">
        <v>37.965000000000003</v>
      </c>
      <c r="J151" s="8">
        <v>46.066000000000003</v>
      </c>
      <c r="K151" s="8">
        <v>37.965000000000003</v>
      </c>
      <c r="L151" s="8">
        <v>38.902000000000001</v>
      </c>
      <c r="M151" s="8">
        <v>47.463999999999999</v>
      </c>
      <c r="N151" s="8">
        <v>52.801000000000002</v>
      </c>
      <c r="O151" s="8">
        <v>47.463999999999999</v>
      </c>
      <c r="P151" s="8">
        <v>48.771000000000001</v>
      </c>
      <c r="Q151" s="10">
        <f t="shared" si="39"/>
        <v>5.3370000000000033</v>
      </c>
    </row>
    <row r="152" spans="1:17" x14ac:dyDescent="0.35">
      <c r="A152" s="3">
        <v>1999</v>
      </c>
      <c r="B152" s="4">
        <f t="shared" si="32"/>
        <v>38.067</v>
      </c>
      <c r="C152" s="4">
        <f t="shared" si="33"/>
        <v>46.817999999999998</v>
      </c>
      <c r="D152" s="4">
        <f t="shared" si="34"/>
        <v>47.398000000000003</v>
      </c>
      <c r="E152" s="4">
        <f t="shared" si="35"/>
        <v>51.564999999999998</v>
      </c>
      <c r="F152" s="4">
        <f t="shared" si="36"/>
        <v>8.7509999999999977</v>
      </c>
      <c r="G152" s="4">
        <f t="shared" si="37"/>
        <v>0</v>
      </c>
      <c r="H152" s="4">
        <f t="shared" si="38"/>
        <v>0.5800000000000054</v>
      </c>
      <c r="I152" s="5">
        <v>38.067</v>
      </c>
      <c r="J152" s="5">
        <v>46.817999999999998</v>
      </c>
      <c r="K152" s="5">
        <v>38.067</v>
      </c>
      <c r="L152" s="5">
        <v>38.466999999999999</v>
      </c>
      <c r="M152" s="5">
        <v>47.398000000000003</v>
      </c>
      <c r="N152" s="5">
        <v>51.564999999999998</v>
      </c>
      <c r="O152" s="5">
        <v>47.398000000000003</v>
      </c>
      <c r="P152" s="5">
        <v>48.030999999999999</v>
      </c>
      <c r="Q152" s="10">
        <f t="shared" si="39"/>
        <v>4.1669999999999945</v>
      </c>
    </row>
    <row r="153" spans="1:17" x14ac:dyDescent="0.35">
      <c r="A153" s="6">
        <v>2000</v>
      </c>
      <c r="B153" s="7">
        <f t="shared" si="32"/>
        <v>38.993000000000002</v>
      </c>
      <c r="C153" s="7">
        <f t="shared" si="33"/>
        <v>48.048000000000002</v>
      </c>
      <c r="D153" s="7">
        <f t="shared" si="34"/>
        <v>47.783000000000001</v>
      </c>
      <c r="E153" s="7">
        <f t="shared" si="35"/>
        <v>53.259</v>
      </c>
      <c r="F153" s="7">
        <f t="shared" si="36"/>
        <v>8.7899999999999991</v>
      </c>
      <c r="G153" s="7">
        <f t="shared" si="37"/>
        <v>0.26500000000000057</v>
      </c>
      <c r="H153" s="7">
        <f t="shared" si="38"/>
        <v>0</v>
      </c>
      <c r="I153" s="8">
        <v>38.993000000000002</v>
      </c>
      <c r="J153" s="8">
        <v>48.048000000000002</v>
      </c>
      <c r="K153" s="8">
        <v>38.993000000000002</v>
      </c>
      <c r="L153" s="8">
        <v>39.235999999999997</v>
      </c>
      <c r="M153" s="8">
        <v>47.783000000000001</v>
      </c>
      <c r="N153" s="8">
        <v>53.259</v>
      </c>
      <c r="O153" s="8">
        <v>47.783000000000001</v>
      </c>
      <c r="P153" s="8">
        <v>48.438000000000002</v>
      </c>
      <c r="Q153" s="10">
        <f t="shared" si="39"/>
        <v>5.2109999999999985</v>
      </c>
    </row>
    <row r="154" spans="1:17" x14ac:dyDescent="0.35">
      <c r="A154" s="3">
        <v>2001</v>
      </c>
      <c r="B154" s="4">
        <f t="shared" si="32"/>
        <v>39.01</v>
      </c>
      <c r="C154" s="4">
        <f t="shared" si="33"/>
        <v>47.061999999999998</v>
      </c>
      <c r="D154" s="4">
        <f t="shared" si="34"/>
        <v>48.006999999999998</v>
      </c>
      <c r="E154" s="4">
        <f t="shared" si="35"/>
        <v>52.046999999999997</v>
      </c>
      <c r="F154" s="4">
        <f t="shared" si="36"/>
        <v>8.0519999999999996</v>
      </c>
      <c r="G154" s="4">
        <f t="shared" si="37"/>
        <v>0</v>
      </c>
      <c r="H154" s="4">
        <f t="shared" si="38"/>
        <v>0.94500000000000028</v>
      </c>
      <c r="I154" s="5">
        <v>39.01</v>
      </c>
      <c r="J154" s="5">
        <v>47.061999999999998</v>
      </c>
      <c r="K154" s="5">
        <v>39.01</v>
      </c>
      <c r="L154" s="5">
        <v>39.128</v>
      </c>
      <c r="M154" s="5">
        <v>48.006999999999998</v>
      </c>
      <c r="N154" s="5">
        <v>52.046999999999997</v>
      </c>
      <c r="O154" s="5">
        <v>48.006999999999998</v>
      </c>
      <c r="P154" s="5">
        <v>48.502000000000002</v>
      </c>
      <c r="Q154" s="10">
        <f t="shared" si="39"/>
        <v>4.0399999999999991</v>
      </c>
    </row>
    <row r="155" spans="1:17" x14ac:dyDescent="0.35">
      <c r="A155" s="6">
        <v>2002</v>
      </c>
      <c r="B155" s="7">
        <f t="shared" si="32"/>
        <v>37.664000000000001</v>
      </c>
      <c r="C155" s="7">
        <f t="shared" si="33"/>
        <v>45.387999999999998</v>
      </c>
      <c r="D155" s="7">
        <f t="shared" si="34"/>
        <v>46.042999999999999</v>
      </c>
      <c r="E155" s="7">
        <f t="shared" si="35"/>
        <v>50.286999999999999</v>
      </c>
      <c r="F155" s="7">
        <f t="shared" si="36"/>
        <v>7.7239999999999966</v>
      </c>
      <c r="G155" s="7">
        <f t="shared" si="37"/>
        <v>0</v>
      </c>
      <c r="H155" s="7">
        <f t="shared" si="38"/>
        <v>0.65500000000000114</v>
      </c>
      <c r="I155" s="8">
        <v>37.664000000000001</v>
      </c>
      <c r="J155" s="8">
        <v>45.387999999999998</v>
      </c>
      <c r="K155" s="8">
        <v>37.664000000000001</v>
      </c>
      <c r="L155" s="8">
        <v>38.222999999999999</v>
      </c>
      <c r="M155" s="8">
        <v>46.042999999999999</v>
      </c>
      <c r="N155" s="8">
        <v>50.286999999999999</v>
      </c>
      <c r="O155" s="8">
        <v>46.042999999999999</v>
      </c>
      <c r="P155" s="8">
        <v>47.170999999999999</v>
      </c>
      <c r="Q155" s="10">
        <f t="shared" si="39"/>
        <v>4.2439999999999998</v>
      </c>
    </row>
    <row r="156" spans="1:17" x14ac:dyDescent="0.35">
      <c r="A156" s="3">
        <v>2003</v>
      </c>
      <c r="B156" s="4">
        <f t="shared" si="32"/>
        <v>35.869</v>
      </c>
      <c r="C156" s="4">
        <f t="shared" si="33"/>
        <v>41.603999999999999</v>
      </c>
      <c r="D156" s="4">
        <f t="shared" si="34"/>
        <v>44.08</v>
      </c>
      <c r="E156" s="4">
        <f t="shared" si="35"/>
        <v>46.848999999999997</v>
      </c>
      <c r="F156" s="4">
        <f t="shared" si="36"/>
        <v>5.7349999999999994</v>
      </c>
      <c r="G156" s="4">
        <f t="shared" si="37"/>
        <v>0</v>
      </c>
      <c r="H156" s="4">
        <f t="shared" si="38"/>
        <v>2.4759999999999991</v>
      </c>
      <c r="I156" s="5">
        <v>35.869</v>
      </c>
      <c r="J156" s="5">
        <v>41.603999999999999</v>
      </c>
      <c r="K156" s="5">
        <v>35.869</v>
      </c>
      <c r="L156" s="5">
        <v>37.036999999999999</v>
      </c>
      <c r="M156" s="5">
        <v>44.08</v>
      </c>
      <c r="N156" s="5">
        <v>46.848999999999997</v>
      </c>
      <c r="O156" s="5">
        <v>44.08</v>
      </c>
      <c r="P156" s="5">
        <v>45.93</v>
      </c>
      <c r="Q156" s="10">
        <f t="shared" si="39"/>
        <v>2.7689999999999984</v>
      </c>
    </row>
    <row r="157" spans="1:17" x14ac:dyDescent="0.35">
      <c r="A157" s="6">
        <v>2004</v>
      </c>
      <c r="B157" s="7">
        <f t="shared" si="32"/>
        <v>36.107999999999997</v>
      </c>
      <c r="C157" s="7">
        <f t="shared" si="33"/>
        <v>40.119</v>
      </c>
      <c r="D157" s="7">
        <f t="shared" si="34"/>
        <v>43.718000000000004</v>
      </c>
      <c r="E157" s="7">
        <f t="shared" si="35"/>
        <v>45.284999999999997</v>
      </c>
      <c r="F157" s="7">
        <f t="shared" si="36"/>
        <v>4.0110000000000028</v>
      </c>
      <c r="G157" s="7">
        <f t="shared" si="37"/>
        <v>0</v>
      </c>
      <c r="H157" s="7">
        <f t="shared" si="38"/>
        <v>3.5990000000000038</v>
      </c>
      <c r="I157" s="8">
        <v>36.107999999999997</v>
      </c>
      <c r="J157" s="8">
        <v>40.119</v>
      </c>
      <c r="K157" s="8">
        <v>36.107999999999997</v>
      </c>
      <c r="L157" s="8">
        <v>36.6</v>
      </c>
      <c r="M157" s="8">
        <v>44.29</v>
      </c>
      <c r="N157" s="8">
        <v>43.718000000000004</v>
      </c>
      <c r="O157" s="8">
        <v>44.29</v>
      </c>
      <c r="P157" s="8">
        <v>45.284999999999997</v>
      </c>
      <c r="Q157" s="10">
        <f t="shared" si="39"/>
        <v>1.5669999999999931</v>
      </c>
    </row>
    <row r="158" spans="1:17" x14ac:dyDescent="0.35">
      <c r="A158" s="3">
        <v>2005</v>
      </c>
      <c r="B158" s="4">
        <f t="shared" si="32"/>
        <v>35.856999999999999</v>
      </c>
      <c r="C158" s="4">
        <f t="shared" si="33"/>
        <v>39.944000000000003</v>
      </c>
      <c r="D158" s="4">
        <f t="shared" si="34"/>
        <v>43.871000000000002</v>
      </c>
      <c r="E158" s="4">
        <f t="shared" si="35"/>
        <v>44.872999999999998</v>
      </c>
      <c r="F158" s="4">
        <f t="shared" si="36"/>
        <v>4.0870000000000033</v>
      </c>
      <c r="G158" s="4">
        <f t="shared" si="37"/>
        <v>0</v>
      </c>
      <c r="H158" s="4">
        <f t="shared" si="38"/>
        <v>3.9269999999999996</v>
      </c>
      <c r="I158" s="5">
        <v>35.856999999999999</v>
      </c>
      <c r="J158" s="5">
        <v>39.944000000000003</v>
      </c>
      <c r="K158" s="5">
        <v>35.856999999999999</v>
      </c>
      <c r="L158" s="5">
        <v>36.142000000000003</v>
      </c>
      <c r="M158" s="5">
        <v>44.122</v>
      </c>
      <c r="N158" s="5">
        <v>43.871000000000002</v>
      </c>
      <c r="O158" s="5">
        <v>44.122</v>
      </c>
      <c r="P158" s="5">
        <v>44.872999999999998</v>
      </c>
      <c r="Q158" s="10">
        <f t="shared" si="39"/>
        <v>1.0019999999999953</v>
      </c>
    </row>
    <row r="159" spans="1:17" x14ac:dyDescent="0.35">
      <c r="A159" s="6">
        <v>2006</v>
      </c>
      <c r="B159" s="7">
        <f t="shared" si="32"/>
        <v>33.302999999999997</v>
      </c>
      <c r="C159" s="7">
        <f t="shared" si="33"/>
        <v>39.048999999999999</v>
      </c>
      <c r="D159" s="7">
        <f t="shared" si="34"/>
        <v>41.674999999999997</v>
      </c>
      <c r="E159" s="7">
        <f t="shared" si="35"/>
        <v>43.262999999999998</v>
      </c>
      <c r="F159" s="7">
        <f t="shared" si="36"/>
        <v>5.7460000000000022</v>
      </c>
      <c r="G159" s="7">
        <f t="shared" si="37"/>
        <v>0</v>
      </c>
      <c r="H159" s="7">
        <f t="shared" si="38"/>
        <v>2.6259999999999977</v>
      </c>
      <c r="I159" s="8">
        <v>33.302999999999997</v>
      </c>
      <c r="J159" s="8">
        <v>39.048999999999999</v>
      </c>
      <c r="K159" s="8">
        <v>33.302999999999997</v>
      </c>
      <c r="L159" s="8">
        <v>34.298999999999999</v>
      </c>
      <c r="M159" s="8">
        <v>41.674999999999997</v>
      </c>
      <c r="N159" s="8">
        <v>43.262999999999998</v>
      </c>
      <c r="O159" s="8">
        <v>41.674999999999997</v>
      </c>
      <c r="P159" s="8">
        <v>43.011000000000003</v>
      </c>
      <c r="Q159" s="10">
        <f t="shared" si="39"/>
        <v>1.588000000000001</v>
      </c>
    </row>
    <row r="160" spans="1:17" x14ac:dyDescent="0.35">
      <c r="A160" s="3">
        <v>2007</v>
      </c>
      <c r="B160" s="4">
        <f t="shared" si="32"/>
        <v>33.424999999999997</v>
      </c>
      <c r="C160" s="4">
        <f t="shared" si="33"/>
        <v>39.094999999999999</v>
      </c>
      <c r="D160" s="4">
        <f t="shared" si="34"/>
        <v>42.093000000000004</v>
      </c>
      <c r="E160" s="4">
        <f t="shared" si="35"/>
        <v>43.287999999999997</v>
      </c>
      <c r="F160" s="4">
        <f t="shared" si="36"/>
        <v>5.6700000000000017</v>
      </c>
      <c r="G160" s="4">
        <f t="shared" si="37"/>
        <v>0</v>
      </c>
      <c r="H160" s="4">
        <f t="shared" si="38"/>
        <v>2.9980000000000047</v>
      </c>
      <c r="I160" s="5">
        <v>33.424999999999997</v>
      </c>
      <c r="J160" s="5">
        <v>39.094999999999999</v>
      </c>
      <c r="K160" s="5">
        <v>33.424999999999997</v>
      </c>
      <c r="L160" s="5">
        <v>34.1</v>
      </c>
      <c r="M160" s="5">
        <v>42.093000000000004</v>
      </c>
      <c r="N160" s="5">
        <v>43.287999999999997</v>
      </c>
      <c r="O160" s="5">
        <v>42.093000000000004</v>
      </c>
      <c r="P160" s="5">
        <v>42.968000000000004</v>
      </c>
      <c r="Q160" s="10">
        <f t="shared" si="39"/>
        <v>1.1949999999999932</v>
      </c>
    </row>
    <row r="161" spans="1:17" x14ac:dyDescent="0.35">
      <c r="A161" s="6">
        <v>2008</v>
      </c>
      <c r="B161" s="7">
        <f t="shared" si="32"/>
        <v>32.343000000000004</v>
      </c>
      <c r="C161" s="7">
        <f t="shared" si="33"/>
        <v>37.159999999999997</v>
      </c>
      <c r="D161" s="7">
        <f t="shared" si="34"/>
        <v>40.595999999999997</v>
      </c>
      <c r="E161" s="7">
        <f t="shared" si="35"/>
        <v>41.607999999999997</v>
      </c>
      <c r="F161" s="7">
        <f t="shared" si="36"/>
        <v>4.8169999999999931</v>
      </c>
      <c r="G161" s="7">
        <f t="shared" si="37"/>
        <v>0</v>
      </c>
      <c r="H161" s="7">
        <f t="shared" si="38"/>
        <v>3.4359999999999999</v>
      </c>
      <c r="I161" s="8">
        <v>32.343000000000004</v>
      </c>
      <c r="J161" s="8">
        <v>37.159999999999997</v>
      </c>
      <c r="K161" s="8">
        <v>32.343000000000004</v>
      </c>
      <c r="L161" s="8">
        <v>32.533999999999999</v>
      </c>
      <c r="M161" s="8">
        <v>40.595999999999997</v>
      </c>
      <c r="N161" s="8">
        <v>41.607999999999997</v>
      </c>
      <c r="O161" s="8">
        <v>40.595999999999997</v>
      </c>
      <c r="P161" s="8">
        <v>41.029000000000003</v>
      </c>
      <c r="Q161" s="10">
        <f t="shared" si="39"/>
        <v>1.0120000000000005</v>
      </c>
    </row>
    <row r="162" spans="1:17" x14ac:dyDescent="0.35">
      <c r="A162" s="3">
        <v>2009</v>
      </c>
      <c r="B162" s="4">
        <f t="shared" si="32"/>
        <v>29.331</v>
      </c>
      <c r="C162" s="4">
        <f t="shared" si="33"/>
        <v>35.795000000000002</v>
      </c>
      <c r="D162" s="4">
        <f t="shared" si="34"/>
        <v>37.683</v>
      </c>
      <c r="E162" s="4">
        <f t="shared" si="35"/>
        <v>39.386000000000003</v>
      </c>
      <c r="F162" s="4">
        <f t="shared" si="36"/>
        <v>6.4640000000000022</v>
      </c>
      <c r="G162" s="4">
        <f t="shared" si="37"/>
        <v>0</v>
      </c>
      <c r="H162" s="4">
        <f t="shared" si="38"/>
        <v>1.8879999999999981</v>
      </c>
      <c r="I162" s="5">
        <v>29.331</v>
      </c>
      <c r="J162" s="5">
        <v>35.795000000000002</v>
      </c>
      <c r="K162" s="5">
        <v>29.331</v>
      </c>
      <c r="L162" s="5">
        <v>30.077000000000002</v>
      </c>
      <c r="M162" s="5">
        <v>37.683</v>
      </c>
      <c r="N162" s="5">
        <v>39.386000000000003</v>
      </c>
      <c r="O162" s="5">
        <v>37.683</v>
      </c>
      <c r="P162" s="5">
        <v>38.429000000000002</v>
      </c>
      <c r="Q162" s="10">
        <f t="shared" si="39"/>
        <v>1.703000000000003</v>
      </c>
    </row>
    <row r="163" spans="1:17" x14ac:dyDescent="0.35">
      <c r="A163" s="6">
        <v>2010</v>
      </c>
      <c r="B163" s="7">
        <f t="shared" ref="B163:B177" si="40">IFERROR(MIN(I163:L163),"")</f>
        <v>29.626000000000001</v>
      </c>
      <c r="C163" s="7">
        <f t="shared" ref="C163:C177" si="41">IFERROR(MAX(I163:L163),"")</f>
        <v>35.582000000000001</v>
      </c>
      <c r="D163" s="7">
        <f t="shared" ref="D163:D177" si="42">IFERROR(MIN(M163:P163),"")</f>
        <v>38.270000000000003</v>
      </c>
      <c r="E163" s="7">
        <f t="shared" ref="E163:E177" si="43">IFERROR(MAX(M163:P163),"")</f>
        <v>39.554000000000002</v>
      </c>
      <c r="F163" s="7">
        <f t="shared" ref="F163:F177" si="44">IFERROR(MIN(C163,D163)-B163,"")</f>
        <v>5.9559999999999995</v>
      </c>
      <c r="G163" s="7">
        <f t="shared" ref="G163:G177" si="45">IFERROR(MAX(0,C163-D163),"")</f>
        <v>0</v>
      </c>
      <c r="H163" s="7">
        <f t="shared" ref="H163:H177" si="46">IFERROR(MAX(0,D163-C163),"")</f>
        <v>2.6880000000000024</v>
      </c>
      <c r="I163" s="8">
        <v>30.143000000000001</v>
      </c>
      <c r="J163" s="8">
        <v>35.582000000000001</v>
      </c>
      <c r="K163" s="8">
        <v>30.143000000000001</v>
      </c>
      <c r="L163" s="8">
        <v>29.626000000000001</v>
      </c>
      <c r="M163" s="8">
        <v>38.761000000000003</v>
      </c>
      <c r="N163" s="8">
        <v>39.554000000000002</v>
      </c>
      <c r="O163" s="8">
        <v>38.761000000000003</v>
      </c>
      <c r="P163" s="8">
        <v>38.270000000000003</v>
      </c>
      <c r="Q163" s="10">
        <f t="shared" ref="Q163:Q177" si="47">IFERROR(MAX(0,$E163-MAX($C163,$D163)),"")</f>
        <v>1.2839999999999989</v>
      </c>
    </row>
    <row r="164" spans="1:17" x14ac:dyDescent="0.35">
      <c r="A164" s="3">
        <v>2011</v>
      </c>
      <c r="B164" s="4">
        <f t="shared" si="40"/>
        <v>27.988</v>
      </c>
      <c r="C164" s="4">
        <f t="shared" si="41"/>
        <v>31.986999999999998</v>
      </c>
      <c r="D164" s="4">
        <f t="shared" si="42"/>
        <v>35.918999999999997</v>
      </c>
      <c r="E164" s="4">
        <f t="shared" si="43"/>
        <v>37.241</v>
      </c>
      <c r="F164" s="4">
        <f t="shared" si="44"/>
        <v>3.9989999999999988</v>
      </c>
      <c r="G164" s="4">
        <f t="shared" si="45"/>
        <v>0</v>
      </c>
      <c r="H164" s="4">
        <f t="shared" si="46"/>
        <v>3.9319999999999986</v>
      </c>
      <c r="I164" s="5">
        <v>27.988</v>
      </c>
      <c r="J164" s="5">
        <v>31.986999999999998</v>
      </c>
      <c r="K164" s="5">
        <v>27.988</v>
      </c>
      <c r="L164" s="5">
        <v>28.236000000000001</v>
      </c>
      <c r="M164" s="5">
        <v>35.918999999999997</v>
      </c>
      <c r="N164" s="5">
        <v>37.241</v>
      </c>
      <c r="O164" s="5">
        <v>35.918999999999997</v>
      </c>
      <c r="P164" s="5">
        <v>36.277999999999999</v>
      </c>
      <c r="Q164" s="10">
        <f t="shared" si="47"/>
        <v>1.3220000000000027</v>
      </c>
    </row>
    <row r="165" spans="1:17" x14ac:dyDescent="0.35">
      <c r="A165" s="6">
        <v>2012</v>
      </c>
      <c r="B165" s="7">
        <f t="shared" si="40"/>
        <v>26.895</v>
      </c>
      <c r="C165" s="7">
        <f t="shared" si="41"/>
        <v>30.422000000000001</v>
      </c>
      <c r="D165" s="7">
        <f t="shared" si="42"/>
        <v>35.405999999999999</v>
      </c>
      <c r="E165" s="7">
        <f t="shared" si="43"/>
        <v>36.777000000000001</v>
      </c>
      <c r="F165" s="7">
        <f t="shared" si="44"/>
        <v>3.527000000000001</v>
      </c>
      <c r="G165" s="7">
        <f t="shared" si="45"/>
        <v>0</v>
      </c>
      <c r="H165" s="7">
        <f t="shared" si="46"/>
        <v>4.9839999999999982</v>
      </c>
      <c r="I165" s="8">
        <v>26.895</v>
      </c>
      <c r="J165" s="8">
        <v>30.422000000000001</v>
      </c>
      <c r="K165" s="8">
        <v>26.895</v>
      </c>
      <c r="L165" s="8">
        <v>27.350999999999999</v>
      </c>
      <c r="M165" s="8">
        <v>35.405999999999999</v>
      </c>
      <c r="N165" s="8">
        <v>36.777000000000001</v>
      </c>
      <c r="O165" s="8">
        <v>35.405999999999999</v>
      </c>
      <c r="P165" s="8">
        <v>35.773000000000003</v>
      </c>
      <c r="Q165" s="10">
        <f t="shared" si="47"/>
        <v>1.3710000000000022</v>
      </c>
    </row>
    <row r="166" spans="1:17" x14ac:dyDescent="0.35">
      <c r="A166" s="3">
        <v>2013</v>
      </c>
      <c r="B166" s="4">
        <f t="shared" si="40"/>
        <v>26.943000000000001</v>
      </c>
      <c r="C166" s="4">
        <f t="shared" si="41"/>
        <v>31.05</v>
      </c>
      <c r="D166" s="4">
        <f t="shared" si="42"/>
        <v>34.851999999999997</v>
      </c>
      <c r="E166" s="4">
        <f t="shared" si="43"/>
        <v>35.631</v>
      </c>
      <c r="F166" s="4">
        <f t="shared" si="44"/>
        <v>4.1069999999999993</v>
      </c>
      <c r="G166" s="4">
        <f t="shared" si="45"/>
        <v>0</v>
      </c>
      <c r="H166" s="4">
        <f t="shared" si="46"/>
        <v>3.801999999999996</v>
      </c>
      <c r="I166" s="5">
        <v>26.943000000000001</v>
      </c>
      <c r="J166" s="5">
        <v>31.05</v>
      </c>
      <c r="K166" s="5">
        <v>26.943000000000001</v>
      </c>
      <c r="L166" s="5">
        <v>27.379000000000001</v>
      </c>
      <c r="M166" s="5">
        <v>34.851999999999997</v>
      </c>
      <c r="N166" s="5">
        <v>35.631</v>
      </c>
      <c r="O166" s="5">
        <v>34.851999999999997</v>
      </c>
      <c r="P166" s="5">
        <v>35.277000000000001</v>
      </c>
      <c r="Q166" s="10">
        <f t="shared" si="47"/>
        <v>0.77900000000000347</v>
      </c>
    </row>
    <row r="167" spans="1:17" x14ac:dyDescent="0.35">
      <c r="A167" s="6">
        <v>2014</v>
      </c>
      <c r="B167" s="7">
        <f t="shared" si="40"/>
        <v>26.366</v>
      </c>
      <c r="C167" s="7">
        <f t="shared" si="41"/>
        <v>29.991</v>
      </c>
      <c r="D167" s="7">
        <f t="shared" si="42"/>
        <v>33.790999999999997</v>
      </c>
      <c r="E167" s="7">
        <f t="shared" si="43"/>
        <v>34.979999999999997</v>
      </c>
      <c r="F167" s="7">
        <f t="shared" si="44"/>
        <v>3.625</v>
      </c>
      <c r="G167" s="7">
        <f t="shared" si="45"/>
        <v>0</v>
      </c>
      <c r="H167" s="7">
        <f t="shared" si="46"/>
        <v>3.7999999999999972</v>
      </c>
      <c r="I167" s="8">
        <v>26.366</v>
      </c>
      <c r="J167" s="8">
        <v>29.991</v>
      </c>
      <c r="K167" s="8">
        <v>26.366</v>
      </c>
      <c r="L167" s="8">
        <v>26.725000000000001</v>
      </c>
      <c r="M167" s="8">
        <v>33.790999999999997</v>
      </c>
      <c r="N167" s="8">
        <v>34.979999999999997</v>
      </c>
      <c r="O167" s="8">
        <v>33.790999999999997</v>
      </c>
      <c r="P167" s="8">
        <v>34.192999999999998</v>
      </c>
      <c r="Q167" s="10">
        <f t="shared" si="47"/>
        <v>1.1890000000000001</v>
      </c>
    </row>
    <row r="168" spans="1:17" x14ac:dyDescent="0.35">
      <c r="A168" s="3">
        <v>2015</v>
      </c>
      <c r="B168" s="4">
        <f t="shared" si="40"/>
        <v>25.86</v>
      </c>
      <c r="C168" s="4">
        <f t="shared" si="41"/>
        <v>28.704999999999998</v>
      </c>
      <c r="D168" s="4">
        <f t="shared" si="42"/>
        <v>33.67</v>
      </c>
      <c r="E168" s="4">
        <f t="shared" si="43"/>
        <v>34.055999999999997</v>
      </c>
      <c r="F168" s="4">
        <f t="shared" si="44"/>
        <v>2.8449999999999989</v>
      </c>
      <c r="G168" s="4">
        <f t="shared" si="45"/>
        <v>0</v>
      </c>
      <c r="H168" s="4">
        <f t="shared" si="46"/>
        <v>4.9650000000000034</v>
      </c>
      <c r="I168" s="5">
        <v>25.86</v>
      </c>
      <c r="J168" s="5">
        <v>28.704999999999998</v>
      </c>
      <c r="K168" s="5">
        <v>25.86</v>
      </c>
      <c r="L168" s="5">
        <v>26.076000000000001</v>
      </c>
      <c r="M168" s="5">
        <v>34.055999999999997</v>
      </c>
      <c r="N168" s="5">
        <v>33.67</v>
      </c>
      <c r="O168" s="5">
        <v>34.055999999999997</v>
      </c>
      <c r="P168" s="5">
        <v>33.909999999999997</v>
      </c>
      <c r="Q168" s="10">
        <f t="shared" si="47"/>
        <v>0.38599999999999568</v>
      </c>
    </row>
    <row r="169" spans="1:17" x14ac:dyDescent="0.35">
      <c r="A169" s="6">
        <v>2016</v>
      </c>
      <c r="B169" s="7">
        <f t="shared" si="40"/>
        <v>26.355</v>
      </c>
      <c r="C169" s="7">
        <f t="shared" si="41"/>
        <v>28.361000000000001</v>
      </c>
      <c r="D169" s="7">
        <f t="shared" si="42"/>
        <v>33.908000000000001</v>
      </c>
      <c r="E169" s="7">
        <f t="shared" si="43"/>
        <v>34.844000000000001</v>
      </c>
      <c r="F169" s="7">
        <f t="shared" si="44"/>
        <v>2.0060000000000002</v>
      </c>
      <c r="G169" s="7">
        <f t="shared" si="45"/>
        <v>0</v>
      </c>
      <c r="H169" s="7">
        <f t="shared" si="46"/>
        <v>5.5470000000000006</v>
      </c>
      <c r="I169" s="8">
        <v>26.355</v>
      </c>
      <c r="J169" s="8">
        <v>28.361000000000001</v>
      </c>
      <c r="K169" s="8">
        <v>26.355</v>
      </c>
      <c r="L169" s="8">
        <v>26.45</v>
      </c>
      <c r="M169" s="8">
        <v>34.844000000000001</v>
      </c>
      <c r="N169" s="8">
        <v>33.908000000000001</v>
      </c>
      <c r="O169" s="8">
        <v>34.844000000000001</v>
      </c>
      <c r="P169" s="8">
        <v>34.576999999999998</v>
      </c>
      <c r="Q169" s="10">
        <f t="shared" si="47"/>
        <v>0.93599999999999994</v>
      </c>
    </row>
    <row r="170" spans="1:17" x14ac:dyDescent="0.35">
      <c r="A170" s="3">
        <v>2017</v>
      </c>
      <c r="B170" s="4">
        <f t="shared" si="40"/>
        <v>26.062000000000001</v>
      </c>
      <c r="C170" s="4">
        <f t="shared" si="41"/>
        <v>28.106999999999999</v>
      </c>
      <c r="D170" s="4">
        <f t="shared" si="42"/>
        <v>33.470999999999997</v>
      </c>
      <c r="E170" s="4">
        <f t="shared" si="43"/>
        <v>34.563000000000002</v>
      </c>
      <c r="F170" s="4">
        <f t="shared" si="44"/>
        <v>2.0449999999999982</v>
      </c>
      <c r="G170" s="4">
        <f t="shared" si="45"/>
        <v>0</v>
      </c>
      <c r="H170" s="4">
        <f t="shared" si="46"/>
        <v>5.3639999999999972</v>
      </c>
      <c r="I170" s="5">
        <v>26.062000000000001</v>
      </c>
      <c r="J170" s="5">
        <v>28.106999999999999</v>
      </c>
      <c r="K170" s="5">
        <v>26.062000000000001</v>
      </c>
      <c r="L170" s="5">
        <v>26.094999999999999</v>
      </c>
      <c r="M170" s="5">
        <v>34.563000000000002</v>
      </c>
      <c r="N170" s="5">
        <v>33.470999999999997</v>
      </c>
      <c r="O170" s="5">
        <v>34.563000000000002</v>
      </c>
      <c r="P170" s="5">
        <v>34.212000000000003</v>
      </c>
      <c r="Q170" s="10">
        <f t="shared" si="47"/>
        <v>1.0920000000000059</v>
      </c>
    </row>
    <row r="171" spans="1:17" x14ac:dyDescent="0.35">
      <c r="A171" s="6">
        <v>2018</v>
      </c>
      <c r="B171" s="7">
        <f t="shared" si="40"/>
        <v>25.782</v>
      </c>
      <c r="C171" s="7">
        <f t="shared" si="41"/>
        <v>28.062999999999999</v>
      </c>
      <c r="D171" s="7">
        <f t="shared" si="42"/>
        <v>33.826999999999998</v>
      </c>
      <c r="E171" s="7">
        <f t="shared" si="43"/>
        <v>34.250999999999998</v>
      </c>
      <c r="F171" s="7">
        <f t="shared" si="44"/>
        <v>2.2809999999999988</v>
      </c>
      <c r="G171" s="7">
        <f t="shared" si="45"/>
        <v>0</v>
      </c>
      <c r="H171" s="7">
        <f t="shared" si="46"/>
        <v>5.7639999999999993</v>
      </c>
      <c r="I171" s="8">
        <v>25.908000000000001</v>
      </c>
      <c r="J171" s="8">
        <v>28.062999999999999</v>
      </c>
      <c r="K171" s="8">
        <v>25.908000000000001</v>
      </c>
      <c r="L171" s="8">
        <v>25.782</v>
      </c>
      <c r="M171" s="8">
        <v>34.250999999999998</v>
      </c>
      <c r="N171" s="8">
        <v>33.896999999999998</v>
      </c>
      <c r="O171" s="8">
        <v>34.250999999999998</v>
      </c>
      <c r="P171" s="8">
        <v>33.826999999999998</v>
      </c>
      <c r="Q171" s="10">
        <f t="shared" si="47"/>
        <v>0.42399999999999949</v>
      </c>
    </row>
    <row r="172" spans="1:17" x14ac:dyDescent="0.35">
      <c r="A172" s="3">
        <v>2019</v>
      </c>
      <c r="B172" s="4">
        <f t="shared" si="40"/>
        <v>24.831</v>
      </c>
      <c r="C172" s="4">
        <f t="shared" si="41"/>
        <v>26.77</v>
      </c>
      <c r="D172" s="4">
        <f t="shared" si="42"/>
        <v>32.591000000000001</v>
      </c>
      <c r="E172" s="4">
        <f t="shared" si="43"/>
        <v>32.801000000000002</v>
      </c>
      <c r="F172" s="4">
        <f t="shared" si="44"/>
        <v>1.9390000000000001</v>
      </c>
      <c r="G172" s="4">
        <f t="shared" si="45"/>
        <v>0</v>
      </c>
      <c r="H172" s="4">
        <f t="shared" si="46"/>
        <v>5.8210000000000015</v>
      </c>
      <c r="I172" s="5">
        <v>24.86</v>
      </c>
      <c r="J172" s="5">
        <v>26.77</v>
      </c>
      <c r="K172" s="5">
        <v>24.86</v>
      </c>
      <c r="L172" s="5">
        <v>24.831</v>
      </c>
      <c r="M172" s="5">
        <v>32.801000000000002</v>
      </c>
      <c r="N172" s="5">
        <v>32.701000000000001</v>
      </c>
      <c r="O172" s="5">
        <v>32.801000000000002</v>
      </c>
      <c r="P172" s="5">
        <v>32.591000000000001</v>
      </c>
      <c r="Q172" s="10">
        <f t="shared" si="47"/>
        <v>0.21000000000000085</v>
      </c>
    </row>
    <row r="173" spans="1:17" x14ac:dyDescent="0.35">
      <c r="A173" s="6">
        <v>2020</v>
      </c>
      <c r="B173" s="7">
        <f t="shared" si="40"/>
        <v>23.585999999999999</v>
      </c>
      <c r="C173" s="7">
        <f t="shared" si="41"/>
        <v>25.5</v>
      </c>
      <c r="D173" s="7">
        <f t="shared" si="42"/>
        <v>30.841999999999999</v>
      </c>
      <c r="E173" s="7">
        <f t="shared" si="43"/>
        <v>31.629000000000001</v>
      </c>
      <c r="F173" s="7">
        <f t="shared" si="44"/>
        <v>1.9140000000000015</v>
      </c>
      <c r="G173" s="7">
        <f t="shared" si="45"/>
        <v>0</v>
      </c>
      <c r="H173" s="7">
        <f t="shared" si="46"/>
        <v>5.3419999999999987</v>
      </c>
      <c r="I173" s="8">
        <v>23.716999999999999</v>
      </c>
      <c r="J173" s="8">
        <v>25.5</v>
      </c>
      <c r="K173" s="8">
        <v>23.716999999999999</v>
      </c>
      <c r="L173" s="8">
        <v>23.585999999999999</v>
      </c>
      <c r="M173" s="8">
        <v>31.629000000000001</v>
      </c>
      <c r="N173" s="8">
        <v>30.841999999999999</v>
      </c>
      <c r="O173" s="8">
        <v>31.629000000000001</v>
      </c>
      <c r="P173" s="8">
        <v>31.224</v>
      </c>
      <c r="Q173" s="10">
        <f t="shared" si="47"/>
        <v>0.78700000000000259</v>
      </c>
    </row>
    <row r="174" spans="1:17" x14ac:dyDescent="0.35">
      <c r="A174" s="3">
        <v>2021</v>
      </c>
      <c r="B174" s="4">
        <f t="shared" si="40"/>
        <v>23.85</v>
      </c>
      <c r="C174" s="4">
        <f t="shared" si="41"/>
        <v>24.847000000000001</v>
      </c>
      <c r="D174" s="4">
        <f t="shared" si="42"/>
        <v>31.204000000000001</v>
      </c>
      <c r="E174" s="4">
        <f t="shared" si="43"/>
        <v>32.048999999999999</v>
      </c>
      <c r="F174" s="4">
        <f t="shared" si="44"/>
        <v>0.99699999999999989</v>
      </c>
      <c r="G174" s="4">
        <f t="shared" si="45"/>
        <v>0</v>
      </c>
      <c r="H174" s="4">
        <f t="shared" si="46"/>
        <v>6.3569999999999993</v>
      </c>
      <c r="I174" s="5">
        <v>24.04</v>
      </c>
      <c r="J174" s="5">
        <v>24.847000000000001</v>
      </c>
      <c r="K174" s="5">
        <v>24.04</v>
      </c>
      <c r="L174" s="5">
        <v>23.85</v>
      </c>
      <c r="M174" s="5">
        <v>32.048999999999999</v>
      </c>
      <c r="N174" s="5">
        <v>31.204000000000001</v>
      </c>
      <c r="O174" s="5">
        <v>32.048999999999999</v>
      </c>
      <c r="P174" s="5">
        <v>31.616</v>
      </c>
      <c r="Q174" s="10">
        <f t="shared" si="47"/>
        <v>0.84499999999999886</v>
      </c>
    </row>
    <row r="175" spans="1:17" x14ac:dyDescent="0.35">
      <c r="A175" s="6">
        <v>2022</v>
      </c>
      <c r="B175" s="7">
        <f t="shared" si="40"/>
        <v>23.244</v>
      </c>
      <c r="C175" s="7">
        <f t="shared" si="41"/>
        <v>24.134</v>
      </c>
      <c r="D175" s="7">
        <f t="shared" si="42"/>
        <v>28.696000000000002</v>
      </c>
      <c r="E175" s="7">
        <f t="shared" si="43"/>
        <v>31.285</v>
      </c>
      <c r="F175" s="7">
        <f t="shared" si="44"/>
        <v>0.89000000000000057</v>
      </c>
      <c r="G175" s="7">
        <f t="shared" si="45"/>
        <v>0</v>
      </c>
      <c r="H175" s="7">
        <f t="shared" si="46"/>
        <v>4.5620000000000012</v>
      </c>
      <c r="I175" s="8">
        <v>23.399000000000001</v>
      </c>
      <c r="J175" s="8">
        <v>24.134</v>
      </c>
      <c r="K175" s="8">
        <v>23.399000000000001</v>
      </c>
      <c r="L175" s="8">
        <v>23.244</v>
      </c>
      <c r="M175" s="8">
        <v>31.285</v>
      </c>
      <c r="N175" s="8">
        <v>28.696000000000002</v>
      </c>
      <c r="O175" s="8">
        <v>31.285</v>
      </c>
      <c r="P175" s="8">
        <v>30.815000000000001</v>
      </c>
      <c r="Q175" s="10">
        <f t="shared" si="47"/>
        <v>2.5889999999999986</v>
      </c>
    </row>
    <row r="176" spans="1:17" x14ac:dyDescent="0.35">
      <c r="A176" s="3">
        <v>2023</v>
      </c>
      <c r="B176" s="4">
        <f t="shared" si="40"/>
        <v>22.125</v>
      </c>
      <c r="C176" s="4">
        <f t="shared" si="41"/>
        <v>22.760999999999999</v>
      </c>
      <c r="D176" s="4">
        <f t="shared" si="42"/>
        <v>27.242999999999999</v>
      </c>
      <c r="E176" s="4">
        <f t="shared" si="43"/>
        <v>30.184999999999999</v>
      </c>
      <c r="F176" s="4">
        <f t="shared" si="44"/>
        <v>0.63599999999999923</v>
      </c>
      <c r="G176" s="4">
        <f t="shared" si="45"/>
        <v>0</v>
      </c>
      <c r="H176" s="4">
        <f t="shared" si="46"/>
        <v>4.4819999999999993</v>
      </c>
      <c r="I176" s="5">
        <v>22.305</v>
      </c>
      <c r="J176" s="5">
        <v>22.760999999999999</v>
      </c>
      <c r="K176" s="5">
        <v>22.305</v>
      </c>
      <c r="L176" s="5">
        <v>22.125</v>
      </c>
      <c r="M176" s="5">
        <v>30.184999999999999</v>
      </c>
      <c r="N176" s="5">
        <v>27.242999999999999</v>
      </c>
      <c r="O176" s="5">
        <v>30.184999999999999</v>
      </c>
      <c r="P176" s="5">
        <v>29.706</v>
      </c>
      <c r="Q176" s="10">
        <f t="shared" si="47"/>
        <v>2.9420000000000002</v>
      </c>
    </row>
    <row r="177" spans="1:17" x14ac:dyDescent="0.35">
      <c r="A177" s="6">
        <v>2024</v>
      </c>
      <c r="B177" s="7">
        <f t="shared" si="40"/>
        <v>21.805</v>
      </c>
      <c r="C177" s="7">
        <f t="shared" si="41"/>
        <v>24.324999999999999</v>
      </c>
      <c r="D177" s="7">
        <f t="shared" si="42"/>
        <v>29.466000000000001</v>
      </c>
      <c r="E177" s="7">
        <f t="shared" si="43"/>
        <v>32.228999999999999</v>
      </c>
      <c r="F177" s="7">
        <f t="shared" si="44"/>
        <v>2.5199999999999996</v>
      </c>
      <c r="G177" s="7">
        <f t="shared" si="45"/>
        <v>0</v>
      </c>
      <c r="H177" s="7">
        <f t="shared" si="46"/>
        <v>5.1410000000000018</v>
      </c>
      <c r="I177" s="8">
        <v>21.925000000000001</v>
      </c>
      <c r="J177" s="8">
        <v>24.324999999999999</v>
      </c>
      <c r="K177" s="8">
        <v>21.925000000000001</v>
      </c>
      <c r="L177" s="8">
        <v>21.805</v>
      </c>
      <c r="M177" s="8">
        <v>29.876999999999999</v>
      </c>
      <c r="N177" s="8">
        <v>32.228999999999999</v>
      </c>
      <c r="O177" s="8">
        <v>29.876999999999999</v>
      </c>
      <c r="P177" s="8">
        <v>29.466000000000001</v>
      </c>
      <c r="Q177" s="10">
        <f t="shared" si="47"/>
        <v>2.7629999999999981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CA58-BD07-4FB2-B3AF-83AF85AB1728}">
  <sheetPr>
    <tabColor rgb="FF0B4C5B"/>
  </sheetPr>
  <dimension ref="A1:Q177"/>
  <sheetViews>
    <sheetView workbookViewId="0"/>
  </sheetViews>
  <sheetFormatPr defaultRowHeight="14.5" x14ac:dyDescent="0.35"/>
  <cols>
    <col min="1" max="1" width="8.6328125" customWidth="1"/>
    <col min="2" max="8" width="11.6328125" customWidth="1"/>
    <col min="9" max="16" width="12.6328125" customWidth="1"/>
    <col min="17" max="17" width="11.6328125" customWidth="1"/>
  </cols>
  <sheetData>
    <row r="1" spans="1:17" ht="30" customHeight="1" x14ac:dyDescent="0.35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9</v>
      </c>
      <c r="J2" s="1" t="s">
        <v>11</v>
      </c>
      <c r="K2" s="1" t="s">
        <v>13</v>
      </c>
      <c r="L2" s="1"/>
      <c r="M2" s="1" t="s">
        <v>10</v>
      </c>
      <c r="N2" s="1" t="s">
        <v>12</v>
      </c>
      <c r="O2" s="1" t="s">
        <v>14</v>
      </c>
      <c r="P2" s="1"/>
      <c r="Q2" s="2" t="s">
        <v>8</v>
      </c>
    </row>
    <row r="3" spans="1:17" x14ac:dyDescent="0.35">
      <c r="A3" s="6">
        <v>1850</v>
      </c>
      <c r="B3" s="7">
        <f t="shared" ref="B3:B34" si="0">IFERROR(MIN(I3:L3),"")</f>
        <v>98.268000000000001</v>
      </c>
      <c r="C3" s="7">
        <f t="shared" ref="C3:C34" si="1">IFERROR(MAX(I3:L3),"")</f>
        <v>98.317999999999998</v>
      </c>
      <c r="D3" s="7">
        <f t="shared" ref="D3:D34" si="2">IFERROR(MIN(M3:P3),"")</f>
        <v>99.944000000000003</v>
      </c>
      <c r="E3" s="7">
        <f t="shared" ref="E3:E34" si="3">IFERROR(MAX(M3:P3),"")</f>
        <v>99.978999999999999</v>
      </c>
      <c r="F3" s="7">
        <f t="shared" ref="F3:F34" si="4">IFERROR(MIN(C3,D3)-B3,"")</f>
        <v>4.9999999999997158E-2</v>
      </c>
      <c r="G3" s="7">
        <f t="shared" ref="G3:G34" si="5">IFERROR(MAX(0,C3-D3),"")</f>
        <v>0</v>
      </c>
      <c r="H3" s="7">
        <f t="shared" ref="H3:H34" si="6">IFERROR(MAX(0,D3-C3),"")</f>
        <v>1.6260000000000048</v>
      </c>
      <c r="I3" s="8">
        <v>98.268000000000001</v>
      </c>
      <c r="J3" s="8">
        <v>98.317999999999998</v>
      </c>
      <c r="K3" s="8">
        <v>98.268000000000001</v>
      </c>
      <c r="L3" s="8"/>
      <c r="M3" s="8">
        <v>99.944000000000003</v>
      </c>
      <c r="N3" s="8">
        <v>99.978999999999999</v>
      </c>
      <c r="O3" s="8">
        <v>99.944000000000003</v>
      </c>
      <c r="P3" s="8"/>
      <c r="Q3" s="10">
        <f t="shared" ref="Q3:Q34" si="7">IFERROR(MAX(0,$E3-MAX($C3,$D3)),"")</f>
        <v>3.4999999999996589E-2</v>
      </c>
    </row>
    <row r="4" spans="1:17" x14ac:dyDescent="0.35">
      <c r="A4" s="3">
        <v>1851</v>
      </c>
      <c r="B4" s="4">
        <f t="shared" si="0"/>
        <v>98.066000000000003</v>
      </c>
      <c r="C4" s="4">
        <f t="shared" si="1"/>
        <v>98.087000000000003</v>
      </c>
      <c r="D4" s="4">
        <f t="shared" si="2"/>
        <v>99.944000000000003</v>
      </c>
      <c r="E4" s="4">
        <f t="shared" si="3"/>
        <v>99.977999999999994</v>
      </c>
      <c r="F4" s="4">
        <f t="shared" si="4"/>
        <v>2.1000000000000796E-2</v>
      </c>
      <c r="G4" s="4">
        <f t="shared" si="5"/>
        <v>0</v>
      </c>
      <c r="H4" s="4">
        <f t="shared" si="6"/>
        <v>1.8569999999999993</v>
      </c>
      <c r="I4" s="5">
        <v>98.066000000000003</v>
      </c>
      <c r="J4" s="5">
        <v>98.087000000000003</v>
      </c>
      <c r="K4" s="5">
        <v>98.066000000000003</v>
      </c>
      <c r="L4" s="5"/>
      <c r="M4" s="5">
        <v>99.944000000000003</v>
      </c>
      <c r="N4" s="5">
        <v>99.977999999999994</v>
      </c>
      <c r="O4" s="5">
        <v>99.944000000000003</v>
      </c>
      <c r="P4" s="5"/>
      <c r="Q4" s="10">
        <f t="shared" si="7"/>
        <v>3.3999999999991815E-2</v>
      </c>
    </row>
    <row r="5" spans="1:17" x14ac:dyDescent="0.35">
      <c r="A5" s="6">
        <v>1852</v>
      </c>
      <c r="B5" s="7">
        <f t="shared" si="0"/>
        <v>97.757999999999996</v>
      </c>
      <c r="C5" s="7">
        <f t="shared" si="1"/>
        <v>97.804000000000002</v>
      </c>
      <c r="D5" s="7">
        <f t="shared" si="2"/>
        <v>99.912999999999997</v>
      </c>
      <c r="E5" s="7">
        <f t="shared" si="3"/>
        <v>99.975999999999999</v>
      </c>
      <c r="F5" s="7">
        <f t="shared" si="4"/>
        <v>4.600000000000648E-2</v>
      </c>
      <c r="G5" s="7">
        <f t="shared" si="5"/>
        <v>0</v>
      </c>
      <c r="H5" s="7">
        <f t="shared" si="6"/>
        <v>2.1089999999999947</v>
      </c>
      <c r="I5" s="8">
        <v>97.757999999999996</v>
      </c>
      <c r="J5" s="8">
        <v>97.804000000000002</v>
      </c>
      <c r="K5" s="8">
        <v>97.757999999999996</v>
      </c>
      <c r="L5" s="8"/>
      <c r="M5" s="8">
        <v>99.912999999999997</v>
      </c>
      <c r="N5" s="8">
        <v>99.975999999999999</v>
      </c>
      <c r="O5" s="8">
        <v>99.912999999999997</v>
      </c>
      <c r="P5" s="8"/>
      <c r="Q5" s="10">
        <f t="shared" si="7"/>
        <v>6.3000000000002387E-2</v>
      </c>
    </row>
    <row r="6" spans="1:17" x14ac:dyDescent="0.35">
      <c r="A6" s="3">
        <v>1853</v>
      </c>
      <c r="B6" s="4">
        <f t="shared" si="0"/>
        <v>97.796999999999997</v>
      </c>
      <c r="C6" s="4">
        <f t="shared" si="1"/>
        <v>97.801000000000002</v>
      </c>
      <c r="D6" s="4">
        <f t="shared" si="2"/>
        <v>99.945999999999998</v>
      </c>
      <c r="E6" s="4">
        <f t="shared" si="3"/>
        <v>99.974000000000004</v>
      </c>
      <c r="F6" s="4">
        <f t="shared" si="4"/>
        <v>4.0000000000048885E-3</v>
      </c>
      <c r="G6" s="4">
        <f t="shared" si="5"/>
        <v>0</v>
      </c>
      <c r="H6" s="4">
        <f t="shared" si="6"/>
        <v>2.144999999999996</v>
      </c>
      <c r="I6" s="5">
        <v>97.801000000000002</v>
      </c>
      <c r="J6" s="5">
        <v>97.796999999999997</v>
      </c>
      <c r="K6" s="5">
        <v>97.801000000000002</v>
      </c>
      <c r="L6" s="5"/>
      <c r="M6" s="5">
        <v>99.945999999999998</v>
      </c>
      <c r="N6" s="5">
        <v>99.974000000000004</v>
      </c>
      <c r="O6" s="5">
        <v>99.945999999999998</v>
      </c>
      <c r="P6" s="5"/>
      <c r="Q6" s="10">
        <f t="shared" si="7"/>
        <v>2.8000000000005798E-2</v>
      </c>
    </row>
    <row r="7" spans="1:17" x14ac:dyDescent="0.35">
      <c r="A7" s="6">
        <v>1854</v>
      </c>
      <c r="B7" s="7">
        <f t="shared" si="0"/>
        <v>97.893000000000001</v>
      </c>
      <c r="C7" s="7">
        <f t="shared" si="1"/>
        <v>97.953999999999994</v>
      </c>
      <c r="D7" s="7">
        <f t="shared" si="2"/>
        <v>99.972999999999999</v>
      </c>
      <c r="E7" s="7">
        <f t="shared" si="3"/>
        <v>99.998000000000005</v>
      </c>
      <c r="F7" s="7">
        <f t="shared" si="4"/>
        <v>6.0999999999992838E-2</v>
      </c>
      <c r="G7" s="7">
        <f t="shared" si="5"/>
        <v>0</v>
      </c>
      <c r="H7" s="7">
        <f t="shared" si="6"/>
        <v>2.0190000000000055</v>
      </c>
      <c r="I7" s="8">
        <v>97.953999999999994</v>
      </c>
      <c r="J7" s="8">
        <v>97.893000000000001</v>
      </c>
      <c r="K7" s="8">
        <v>97.953999999999994</v>
      </c>
      <c r="L7" s="8"/>
      <c r="M7" s="8">
        <v>99.998000000000005</v>
      </c>
      <c r="N7" s="8">
        <v>99.972999999999999</v>
      </c>
      <c r="O7" s="8">
        <v>99.998000000000005</v>
      </c>
      <c r="P7" s="8"/>
      <c r="Q7" s="10">
        <f t="shared" si="7"/>
        <v>2.5000000000005684E-2</v>
      </c>
    </row>
    <row r="8" spans="1:17" x14ac:dyDescent="0.35">
      <c r="A8" s="3">
        <v>1855</v>
      </c>
      <c r="B8" s="4">
        <f t="shared" si="0"/>
        <v>97.475999999999999</v>
      </c>
      <c r="C8" s="4">
        <f t="shared" si="1"/>
        <v>97.581999999999994</v>
      </c>
      <c r="D8" s="4">
        <f t="shared" si="2"/>
        <v>99.924000000000007</v>
      </c>
      <c r="E8" s="4">
        <f t="shared" si="3"/>
        <v>99.97</v>
      </c>
      <c r="F8" s="4">
        <f t="shared" si="4"/>
        <v>0.10599999999999454</v>
      </c>
      <c r="G8" s="4">
        <f t="shared" si="5"/>
        <v>0</v>
      </c>
      <c r="H8" s="4">
        <f t="shared" si="6"/>
        <v>2.342000000000013</v>
      </c>
      <c r="I8" s="5">
        <v>97.475999999999999</v>
      </c>
      <c r="J8" s="5">
        <v>97.581999999999994</v>
      </c>
      <c r="K8" s="5">
        <v>97.475999999999999</v>
      </c>
      <c r="L8" s="5"/>
      <c r="M8" s="5">
        <v>99.924000000000007</v>
      </c>
      <c r="N8" s="5">
        <v>99.97</v>
      </c>
      <c r="O8" s="5">
        <v>99.924000000000007</v>
      </c>
      <c r="P8" s="5"/>
      <c r="Q8" s="10">
        <f t="shared" si="7"/>
        <v>4.5999999999992269E-2</v>
      </c>
    </row>
    <row r="9" spans="1:17" x14ac:dyDescent="0.35">
      <c r="A9" s="6">
        <v>1856</v>
      </c>
      <c r="B9" s="7">
        <f t="shared" si="0"/>
        <v>97.216999999999999</v>
      </c>
      <c r="C9" s="7">
        <f t="shared" si="1"/>
        <v>97.475999999999999</v>
      </c>
      <c r="D9" s="7">
        <f t="shared" si="2"/>
        <v>99.659000000000006</v>
      </c>
      <c r="E9" s="7">
        <f t="shared" si="3"/>
        <v>99.97</v>
      </c>
      <c r="F9" s="7">
        <f t="shared" si="4"/>
        <v>0.25900000000000034</v>
      </c>
      <c r="G9" s="7">
        <f t="shared" si="5"/>
        <v>0</v>
      </c>
      <c r="H9" s="7">
        <f t="shared" si="6"/>
        <v>2.1830000000000069</v>
      </c>
      <c r="I9" s="8">
        <v>97.216999999999999</v>
      </c>
      <c r="J9" s="8">
        <v>97.475999999999999</v>
      </c>
      <c r="K9" s="8">
        <v>97.216999999999999</v>
      </c>
      <c r="L9" s="8"/>
      <c r="M9" s="8">
        <v>99.659000000000006</v>
      </c>
      <c r="N9" s="8">
        <v>99.97</v>
      </c>
      <c r="O9" s="8">
        <v>99.659000000000006</v>
      </c>
      <c r="P9" s="8"/>
      <c r="Q9" s="10">
        <f t="shared" si="7"/>
        <v>0.31099999999999284</v>
      </c>
    </row>
    <row r="10" spans="1:17" x14ac:dyDescent="0.35">
      <c r="A10" s="3">
        <v>1857</v>
      </c>
      <c r="B10" s="4">
        <f t="shared" si="0"/>
        <v>96.972999999999999</v>
      </c>
      <c r="C10" s="4">
        <f t="shared" si="1"/>
        <v>97.325999999999993</v>
      </c>
      <c r="D10" s="4">
        <f t="shared" si="2"/>
        <v>99.555999999999997</v>
      </c>
      <c r="E10" s="4">
        <f t="shared" si="3"/>
        <v>99.968000000000004</v>
      </c>
      <c r="F10" s="4">
        <f t="shared" si="4"/>
        <v>0.35299999999999443</v>
      </c>
      <c r="G10" s="4">
        <f t="shared" si="5"/>
        <v>0</v>
      </c>
      <c r="H10" s="4">
        <f t="shared" si="6"/>
        <v>2.230000000000004</v>
      </c>
      <c r="I10" s="5">
        <v>96.972999999999999</v>
      </c>
      <c r="J10" s="5">
        <v>97.325999999999993</v>
      </c>
      <c r="K10" s="5">
        <v>96.972999999999999</v>
      </c>
      <c r="L10" s="5"/>
      <c r="M10" s="5">
        <v>99.555999999999997</v>
      </c>
      <c r="N10" s="5">
        <v>99.968000000000004</v>
      </c>
      <c r="O10" s="5">
        <v>99.555999999999997</v>
      </c>
      <c r="P10" s="5"/>
      <c r="Q10" s="10">
        <f t="shared" si="7"/>
        <v>0.41200000000000614</v>
      </c>
    </row>
    <row r="11" spans="1:17" x14ac:dyDescent="0.35">
      <c r="A11" s="6">
        <v>1858</v>
      </c>
      <c r="B11" s="7">
        <f t="shared" si="0"/>
        <v>96.397999999999996</v>
      </c>
      <c r="C11" s="7">
        <f t="shared" si="1"/>
        <v>96.906999999999996</v>
      </c>
      <c r="D11" s="7">
        <f t="shared" si="2"/>
        <v>99.376999999999995</v>
      </c>
      <c r="E11" s="7">
        <f t="shared" si="3"/>
        <v>99.823999999999998</v>
      </c>
      <c r="F11" s="7">
        <f t="shared" si="4"/>
        <v>0.50900000000000034</v>
      </c>
      <c r="G11" s="7">
        <f t="shared" si="5"/>
        <v>0</v>
      </c>
      <c r="H11" s="7">
        <f t="shared" si="6"/>
        <v>2.4699999999999989</v>
      </c>
      <c r="I11" s="8">
        <v>96.397999999999996</v>
      </c>
      <c r="J11" s="8">
        <v>96.906999999999996</v>
      </c>
      <c r="K11" s="8">
        <v>96.397999999999996</v>
      </c>
      <c r="L11" s="8"/>
      <c r="M11" s="8">
        <v>99.376999999999995</v>
      </c>
      <c r="N11" s="8">
        <v>99.823999999999998</v>
      </c>
      <c r="O11" s="8">
        <v>99.376999999999995</v>
      </c>
      <c r="P11" s="8"/>
      <c r="Q11" s="10">
        <f t="shared" si="7"/>
        <v>0.44700000000000273</v>
      </c>
    </row>
    <row r="12" spans="1:17" x14ac:dyDescent="0.35">
      <c r="A12" s="3">
        <v>1859</v>
      </c>
      <c r="B12" s="4">
        <f t="shared" si="0"/>
        <v>96.656000000000006</v>
      </c>
      <c r="C12" s="4">
        <f t="shared" si="1"/>
        <v>97.066000000000003</v>
      </c>
      <c r="D12" s="4">
        <f t="shared" si="2"/>
        <v>99.408000000000001</v>
      </c>
      <c r="E12" s="4">
        <f t="shared" si="3"/>
        <v>99.748999999999995</v>
      </c>
      <c r="F12" s="4">
        <f t="shared" si="4"/>
        <v>0.40999999999999659</v>
      </c>
      <c r="G12" s="4">
        <f t="shared" si="5"/>
        <v>0</v>
      </c>
      <c r="H12" s="4">
        <f t="shared" si="6"/>
        <v>2.3419999999999987</v>
      </c>
      <c r="I12" s="5">
        <v>96.656000000000006</v>
      </c>
      <c r="J12" s="5">
        <v>97.066000000000003</v>
      </c>
      <c r="K12" s="5">
        <v>96.656000000000006</v>
      </c>
      <c r="L12" s="5"/>
      <c r="M12" s="5">
        <v>99.408000000000001</v>
      </c>
      <c r="N12" s="5">
        <v>99.748999999999995</v>
      </c>
      <c r="O12" s="5">
        <v>99.408000000000001</v>
      </c>
      <c r="P12" s="5"/>
      <c r="Q12" s="10">
        <f t="shared" si="7"/>
        <v>0.34099999999999397</v>
      </c>
    </row>
    <row r="13" spans="1:17" x14ac:dyDescent="0.35">
      <c r="A13" s="6">
        <v>1860</v>
      </c>
      <c r="B13" s="7">
        <f t="shared" si="0"/>
        <v>96.593999999999994</v>
      </c>
      <c r="C13" s="7">
        <f t="shared" si="1"/>
        <v>97.039000000000001</v>
      </c>
      <c r="D13" s="7">
        <f t="shared" si="2"/>
        <v>99.376000000000005</v>
      </c>
      <c r="E13" s="7">
        <f t="shared" si="3"/>
        <v>99.760999999999996</v>
      </c>
      <c r="F13" s="7">
        <f t="shared" si="4"/>
        <v>0.44500000000000739</v>
      </c>
      <c r="G13" s="7">
        <f t="shared" si="5"/>
        <v>0</v>
      </c>
      <c r="H13" s="7">
        <f t="shared" si="6"/>
        <v>2.3370000000000033</v>
      </c>
      <c r="I13" s="8">
        <v>96.593999999999994</v>
      </c>
      <c r="J13" s="8">
        <v>97.039000000000001</v>
      </c>
      <c r="K13" s="8">
        <v>96.593999999999994</v>
      </c>
      <c r="L13" s="8"/>
      <c r="M13" s="8">
        <v>99.376000000000005</v>
      </c>
      <c r="N13" s="8">
        <v>99.760999999999996</v>
      </c>
      <c r="O13" s="8">
        <v>99.376000000000005</v>
      </c>
      <c r="P13" s="8"/>
      <c r="Q13" s="10">
        <f t="shared" si="7"/>
        <v>0.38499999999999091</v>
      </c>
    </row>
    <row r="14" spans="1:17" x14ac:dyDescent="0.35">
      <c r="A14" s="3">
        <v>1861</v>
      </c>
      <c r="B14" s="4">
        <f t="shared" si="0"/>
        <v>96.483999999999995</v>
      </c>
      <c r="C14" s="4">
        <f t="shared" si="1"/>
        <v>96.927000000000007</v>
      </c>
      <c r="D14" s="4">
        <f t="shared" si="2"/>
        <v>99.421000000000006</v>
      </c>
      <c r="E14" s="4">
        <f t="shared" si="3"/>
        <v>99.808000000000007</v>
      </c>
      <c r="F14" s="4">
        <f t="shared" si="4"/>
        <v>0.44300000000001205</v>
      </c>
      <c r="G14" s="4">
        <f t="shared" si="5"/>
        <v>0</v>
      </c>
      <c r="H14" s="4">
        <f t="shared" si="6"/>
        <v>2.4939999999999998</v>
      </c>
      <c r="I14" s="5">
        <v>96.483999999999995</v>
      </c>
      <c r="J14" s="5">
        <v>96.927000000000007</v>
      </c>
      <c r="K14" s="5">
        <v>96.483999999999995</v>
      </c>
      <c r="L14" s="5"/>
      <c r="M14" s="5">
        <v>99.421000000000006</v>
      </c>
      <c r="N14" s="5">
        <v>99.808000000000007</v>
      </c>
      <c r="O14" s="5">
        <v>99.421000000000006</v>
      </c>
      <c r="P14" s="5"/>
      <c r="Q14" s="10">
        <f t="shared" si="7"/>
        <v>0.38700000000000045</v>
      </c>
    </row>
    <row r="15" spans="1:17" x14ac:dyDescent="0.35">
      <c r="A15" s="6">
        <v>1862</v>
      </c>
      <c r="B15" s="7">
        <f t="shared" si="0"/>
        <v>95.983999999999995</v>
      </c>
      <c r="C15" s="7">
        <f t="shared" si="1"/>
        <v>96.450999999999993</v>
      </c>
      <c r="D15" s="7">
        <f t="shared" si="2"/>
        <v>99.393000000000001</v>
      </c>
      <c r="E15" s="7">
        <f t="shared" si="3"/>
        <v>99.799000000000007</v>
      </c>
      <c r="F15" s="7">
        <f t="shared" si="4"/>
        <v>0.46699999999999875</v>
      </c>
      <c r="G15" s="7">
        <f t="shared" si="5"/>
        <v>0</v>
      </c>
      <c r="H15" s="7">
        <f t="shared" si="6"/>
        <v>2.9420000000000073</v>
      </c>
      <c r="I15" s="8">
        <v>95.983999999999995</v>
      </c>
      <c r="J15" s="8">
        <v>96.450999999999993</v>
      </c>
      <c r="K15" s="8">
        <v>95.983999999999995</v>
      </c>
      <c r="L15" s="8"/>
      <c r="M15" s="8">
        <v>99.393000000000001</v>
      </c>
      <c r="N15" s="8">
        <v>99.799000000000007</v>
      </c>
      <c r="O15" s="8">
        <v>99.393000000000001</v>
      </c>
      <c r="P15" s="8"/>
      <c r="Q15" s="10">
        <f t="shared" si="7"/>
        <v>0.40600000000000591</v>
      </c>
    </row>
    <row r="16" spans="1:17" x14ac:dyDescent="0.35">
      <c r="A16" s="3">
        <v>1863</v>
      </c>
      <c r="B16" s="4">
        <f t="shared" si="0"/>
        <v>95.741</v>
      </c>
      <c r="C16" s="4">
        <f t="shared" si="1"/>
        <v>96.138000000000005</v>
      </c>
      <c r="D16" s="4">
        <f t="shared" si="2"/>
        <v>99.451999999999998</v>
      </c>
      <c r="E16" s="4">
        <f t="shared" si="3"/>
        <v>99.793999999999997</v>
      </c>
      <c r="F16" s="4">
        <f t="shared" si="4"/>
        <v>0.39700000000000557</v>
      </c>
      <c r="G16" s="4">
        <f t="shared" si="5"/>
        <v>0</v>
      </c>
      <c r="H16" s="4">
        <f t="shared" si="6"/>
        <v>3.313999999999993</v>
      </c>
      <c r="I16" s="5">
        <v>95.741</v>
      </c>
      <c r="J16" s="5">
        <v>96.138000000000005</v>
      </c>
      <c r="K16" s="5">
        <v>95.741</v>
      </c>
      <c r="L16" s="5"/>
      <c r="M16" s="5">
        <v>99.451999999999998</v>
      </c>
      <c r="N16" s="5">
        <v>99.793999999999997</v>
      </c>
      <c r="O16" s="5">
        <v>99.451999999999998</v>
      </c>
      <c r="P16" s="5"/>
      <c r="Q16" s="10">
        <f t="shared" si="7"/>
        <v>0.34199999999999875</v>
      </c>
    </row>
    <row r="17" spans="1:17" x14ac:dyDescent="0.35">
      <c r="A17" s="6">
        <v>1864</v>
      </c>
      <c r="B17" s="7">
        <f t="shared" si="0"/>
        <v>95.492999999999995</v>
      </c>
      <c r="C17" s="7">
        <f t="shared" si="1"/>
        <v>95.96</v>
      </c>
      <c r="D17" s="7">
        <f t="shared" si="2"/>
        <v>99.388999999999996</v>
      </c>
      <c r="E17" s="7">
        <f t="shared" si="3"/>
        <v>99.813000000000002</v>
      </c>
      <c r="F17" s="7">
        <f t="shared" si="4"/>
        <v>0.46699999999999875</v>
      </c>
      <c r="G17" s="7">
        <f t="shared" si="5"/>
        <v>0</v>
      </c>
      <c r="H17" s="7">
        <f t="shared" si="6"/>
        <v>3.429000000000002</v>
      </c>
      <c r="I17" s="8">
        <v>95.492999999999995</v>
      </c>
      <c r="J17" s="8">
        <v>95.96</v>
      </c>
      <c r="K17" s="8">
        <v>95.492999999999995</v>
      </c>
      <c r="L17" s="8"/>
      <c r="M17" s="8">
        <v>99.388999999999996</v>
      </c>
      <c r="N17" s="8">
        <v>99.813000000000002</v>
      </c>
      <c r="O17" s="8">
        <v>99.388999999999996</v>
      </c>
      <c r="P17" s="8"/>
      <c r="Q17" s="10">
        <f t="shared" si="7"/>
        <v>0.42400000000000659</v>
      </c>
    </row>
    <row r="18" spans="1:17" x14ac:dyDescent="0.35">
      <c r="A18" s="3">
        <v>1865</v>
      </c>
      <c r="B18" s="4">
        <f t="shared" si="0"/>
        <v>95.259</v>
      </c>
      <c r="C18" s="4">
        <f t="shared" si="1"/>
        <v>95.742999999999995</v>
      </c>
      <c r="D18" s="4">
        <f t="shared" si="2"/>
        <v>99.384</v>
      </c>
      <c r="E18" s="4">
        <f t="shared" si="3"/>
        <v>99.825999999999993</v>
      </c>
      <c r="F18" s="4">
        <f t="shared" si="4"/>
        <v>0.48399999999999466</v>
      </c>
      <c r="G18" s="4">
        <f t="shared" si="5"/>
        <v>0</v>
      </c>
      <c r="H18" s="4">
        <f t="shared" si="6"/>
        <v>3.6410000000000053</v>
      </c>
      <c r="I18" s="5">
        <v>95.259</v>
      </c>
      <c r="J18" s="5">
        <v>95.742999999999995</v>
      </c>
      <c r="K18" s="5">
        <v>95.259</v>
      </c>
      <c r="L18" s="5"/>
      <c r="M18" s="5">
        <v>99.384</v>
      </c>
      <c r="N18" s="5">
        <v>99.825999999999993</v>
      </c>
      <c r="O18" s="5">
        <v>99.384</v>
      </c>
      <c r="P18" s="5"/>
      <c r="Q18" s="10">
        <f t="shared" si="7"/>
        <v>0.44199999999999307</v>
      </c>
    </row>
    <row r="19" spans="1:17" x14ac:dyDescent="0.35">
      <c r="A19" s="6">
        <v>1866</v>
      </c>
      <c r="B19" s="7">
        <f t="shared" si="0"/>
        <v>94.727999999999994</v>
      </c>
      <c r="C19" s="7">
        <f t="shared" si="1"/>
        <v>95.292000000000002</v>
      </c>
      <c r="D19" s="7">
        <f t="shared" si="2"/>
        <v>99.212000000000003</v>
      </c>
      <c r="E19" s="7">
        <f t="shared" si="3"/>
        <v>99.754999999999995</v>
      </c>
      <c r="F19" s="7">
        <f t="shared" si="4"/>
        <v>0.56400000000000716</v>
      </c>
      <c r="G19" s="7">
        <f t="shared" si="5"/>
        <v>0</v>
      </c>
      <c r="H19" s="7">
        <f t="shared" si="6"/>
        <v>3.9200000000000017</v>
      </c>
      <c r="I19" s="8">
        <v>94.727999999999994</v>
      </c>
      <c r="J19" s="8">
        <v>95.292000000000002</v>
      </c>
      <c r="K19" s="8">
        <v>94.727999999999994</v>
      </c>
      <c r="L19" s="8"/>
      <c r="M19" s="8">
        <v>99.212000000000003</v>
      </c>
      <c r="N19" s="8">
        <v>99.754999999999995</v>
      </c>
      <c r="O19" s="8">
        <v>99.212000000000003</v>
      </c>
      <c r="P19" s="8"/>
      <c r="Q19" s="10">
        <f t="shared" si="7"/>
        <v>0.54299999999999216</v>
      </c>
    </row>
    <row r="20" spans="1:17" x14ac:dyDescent="0.35">
      <c r="A20" s="3">
        <v>1867</v>
      </c>
      <c r="B20" s="4">
        <f t="shared" si="0"/>
        <v>94.671999999999997</v>
      </c>
      <c r="C20" s="4">
        <f t="shared" si="1"/>
        <v>95.1</v>
      </c>
      <c r="D20" s="4">
        <f t="shared" si="2"/>
        <v>99.356999999999999</v>
      </c>
      <c r="E20" s="4">
        <f t="shared" si="3"/>
        <v>99.747</v>
      </c>
      <c r="F20" s="4">
        <f t="shared" si="4"/>
        <v>0.42799999999999727</v>
      </c>
      <c r="G20" s="4">
        <f t="shared" si="5"/>
        <v>0</v>
      </c>
      <c r="H20" s="4">
        <f t="shared" si="6"/>
        <v>4.257000000000005</v>
      </c>
      <c r="I20" s="5">
        <v>94.671999999999997</v>
      </c>
      <c r="J20" s="5">
        <v>95.1</v>
      </c>
      <c r="K20" s="5">
        <v>94.671999999999997</v>
      </c>
      <c r="L20" s="5"/>
      <c r="M20" s="5">
        <v>99.356999999999999</v>
      </c>
      <c r="N20" s="5">
        <v>99.747</v>
      </c>
      <c r="O20" s="5">
        <v>99.356999999999999</v>
      </c>
      <c r="P20" s="5"/>
      <c r="Q20" s="10">
        <f t="shared" si="7"/>
        <v>0.39000000000000057</v>
      </c>
    </row>
    <row r="21" spans="1:17" x14ac:dyDescent="0.35">
      <c r="A21" s="6">
        <v>1868</v>
      </c>
      <c r="B21" s="7">
        <f t="shared" si="0"/>
        <v>94.361000000000004</v>
      </c>
      <c r="C21" s="7">
        <f t="shared" si="1"/>
        <v>94.82</v>
      </c>
      <c r="D21" s="7">
        <f t="shared" si="2"/>
        <v>99.331000000000003</v>
      </c>
      <c r="E21" s="7">
        <f t="shared" si="3"/>
        <v>99.748000000000005</v>
      </c>
      <c r="F21" s="7">
        <f t="shared" si="4"/>
        <v>0.45899999999998897</v>
      </c>
      <c r="G21" s="7">
        <f t="shared" si="5"/>
        <v>0</v>
      </c>
      <c r="H21" s="7">
        <f t="shared" si="6"/>
        <v>4.5110000000000099</v>
      </c>
      <c r="I21" s="8">
        <v>94.361000000000004</v>
      </c>
      <c r="J21" s="8">
        <v>94.82</v>
      </c>
      <c r="K21" s="8">
        <v>94.361000000000004</v>
      </c>
      <c r="L21" s="8"/>
      <c r="M21" s="8">
        <v>99.331000000000003</v>
      </c>
      <c r="N21" s="8">
        <v>99.748000000000005</v>
      </c>
      <c r="O21" s="8">
        <v>99.331000000000003</v>
      </c>
      <c r="P21" s="8"/>
      <c r="Q21" s="10">
        <f t="shared" si="7"/>
        <v>0.41700000000000159</v>
      </c>
    </row>
    <row r="22" spans="1:17" x14ac:dyDescent="0.35">
      <c r="A22" s="3">
        <v>1869</v>
      </c>
      <c r="B22" s="4">
        <f t="shared" si="0"/>
        <v>94.28</v>
      </c>
      <c r="C22" s="4">
        <f t="shared" si="1"/>
        <v>94.655000000000001</v>
      </c>
      <c r="D22" s="4">
        <f t="shared" si="2"/>
        <v>99.376000000000005</v>
      </c>
      <c r="E22" s="4">
        <f t="shared" si="3"/>
        <v>99.715000000000003</v>
      </c>
      <c r="F22" s="4">
        <f t="shared" si="4"/>
        <v>0.375</v>
      </c>
      <c r="G22" s="4">
        <f t="shared" si="5"/>
        <v>0</v>
      </c>
      <c r="H22" s="4">
        <f t="shared" si="6"/>
        <v>4.7210000000000036</v>
      </c>
      <c r="I22" s="5">
        <v>94.28</v>
      </c>
      <c r="J22" s="5">
        <v>94.655000000000001</v>
      </c>
      <c r="K22" s="5">
        <v>94.28</v>
      </c>
      <c r="L22" s="5"/>
      <c r="M22" s="5">
        <v>99.376000000000005</v>
      </c>
      <c r="N22" s="5">
        <v>99.715000000000003</v>
      </c>
      <c r="O22" s="5">
        <v>99.376000000000005</v>
      </c>
      <c r="P22" s="5"/>
      <c r="Q22" s="10">
        <f t="shared" si="7"/>
        <v>0.33899999999999864</v>
      </c>
    </row>
    <row r="23" spans="1:17" x14ac:dyDescent="0.35">
      <c r="A23" s="6">
        <v>1870</v>
      </c>
      <c r="B23" s="7">
        <f t="shared" si="0"/>
        <v>94.021000000000001</v>
      </c>
      <c r="C23" s="7">
        <f t="shared" si="1"/>
        <v>94.376000000000005</v>
      </c>
      <c r="D23" s="7">
        <f t="shared" si="2"/>
        <v>99.38</v>
      </c>
      <c r="E23" s="7">
        <f t="shared" si="3"/>
        <v>99.69</v>
      </c>
      <c r="F23" s="7">
        <f t="shared" si="4"/>
        <v>0.35500000000000398</v>
      </c>
      <c r="G23" s="7">
        <f t="shared" si="5"/>
        <v>0</v>
      </c>
      <c r="H23" s="7">
        <f t="shared" si="6"/>
        <v>5.0039999999999907</v>
      </c>
      <c r="I23" s="8">
        <v>94.021000000000001</v>
      </c>
      <c r="J23" s="8">
        <v>94.376000000000005</v>
      </c>
      <c r="K23" s="8">
        <v>94.021000000000001</v>
      </c>
      <c r="L23" s="8"/>
      <c r="M23" s="8">
        <v>99.38</v>
      </c>
      <c r="N23" s="8">
        <v>99.69</v>
      </c>
      <c r="O23" s="8">
        <v>99.38</v>
      </c>
      <c r="P23" s="8"/>
      <c r="Q23" s="10">
        <f t="shared" si="7"/>
        <v>0.31000000000000227</v>
      </c>
    </row>
    <row r="24" spans="1:17" x14ac:dyDescent="0.35">
      <c r="A24" s="3">
        <v>1871</v>
      </c>
      <c r="B24" s="4">
        <f t="shared" si="0"/>
        <v>93.509</v>
      </c>
      <c r="C24" s="4">
        <f t="shared" si="1"/>
        <v>93.852999999999994</v>
      </c>
      <c r="D24" s="4">
        <f t="shared" si="2"/>
        <v>99.366</v>
      </c>
      <c r="E24" s="4">
        <f t="shared" si="3"/>
        <v>99.653000000000006</v>
      </c>
      <c r="F24" s="4">
        <f t="shared" si="4"/>
        <v>0.34399999999999409</v>
      </c>
      <c r="G24" s="4">
        <f t="shared" si="5"/>
        <v>0</v>
      </c>
      <c r="H24" s="4">
        <f t="shared" si="6"/>
        <v>5.5130000000000052</v>
      </c>
      <c r="I24" s="5">
        <v>93.509</v>
      </c>
      <c r="J24" s="5">
        <v>93.852999999999994</v>
      </c>
      <c r="K24" s="5">
        <v>93.509</v>
      </c>
      <c r="L24" s="5"/>
      <c r="M24" s="5">
        <v>99.366</v>
      </c>
      <c r="N24" s="5">
        <v>99.653000000000006</v>
      </c>
      <c r="O24" s="5">
        <v>99.366</v>
      </c>
      <c r="P24" s="5"/>
      <c r="Q24" s="10">
        <f t="shared" si="7"/>
        <v>0.28700000000000614</v>
      </c>
    </row>
    <row r="25" spans="1:17" x14ac:dyDescent="0.35">
      <c r="A25" s="6">
        <v>1872</v>
      </c>
      <c r="B25" s="7">
        <f t="shared" si="0"/>
        <v>93.6</v>
      </c>
      <c r="C25" s="7">
        <f t="shared" si="1"/>
        <v>94.015000000000001</v>
      </c>
      <c r="D25" s="7">
        <f t="shared" si="2"/>
        <v>99.301000000000002</v>
      </c>
      <c r="E25" s="7">
        <f t="shared" si="3"/>
        <v>99.664000000000001</v>
      </c>
      <c r="F25" s="7">
        <f t="shared" si="4"/>
        <v>0.41500000000000625</v>
      </c>
      <c r="G25" s="7">
        <f t="shared" si="5"/>
        <v>0</v>
      </c>
      <c r="H25" s="7">
        <f t="shared" si="6"/>
        <v>5.2860000000000014</v>
      </c>
      <c r="I25" s="8">
        <v>93.6</v>
      </c>
      <c r="J25" s="8">
        <v>94.015000000000001</v>
      </c>
      <c r="K25" s="8">
        <v>93.6</v>
      </c>
      <c r="L25" s="8"/>
      <c r="M25" s="8">
        <v>99.301000000000002</v>
      </c>
      <c r="N25" s="8">
        <v>99.664000000000001</v>
      </c>
      <c r="O25" s="8">
        <v>99.301000000000002</v>
      </c>
      <c r="P25" s="8"/>
      <c r="Q25" s="10">
        <f t="shared" si="7"/>
        <v>0.36299999999999955</v>
      </c>
    </row>
    <row r="26" spans="1:17" x14ac:dyDescent="0.35">
      <c r="A26" s="3">
        <v>1873</v>
      </c>
      <c r="B26" s="4">
        <f t="shared" si="0"/>
        <v>93.611999999999995</v>
      </c>
      <c r="C26" s="4">
        <f t="shared" si="1"/>
        <v>94.036000000000001</v>
      </c>
      <c r="D26" s="4">
        <f t="shared" si="2"/>
        <v>99.301000000000002</v>
      </c>
      <c r="E26" s="4">
        <f t="shared" si="3"/>
        <v>99.671999999999997</v>
      </c>
      <c r="F26" s="4">
        <f t="shared" si="4"/>
        <v>0.42400000000000659</v>
      </c>
      <c r="G26" s="4">
        <f t="shared" si="5"/>
        <v>0</v>
      </c>
      <c r="H26" s="4">
        <f t="shared" si="6"/>
        <v>5.2650000000000006</v>
      </c>
      <c r="I26" s="5">
        <v>93.611999999999995</v>
      </c>
      <c r="J26" s="5">
        <v>94.036000000000001</v>
      </c>
      <c r="K26" s="5">
        <v>93.611999999999995</v>
      </c>
      <c r="L26" s="5"/>
      <c r="M26" s="5">
        <v>99.301000000000002</v>
      </c>
      <c r="N26" s="5">
        <v>99.671999999999997</v>
      </c>
      <c r="O26" s="5">
        <v>99.301000000000002</v>
      </c>
      <c r="P26" s="5"/>
      <c r="Q26" s="10">
        <f t="shared" si="7"/>
        <v>0.37099999999999511</v>
      </c>
    </row>
    <row r="27" spans="1:17" x14ac:dyDescent="0.35">
      <c r="A27" s="6">
        <v>1874</v>
      </c>
      <c r="B27" s="7">
        <f t="shared" si="0"/>
        <v>92.56</v>
      </c>
      <c r="C27" s="7">
        <f t="shared" si="1"/>
        <v>93.040999999999997</v>
      </c>
      <c r="D27" s="7">
        <f t="shared" si="2"/>
        <v>99.16</v>
      </c>
      <c r="E27" s="7">
        <f t="shared" si="3"/>
        <v>99.608999999999995</v>
      </c>
      <c r="F27" s="7">
        <f t="shared" si="4"/>
        <v>0.48099999999999454</v>
      </c>
      <c r="G27" s="7">
        <f t="shared" si="5"/>
        <v>0</v>
      </c>
      <c r="H27" s="7">
        <f t="shared" si="6"/>
        <v>6.1189999999999998</v>
      </c>
      <c r="I27" s="8">
        <v>92.56</v>
      </c>
      <c r="J27" s="8">
        <v>93.040999999999997</v>
      </c>
      <c r="K27" s="8">
        <v>92.56</v>
      </c>
      <c r="L27" s="8"/>
      <c r="M27" s="8">
        <v>99.16</v>
      </c>
      <c r="N27" s="8">
        <v>99.608999999999995</v>
      </c>
      <c r="O27" s="8">
        <v>99.16</v>
      </c>
      <c r="P27" s="8"/>
      <c r="Q27" s="10">
        <f t="shared" si="7"/>
        <v>0.44899999999999807</v>
      </c>
    </row>
    <row r="28" spans="1:17" x14ac:dyDescent="0.35">
      <c r="A28" s="3">
        <v>1875</v>
      </c>
      <c r="B28" s="4">
        <f t="shared" si="0"/>
        <v>93.018000000000001</v>
      </c>
      <c r="C28" s="4">
        <f t="shared" si="1"/>
        <v>93.393000000000001</v>
      </c>
      <c r="D28" s="4">
        <f t="shared" si="2"/>
        <v>99.278000000000006</v>
      </c>
      <c r="E28" s="4">
        <f t="shared" si="3"/>
        <v>99.606999999999999</v>
      </c>
      <c r="F28" s="4">
        <f t="shared" si="4"/>
        <v>0.375</v>
      </c>
      <c r="G28" s="4">
        <f t="shared" si="5"/>
        <v>0</v>
      </c>
      <c r="H28" s="4">
        <f t="shared" si="6"/>
        <v>5.8850000000000051</v>
      </c>
      <c r="I28" s="5">
        <v>93.018000000000001</v>
      </c>
      <c r="J28" s="5">
        <v>93.393000000000001</v>
      </c>
      <c r="K28" s="5">
        <v>93.018000000000001</v>
      </c>
      <c r="L28" s="5"/>
      <c r="M28" s="5">
        <v>99.278000000000006</v>
      </c>
      <c r="N28" s="5">
        <v>99.606999999999999</v>
      </c>
      <c r="O28" s="5">
        <v>99.278000000000006</v>
      </c>
      <c r="P28" s="5"/>
      <c r="Q28" s="10">
        <f t="shared" si="7"/>
        <v>0.32899999999999352</v>
      </c>
    </row>
    <row r="29" spans="1:17" x14ac:dyDescent="0.35">
      <c r="A29" s="6">
        <v>1876</v>
      </c>
      <c r="B29" s="7">
        <f t="shared" si="0"/>
        <v>91.801000000000002</v>
      </c>
      <c r="C29" s="7">
        <f t="shared" si="1"/>
        <v>92.102999999999994</v>
      </c>
      <c r="D29" s="7">
        <f t="shared" si="2"/>
        <v>99.272999999999996</v>
      </c>
      <c r="E29" s="7">
        <f t="shared" si="3"/>
        <v>99.566999999999993</v>
      </c>
      <c r="F29" s="7">
        <f t="shared" si="4"/>
        <v>0.3019999999999925</v>
      </c>
      <c r="G29" s="7">
        <f t="shared" si="5"/>
        <v>0</v>
      </c>
      <c r="H29" s="7">
        <f t="shared" si="6"/>
        <v>7.1700000000000017</v>
      </c>
      <c r="I29" s="8">
        <v>91.801000000000002</v>
      </c>
      <c r="J29" s="8">
        <v>92.102999999999994</v>
      </c>
      <c r="K29" s="8">
        <v>91.801000000000002</v>
      </c>
      <c r="L29" s="8"/>
      <c r="M29" s="8">
        <v>99.272999999999996</v>
      </c>
      <c r="N29" s="8">
        <v>99.566999999999993</v>
      </c>
      <c r="O29" s="8">
        <v>99.272999999999996</v>
      </c>
      <c r="P29" s="8"/>
      <c r="Q29" s="10">
        <f t="shared" si="7"/>
        <v>0.29399999999999693</v>
      </c>
    </row>
    <row r="30" spans="1:17" x14ac:dyDescent="0.35">
      <c r="A30" s="3">
        <v>1877</v>
      </c>
      <c r="B30" s="4">
        <f t="shared" si="0"/>
        <v>92.003</v>
      </c>
      <c r="C30" s="4">
        <f t="shared" si="1"/>
        <v>92.265000000000001</v>
      </c>
      <c r="D30" s="4">
        <f t="shared" si="2"/>
        <v>99.308000000000007</v>
      </c>
      <c r="E30" s="4">
        <f t="shared" si="3"/>
        <v>99.564999999999998</v>
      </c>
      <c r="F30" s="4">
        <f t="shared" si="4"/>
        <v>0.26200000000000045</v>
      </c>
      <c r="G30" s="4">
        <f t="shared" si="5"/>
        <v>0</v>
      </c>
      <c r="H30" s="4">
        <f t="shared" si="6"/>
        <v>7.0430000000000064</v>
      </c>
      <c r="I30" s="5">
        <v>92.003</v>
      </c>
      <c r="J30" s="5">
        <v>92.265000000000001</v>
      </c>
      <c r="K30" s="5">
        <v>92.003</v>
      </c>
      <c r="L30" s="5"/>
      <c r="M30" s="5">
        <v>99.308000000000007</v>
      </c>
      <c r="N30" s="5">
        <v>99.564999999999998</v>
      </c>
      <c r="O30" s="5">
        <v>99.308000000000007</v>
      </c>
      <c r="P30" s="5"/>
      <c r="Q30" s="10">
        <f t="shared" si="7"/>
        <v>0.25699999999999079</v>
      </c>
    </row>
    <row r="31" spans="1:17" x14ac:dyDescent="0.35">
      <c r="A31" s="6">
        <v>1878</v>
      </c>
      <c r="B31" s="7">
        <f t="shared" si="0"/>
        <v>91.158000000000001</v>
      </c>
      <c r="C31" s="7">
        <f t="shared" si="1"/>
        <v>91.623999999999995</v>
      </c>
      <c r="D31" s="7">
        <f t="shared" si="2"/>
        <v>99.004000000000005</v>
      </c>
      <c r="E31" s="7">
        <f t="shared" si="3"/>
        <v>99.498999999999995</v>
      </c>
      <c r="F31" s="7">
        <f t="shared" si="4"/>
        <v>0.46599999999999397</v>
      </c>
      <c r="G31" s="7">
        <f t="shared" si="5"/>
        <v>0</v>
      </c>
      <c r="H31" s="7">
        <f t="shared" si="6"/>
        <v>7.3800000000000097</v>
      </c>
      <c r="I31" s="8">
        <v>91.158000000000001</v>
      </c>
      <c r="J31" s="8">
        <v>91.623999999999995</v>
      </c>
      <c r="K31" s="8">
        <v>91.158000000000001</v>
      </c>
      <c r="L31" s="8"/>
      <c r="M31" s="8">
        <v>99.004000000000005</v>
      </c>
      <c r="N31" s="8">
        <v>99.498999999999995</v>
      </c>
      <c r="O31" s="8">
        <v>99.004000000000005</v>
      </c>
      <c r="P31" s="8"/>
      <c r="Q31" s="10">
        <f t="shared" si="7"/>
        <v>0.49499999999999034</v>
      </c>
    </row>
    <row r="32" spans="1:17" x14ac:dyDescent="0.35">
      <c r="A32" s="3">
        <v>1879</v>
      </c>
      <c r="B32" s="4">
        <f t="shared" si="0"/>
        <v>91.262</v>
      </c>
      <c r="C32" s="4">
        <f t="shared" si="1"/>
        <v>91.72</v>
      </c>
      <c r="D32" s="4">
        <f t="shared" si="2"/>
        <v>99.058000000000007</v>
      </c>
      <c r="E32" s="4">
        <f t="shared" si="3"/>
        <v>99.537000000000006</v>
      </c>
      <c r="F32" s="4">
        <f t="shared" si="4"/>
        <v>0.45799999999999841</v>
      </c>
      <c r="G32" s="4">
        <f t="shared" si="5"/>
        <v>0</v>
      </c>
      <c r="H32" s="4">
        <f t="shared" si="6"/>
        <v>7.3380000000000081</v>
      </c>
      <c r="I32" s="5">
        <v>91.262</v>
      </c>
      <c r="J32" s="5">
        <v>91.72</v>
      </c>
      <c r="K32" s="5">
        <v>91.262</v>
      </c>
      <c r="L32" s="5"/>
      <c r="M32" s="5">
        <v>99.058000000000007</v>
      </c>
      <c r="N32" s="5">
        <v>99.537000000000006</v>
      </c>
      <c r="O32" s="5">
        <v>99.058000000000007</v>
      </c>
      <c r="P32" s="5"/>
      <c r="Q32" s="10">
        <f t="shared" si="7"/>
        <v>0.4789999999999992</v>
      </c>
    </row>
    <row r="33" spans="1:17" x14ac:dyDescent="0.35">
      <c r="A33" s="6">
        <v>1880</v>
      </c>
      <c r="B33" s="7">
        <f t="shared" si="0"/>
        <v>91.789000000000001</v>
      </c>
      <c r="C33" s="7">
        <f t="shared" si="1"/>
        <v>92.26</v>
      </c>
      <c r="D33" s="7">
        <f t="shared" si="2"/>
        <v>99.07</v>
      </c>
      <c r="E33" s="7">
        <f t="shared" si="3"/>
        <v>99.533000000000001</v>
      </c>
      <c r="F33" s="7">
        <f t="shared" si="4"/>
        <v>0.47100000000000364</v>
      </c>
      <c r="G33" s="7">
        <f t="shared" si="5"/>
        <v>0</v>
      </c>
      <c r="H33" s="7">
        <f t="shared" si="6"/>
        <v>6.8099999999999881</v>
      </c>
      <c r="I33" s="8">
        <v>91.789000000000001</v>
      </c>
      <c r="J33" s="8">
        <v>92.26</v>
      </c>
      <c r="K33" s="8">
        <v>91.789000000000001</v>
      </c>
      <c r="L33" s="8"/>
      <c r="M33" s="8">
        <v>99.07</v>
      </c>
      <c r="N33" s="8">
        <v>99.533000000000001</v>
      </c>
      <c r="O33" s="8">
        <v>99.07</v>
      </c>
      <c r="P33" s="8"/>
      <c r="Q33" s="10">
        <f t="shared" si="7"/>
        <v>0.46300000000000807</v>
      </c>
    </row>
    <row r="34" spans="1:17" x14ac:dyDescent="0.35">
      <c r="A34" s="3">
        <v>1881</v>
      </c>
      <c r="B34" s="4">
        <f t="shared" si="0"/>
        <v>91.805999999999997</v>
      </c>
      <c r="C34" s="4">
        <f t="shared" si="1"/>
        <v>92.25</v>
      </c>
      <c r="D34" s="4">
        <f t="shared" si="2"/>
        <v>99.063000000000002</v>
      </c>
      <c r="E34" s="4">
        <f t="shared" si="3"/>
        <v>99.537000000000006</v>
      </c>
      <c r="F34" s="4">
        <f t="shared" si="4"/>
        <v>0.44400000000000261</v>
      </c>
      <c r="G34" s="4">
        <f t="shared" si="5"/>
        <v>0</v>
      </c>
      <c r="H34" s="4">
        <f t="shared" si="6"/>
        <v>6.8130000000000024</v>
      </c>
      <c r="I34" s="5">
        <v>91.805999999999997</v>
      </c>
      <c r="J34" s="5">
        <v>92.25</v>
      </c>
      <c r="K34" s="5">
        <v>91.805999999999997</v>
      </c>
      <c r="L34" s="5"/>
      <c r="M34" s="5">
        <v>99.063000000000002</v>
      </c>
      <c r="N34" s="5">
        <v>99.537000000000006</v>
      </c>
      <c r="O34" s="5">
        <v>99.063000000000002</v>
      </c>
      <c r="P34" s="5"/>
      <c r="Q34" s="10">
        <f t="shared" si="7"/>
        <v>0.47400000000000375</v>
      </c>
    </row>
    <row r="35" spans="1:17" x14ac:dyDescent="0.35">
      <c r="A35" s="6">
        <v>1882</v>
      </c>
      <c r="B35" s="7">
        <f t="shared" ref="B35:B66" si="8">IFERROR(MIN(I35:L35),"")</f>
        <v>91.93</v>
      </c>
      <c r="C35" s="7">
        <f t="shared" ref="C35:C66" si="9">IFERROR(MAX(I35:L35),"")</f>
        <v>92.367000000000004</v>
      </c>
      <c r="D35" s="7">
        <f t="shared" ref="D35:D66" si="10">IFERROR(MIN(M35:P35),"")</f>
        <v>99.052000000000007</v>
      </c>
      <c r="E35" s="7">
        <f t="shared" ref="E35:E66" si="11">IFERROR(MAX(M35:P35),"")</f>
        <v>99.510999999999996</v>
      </c>
      <c r="F35" s="7">
        <f t="shared" ref="F35:F66" si="12">IFERROR(MIN(C35,D35)-B35,"")</f>
        <v>0.43699999999999761</v>
      </c>
      <c r="G35" s="7">
        <f t="shared" ref="G35:G66" si="13">IFERROR(MAX(0,C35-D35),"")</f>
        <v>0</v>
      </c>
      <c r="H35" s="7">
        <f t="shared" ref="H35:H66" si="14">IFERROR(MAX(0,D35-C35),"")</f>
        <v>6.6850000000000023</v>
      </c>
      <c r="I35" s="8">
        <v>91.93</v>
      </c>
      <c r="J35" s="8">
        <v>92.367000000000004</v>
      </c>
      <c r="K35" s="8">
        <v>91.93</v>
      </c>
      <c r="L35" s="8"/>
      <c r="M35" s="8">
        <v>99.052000000000007</v>
      </c>
      <c r="N35" s="8">
        <v>99.510999999999996</v>
      </c>
      <c r="O35" s="8">
        <v>99.052000000000007</v>
      </c>
      <c r="P35" s="8"/>
      <c r="Q35" s="10">
        <f t="shared" ref="Q35:Q66" si="15">IFERROR(MAX(0,$E35-MAX($C35,$D35)),"")</f>
        <v>0.45899999999998897</v>
      </c>
    </row>
    <row r="36" spans="1:17" x14ac:dyDescent="0.35">
      <c r="A36" s="3">
        <v>1883</v>
      </c>
      <c r="B36" s="4">
        <f t="shared" si="8"/>
        <v>91.66</v>
      </c>
      <c r="C36" s="4">
        <f t="shared" si="9"/>
        <v>92.093000000000004</v>
      </c>
      <c r="D36" s="4">
        <f t="shared" si="10"/>
        <v>99.031000000000006</v>
      </c>
      <c r="E36" s="4">
        <f t="shared" si="11"/>
        <v>99.481999999999999</v>
      </c>
      <c r="F36" s="4">
        <f t="shared" si="12"/>
        <v>0.43300000000000693</v>
      </c>
      <c r="G36" s="4">
        <f t="shared" si="13"/>
        <v>0</v>
      </c>
      <c r="H36" s="4">
        <f t="shared" si="14"/>
        <v>6.9380000000000024</v>
      </c>
      <c r="I36" s="5">
        <v>91.66</v>
      </c>
      <c r="J36" s="5">
        <v>92.093000000000004</v>
      </c>
      <c r="K36" s="5">
        <v>91.66</v>
      </c>
      <c r="L36" s="5"/>
      <c r="M36" s="5">
        <v>99.031000000000006</v>
      </c>
      <c r="N36" s="5">
        <v>99.481999999999999</v>
      </c>
      <c r="O36" s="5">
        <v>99.031000000000006</v>
      </c>
      <c r="P36" s="5"/>
      <c r="Q36" s="10">
        <f t="shared" si="15"/>
        <v>0.45099999999999341</v>
      </c>
    </row>
    <row r="37" spans="1:17" x14ac:dyDescent="0.35">
      <c r="A37" s="6">
        <v>1884</v>
      </c>
      <c r="B37" s="7">
        <f t="shared" si="8"/>
        <v>91.41</v>
      </c>
      <c r="C37" s="7">
        <f t="shared" si="9"/>
        <v>91.887</v>
      </c>
      <c r="D37" s="7">
        <f t="shared" si="10"/>
        <v>98.953999999999994</v>
      </c>
      <c r="E37" s="7">
        <f t="shared" si="11"/>
        <v>99.448999999999998</v>
      </c>
      <c r="F37" s="7">
        <f t="shared" si="12"/>
        <v>0.47700000000000387</v>
      </c>
      <c r="G37" s="7">
        <f t="shared" si="13"/>
        <v>0</v>
      </c>
      <c r="H37" s="7">
        <f t="shared" si="14"/>
        <v>7.0669999999999931</v>
      </c>
      <c r="I37" s="8">
        <v>91.41</v>
      </c>
      <c r="J37" s="8">
        <v>91.887</v>
      </c>
      <c r="K37" s="8">
        <v>91.41</v>
      </c>
      <c r="L37" s="8"/>
      <c r="M37" s="8">
        <v>98.953999999999994</v>
      </c>
      <c r="N37" s="8">
        <v>99.448999999999998</v>
      </c>
      <c r="O37" s="8">
        <v>98.953999999999994</v>
      </c>
      <c r="P37" s="8"/>
      <c r="Q37" s="10">
        <f t="shared" si="15"/>
        <v>0.49500000000000455</v>
      </c>
    </row>
    <row r="38" spans="1:17" x14ac:dyDescent="0.35">
      <c r="A38" s="3">
        <v>1885</v>
      </c>
      <c r="B38" s="4">
        <f t="shared" si="8"/>
        <v>91.057000000000002</v>
      </c>
      <c r="C38" s="4">
        <f t="shared" si="9"/>
        <v>91.552000000000007</v>
      </c>
      <c r="D38" s="4">
        <f t="shared" si="10"/>
        <v>98.942999999999998</v>
      </c>
      <c r="E38" s="4">
        <f t="shared" si="11"/>
        <v>99.451999999999998</v>
      </c>
      <c r="F38" s="4">
        <f t="shared" si="12"/>
        <v>0.49500000000000455</v>
      </c>
      <c r="G38" s="4">
        <f t="shared" si="13"/>
        <v>0</v>
      </c>
      <c r="H38" s="4">
        <f t="shared" si="14"/>
        <v>7.3909999999999911</v>
      </c>
      <c r="I38" s="5">
        <v>91.057000000000002</v>
      </c>
      <c r="J38" s="5">
        <v>91.552000000000007</v>
      </c>
      <c r="K38" s="5">
        <v>91.057000000000002</v>
      </c>
      <c r="L38" s="5"/>
      <c r="M38" s="5">
        <v>98.942999999999998</v>
      </c>
      <c r="N38" s="5">
        <v>99.451999999999998</v>
      </c>
      <c r="O38" s="5">
        <v>98.942999999999998</v>
      </c>
      <c r="P38" s="5"/>
      <c r="Q38" s="10">
        <f t="shared" si="15"/>
        <v>0.50900000000000034</v>
      </c>
    </row>
    <row r="39" spans="1:17" x14ac:dyDescent="0.35">
      <c r="A39" s="6">
        <v>1886</v>
      </c>
      <c r="B39" s="7">
        <f t="shared" si="8"/>
        <v>90.965999999999994</v>
      </c>
      <c r="C39" s="7">
        <f t="shared" si="9"/>
        <v>91.411000000000001</v>
      </c>
      <c r="D39" s="7">
        <f t="shared" si="10"/>
        <v>98.951999999999998</v>
      </c>
      <c r="E39" s="7">
        <f t="shared" si="11"/>
        <v>99.421000000000006</v>
      </c>
      <c r="F39" s="7">
        <f t="shared" si="12"/>
        <v>0.44500000000000739</v>
      </c>
      <c r="G39" s="7">
        <f t="shared" si="13"/>
        <v>0</v>
      </c>
      <c r="H39" s="7">
        <f t="shared" si="14"/>
        <v>7.5409999999999968</v>
      </c>
      <c r="I39" s="8">
        <v>90.965999999999994</v>
      </c>
      <c r="J39" s="8">
        <v>91.411000000000001</v>
      </c>
      <c r="K39" s="8">
        <v>90.965999999999994</v>
      </c>
      <c r="L39" s="8"/>
      <c r="M39" s="8">
        <v>98.951999999999998</v>
      </c>
      <c r="N39" s="8">
        <v>99.421000000000006</v>
      </c>
      <c r="O39" s="8">
        <v>98.951999999999998</v>
      </c>
      <c r="P39" s="8"/>
      <c r="Q39" s="10">
        <f t="shared" si="15"/>
        <v>0.4690000000000083</v>
      </c>
    </row>
    <row r="40" spans="1:17" x14ac:dyDescent="0.35">
      <c r="A40" s="3">
        <v>1887</v>
      </c>
      <c r="B40" s="4">
        <f t="shared" si="8"/>
        <v>91.016000000000005</v>
      </c>
      <c r="C40" s="4">
        <f t="shared" si="9"/>
        <v>91.402000000000001</v>
      </c>
      <c r="D40" s="4">
        <f t="shared" si="10"/>
        <v>98.88</v>
      </c>
      <c r="E40" s="4">
        <f t="shared" si="11"/>
        <v>99.295000000000002</v>
      </c>
      <c r="F40" s="4">
        <f t="shared" si="12"/>
        <v>0.38599999999999568</v>
      </c>
      <c r="G40" s="4">
        <f t="shared" si="13"/>
        <v>0</v>
      </c>
      <c r="H40" s="4">
        <f t="shared" si="14"/>
        <v>7.4779999999999944</v>
      </c>
      <c r="I40" s="5">
        <v>91.016000000000005</v>
      </c>
      <c r="J40" s="5">
        <v>91.402000000000001</v>
      </c>
      <c r="K40" s="5">
        <v>91.016000000000005</v>
      </c>
      <c r="L40" s="5"/>
      <c r="M40" s="5">
        <v>98.88</v>
      </c>
      <c r="N40" s="5">
        <v>99.295000000000002</v>
      </c>
      <c r="O40" s="5">
        <v>98.88</v>
      </c>
      <c r="P40" s="5"/>
      <c r="Q40" s="10">
        <f t="shared" si="15"/>
        <v>0.41500000000000625</v>
      </c>
    </row>
    <row r="41" spans="1:17" x14ac:dyDescent="0.35">
      <c r="A41" s="6">
        <v>1888</v>
      </c>
      <c r="B41" s="7">
        <f t="shared" si="8"/>
        <v>91.15</v>
      </c>
      <c r="C41" s="7">
        <f t="shared" si="9"/>
        <v>91.614000000000004</v>
      </c>
      <c r="D41" s="7">
        <f t="shared" si="10"/>
        <v>98.840999999999994</v>
      </c>
      <c r="E41" s="7">
        <f t="shared" si="11"/>
        <v>99.334999999999994</v>
      </c>
      <c r="F41" s="7">
        <f t="shared" si="12"/>
        <v>0.46399999999999864</v>
      </c>
      <c r="G41" s="7">
        <f t="shared" si="13"/>
        <v>0</v>
      </c>
      <c r="H41" s="7">
        <f t="shared" si="14"/>
        <v>7.2269999999999897</v>
      </c>
      <c r="I41" s="8">
        <v>91.15</v>
      </c>
      <c r="J41" s="8">
        <v>91.614000000000004</v>
      </c>
      <c r="K41" s="8">
        <v>91.15</v>
      </c>
      <c r="L41" s="8"/>
      <c r="M41" s="8">
        <v>98.840999999999994</v>
      </c>
      <c r="N41" s="8">
        <v>99.334999999999994</v>
      </c>
      <c r="O41" s="8">
        <v>98.840999999999994</v>
      </c>
      <c r="P41" s="8"/>
      <c r="Q41" s="10">
        <f t="shared" si="15"/>
        <v>0.49399999999999977</v>
      </c>
    </row>
    <row r="42" spans="1:17" x14ac:dyDescent="0.35">
      <c r="A42" s="3">
        <v>1889</v>
      </c>
      <c r="B42" s="4">
        <f t="shared" si="8"/>
        <v>90.403999999999996</v>
      </c>
      <c r="C42" s="4">
        <f t="shared" si="9"/>
        <v>90.91</v>
      </c>
      <c r="D42" s="4">
        <f t="shared" si="10"/>
        <v>98.656999999999996</v>
      </c>
      <c r="E42" s="4">
        <f t="shared" si="11"/>
        <v>99.183000000000007</v>
      </c>
      <c r="F42" s="4">
        <f t="shared" si="12"/>
        <v>0.50600000000000023</v>
      </c>
      <c r="G42" s="4">
        <f t="shared" si="13"/>
        <v>0</v>
      </c>
      <c r="H42" s="4">
        <f t="shared" si="14"/>
        <v>7.7469999999999999</v>
      </c>
      <c r="I42" s="5">
        <v>90.403999999999996</v>
      </c>
      <c r="J42" s="5">
        <v>90.91</v>
      </c>
      <c r="K42" s="5">
        <v>90.403999999999996</v>
      </c>
      <c r="L42" s="5"/>
      <c r="M42" s="5">
        <v>98.656999999999996</v>
      </c>
      <c r="N42" s="5">
        <v>99.183000000000007</v>
      </c>
      <c r="O42" s="5">
        <v>98.656999999999996</v>
      </c>
      <c r="P42" s="5"/>
      <c r="Q42" s="10">
        <f t="shared" si="15"/>
        <v>0.52600000000001046</v>
      </c>
    </row>
    <row r="43" spans="1:17" x14ac:dyDescent="0.35">
      <c r="A43" s="6">
        <v>1890</v>
      </c>
      <c r="B43" s="7">
        <f t="shared" si="8"/>
        <v>90.638000000000005</v>
      </c>
      <c r="C43" s="7">
        <f t="shared" si="9"/>
        <v>91.054000000000002</v>
      </c>
      <c r="D43" s="7">
        <f t="shared" si="10"/>
        <v>98.760999999999996</v>
      </c>
      <c r="E43" s="7">
        <f t="shared" si="11"/>
        <v>99.194000000000003</v>
      </c>
      <c r="F43" s="7">
        <f t="shared" si="12"/>
        <v>0.41599999999999682</v>
      </c>
      <c r="G43" s="7">
        <f t="shared" si="13"/>
        <v>0</v>
      </c>
      <c r="H43" s="7">
        <f t="shared" si="14"/>
        <v>7.7069999999999936</v>
      </c>
      <c r="I43" s="8">
        <v>90.638000000000005</v>
      </c>
      <c r="J43" s="8">
        <v>91.054000000000002</v>
      </c>
      <c r="K43" s="8">
        <v>90.638000000000005</v>
      </c>
      <c r="L43" s="8"/>
      <c r="M43" s="8">
        <v>98.760999999999996</v>
      </c>
      <c r="N43" s="8">
        <v>99.194000000000003</v>
      </c>
      <c r="O43" s="8">
        <v>98.760999999999996</v>
      </c>
      <c r="P43" s="8"/>
      <c r="Q43" s="10">
        <f t="shared" si="15"/>
        <v>0.43300000000000693</v>
      </c>
    </row>
    <row r="44" spans="1:17" x14ac:dyDescent="0.35">
      <c r="A44" s="3">
        <v>1891</v>
      </c>
      <c r="B44" s="4">
        <f t="shared" si="8"/>
        <v>90.367999999999995</v>
      </c>
      <c r="C44" s="4">
        <f t="shared" si="9"/>
        <v>90.816999999999993</v>
      </c>
      <c r="D44" s="4">
        <f t="shared" si="10"/>
        <v>98.685000000000002</v>
      </c>
      <c r="E44" s="4">
        <f t="shared" si="11"/>
        <v>99.153000000000006</v>
      </c>
      <c r="F44" s="4">
        <f t="shared" si="12"/>
        <v>0.44899999999999807</v>
      </c>
      <c r="G44" s="4">
        <f t="shared" si="13"/>
        <v>0</v>
      </c>
      <c r="H44" s="4">
        <f t="shared" si="14"/>
        <v>7.8680000000000092</v>
      </c>
      <c r="I44" s="5">
        <v>90.367999999999995</v>
      </c>
      <c r="J44" s="5">
        <v>90.816999999999993</v>
      </c>
      <c r="K44" s="5">
        <v>90.367999999999995</v>
      </c>
      <c r="L44" s="5"/>
      <c r="M44" s="5">
        <v>98.685000000000002</v>
      </c>
      <c r="N44" s="5">
        <v>99.153000000000006</v>
      </c>
      <c r="O44" s="5">
        <v>98.685000000000002</v>
      </c>
      <c r="P44" s="5"/>
      <c r="Q44" s="10">
        <f t="shared" si="15"/>
        <v>0.46800000000000352</v>
      </c>
    </row>
    <row r="45" spans="1:17" x14ac:dyDescent="0.35">
      <c r="A45" s="6">
        <v>1892</v>
      </c>
      <c r="B45" s="7">
        <f t="shared" si="8"/>
        <v>90.293999999999997</v>
      </c>
      <c r="C45" s="7">
        <f t="shared" si="9"/>
        <v>90.748999999999995</v>
      </c>
      <c r="D45" s="7">
        <f t="shared" si="10"/>
        <v>98.543999999999997</v>
      </c>
      <c r="E45" s="7">
        <f t="shared" si="11"/>
        <v>99.022999999999996</v>
      </c>
      <c r="F45" s="7">
        <f t="shared" si="12"/>
        <v>0.45499999999999829</v>
      </c>
      <c r="G45" s="7">
        <f t="shared" si="13"/>
        <v>0</v>
      </c>
      <c r="H45" s="7">
        <f t="shared" si="14"/>
        <v>7.7950000000000017</v>
      </c>
      <c r="I45" s="8">
        <v>90.293999999999997</v>
      </c>
      <c r="J45" s="8">
        <v>90.748999999999995</v>
      </c>
      <c r="K45" s="8">
        <v>90.293999999999997</v>
      </c>
      <c r="L45" s="8"/>
      <c r="M45" s="8">
        <v>98.543999999999997</v>
      </c>
      <c r="N45" s="8">
        <v>99.022999999999996</v>
      </c>
      <c r="O45" s="8">
        <v>98.543999999999997</v>
      </c>
      <c r="P45" s="8"/>
      <c r="Q45" s="10">
        <f t="shared" si="15"/>
        <v>0.4789999999999992</v>
      </c>
    </row>
    <row r="46" spans="1:17" x14ac:dyDescent="0.35">
      <c r="A46" s="3">
        <v>1893</v>
      </c>
      <c r="B46" s="4">
        <f t="shared" si="8"/>
        <v>89.370999999999995</v>
      </c>
      <c r="C46" s="4">
        <f t="shared" si="9"/>
        <v>89.817999999999998</v>
      </c>
      <c r="D46" s="4">
        <f t="shared" si="10"/>
        <v>98.32</v>
      </c>
      <c r="E46" s="4">
        <f t="shared" si="11"/>
        <v>98.778999999999996</v>
      </c>
      <c r="F46" s="4">
        <f t="shared" si="12"/>
        <v>0.44700000000000273</v>
      </c>
      <c r="G46" s="4">
        <f t="shared" si="13"/>
        <v>0</v>
      </c>
      <c r="H46" s="4">
        <f t="shared" si="14"/>
        <v>8.5019999999999953</v>
      </c>
      <c r="I46" s="5">
        <v>89.370999999999995</v>
      </c>
      <c r="J46" s="5">
        <v>89.817999999999998</v>
      </c>
      <c r="K46" s="5">
        <v>89.370999999999995</v>
      </c>
      <c r="L46" s="5"/>
      <c r="M46" s="5">
        <v>98.32</v>
      </c>
      <c r="N46" s="5">
        <v>98.778999999999996</v>
      </c>
      <c r="O46" s="5">
        <v>98.32</v>
      </c>
      <c r="P46" s="5"/>
      <c r="Q46" s="10">
        <f t="shared" si="15"/>
        <v>0.45900000000000318</v>
      </c>
    </row>
    <row r="47" spans="1:17" x14ac:dyDescent="0.35">
      <c r="A47" s="6">
        <v>1894</v>
      </c>
      <c r="B47" s="7">
        <f t="shared" si="8"/>
        <v>89.367000000000004</v>
      </c>
      <c r="C47" s="7">
        <f t="shared" si="9"/>
        <v>89.894000000000005</v>
      </c>
      <c r="D47" s="7">
        <f t="shared" si="10"/>
        <v>98.194999999999993</v>
      </c>
      <c r="E47" s="7">
        <f t="shared" si="11"/>
        <v>98.73</v>
      </c>
      <c r="F47" s="7">
        <f t="shared" si="12"/>
        <v>0.52700000000000102</v>
      </c>
      <c r="G47" s="7">
        <f t="shared" si="13"/>
        <v>0</v>
      </c>
      <c r="H47" s="7">
        <f t="shared" si="14"/>
        <v>8.3009999999999877</v>
      </c>
      <c r="I47" s="8">
        <v>89.367000000000004</v>
      </c>
      <c r="J47" s="8">
        <v>89.894000000000005</v>
      </c>
      <c r="K47" s="8">
        <v>89.367000000000004</v>
      </c>
      <c r="L47" s="8"/>
      <c r="M47" s="8">
        <v>98.194999999999993</v>
      </c>
      <c r="N47" s="8">
        <v>98.73</v>
      </c>
      <c r="O47" s="8">
        <v>98.194999999999993</v>
      </c>
      <c r="P47" s="8"/>
      <c r="Q47" s="10">
        <f t="shared" si="15"/>
        <v>0.5350000000000108</v>
      </c>
    </row>
    <row r="48" spans="1:17" x14ac:dyDescent="0.35">
      <c r="A48" s="3">
        <v>1895</v>
      </c>
      <c r="B48" s="4">
        <f t="shared" si="8"/>
        <v>89.093000000000004</v>
      </c>
      <c r="C48" s="4">
        <f t="shared" si="9"/>
        <v>89.531999999999996</v>
      </c>
      <c r="D48" s="4">
        <f t="shared" si="10"/>
        <v>98.07</v>
      </c>
      <c r="E48" s="4">
        <f t="shared" si="11"/>
        <v>98.519000000000005</v>
      </c>
      <c r="F48" s="4">
        <f t="shared" si="12"/>
        <v>0.43899999999999295</v>
      </c>
      <c r="G48" s="4">
        <f t="shared" si="13"/>
        <v>0</v>
      </c>
      <c r="H48" s="4">
        <f t="shared" si="14"/>
        <v>8.5379999999999967</v>
      </c>
      <c r="I48" s="5">
        <v>89.093000000000004</v>
      </c>
      <c r="J48" s="5">
        <v>89.531999999999996</v>
      </c>
      <c r="K48" s="5">
        <v>89.093000000000004</v>
      </c>
      <c r="L48" s="5"/>
      <c r="M48" s="5">
        <v>98.07</v>
      </c>
      <c r="N48" s="5">
        <v>98.519000000000005</v>
      </c>
      <c r="O48" s="5">
        <v>98.07</v>
      </c>
      <c r="P48" s="5"/>
      <c r="Q48" s="10">
        <f t="shared" si="15"/>
        <v>0.44900000000001228</v>
      </c>
    </row>
    <row r="49" spans="1:17" x14ac:dyDescent="0.35">
      <c r="A49" s="6">
        <v>1896</v>
      </c>
      <c r="B49" s="7">
        <f t="shared" si="8"/>
        <v>88.887</v>
      </c>
      <c r="C49" s="7">
        <f t="shared" si="9"/>
        <v>89.340999999999994</v>
      </c>
      <c r="D49" s="7">
        <f t="shared" si="10"/>
        <v>97.966999999999999</v>
      </c>
      <c r="E49" s="7">
        <f t="shared" si="11"/>
        <v>98.429000000000002</v>
      </c>
      <c r="F49" s="7">
        <f t="shared" si="12"/>
        <v>0.45399999999999352</v>
      </c>
      <c r="G49" s="7">
        <f t="shared" si="13"/>
        <v>0</v>
      </c>
      <c r="H49" s="7">
        <f t="shared" si="14"/>
        <v>8.6260000000000048</v>
      </c>
      <c r="I49" s="8">
        <v>88.887</v>
      </c>
      <c r="J49" s="8">
        <v>89.340999999999994</v>
      </c>
      <c r="K49" s="8">
        <v>88.887</v>
      </c>
      <c r="L49" s="8"/>
      <c r="M49" s="8">
        <v>97.966999999999999</v>
      </c>
      <c r="N49" s="8">
        <v>98.429000000000002</v>
      </c>
      <c r="O49" s="8">
        <v>97.966999999999999</v>
      </c>
      <c r="P49" s="8"/>
      <c r="Q49" s="10">
        <f t="shared" si="15"/>
        <v>0.4620000000000033</v>
      </c>
    </row>
    <row r="50" spans="1:17" x14ac:dyDescent="0.35">
      <c r="A50" s="3">
        <v>1897</v>
      </c>
      <c r="B50" s="4">
        <f t="shared" si="8"/>
        <v>88.570999999999998</v>
      </c>
      <c r="C50" s="4">
        <f t="shared" si="9"/>
        <v>89.001999999999995</v>
      </c>
      <c r="D50" s="4">
        <f t="shared" si="10"/>
        <v>97.908000000000001</v>
      </c>
      <c r="E50" s="4">
        <f t="shared" si="11"/>
        <v>98.346000000000004</v>
      </c>
      <c r="F50" s="4">
        <f t="shared" si="12"/>
        <v>0.43099999999999739</v>
      </c>
      <c r="G50" s="4">
        <f t="shared" si="13"/>
        <v>0</v>
      </c>
      <c r="H50" s="4">
        <f t="shared" si="14"/>
        <v>8.9060000000000059</v>
      </c>
      <c r="I50" s="5">
        <v>88.570999999999998</v>
      </c>
      <c r="J50" s="5">
        <v>89.001999999999995</v>
      </c>
      <c r="K50" s="5">
        <v>88.570999999999998</v>
      </c>
      <c r="L50" s="5"/>
      <c r="M50" s="5">
        <v>97.908000000000001</v>
      </c>
      <c r="N50" s="5">
        <v>98.346000000000004</v>
      </c>
      <c r="O50" s="5">
        <v>97.908000000000001</v>
      </c>
      <c r="P50" s="5"/>
      <c r="Q50" s="10">
        <f t="shared" si="15"/>
        <v>0.43800000000000239</v>
      </c>
    </row>
    <row r="51" spans="1:17" x14ac:dyDescent="0.35">
      <c r="A51" s="6">
        <v>1898</v>
      </c>
      <c r="B51" s="7">
        <f t="shared" si="8"/>
        <v>88.147000000000006</v>
      </c>
      <c r="C51" s="7">
        <f t="shared" si="9"/>
        <v>88.584999999999994</v>
      </c>
      <c r="D51" s="7">
        <f t="shared" si="10"/>
        <v>97.75</v>
      </c>
      <c r="E51" s="7">
        <f t="shared" si="11"/>
        <v>98.185000000000002</v>
      </c>
      <c r="F51" s="7">
        <f t="shared" si="12"/>
        <v>0.43799999999998818</v>
      </c>
      <c r="G51" s="7">
        <f t="shared" si="13"/>
        <v>0</v>
      </c>
      <c r="H51" s="7">
        <f t="shared" si="14"/>
        <v>9.1650000000000063</v>
      </c>
      <c r="I51" s="8">
        <v>88.147000000000006</v>
      </c>
      <c r="J51" s="8">
        <v>88.584999999999994</v>
      </c>
      <c r="K51" s="8">
        <v>88.147000000000006</v>
      </c>
      <c r="L51" s="8"/>
      <c r="M51" s="8">
        <v>97.75</v>
      </c>
      <c r="N51" s="8">
        <v>98.185000000000002</v>
      </c>
      <c r="O51" s="8">
        <v>97.75</v>
      </c>
      <c r="P51" s="8"/>
      <c r="Q51" s="10">
        <f t="shared" si="15"/>
        <v>0.43500000000000227</v>
      </c>
    </row>
    <row r="52" spans="1:17" x14ac:dyDescent="0.35">
      <c r="A52" s="3">
        <v>1899</v>
      </c>
      <c r="B52" s="4">
        <f t="shared" si="8"/>
        <v>88.412999999999997</v>
      </c>
      <c r="C52" s="4">
        <f t="shared" si="9"/>
        <v>88.838999999999999</v>
      </c>
      <c r="D52" s="4">
        <f t="shared" si="10"/>
        <v>97.79</v>
      </c>
      <c r="E52" s="4">
        <f t="shared" si="11"/>
        <v>98.212999999999994</v>
      </c>
      <c r="F52" s="4">
        <f t="shared" si="12"/>
        <v>0.42600000000000193</v>
      </c>
      <c r="G52" s="4">
        <f t="shared" si="13"/>
        <v>0</v>
      </c>
      <c r="H52" s="4">
        <f t="shared" si="14"/>
        <v>8.9510000000000076</v>
      </c>
      <c r="I52" s="5">
        <v>88.412999999999997</v>
      </c>
      <c r="J52" s="5">
        <v>88.838999999999999</v>
      </c>
      <c r="K52" s="5">
        <v>88.412999999999997</v>
      </c>
      <c r="L52" s="5"/>
      <c r="M52" s="5">
        <v>97.79</v>
      </c>
      <c r="N52" s="5">
        <v>98.212999999999994</v>
      </c>
      <c r="O52" s="5">
        <v>97.79</v>
      </c>
      <c r="P52" s="5"/>
      <c r="Q52" s="10">
        <f t="shared" si="15"/>
        <v>0.42299999999998761</v>
      </c>
    </row>
    <row r="53" spans="1:17" x14ac:dyDescent="0.35">
      <c r="A53" s="6">
        <v>1900</v>
      </c>
      <c r="B53" s="7">
        <f t="shared" si="8"/>
        <v>88.507999999999996</v>
      </c>
      <c r="C53" s="7">
        <f t="shared" si="9"/>
        <v>88.924000000000007</v>
      </c>
      <c r="D53" s="7">
        <f t="shared" si="10"/>
        <v>97.929000000000002</v>
      </c>
      <c r="E53" s="7">
        <f t="shared" si="11"/>
        <v>98.316000000000003</v>
      </c>
      <c r="F53" s="7">
        <f t="shared" si="12"/>
        <v>0.41600000000001103</v>
      </c>
      <c r="G53" s="7">
        <f t="shared" si="13"/>
        <v>0</v>
      </c>
      <c r="H53" s="7">
        <f t="shared" si="14"/>
        <v>9.0049999999999955</v>
      </c>
      <c r="I53" s="8">
        <v>88.507999999999996</v>
      </c>
      <c r="J53" s="8">
        <v>88.924000000000007</v>
      </c>
      <c r="K53" s="8">
        <v>88.507999999999996</v>
      </c>
      <c r="L53" s="8"/>
      <c r="M53" s="8">
        <v>97.929000000000002</v>
      </c>
      <c r="N53" s="8">
        <v>98.316000000000003</v>
      </c>
      <c r="O53" s="8">
        <v>97.929000000000002</v>
      </c>
      <c r="P53" s="8"/>
      <c r="Q53" s="10">
        <f t="shared" si="15"/>
        <v>0.38700000000000045</v>
      </c>
    </row>
    <row r="54" spans="1:17" x14ac:dyDescent="0.35">
      <c r="A54" s="3">
        <v>1901</v>
      </c>
      <c r="B54" s="4">
        <f t="shared" si="8"/>
        <v>88.201999999999998</v>
      </c>
      <c r="C54" s="4">
        <f t="shared" si="9"/>
        <v>88.438999999999993</v>
      </c>
      <c r="D54" s="4">
        <f t="shared" si="10"/>
        <v>97.710999999999999</v>
      </c>
      <c r="E54" s="4">
        <f t="shared" si="11"/>
        <v>97.92</v>
      </c>
      <c r="F54" s="4">
        <f t="shared" si="12"/>
        <v>0.23699999999999477</v>
      </c>
      <c r="G54" s="4">
        <f t="shared" si="13"/>
        <v>0</v>
      </c>
      <c r="H54" s="4">
        <f t="shared" si="14"/>
        <v>9.2720000000000056</v>
      </c>
      <c r="I54" s="5">
        <v>88.201999999999998</v>
      </c>
      <c r="J54" s="5">
        <v>88.438999999999993</v>
      </c>
      <c r="K54" s="5">
        <v>88.201999999999998</v>
      </c>
      <c r="L54" s="5"/>
      <c r="M54" s="5">
        <v>97.710999999999999</v>
      </c>
      <c r="N54" s="5">
        <v>97.92</v>
      </c>
      <c r="O54" s="5">
        <v>97.710999999999999</v>
      </c>
      <c r="P54" s="5"/>
      <c r="Q54" s="10">
        <f t="shared" si="15"/>
        <v>0.20900000000000318</v>
      </c>
    </row>
    <row r="55" spans="1:17" x14ac:dyDescent="0.35">
      <c r="A55" s="6">
        <v>1902</v>
      </c>
      <c r="B55" s="7">
        <f t="shared" si="8"/>
        <v>88.525000000000006</v>
      </c>
      <c r="C55" s="7">
        <f t="shared" si="9"/>
        <v>88.730999999999995</v>
      </c>
      <c r="D55" s="7">
        <f t="shared" si="10"/>
        <v>97.617999999999995</v>
      </c>
      <c r="E55" s="7">
        <f t="shared" si="11"/>
        <v>97.805000000000007</v>
      </c>
      <c r="F55" s="7">
        <f t="shared" si="12"/>
        <v>0.20599999999998886</v>
      </c>
      <c r="G55" s="7">
        <f t="shared" si="13"/>
        <v>0</v>
      </c>
      <c r="H55" s="7">
        <f t="shared" si="14"/>
        <v>8.8870000000000005</v>
      </c>
      <c r="I55" s="8">
        <v>88.525000000000006</v>
      </c>
      <c r="J55" s="8">
        <v>88.730999999999995</v>
      </c>
      <c r="K55" s="8">
        <v>88.525000000000006</v>
      </c>
      <c r="L55" s="8"/>
      <c r="M55" s="8">
        <v>97.617999999999995</v>
      </c>
      <c r="N55" s="8">
        <v>97.805000000000007</v>
      </c>
      <c r="O55" s="8">
        <v>97.617999999999995</v>
      </c>
      <c r="P55" s="8"/>
      <c r="Q55" s="10">
        <f t="shared" si="15"/>
        <v>0.18700000000001182</v>
      </c>
    </row>
    <row r="56" spans="1:17" x14ac:dyDescent="0.35">
      <c r="A56" s="3">
        <v>1903</v>
      </c>
      <c r="B56" s="4">
        <f t="shared" si="8"/>
        <v>89.111999999999995</v>
      </c>
      <c r="C56" s="4">
        <f t="shared" si="9"/>
        <v>89.265000000000001</v>
      </c>
      <c r="D56" s="4">
        <f t="shared" si="10"/>
        <v>97.593999999999994</v>
      </c>
      <c r="E56" s="4">
        <f t="shared" si="11"/>
        <v>97.724000000000004</v>
      </c>
      <c r="F56" s="4">
        <f t="shared" si="12"/>
        <v>0.1530000000000058</v>
      </c>
      <c r="G56" s="4">
        <f t="shared" si="13"/>
        <v>0</v>
      </c>
      <c r="H56" s="4">
        <f t="shared" si="14"/>
        <v>8.3289999999999935</v>
      </c>
      <c r="I56" s="5">
        <v>89.111999999999995</v>
      </c>
      <c r="J56" s="5">
        <v>89.265000000000001</v>
      </c>
      <c r="K56" s="5">
        <v>89.111999999999995</v>
      </c>
      <c r="L56" s="5"/>
      <c r="M56" s="5">
        <v>97.593999999999994</v>
      </c>
      <c r="N56" s="5">
        <v>97.724000000000004</v>
      </c>
      <c r="O56" s="5">
        <v>97.593999999999994</v>
      </c>
      <c r="P56" s="5"/>
      <c r="Q56" s="10">
        <f t="shared" si="15"/>
        <v>0.13000000000000966</v>
      </c>
    </row>
    <row r="57" spans="1:17" x14ac:dyDescent="0.35">
      <c r="A57" s="6">
        <v>1904</v>
      </c>
      <c r="B57" s="7">
        <f t="shared" si="8"/>
        <v>88.593999999999994</v>
      </c>
      <c r="C57" s="7">
        <f t="shared" si="9"/>
        <v>88.715999999999994</v>
      </c>
      <c r="D57" s="7">
        <f t="shared" si="10"/>
        <v>97.379000000000005</v>
      </c>
      <c r="E57" s="7">
        <f t="shared" si="11"/>
        <v>97.484999999999999</v>
      </c>
      <c r="F57" s="7">
        <f t="shared" si="12"/>
        <v>0.12199999999999989</v>
      </c>
      <c r="G57" s="7">
        <f t="shared" si="13"/>
        <v>0</v>
      </c>
      <c r="H57" s="7">
        <f t="shared" si="14"/>
        <v>8.6630000000000109</v>
      </c>
      <c r="I57" s="8">
        <v>88.593999999999994</v>
      </c>
      <c r="J57" s="8">
        <v>88.715999999999994</v>
      </c>
      <c r="K57" s="8">
        <v>88.593999999999994</v>
      </c>
      <c r="L57" s="8"/>
      <c r="M57" s="8">
        <v>97.379000000000005</v>
      </c>
      <c r="N57" s="8">
        <v>97.484999999999999</v>
      </c>
      <c r="O57" s="8">
        <v>97.379000000000005</v>
      </c>
      <c r="P57" s="8"/>
      <c r="Q57" s="10">
        <f t="shared" si="15"/>
        <v>0.10599999999999454</v>
      </c>
    </row>
    <row r="58" spans="1:17" x14ac:dyDescent="0.35">
      <c r="A58" s="3">
        <v>1905</v>
      </c>
      <c r="B58" s="4">
        <f t="shared" si="8"/>
        <v>89.125</v>
      </c>
      <c r="C58" s="4">
        <f t="shared" si="9"/>
        <v>89.317999999999998</v>
      </c>
      <c r="D58" s="4">
        <f t="shared" si="10"/>
        <v>97.381</v>
      </c>
      <c r="E58" s="4">
        <f t="shared" si="11"/>
        <v>97.552000000000007</v>
      </c>
      <c r="F58" s="4">
        <f t="shared" si="12"/>
        <v>0.19299999999999784</v>
      </c>
      <c r="G58" s="4">
        <f t="shared" si="13"/>
        <v>0</v>
      </c>
      <c r="H58" s="4">
        <f t="shared" si="14"/>
        <v>8.0630000000000024</v>
      </c>
      <c r="I58" s="5">
        <v>89.125</v>
      </c>
      <c r="J58" s="5">
        <v>89.317999999999998</v>
      </c>
      <c r="K58" s="5">
        <v>89.125</v>
      </c>
      <c r="L58" s="5"/>
      <c r="M58" s="5">
        <v>97.381</v>
      </c>
      <c r="N58" s="5">
        <v>97.552000000000007</v>
      </c>
      <c r="O58" s="5">
        <v>97.381</v>
      </c>
      <c r="P58" s="5"/>
      <c r="Q58" s="10">
        <f t="shared" si="15"/>
        <v>0.17100000000000648</v>
      </c>
    </row>
    <row r="59" spans="1:17" x14ac:dyDescent="0.35">
      <c r="A59" s="6">
        <v>1906</v>
      </c>
      <c r="B59" s="7">
        <f t="shared" si="8"/>
        <v>88.245999999999995</v>
      </c>
      <c r="C59" s="7">
        <f t="shared" si="9"/>
        <v>88.572000000000003</v>
      </c>
      <c r="D59" s="7">
        <f t="shared" si="10"/>
        <v>96.721999999999994</v>
      </c>
      <c r="E59" s="7">
        <f t="shared" si="11"/>
        <v>97.126000000000005</v>
      </c>
      <c r="F59" s="7">
        <f t="shared" si="12"/>
        <v>0.32600000000000762</v>
      </c>
      <c r="G59" s="7">
        <f t="shared" si="13"/>
        <v>0</v>
      </c>
      <c r="H59" s="7">
        <f t="shared" si="14"/>
        <v>8.1499999999999915</v>
      </c>
      <c r="I59" s="8">
        <v>88.572000000000003</v>
      </c>
      <c r="J59" s="8">
        <v>88.245999999999995</v>
      </c>
      <c r="K59" s="8">
        <v>88.572000000000003</v>
      </c>
      <c r="L59" s="8"/>
      <c r="M59" s="8">
        <v>97.126000000000005</v>
      </c>
      <c r="N59" s="8">
        <v>96.721999999999994</v>
      </c>
      <c r="O59" s="8">
        <v>97.126000000000005</v>
      </c>
      <c r="P59" s="8"/>
      <c r="Q59" s="10">
        <f t="shared" si="15"/>
        <v>0.40400000000001057</v>
      </c>
    </row>
    <row r="60" spans="1:17" x14ac:dyDescent="0.35">
      <c r="A60" s="3">
        <v>1907</v>
      </c>
      <c r="B60" s="4">
        <f t="shared" si="8"/>
        <v>88.257000000000005</v>
      </c>
      <c r="C60" s="4">
        <f t="shared" si="9"/>
        <v>88.65</v>
      </c>
      <c r="D60" s="4">
        <f t="shared" si="10"/>
        <v>96.491</v>
      </c>
      <c r="E60" s="4">
        <f t="shared" si="11"/>
        <v>96.872</v>
      </c>
      <c r="F60" s="4">
        <f t="shared" si="12"/>
        <v>0.39300000000000068</v>
      </c>
      <c r="G60" s="4">
        <f t="shared" si="13"/>
        <v>0</v>
      </c>
      <c r="H60" s="4">
        <f t="shared" si="14"/>
        <v>7.840999999999994</v>
      </c>
      <c r="I60" s="5">
        <v>88.257000000000005</v>
      </c>
      <c r="J60" s="5">
        <v>88.65</v>
      </c>
      <c r="K60" s="5">
        <v>88.257000000000005</v>
      </c>
      <c r="L60" s="5"/>
      <c r="M60" s="5">
        <v>96.491</v>
      </c>
      <c r="N60" s="5">
        <v>96.872</v>
      </c>
      <c r="O60" s="5">
        <v>96.491</v>
      </c>
      <c r="P60" s="5"/>
      <c r="Q60" s="10">
        <f t="shared" si="15"/>
        <v>0.38100000000000023</v>
      </c>
    </row>
    <row r="61" spans="1:17" x14ac:dyDescent="0.35">
      <c r="A61" s="6">
        <v>1908</v>
      </c>
      <c r="B61" s="7">
        <f t="shared" si="8"/>
        <v>87.215999999999994</v>
      </c>
      <c r="C61" s="7">
        <f t="shared" si="9"/>
        <v>87.471999999999994</v>
      </c>
      <c r="D61" s="7">
        <f t="shared" si="10"/>
        <v>96.064999999999998</v>
      </c>
      <c r="E61" s="7">
        <f t="shared" si="11"/>
        <v>96.266000000000005</v>
      </c>
      <c r="F61" s="7">
        <f t="shared" si="12"/>
        <v>0.25600000000000023</v>
      </c>
      <c r="G61" s="7">
        <f t="shared" si="13"/>
        <v>0</v>
      </c>
      <c r="H61" s="7">
        <f t="shared" si="14"/>
        <v>8.5930000000000035</v>
      </c>
      <c r="I61" s="8">
        <v>87.215999999999994</v>
      </c>
      <c r="J61" s="8">
        <v>87.471999999999994</v>
      </c>
      <c r="K61" s="8">
        <v>87.215999999999994</v>
      </c>
      <c r="L61" s="8"/>
      <c r="M61" s="8">
        <v>96.064999999999998</v>
      </c>
      <c r="N61" s="8">
        <v>96.266000000000005</v>
      </c>
      <c r="O61" s="8">
        <v>96.064999999999998</v>
      </c>
      <c r="P61" s="8"/>
      <c r="Q61" s="10">
        <f t="shared" si="15"/>
        <v>0.20100000000000762</v>
      </c>
    </row>
    <row r="62" spans="1:17" x14ac:dyDescent="0.35">
      <c r="A62" s="3">
        <v>1909</v>
      </c>
      <c r="B62" s="4">
        <f t="shared" si="8"/>
        <v>87.29</v>
      </c>
      <c r="C62" s="4">
        <f t="shared" si="9"/>
        <v>87.644000000000005</v>
      </c>
      <c r="D62" s="4">
        <f t="shared" si="10"/>
        <v>96.073999999999998</v>
      </c>
      <c r="E62" s="4">
        <f t="shared" si="11"/>
        <v>96.408000000000001</v>
      </c>
      <c r="F62" s="4">
        <f t="shared" si="12"/>
        <v>0.3539999999999992</v>
      </c>
      <c r="G62" s="4">
        <f t="shared" si="13"/>
        <v>0</v>
      </c>
      <c r="H62" s="4">
        <f t="shared" si="14"/>
        <v>8.4299999999999926</v>
      </c>
      <c r="I62" s="5">
        <v>87.29</v>
      </c>
      <c r="J62" s="5">
        <v>87.644000000000005</v>
      </c>
      <c r="K62" s="5">
        <v>87.29</v>
      </c>
      <c r="L62" s="5"/>
      <c r="M62" s="5">
        <v>96.073999999999998</v>
      </c>
      <c r="N62" s="5">
        <v>96.408000000000001</v>
      </c>
      <c r="O62" s="5">
        <v>96.073999999999998</v>
      </c>
      <c r="P62" s="5"/>
      <c r="Q62" s="10">
        <f t="shared" si="15"/>
        <v>0.33400000000000318</v>
      </c>
    </row>
    <row r="63" spans="1:17" x14ac:dyDescent="0.35">
      <c r="A63" s="6">
        <v>1910</v>
      </c>
      <c r="B63" s="7">
        <f t="shared" si="8"/>
        <v>87.822999999999993</v>
      </c>
      <c r="C63" s="7">
        <f t="shared" si="9"/>
        <v>88.188999999999993</v>
      </c>
      <c r="D63" s="7">
        <f t="shared" si="10"/>
        <v>96.081000000000003</v>
      </c>
      <c r="E63" s="7">
        <f t="shared" si="11"/>
        <v>96.426000000000002</v>
      </c>
      <c r="F63" s="7">
        <f t="shared" si="12"/>
        <v>0.36599999999999966</v>
      </c>
      <c r="G63" s="7">
        <f t="shared" si="13"/>
        <v>0</v>
      </c>
      <c r="H63" s="7">
        <f t="shared" si="14"/>
        <v>7.8920000000000101</v>
      </c>
      <c r="I63" s="8">
        <v>87.822999999999993</v>
      </c>
      <c r="J63" s="8">
        <v>88.188999999999993</v>
      </c>
      <c r="K63" s="8">
        <v>87.822999999999993</v>
      </c>
      <c r="L63" s="8"/>
      <c r="M63" s="8">
        <v>96.081000000000003</v>
      </c>
      <c r="N63" s="8">
        <v>96.426000000000002</v>
      </c>
      <c r="O63" s="8">
        <v>96.081000000000003</v>
      </c>
      <c r="P63" s="8"/>
      <c r="Q63" s="10">
        <f t="shared" si="15"/>
        <v>0.34499999999999886</v>
      </c>
    </row>
    <row r="64" spans="1:17" x14ac:dyDescent="0.35">
      <c r="A64" s="3">
        <v>1911</v>
      </c>
      <c r="B64" s="4">
        <f t="shared" si="8"/>
        <v>87.372</v>
      </c>
      <c r="C64" s="4">
        <f t="shared" si="9"/>
        <v>87.513000000000005</v>
      </c>
      <c r="D64" s="4">
        <f t="shared" si="10"/>
        <v>95.850999999999999</v>
      </c>
      <c r="E64" s="4">
        <f t="shared" si="11"/>
        <v>95.941000000000003</v>
      </c>
      <c r="F64" s="4">
        <f t="shared" si="12"/>
        <v>0.14100000000000534</v>
      </c>
      <c r="G64" s="4">
        <f t="shared" si="13"/>
        <v>0</v>
      </c>
      <c r="H64" s="4">
        <f t="shared" si="14"/>
        <v>8.3379999999999939</v>
      </c>
      <c r="I64" s="5">
        <v>87.372</v>
      </c>
      <c r="J64" s="5">
        <v>87.513000000000005</v>
      </c>
      <c r="K64" s="5">
        <v>87.372</v>
      </c>
      <c r="L64" s="5"/>
      <c r="M64" s="5">
        <v>95.850999999999999</v>
      </c>
      <c r="N64" s="5">
        <v>95.941000000000003</v>
      </c>
      <c r="O64" s="5">
        <v>95.850999999999999</v>
      </c>
      <c r="P64" s="5"/>
      <c r="Q64" s="10">
        <f t="shared" si="15"/>
        <v>9.0000000000003411E-2</v>
      </c>
    </row>
    <row r="65" spans="1:17" x14ac:dyDescent="0.35">
      <c r="A65" s="6">
        <v>1912</v>
      </c>
      <c r="B65" s="7">
        <f t="shared" si="8"/>
        <v>87.177000000000007</v>
      </c>
      <c r="C65" s="7">
        <f t="shared" si="9"/>
        <v>87.597999999999999</v>
      </c>
      <c r="D65" s="7">
        <f t="shared" si="10"/>
        <v>96.066999999999993</v>
      </c>
      <c r="E65" s="7">
        <f t="shared" si="11"/>
        <v>96.436999999999998</v>
      </c>
      <c r="F65" s="7">
        <f t="shared" si="12"/>
        <v>0.42099999999999227</v>
      </c>
      <c r="G65" s="7">
        <f t="shared" si="13"/>
        <v>0</v>
      </c>
      <c r="H65" s="7">
        <f t="shared" si="14"/>
        <v>8.4689999999999941</v>
      </c>
      <c r="I65" s="8">
        <v>87.177000000000007</v>
      </c>
      <c r="J65" s="8">
        <v>87.597999999999999</v>
      </c>
      <c r="K65" s="8">
        <v>87.177000000000007</v>
      </c>
      <c r="L65" s="8"/>
      <c r="M65" s="8">
        <v>96.066999999999993</v>
      </c>
      <c r="N65" s="8">
        <v>96.436999999999998</v>
      </c>
      <c r="O65" s="8">
        <v>96.066999999999993</v>
      </c>
      <c r="P65" s="8"/>
      <c r="Q65" s="10">
        <f t="shared" si="15"/>
        <v>0.37000000000000455</v>
      </c>
    </row>
    <row r="66" spans="1:17" x14ac:dyDescent="0.35">
      <c r="A66" s="3">
        <v>1913</v>
      </c>
      <c r="B66" s="4">
        <f t="shared" si="8"/>
        <v>87.058000000000007</v>
      </c>
      <c r="C66" s="4">
        <f t="shared" si="9"/>
        <v>87.582999999999998</v>
      </c>
      <c r="D66" s="4">
        <f t="shared" si="10"/>
        <v>95.798000000000002</v>
      </c>
      <c r="E66" s="4">
        <f t="shared" si="11"/>
        <v>96.281999999999996</v>
      </c>
      <c r="F66" s="4">
        <f t="shared" si="12"/>
        <v>0.52499999999999147</v>
      </c>
      <c r="G66" s="4">
        <f t="shared" si="13"/>
        <v>0</v>
      </c>
      <c r="H66" s="4">
        <f t="shared" si="14"/>
        <v>8.2150000000000034</v>
      </c>
      <c r="I66" s="5">
        <v>87.058000000000007</v>
      </c>
      <c r="J66" s="5">
        <v>87.582999999999998</v>
      </c>
      <c r="K66" s="5">
        <v>87.058000000000007</v>
      </c>
      <c r="L66" s="5"/>
      <c r="M66" s="5">
        <v>95.798000000000002</v>
      </c>
      <c r="N66" s="5">
        <v>96.281999999999996</v>
      </c>
      <c r="O66" s="5">
        <v>95.798000000000002</v>
      </c>
      <c r="P66" s="5"/>
      <c r="Q66" s="10">
        <f t="shared" si="15"/>
        <v>0.48399999999999466</v>
      </c>
    </row>
    <row r="67" spans="1:17" x14ac:dyDescent="0.35">
      <c r="A67" s="6">
        <v>1914</v>
      </c>
      <c r="B67" s="7">
        <f t="shared" ref="B67:B98" si="16">IFERROR(MIN(I67:L67),"")</f>
        <v>87.174000000000007</v>
      </c>
      <c r="C67" s="7">
        <f t="shared" ref="C67:C98" si="17">IFERROR(MAX(I67:L67),"")</f>
        <v>87.59</v>
      </c>
      <c r="D67" s="7">
        <f t="shared" ref="D67:D98" si="18">IFERROR(MIN(M67:P67),"")</f>
        <v>95.593999999999994</v>
      </c>
      <c r="E67" s="7">
        <f t="shared" ref="E67:E98" si="19">IFERROR(MAX(M67:P67),"")</f>
        <v>95.99</v>
      </c>
      <c r="F67" s="7">
        <f t="shared" ref="F67:F98" si="20">IFERROR(MIN(C67,D67)-B67,"")</f>
        <v>0.41599999999999682</v>
      </c>
      <c r="G67" s="7">
        <f t="shared" ref="G67:G98" si="21">IFERROR(MAX(0,C67-D67),"")</f>
        <v>0</v>
      </c>
      <c r="H67" s="7">
        <f t="shared" ref="H67:H98" si="22">IFERROR(MAX(0,D67-C67),"")</f>
        <v>8.0039999999999907</v>
      </c>
      <c r="I67" s="8">
        <v>87.174000000000007</v>
      </c>
      <c r="J67" s="8">
        <v>87.59</v>
      </c>
      <c r="K67" s="8">
        <v>87.174000000000007</v>
      </c>
      <c r="L67" s="8"/>
      <c r="M67" s="8">
        <v>95.593999999999994</v>
      </c>
      <c r="N67" s="8">
        <v>95.99</v>
      </c>
      <c r="O67" s="8">
        <v>95.593999999999994</v>
      </c>
      <c r="P67" s="8"/>
      <c r="Q67" s="10">
        <f t="shared" ref="Q67:Q98" si="23">IFERROR(MAX(0,$E67-MAX($C67,$D67)),"")</f>
        <v>0.3960000000000008</v>
      </c>
    </row>
    <row r="68" spans="1:17" x14ac:dyDescent="0.35">
      <c r="A68" s="3">
        <v>1915</v>
      </c>
      <c r="B68" s="4">
        <f t="shared" si="16"/>
        <v>87.418999999999997</v>
      </c>
      <c r="C68" s="4">
        <f t="shared" si="17"/>
        <v>87.683999999999997</v>
      </c>
      <c r="D68" s="4">
        <f t="shared" si="18"/>
        <v>95.599000000000004</v>
      </c>
      <c r="E68" s="4">
        <f t="shared" si="19"/>
        <v>95.837000000000003</v>
      </c>
      <c r="F68" s="4">
        <f t="shared" si="20"/>
        <v>0.26500000000000057</v>
      </c>
      <c r="G68" s="4">
        <f t="shared" si="21"/>
        <v>0</v>
      </c>
      <c r="H68" s="4">
        <f t="shared" si="22"/>
        <v>7.9150000000000063</v>
      </c>
      <c r="I68" s="5">
        <v>87.418999999999997</v>
      </c>
      <c r="J68" s="5">
        <v>87.683999999999997</v>
      </c>
      <c r="K68" s="5">
        <v>87.418999999999997</v>
      </c>
      <c r="L68" s="5"/>
      <c r="M68" s="5">
        <v>95.599000000000004</v>
      </c>
      <c r="N68" s="5">
        <v>95.837000000000003</v>
      </c>
      <c r="O68" s="5">
        <v>95.599000000000004</v>
      </c>
      <c r="P68" s="5"/>
      <c r="Q68" s="10">
        <f t="shared" si="23"/>
        <v>0.23799999999999955</v>
      </c>
    </row>
    <row r="69" spans="1:17" x14ac:dyDescent="0.35">
      <c r="A69" s="6">
        <v>1916</v>
      </c>
      <c r="B69" s="7">
        <f t="shared" si="16"/>
        <v>87.325999999999993</v>
      </c>
      <c r="C69" s="7">
        <f t="shared" si="17"/>
        <v>87.641000000000005</v>
      </c>
      <c r="D69" s="7">
        <f t="shared" si="18"/>
        <v>95.516000000000005</v>
      </c>
      <c r="E69" s="7">
        <f t="shared" si="19"/>
        <v>95.843999999999994</v>
      </c>
      <c r="F69" s="7">
        <f t="shared" si="20"/>
        <v>0.31500000000001194</v>
      </c>
      <c r="G69" s="7">
        <f t="shared" si="21"/>
        <v>0</v>
      </c>
      <c r="H69" s="7">
        <f t="shared" si="22"/>
        <v>7.875</v>
      </c>
      <c r="I69" s="8">
        <v>87.325999999999993</v>
      </c>
      <c r="J69" s="8">
        <v>87.641000000000005</v>
      </c>
      <c r="K69" s="8">
        <v>87.325999999999993</v>
      </c>
      <c r="L69" s="8"/>
      <c r="M69" s="8">
        <v>95.516000000000005</v>
      </c>
      <c r="N69" s="8">
        <v>95.843999999999994</v>
      </c>
      <c r="O69" s="8">
        <v>95.516000000000005</v>
      </c>
      <c r="P69" s="8"/>
      <c r="Q69" s="10">
        <f t="shared" si="23"/>
        <v>0.32799999999998875</v>
      </c>
    </row>
    <row r="70" spans="1:17" x14ac:dyDescent="0.35">
      <c r="A70" s="3">
        <v>1917</v>
      </c>
      <c r="B70" s="4">
        <f t="shared" si="16"/>
        <v>87.495000000000005</v>
      </c>
      <c r="C70" s="4">
        <f t="shared" si="17"/>
        <v>87.799000000000007</v>
      </c>
      <c r="D70" s="4">
        <f t="shared" si="18"/>
        <v>95.340999999999994</v>
      </c>
      <c r="E70" s="4">
        <f t="shared" si="19"/>
        <v>95.706000000000003</v>
      </c>
      <c r="F70" s="4">
        <f t="shared" si="20"/>
        <v>0.30400000000000205</v>
      </c>
      <c r="G70" s="4">
        <f t="shared" si="21"/>
        <v>0</v>
      </c>
      <c r="H70" s="4">
        <f t="shared" si="22"/>
        <v>7.5419999999999874</v>
      </c>
      <c r="I70" s="5">
        <v>87.495000000000005</v>
      </c>
      <c r="J70" s="5">
        <v>87.799000000000007</v>
      </c>
      <c r="K70" s="5">
        <v>87.495000000000005</v>
      </c>
      <c r="L70" s="5"/>
      <c r="M70" s="5">
        <v>95.340999999999994</v>
      </c>
      <c r="N70" s="5">
        <v>95.706000000000003</v>
      </c>
      <c r="O70" s="5">
        <v>95.340999999999994</v>
      </c>
      <c r="P70" s="5"/>
      <c r="Q70" s="10">
        <f t="shared" si="23"/>
        <v>0.36500000000000909</v>
      </c>
    </row>
    <row r="71" spans="1:17" x14ac:dyDescent="0.35">
      <c r="A71" s="6">
        <v>1918</v>
      </c>
      <c r="B71" s="7">
        <f t="shared" si="16"/>
        <v>89.491</v>
      </c>
      <c r="C71" s="7">
        <f t="shared" si="17"/>
        <v>89.902000000000001</v>
      </c>
      <c r="D71" s="7">
        <f t="shared" si="18"/>
        <v>95.185000000000002</v>
      </c>
      <c r="E71" s="7">
        <f t="shared" si="19"/>
        <v>95.600999999999999</v>
      </c>
      <c r="F71" s="7">
        <f t="shared" si="20"/>
        <v>0.41100000000000136</v>
      </c>
      <c r="G71" s="7">
        <f t="shared" si="21"/>
        <v>0</v>
      </c>
      <c r="H71" s="7">
        <f t="shared" si="22"/>
        <v>5.2830000000000013</v>
      </c>
      <c r="I71" s="8">
        <v>89.491</v>
      </c>
      <c r="J71" s="8">
        <v>89.902000000000001</v>
      </c>
      <c r="K71" s="8">
        <v>89.491</v>
      </c>
      <c r="L71" s="8"/>
      <c r="M71" s="8">
        <v>95.185000000000002</v>
      </c>
      <c r="N71" s="8">
        <v>95.600999999999999</v>
      </c>
      <c r="O71" s="8">
        <v>95.185000000000002</v>
      </c>
      <c r="P71" s="8"/>
      <c r="Q71" s="10">
        <f t="shared" si="23"/>
        <v>0.41599999999999682</v>
      </c>
    </row>
    <row r="72" spans="1:17" x14ac:dyDescent="0.35">
      <c r="A72" s="3">
        <v>1919</v>
      </c>
      <c r="B72" s="4">
        <f t="shared" si="16"/>
        <v>90.783000000000001</v>
      </c>
      <c r="C72" s="4">
        <f t="shared" si="17"/>
        <v>91.210999999999999</v>
      </c>
      <c r="D72" s="4">
        <f t="shared" si="18"/>
        <v>93.727000000000004</v>
      </c>
      <c r="E72" s="4">
        <f t="shared" si="19"/>
        <v>94.227999999999994</v>
      </c>
      <c r="F72" s="4">
        <f t="shared" si="20"/>
        <v>0.42799999999999727</v>
      </c>
      <c r="G72" s="4">
        <f t="shared" si="21"/>
        <v>0</v>
      </c>
      <c r="H72" s="4">
        <f t="shared" si="22"/>
        <v>2.5160000000000053</v>
      </c>
      <c r="I72" s="5">
        <v>90.783000000000001</v>
      </c>
      <c r="J72" s="5">
        <v>91.210999999999999</v>
      </c>
      <c r="K72" s="5">
        <v>90.783000000000001</v>
      </c>
      <c r="L72" s="5"/>
      <c r="M72" s="5">
        <v>93.727000000000004</v>
      </c>
      <c r="N72" s="5">
        <v>94.227999999999994</v>
      </c>
      <c r="O72" s="5">
        <v>93.727000000000004</v>
      </c>
      <c r="P72" s="5"/>
      <c r="Q72" s="10">
        <f t="shared" si="23"/>
        <v>0.50099999999999056</v>
      </c>
    </row>
    <row r="73" spans="1:17" x14ac:dyDescent="0.35">
      <c r="A73" s="6">
        <v>1920</v>
      </c>
      <c r="B73" s="7">
        <f t="shared" si="16"/>
        <v>88.941999999999993</v>
      </c>
      <c r="C73" s="7">
        <f t="shared" si="17"/>
        <v>89.483999999999995</v>
      </c>
      <c r="D73" s="7">
        <f t="shared" si="18"/>
        <v>93.534000000000006</v>
      </c>
      <c r="E73" s="7">
        <f t="shared" si="19"/>
        <v>94.097999999999999</v>
      </c>
      <c r="F73" s="7">
        <f t="shared" si="20"/>
        <v>0.54200000000000159</v>
      </c>
      <c r="G73" s="7">
        <f t="shared" si="21"/>
        <v>0</v>
      </c>
      <c r="H73" s="7">
        <f t="shared" si="22"/>
        <v>4.0500000000000114</v>
      </c>
      <c r="I73" s="8">
        <v>88.941999999999993</v>
      </c>
      <c r="J73" s="8">
        <v>89.483999999999995</v>
      </c>
      <c r="K73" s="8">
        <v>88.941999999999993</v>
      </c>
      <c r="L73" s="8"/>
      <c r="M73" s="8">
        <v>93.534000000000006</v>
      </c>
      <c r="N73" s="8">
        <v>94.097999999999999</v>
      </c>
      <c r="O73" s="8">
        <v>93.534000000000006</v>
      </c>
      <c r="P73" s="8"/>
      <c r="Q73" s="10">
        <f t="shared" si="23"/>
        <v>0.56399999999999295</v>
      </c>
    </row>
    <row r="74" spans="1:17" x14ac:dyDescent="0.35">
      <c r="A74" s="3">
        <v>1921</v>
      </c>
      <c r="B74" s="4">
        <f t="shared" si="16"/>
        <v>86.816999999999993</v>
      </c>
      <c r="C74" s="4">
        <f t="shared" si="17"/>
        <v>87.408000000000001</v>
      </c>
      <c r="D74" s="4">
        <f t="shared" si="18"/>
        <v>92.138999999999996</v>
      </c>
      <c r="E74" s="4">
        <f t="shared" si="19"/>
        <v>92.745000000000005</v>
      </c>
      <c r="F74" s="4">
        <f t="shared" si="20"/>
        <v>0.59100000000000819</v>
      </c>
      <c r="G74" s="4">
        <f t="shared" si="21"/>
        <v>0</v>
      </c>
      <c r="H74" s="4">
        <f t="shared" si="22"/>
        <v>4.7309999999999945</v>
      </c>
      <c r="I74" s="5">
        <v>86.816999999999993</v>
      </c>
      <c r="J74" s="5">
        <v>87.408000000000001</v>
      </c>
      <c r="K74" s="5">
        <v>86.816999999999993</v>
      </c>
      <c r="L74" s="5"/>
      <c r="M74" s="5">
        <v>92.138999999999996</v>
      </c>
      <c r="N74" s="5">
        <v>92.745000000000005</v>
      </c>
      <c r="O74" s="5">
        <v>92.138999999999996</v>
      </c>
      <c r="P74" s="5"/>
      <c r="Q74" s="10">
        <f t="shared" si="23"/>
        <v>0.60600000000000875</v>
      </c>
    </row>
    <row r="75" spans="1:17" x14ac:dyDescent="0.35">
      <c r="A75" s="6">
        <v>1922</v>
      </c>
      <c r="B75" s="7">
        <f t="shared" si="16"/>
        <v>87.373999999999995</v>
      </c>
      <c r="C75" s="7">
        <f t="shared" si="17"/>
        <v>87.899000000000001</v>
      </c>
      <c r="D75" s="7">
        <f t="shared" si="18"/>
        <v>92.525999999999996</v>
      </c>
      <c r="E75" s="7">
        <f t="shared" si="19"/>
        <v>93.033000000000001</v>
      </c>
      <c r="F75" s="7">
        <f t="shared" si="20"/>
        <v>0.52500000000000568</v>
      </c>
      <c r="G75" s="7">
        <f t="shared" si="21"/>
        <v>0</v>
      </c>
      <c r="H75" s="7">
        <f t="shared" si="22"/>
        <v>4.6269999999999953</v>
      </c>
      <c r="I75" s="8">
        <v>87.373999999999995</v>
      </c>
      <c r="J75" s="8">
        <v>87.899000000000001</v>
      </c>
      <c r="K75" s="8">
        <v>87.373999999999995</v>
      </c>
      <c r="L75" s="8"/>
      <c r="M75" s="8">
        <v>92.525999999999996</v>
      </c>
      <c r="N75" s="8">
        <v>93.033000000000001</v>
      </c>
      <c r="O75" s="8">
        <v>92.525999999999996</v>
      </c>
      <c r="P75" s="8"/>
      <c r="Q75" s="10">
        <f t="shared" si="23"/>
        <v>0.507000000000005</v>
      </c>
    </row>
    <row r="76" spans="1:17" x14ac:dyDescent="0.35">
      <c r="A76" s="3">
        <v>1923</v>
      </c>
      <c r="B76" s="4">
        <f t="shared" si="16"/>
        <v>88.924999999999997</v>
      </c>
      <c r="C76" s="4">
        <f t="shared" si="17"/>
        <v>89.332999999999998</v>
      </c>
      <c r="D76" s="4">
        <f t="shared" si="18"/>
        <v>93.186000000000007</v>
      </c>
      <c r="E76" s="4">
        <f t="shared" si="19"/>
        <v>93.593000000000004</v>
      </c>
      <c r="F76" s="4">
        <f t="shared" si="20"/>
        <v>0.40800000000000125</v>
      </c>
      <c r="G76" s="4">
        <f t="shared" si="21"/>
        <v>0</v>
      </c>
      <c r="H76" s="4">
        <f t="shared" si="22"/>
        <v>3.8530000000000086</v>
      </c>
      <c r="I76" s="5">
        <v>88.924999999999997</v>
      </c>
      <c r="J76" s="5">
        <v>89.332999999999998</v>
      </c>
      <c r="K76" s="5">
        <v>88.924999999999997</v>
      </c>
      <c r="L76" s="5"/>
      <c r="M76" s="5">
        <v>93.186000000000007</v>
      </c>
      <c r="N76" s="5">
        <v>93.593000000000004</v>
      </c>
      <c r="O76" s="5">
        <v>93.186000000000007</v>
      </c>
      <c r="P76" s="5"/>
      <c r="Q76" s="10">
        <f t="shared" si="23"/>
        <v>0.40699999999999648</v>
      </c>
    </row>
    <row r="77" spans="1:17" x14ac:dyDescent="0.35">
      <c r="A77" s="6">
        <v>1924</v>
      </c>
      <c r="B77" s="7">
        <f t="shared" si="16"/>
        <v>88.25</v>
      </c>
      <c r="C77" s="7">
        <f t="shared" si="17"/>
        <v>88.611999999999995</v>
      </c>
      <c r="D77" s="7">
        <f t="shared" si="18"/>
        <v>92.879000000000005</v>
      </c>
      <c r="E77" s="7">
        <f t="shared" si="19"/>
        <v>93.247</v>
      </c>
      <c r="F77" s="7">
        <f t="shared" si="20"/>
        <v>0.36199999999999477</v>
      </c>
      <c r="G77" s="7">
        <f t="shared" si="21"/>
        <v>0</v>
      </c>
      <c r="H77" s="7">
        <f t="shared" si="22"/>
        <v>4.2670000000000101</v>
      </c>
      <c r="I77" s="8">
        <v>88.25</v>
      </c>
      <c r="J77" s="8">
        <v>88.611999999999995</v>
      </c>
      <c r="K77" s="8">
        <v>88.25</v>
      </c>
      <c r="L77" s="8"/>
      <c r="M77" s="8">
        <v>92.879000000000005</v>
      </c>
      <c r="N77" s="8">
        <v>93.247</v>
      </c>
      <c r="O77" s="8">
        <v>92.879000000000005</v>
      </c>
      <c r="P77" s="8"/>
      <c r="Q77" s="10">
        <f t="shared" si="23"/>
        <v>0.367999999999995</v>
      </c>
    </row>
    <row r="78" spans="1:17" x14ac:dyDescent="0.35">
      <c r="A78" s="3">
        <v>1925</v>
      </c>
      <c r="B78" s="4">
        <f t="shared" si="16"/>
        <v>88.608999999999995</v>
      </c>
      <c r="C78" s="4">
        <f t="shared" si="17"/>
        <v>88.95</v>
      </c>
      <c r="D78" s="4">
        <f t="shared" si="18"/>
        <v>93.135999999999996</v>
      </c>
      <c r="E78" s="4">
        <f t="shared" si="19"/>
        <v>93.45</v>
      </c>
      <c r="F78" s="4">
        <f t="shared" si="20"/>
        <v>0.34100000000000819</v>
      </c>
      <c r="G78" s="4">
        <f t="shared" si="21"/>
        <v>0</v>
      </c>
      <c r="H78" s="4">
        <f t="shared" si="22"/>
        <v>4.1859999999999928</v>
      </c>
      <c r="I78" s="5">
        <v>88.608999999999995</v>
      </c>
      <c r="J78" s="5">
        <v>88.95</v>
      </c>
      <c r="K78" s="5">
        <v>88.608999999999995</v>
      </c>
      <c r="L78" s="5"/>
      <c r="M78" s="5">
        <v>93.135999999999996</v>
      </c>
      <c r="N78" s="5">
        <v>93.45</v>
      </c>
      <c r="O78" s="5">
        <v>93.135999999999996</v>
      </c>
      <c r="P78" s="5"/>
      <c r="Q78" s="10">
        <f t="shared" si="23"/>
        <v>0.31400000000000716</v>
      </c>
    </row>
    <row r="79" spans="1:17" x14ac:dyDescent="0.35">
      <c r="A79" s="6">
        <v>1926</v>
      </c>
      <c r="B79" s="7">
        <f t="shared" si="16"/>
        <v>87.884</v>
      </c>
      <c r="C79" s="7">
        <f t="shared" si="17"/>
        <v>87.965999999999994</v>
      </c>
      <c r="D79" s="7">
        <f t="shared" si="18"/>
        <v>93.204999999999998</v>
      </c>
      <c r="E79" s="7">
        <f t="shared" si="19"/>
        <v>93.242999999999995</v>
      </c>
      <c r="F79" s="7">
        <f t="shared" si="20"/>
        <v>8.1999999999993634E-2</v>
      </c>
      <c r="G79" s="7">
        <f t="shared" si="21"/>
        <v>0</v>
      </c>
      <c r="H79" s="7">
        <f t="shared" si="22"/>
        <v>5.2390000000000043</v>
      </c>
      <c r="I79" s="8">
        <v>87.884</v>
      </c>
      <c r="J79" s="8">
        <v>87.965999999999994</v>
      </c>
      <c r="K79" s="8">
        <v>87.884</v>
      </c>
      <c r="L79" s="8"/>
      <c r="M79" s="8">
        <v>93.204999999999998</v>
      </c>
      <c r="N79" s="8">
        <v>93.242999999999995</v>
      </c>
      <c r="O79" s="8">
        <v>93.204999999999998</v>
      </c>
      <c r="P79" s="8"/>
      <c r="Q79" s="10">
        <f t="shared" si="23"/>
        <v>3.7999999999996703E-2</v>
      </c>
    </row>
    <row r="80" spans="1:17" x14ac:dyDescent="0.35">
      <c r="A80" s="3">
        <v>1927</v>
      </c>
      <c r="B80" s="4">
        <f t="shared" si="16"/>
        <v>87.91</v>
      </c>
      <c r="C80" s="4">
        <f t="shared" si="17"/>
        <v>87.965999999999994</v>
      </c>
      <c r="D80" s="4">
        <f t="shared" si="18"/>
        <v>93.677000000000007</v>
      </c>
      <c r="E80" s="4">
        <f t="shared" si="19"/>
        <v>93.733000000000004</v>
      </c>
      <c r="F80" s="4">
        <f t="shared" si="20"/>
        <v>5.5999999999997385E-2</v>
      </c>
      <c r="G80" s="4">
        <f t="shared" si="21"/>
        <v>0</v>
      </c>
      <c r="H80" s="4">
        <f t="shared" si="22"/>
        <v>5.7110000000000127</v>
      </c>
      <c r="I80" s="5">
        <v>87.965999999999994</v>
      </c>
      <c r="J80" s="5">
        <v>87.91</v>
      </c>
      <c r="K80" s="5">
        <v>87.965999999999994</v>
      </c>
      <c r="L80" s="5"/>
      <c r="M80" s="5">
        <v>93.733000000000004</v>
      </c>
      <c r="N80" s="5">
        <v>93.677000000000007</v>
      </c>
      <c r="O80" s="5">
        <v>93.733000000000004</v>
      </c>
      <c r="P80" s="5"/>
      <c r="Q80" s="10">
        <f t="shared" si="23"/>
        <v>5.5999999999997385E-2</v>
      </c>
    </row>
    <row r="81" spans="1:17" x14ac:dyDescent="0.35">
      <c r="A81" s="6">
        <v>1928</v>
      </c>
      <c r="B81" s="7">
        <f t="shared" si="16"/>
        <v>86.968000000000004</v>
      </c>
      <c r="C81" s="7">
        <f t="shared" si="17"/>
        <v>87.361999999999995</v>
      </c>
      <c r="D81" s="7">
        <f t="shared" si="18"/>
        <v>93.14</v>
      </c>
      <c r="E81" s="7">
        <f t="shared" si="19"/>
        <v>93.587000000000003</v>
      </c>
      <c r="F81" s="7">
        <f t="shared" si="20"/>
        <v>0.39399999999999125</v>
      </c>
      <c r="G81" s="7">
        <f t="shared" si="21"/>
        <v>0</v>
      </c>
      <c r="H81" s="7">
        <f t="shared" si="22"/>
        <v>5.7780000000000058</v>
      </c>
      <c r="I81" s="8">
        <v>87.361999999999995</v>
      </c>
      <c r="J81" s="8">
        <v>86.968000000000004</v>
      </c>
      <c r="K81" s="8">
        <v>87.361999999999995</v>
      </c>
      <c r="L81" s="8"/>
      <c r="M81" s="8">
        <v>93.587000000000003</v>
      </c>
      <c r="N81" s="8">
        <v>93.14</v>
      </c>
      <c r="O81" s="8">
        <v>93.587000000000003</v>
      </c>
      <c r="P81" s="8"/>
      <c r="Q81" s="10">
        <f t="shared" si="23"/>
        <v>0.44700000000000273</v>
      </c>
    </row>
    <row r="82" spans="1:17" x14ac:dyDescent="0.35">
      <c r="A82" s="3">
        <v>1929</v>
      </c>
      <c r="B82" s="4">
        <f t="shared" si="16"/>
        <v>86.802000000000007</v>
      </c>
      <c r="C82" s="4">
        <f t="shared" si="17"/>
        <v>87.346999999999994</v>
      </c>
      <c r="D82" s="4">
        <f t="shared" si="18"/>
        <v>93.168000000000006</v>
      </c>
      <c r="E82" s="4">
        <f t="shared" si="19"/>
        <v>93.8</v>
      </c>
      <c r="F82" s="4">
        <f t="shared" si="20"/>
        <v>0.54499999999998749</v>
      </c>
      <c r="G82" s="4">
        <f t="shared" si="21"/>
        <v>0</v>
      </c>
      <c r="H82" s="4">
        <f t="shared" si="22"/>
        <v>5.8210000000000122</v>
      </c>
      <c r="I82" s="5">
        <v>87.346999999999994</v>
      </c>
      <c r="J82" s="5">
        <v>86.802000000000007</v>
      </c>
      <c r="K82" s="5">
        <v>87.346999999999994</v>
      </c>
      <c r="L82" s="5"/>
      <c r="M82" s="5">
        <v>93.8</v>
      </c>
      <c r="N82" s="5">
        <v>93.168000000000006</v>
      </c>
      <c r="O82" s="5">
        <v>93.8</v>
      </c>
      <c r="P82" s="5"/>
      <c r="Q82" s="10">
        <f t="shared" si="23"/>
        <v>0.63199999999999079</v>
      </c>
    </row>
    <row r="83" spans="1:17" x14ac:dyDescent="0.35">
      <c r="A83" s="6">
        <v>1930</v>
      </c>
      <c r="B83" s="7">
        <f t="shared" si="16"/>
        <v>85.150999999999996</v>
      </c>
      <c r="C83" s="7">
        <f t="shared" si="17"/>
        <v>85.992000000000004</v>
      </c>
      <c r="D83" s="7">
        <f t="shared" si="18"/>
        <v>92.39</v>
      </c>
      <c r="E83" s="7">
        <f t="shared" si="19"/>
        <v>93.3</v>
      </c>
      <c r="F83" s="7">
        <f t="shared" si="20"/>
        <v>0.84100000000000819</v>
      </c>
      <c r="G83" s="7">
        <f t="shared" si="21"/>
        <v>0</v>
      </c>
      <c r="H83" s="7">
        <f t="shared" si="22"/>
        <v>6.3979999999999961</v>
      </c>
      <c r="I83" s="8">
        <v>85.992000000000004</v>
      </c>
      <c r="J83" s="8">
        <v>85.150999999999996</v>
      </c>
      <c r="K83" s="8">
        <v>85.992000000000004</v>
      </c>
      <c r="L83" s="8"/>
      <c r="M83" s="8">
        <v>93.3</v>
      </c>
      <c r="N83" s="8">
        <v>92.39</v>
      </c>
      <c r="O83" s="8">
        <v>93.3</v>
      </c>
      <c r="P83" s="8"/>
      <c r="Q83" s="10">
        <f t="shared" si="23"/>
        <v>0.90999999999999659</v>
      </c>
    </row>
    <row r="84" spans="1:17" x14ac:dyDescent="0.35">
      <c r="A84" s="3">
        <v>1931</v>
      </c>
      <c r="B84" s="4">
        <f t="shared" si="16"/>
        <v>83.265000000000001</v>
      </c>
      <c r="C84" s="4">
        <f t="shared" si="17"/>
        <v>84.049000000000007</v>
      </c>
      <c r="D84" s="4">
        <f t="shared" si="18"/>
        <v>92.010999999999996</v>
      </c>
      <c r="E84" s="4">
        <f t="shared" si="19"/>
        <v>92.867000000000004</v>
      </c>
      <c r="F84" s="4">
        <f t="shared" si="20"/>
        <v>0.78400000000000603</v>
      </c>
      <c r="G84" s="4">
        <f t="shared" si="21"/>
        <v>0</v>
      </c>
      <c r="H84" s="4">
        <f t="shared" si="22"/>
        <v>7.9619999999999891</v>
      </c>
      <c r="I84" s="5">
        <v>84.049000000000007</v>
      </c>
      <c r="J84" s="5">
        <v>83.265000000000001</v>
      </c>
      <c r="K84" s="5">
        <v>84.049000000000007</v>
      </c>
      <c r="L84" s="5"/>
      <c r="M84" s="5">
        <v>92.867000000000004</v>
      </c>
      <c r="N84" s="5">
        <v>92.010999999999996</v>
      </c>
      <c r="O84" s="5">
        <v>92.867000000000004</v>
      </c>
      <c r="P84" s="5"/>
      <c r="Q84" s="10">
        <f t="shared" si="23"/>
        <v>0.85600000000000875</v>
      </c>
    </row>
    <row r="85" spans="1:17" x14ac:dyDescent="0.35">
      <c r="A85" s="6">
        <v>1932</v>
      </c>
      <c r="B85" s="7">
        <f t="shared" si="16"/>
        <v>81.478999999999999</v>
      </c>
      <c r="C85" s="7">
        <f t="shared" si="17"/>
        <v>82.269000000000005</v>
      </c>
      <c r="D85" s="7">
        <f t="shared" si="18"/>
        <v>91.230999999999995</v>
      </c>
      <c r="E85" s="7">
        <f t="shared" si="19"/>
        <v>92.105000000000004</v>
      </c>
      <c r="F85" s="7">
        <f t="shared" si="20"/>
        <v>0.79000000000000625</v>
      </c>
      <c r="G85" s="7">
        <f t="shared" si="21"/>
        <v>0</v>
      </c>
      <c r="H85" s="7">
        <f t="shared" si="22"/>
        <v>8.9619999999999891</v>
      </c>
      <c r="I85" s="8">
        <v>82.269000000000005</v>
      </c>
      <c r="J85" s="8">
        <v>81.478999999999999</v>
      </c>
      <c r="K85" s="8">
        <v>82.269000000000005</v>
      </c>
      <c r="L85" s="8"/>
      <c r="M85" s="8">
        <v>92.105000000000004</v>
      </c>
      <c r="N85" s="8">
        <v>91.230999999999995</v>
      </c>
      <c r="O85" s="8">
        <v>92.105000000000004</v>
      </c>
      <c r="P85" s="8"/>
      <c r="Q85" s="10">
        <f t="shared" si="23"/>
        <v>0.87400000000000944</v>
      </c>
    </row>
    <row r="86" spans="1:17" x14ac:dyDescent="0.35">
      <c r="A86" s="3">
        <v>1933</v>
      </c>
      <c r="B86" s="4">
        <f t="shared" si="16"/>
        <v>81.27</v>
      </c>
      <c r="C86" s="4">
        <f t="shared" si="17"/>
        <v>82.069000000000003</v>
      </c>
      <c r="D86" s="4">
        <f t="shared" si="18"/>
        <v>91.084000000000003</v>
      </c>
      <c r="E86" s="4">
        <f t="shared" si="19"/>
        <v>91.968999999999994</v>
      </c>
      <c r="F86" s="4">
        <f t="shared" si="20"/>
        <v>0.79900000000000659</v>
      </c>
      <c r="G86" s="4">
        <f t="shared" si="21"/>
        <v>0</v>
      </c>
      <c r="H86" s="4">
        <f t="shared" si="22"/>
        <v>9.0150000000000006</v>
      </c>
      <c r="I86" s="5">
        <v>82.069000000000003</v>
      </c>
      <c r="J86" s="5">
        <v>81.27</v>
      </c>
      <c r="K86" s="5">
        <v>82.069000000000003</v>
      </c>
      <c r="L86" s="5"/>
      <c r="M86" s="5">
        <v>91.968999999999994</v>
      </c>
      <c r="N86" s="5">
        <v>91.084000000000003</v>
      </c>
      <c r="O86" s="5">
        <v>91.968999999999994</v>
      </c>
      <c r="P86" s="5"/>
      <c r="Q86" s="10">
        <f t="shared" si="23"/>
        <v>0.88499999999999091</v>
      </c>
    </row>
    <row r="87" spans="1:17" x14ac:dyDescent="0.35">
      <c r="A87" s="6">
        <v>1934</v>
      </c>
      <c r="B87" s="7">
        <f t="shared" si="16"/>
        <v>80.244</v>
      </c>
      <c r="C87" s="7">
        <f t="shared" si="17"/>
        <v>81.117999999999995</v>
      </c>
      <c r="D87" s="7">
        <f t="shared" si="18"/>
        <v>90.641999999999996</v>
      </c>
      <c r="E87" s="7">
        <f t="shared" si="19"/>
        <v>91.613</v>
      </c>
      <c r="F87" s="7">
        <f t="shared" si="20"/>
        <v>0.87399999999999523</v>
      </c>
      <c r="G87" s="7">
        <f t="shared" si="21"/>
        <v>0</v>
      </c>
      <c r="H87" s="7">
        <f t="shared" si="22"/>
        <v>9.5240000000000009</v>
      </c>
      <c r="I87" s="8">
        <v>81.117999999999995</v>
      </c>
      <c r="J87" s="8">
        <v>80.244</v>
      </c>
      <c r="K87" s="8">
        <v>81.117999999999995</v>
      </c>
      <c r="L87" s="8"/>
      <c r="M87" s="8">
        <v>91.613</v>
      </c>
      <c r="N87" s="8">
        <v>90.641999999999996</v>
      </c>
      <c r="O87" s="8">
        <v>91.613</v>
      </c>
      <c r="P87" s="8"/>
      <c r="Q87" s="10">
        <f t="shared" si="23"/>
        <v>0.97100000000000364</v>
      </c>
    </row>
    <row r="88" spans="1:17" x14ac:dyDescent="0.35">
      <c r="A88" s="3">
        <v>1935</v>
      </c>
      <c r="B88" s="4">
        <f t="shared" si="16"/>
        <v>79.231999999999999</v>
      </c>
      <c r="C88" s="4">
        <f t="shared" si="17"/>
        <v>80.242000000000004</v>
      </c>
      <c r="D88" s="4">
        <f t="shared" si="18"/>
        <v>90.034999999999997</v>
      </c>
      <c r="E88" s="4">
        <f t="shared" si="19"/>
        <v>91.165000000000006</v>
      </c>
      <c r="F88" s="4">
        <f t="shared" si="20"/>
        <v>1.0100000000000051</v>
      </c>
      <c r="G88" s="4">
        <f t="shared" si="21"/>
        <v>0</v>
      </c>
      <c r="H88" s="4">
        <f t="shared" si="22"/>
        <v>9.7929999999999922</v>
      </c>
      <c r="I88" s="5">
        <v>80.242000000000004</v>
      </c>
      <c r="J88" s="5">
        <v>79.231999999999999</v>
      </c>
      <c r="K88" s="5">
        <v>80.242000000000004</v>
      </c>
      <c r="L88" s="5"/>
      <c r="M88" s="5">
        <v>91.165000000000006</v>
      </c>
      <c r="N88" s="5">
        <v>90.034999999999997</v>
      </c>
      <c r="O88" s="5">
        <v>91.165000000000006</v>
      </c>
      <c r="P88" s="5"/>
      <c r="Q88" s="10">
        <f t="shared" si="23"/>
        <v>1.1300000000000097</v>
      </c>
    </row>
    <row r="89" spans="1:17" x14ac:dyDescent="0.35">
      <c r="A89" s="6">
        <v>1936</v>
      </c>
      <c r="B89" s="7">
        <f t="shared" si="16"/>
        <v>79.195999999999998</v>
      </c>
      <c r="C89" s="7">
        <f t="shared" si="17"/>
        <v>80.293999999999997</v>
      </c>
      <c r="D89" s="7">
        <f t="shared" si="18"/>
        <v>90.239000000000004</v>
      </c>
      <c r="E89" s="7">
        <f t="shared" si="19"/>
        <v>91.450999999999993</v>
      </c>
      <c r="F89" s="7">
        <f t="shared" si="20"/>
        <v>1.097999999999999</v>
      </c>
      <c r="G89" s="7">
        <f t="shared" si="21"/>
        <v>0</v>
      </c>
      <c r="H89" s="7">
        <f t="shared" si="22"/>
        <v>9.9450000000000074</v>
      </c>
      <c r="I89" s="8">
        <v>80.293999999999997</v>
      </c>
      <c r="J89" s="8">
        <v>79.195999999999998</v>
      </c>
      <c r="K89" s="8">
        <v>80.293999999999997</v>
      </c>
      <c r="L89" s="8"/>
      <c r="M89" s="8">
        <v>91.450999999999993</v>
      </c>
      <c r="N89" s="8">
        <v>90.239000000000004</v>
      </c>
      <c r="O89" s="8">
        <v>91.450999999999993</v>
      </c>
      <c r="P89" s="8"/>
      <c r="Q89" s="10">
        <f t="shared" si="23"/>
        <v>1.2119999999999891</v>
      </c>
    </row>
    <row r="90" spans="1:17" x14ac:dyDescent="0.35">
      <c r="A90" s="3">
        <v>1937</v>
      </c>
      <c r="B90" s="4">
        <f t="shared" si="16"/>
        <v>79.241</v>
      </c>
      <c r="C90" s="4">
        <f t="shared" si="17"/>
        <v>80.406999999999996</v>
      </c>
      <c r="D90" s="4">
        <f t="shared" si="18"/>
        <v>89.975999999999999</v>
      </c>
      <c r="E90" s="4">
        <f t="shared" si="19"/>
        <v>91.27</v>
      </c>
      <c r="F90" s="4">
        <f t="shared" si="20"/>
        <v>1.1659999999999968</v>
      </c>
      <c r="G90" s="4">
        <f t="shared" si="21"/>
        <v>0</v>
      </c>
      <c r="H90" s="4">
        <f t="shared" si="22"/>
        <v>9.5690000000000026</v>
      </c>
      <c r="I90" s="5">
        <v>80.406999999999996</v>
      </c>
      <c r="J90" s="5">
        <v>79.241</v>
      </c>
      <c r="K90" s="5">
        <v>80.406999999999996</v>
      </c>
      <c r="L90" s="5"/>
      <c r="M90" s="5">
        <v>91.27</v>
      </c>
      <c r="N90" s="5">
        <v>89.975999999999999</v>
      </c>
      <c r="O90" s="5">
        <v>91.27</v>
      </c>
      <c r="P90" s="5"/>
      <c r="Q90" s="10">
        <f t="shared" si="23"/>
        <v>1.2939999999999969</v>
      </c>
    </row>
    <row r="91" spans="1:17" x14ac:dyDescent="0.35">
      <c r="A91" s="6">
        <v>1938</v>
      </c>
      <c r="B91" s="7">
        <f t="shared" si="16"/>
        <v>77.031000000000006</v>
      </c>
      <c r="C91" s="7">
        <f t="shared" si="17"/>
        <v>78.436000000000007</v>
      </c>
      <c r="D91" s="7">
        <f t="shared" si="18"/>
        <v>89.114999999999995</v>
      </c>
      <c r="E91" s="7">
        <f t="shared" si="19"/>
        <v>90.683999999999997</v>
      </c>
      <c r="F91" s="7">
        <f t="shared" si="20"/>
        <v>1.4050000000000011</v>
      </c>
      <c r="G91" s="7">
        <f t="shared" si="21"/>
        <v>0</v>
      </c>
      <c r="H91" s="7">
        <f t="shared" si="22"/>
        <v>10.678999999999988</v>
      </c>
      <c r="I91" s="8">
        <v>78.436000000000007</v>
      </c>
      <c r="J91" s="8">
        <v>77.031000000000006</v>
      </c>
      <c r="K91" s="8">
        <v>78.436000000000007</v>
      </c>
      <c r="L91" s="8"/>
      <c r="M91" s="8">
        <v>90.683999999999997</v>
      </c>
      <c r="N91" s="8">
        <v>89.114999999999995</v>
      </c>
      <c r="O91" s="8">
        <v>90.683999999999997</v>
      </c>
      <c r="P91" s="8"/>
      <c r="Q91" s="10">
        <f t="shared" si="23"/>
        <v>1.5690000000000026</v>
      </c>
    </row>
    <row r="92" spans="1:17" x14ac:dyDescent="0.35">
      <c r="A92" s="3">
        <v>1939</v>
      </c>
      <c r="B92" s="4">
        <f t="shared" si="16"/>
        <v>77.507000000000005</v>
      </c>
      <c r="C92" s="4">
        <f t="shared" si="17"/>
        <v>78.915000000000006</v>
      </c>
      <c r="D92" s="4">
        <f t="shared" si="18"/>
        <v>88.927000000000007</v>
      </c>
      <c r="E92" s="4">
        <f t="shared" si="19"/>
        <v>90.528999999999996</v>
      </c>
      <c r="F92" s="4">
        <f t="shared" si="20"/>
        <v>1.4080000000000013</v>
      </c>
      <c r="G92" s="4">
        <f t="shared" si="21"/>
        <v>0</v>
      </c>
      <c r="H92" s="4">
        <f t="shared" si="22"/>
        <v>10.012</v>
      </c>
      <c r="I92" s="5">
        <v>78.915000000000006</v>
      </c>
      <c r="J92" s="5">
        <v>77.507000000000005</v>
      </c>
      <c r="K92" s="5">
        <v>78.915000000000006</v>
      </c>
      <c r="L92" s="5"/>
      <c r="M92" s="5">
        <v>90.528999999999996</v>
      </c>
      <c r="N92" s="5">
        <v>88.927000000000007</v>
      </c>
      <c r="O92" s="5">
        <v>90.528999999999996</v>
      </c>
      <c r="P92" s="5"/>
      <c r="Q92" s="10">
        <f t="shared" si="23"/>
        <v>1.6019999999999897</v>
      </c>
    </row>
    <row r="93" spans="1:17" x14ac:dyDescent="0.35">
      <c r="A93" s="6">
        <v>1940</v>
      </c>
      <c r="B93" s="7">
        <f t="shared" si="16"/>
        <v>74.837000000000003</v>
      </c>
      <c r="C93" s="7">
        <f t="shared" si="17"/>
        <v>75.935000000000002</v>
      </c>
      <c r="D93" s="7">
        <f t="shared" si="18"/>
        <v>89.313000000000002</v>
      </c>
      <c r="E93" s="7">
        <f t="shared" si="19"/>
        <v>90.557000000000002</v>
      </c>
      <c r="F93" s="7">
        <f t="shared" si="20"/>
        <v>1.097999999999999</v>
      </c>
      <c r="G93" s="7">
        <f t="shared" si="21"/>
        <v>0</v>
      </c>
      <c r="H93" s="7">
        <f t="shared" si="22"/>
        <v>13.378</v>
      </c>
      <c r="I93" s="8">
        <v>75.935000000000002</v>
      </c>
      <c r="J93" s="8">
        <v>74.837000000000003</v>
      </c>
      <c r="K93" s="8">
        <v>75.935000000000002</v>
      </c>
      <c r="L93" s="8"/>
      <c r="M93" s="8">
        <v>90.557000000000002</v>
      </c>
      <c r="N93" s="8">
        <v>89.313000000000002</v>
      </c>
      <c r="O93" s="8">
        <v>90.557000000000002</v>
      </c>
      <c r="P93" s="8"/>
      <c r="Q93" s="10">
        <f t="shared" si="23"/>
        <v>1.2439999999999998</v>
      </c>
    </row>
    <row r="94" spans="1:17" x14ac:dyDescent="0.35">
      <c r="A94" s="3">
        <v>1941</v>
      </c>
      <c r="B94" s="4">
        <f t="shared" si="16"/>
        <v>76.22</v>
      </c>
      <c r="C94" s="4">
        <f t="shared" si="17"/>
        <v>77.569999999999993</v>
      </c>
      <c r="D94" s="4">
        <f t="shared" si="18"/>
        <v>89.331999999999994</v>
      </c>
      <c r="E94" s="4">
        <f t="shared" si="19"/>
        <v>90.763000000000005</v>
      </c>
      <c r="F94" s="4">
        <f t="shared" si="20"/>
        <v>1.3499999999999943</v>
      </c>
      <c r="G94" s="4">
        <f t="shared" si="21"/>
        <v>0</v>
      </c>
      <c r="H94" s="4">
        <f t="shared" si="22"/>
        <v>11.762</v>
      </c>
      <c r="I94" s="5">
        <v>77.569999999999993</v>
      </c>
      <c r="J94" s="5">
        <v>76.22</v>
      </c>
      <c r="K94" s="5">
        <v>77.569999999999993</v>
      </c>
      <c r="L94" s="5"/>
      <c r="M94" s="5">
        <v>90.763000000000005</v>
      </c>
      <c r="N94" s="5">
        <v>89.331999999999994</v>
      </c>
      <c r="O94" s="5">
        <v>90.763000000000005</v>
      </c>
      <c r="P94" s="5"/>
      <c r="Q94" s="10">
        <f t="shared" si="23"/>
        <v>1.4310000000000116</v>
      </c>
    </row>
    <row r="95" spans="1:17" x14ac:dyDescent="0.35">
      <c r="A95" s="6">
        <v>1942</v>
      </c>
      <c r="B95" s="7">
        <f t="shared" si="16"/>
        <v>78.962999999999994</v>
      </c>
      <c r="C95" s="7">
        <f t="shared" si="17"/>
        <v>80.888000000000005</v>
      </c>
      <c r="D95" s="7">
        <f t="shared" si="18"/>
        <v>90.278999999999996</v>
      </c>
      <c r="E95" s="7">
        <f t="shared" si="19"/>
        <v>91.266000000000005</v>
      </c>
      <c r="F95" s="7">
        <f t="shared" si="20"/>
        <v>1.9250000000000114</v>
      </c>
      <c r="G95" s="7">
        <f t="shared" si="21"/>
        <v>0</v>
      </c>
      <c r="H95" s="7">
        <f t="shared" si="22"/>
        <v>9.3909999999999911</v>
      </c>
      <c r="I95" s="8">
        <v>80.888000000000005</v>
      </c>
      <c r="J95" s="8">
        <v>78.962999999999994</v>
      </c>
      <c r="K95" s="8">
        <v>80.888000000000005</v>
      </c>
      <c r="L95" s="8"/>
      <c r="M95" s="8">
        <v>91.266000000000005</v>
      </c>
      <c r="N95" s="8">
        <v>90.278999999999996</v>
      </c>
      <c r="O95" s="8">
        <v>91.266000000000005</v>
      </c>
      <c r="P95" s="8"/>
      <c r="Q95" s="10">
        <f t="shared" si="23"/>
        <v>0.98700000000000898</v>
      </c>
    </row>
    <row r="96" spans="1:17" x14ac:dyDescent="0.35">
      <c r="A96" s="3">
        <v>1943</v>
      </c>
      <c r="B96" s="4">
        <f t="shared" si="16"/>
        <v>77.355999999999995</v>
      </c>
      <c r="C96" s="4">
        <f t="shared" si="17"/>
        <v>80.751000000000005</v>
      </c>
      <c r="D96" s="4">
        <f t="shared" si="18"/>
        <v>90.119</v>
      </c>
      <c r="E96" s="4">
        <f t="shared" si="19"/>
        <v>91.608999999999995</v>
      </c>
      <c r="F96" s="4">
        <f t="shared" si="20"/>
        <v>3.3950000000000102</v>
      </c>
      <c r="G96" s="4">
        <f t="shared" si="21"/>
        <v>0</v>
      </c>
      <c r="H96" s="4">
        <f t="shared" si="22"/>
        <v>9.367999999999995</v>
      </c>
      <c r="I96" s="5">
        <v>80.751000000000005</v>
      </c>
      <c r="J96" s="5">
        <v>77.355999999999995</v>
      </c>
      <c r="K96" s="5">
        <v>80.751000000000005</v>
      </c>
      <c r="L96" s="5"/>
      <c r="M96" s="5">
        <v>91.608999999999995</v>
      </c>
      <c r="N96" s="5">
        <v>90.119</v>
      </c>
      <c r="O96" s="5">
        <v>91.608999999999995</v>
      </c>
      <c r="P96" s="5"/>
      <c r="Q96" s="10">
        <f t="shared" si="23"/>
        <v>1.4899999999999949</v>
      </c>
    </row>
    <row r="97" spans="1:17" x14ac:dyDescent="0.35">
      <c r="A97" s="6">
        <v>1944</v>
      </c>
      <c r="B97" s="7">
        <f t="shared" si="16"/>
        <v>77.378</v>
      </c>
      <c r="C97" s="7">
        <f t="shared" si="17"/>
        <v>79.238</v>
      </c>
      <c r="D97" s="7">
        <f t="shared" si="18"/>
        <v>89.430999999999997</v>
      </c>
      <c r="E97" s="7">
        <f t="shared" si="19"/>
        <v>91.266999999999996</v>
      </c>
      <c r="F97" s="7">
        <f t="shared" si="20"/>
        <v>1.8599999999999994</v>
      </c>
      <c r="G97" s="7">
        <f t="shared" si="21"/>
        <v>0</v>
      </c>
      <c r="H97" s="7">
        <f t="shared" si="22"/>
        <v>10.192999999999998</v>
      </c>
      <c r="I97" s="8">
        <v>79.238</v>
      </c>
      <c r="J97" s="8">
        <v>77.378</v>
      </c>
      <c r="K97" s="8">
        <v>79.238</v>
      </c>
      <c r="L97" s="8"/>
      <c r="M97" s="8">
        <v>91.266999999999996</v>
      </c>
      <c r="N97" s="8">
        <v>89.430999999999997</v>
      </c>
      <c r="O97" s="8">
        <v>91.266999999999996</v>
      </c>
      <c r="P97" s="8"/>
      <c r="Q97" s="10">
        <f t="shared" si="23"/>
        <v>1.8359999999999985</v>
      </c>
    </row>
    <row r="98" spans="1:17" x14ac:dyDescent="0.35">
      <c r="A98" s="3">
        <v>1945</v>
      </c>
      <c r="B98" s="4">
        <f t="shared" si="16"/>
        <v>76.777000000000001</v>
      </c>
      <c r="C98" s="4">
        <f t="shared" si="17"/>
        <v>79.591999999999999</v>
      </c>
      <c r="D98" s="4">
        <f t="shared" si="18"/>
        <v>87.644999999999996</v>
      </c>
      <c r="E98" s="4">
        <f t="shared" si="19"/>
        <v>90.475999999999999</v>
      </c>
      <c r="F98" s="4">
        <f t="shared" si="20"/>
        <v>2.8149999999999977</v>
      </c>
      <c r="G98" s="4">
        <f t="shared" si="21"/>
        <v>0</v>
      </c>
      <c r="H98" s="4">
        <f t="shared" si="22"/>
        <v>8.0529999999999973</v>
      </c>
      <c r="I98" s="5">
        <v>79.591999999999999</v>
      </c>
      <c r="J98" s="5">
        <v>76.777000000000001</v>
      </c>
      <c r="K98" s="5">
        <v>79.591999999999999</v>
      </c>
      <c r="L98" s="5"/>
      <c r="M98" s="5">
        <v>90.475999999999999</v>
      </c>
      <c r="N98" s="5">
        <v>87.644999999999996</v>
      </c>
      <c r="O98" s="5">
        <v>90.475999999999999</v>
      </c>
      <c r="P98" s="5"/>
      <c r="Q98" s="10">
        <f t="shared" si="23"/>
        <v>2.8310000000000031</v>
      </c>
    </row>
    <row r="99" spans="1:17" x14ac:dyDescent="0.35">
      <c r="A99" s="6">
        <v>1946</v>
      </c>
      <c r="B99" s="7">
        <f t="shared" ref="B99:B130" si="24">IFERROR(MIN(I99:L99),"")</f>
        <v>74.927000000000007</v>
      </c>
      <c r="C99" s="7">
        <f t="shared" ref="C99:C130" si="25">IFERROR(MAX(I99:L99),"")</f>
        <v>78.39</v>
      </c>
      <c r="D99" s="7">
        <f t="shared" ref="D99:D130" si="26">IFERROR(MIN(M99:P99),"")</f>
        <v>86.933000000000007</v>
      </c>
      <c r="E99" s="7">
        <f t="shared" ref="E99:E130" si="27">IFERROR(MAX(M99:P99),"")</f>
        <v>90.656000000000006</v>
      </c>
      <c r="F99" s="7">
        <f t="shared" ref="F99:F130" si="28">IFERROR(MIN(C99,D99)-B99,"")</f>
        <v>3.4629999999999939</v>
      </c>
      <c r="G99" s="7">
        <f t="shared" ref="G99:G130" si="29">IFERROR(MAX(0,C99-D99),"")</f>
        <v>0</v>
      </c>
      <c r="H99" s="7">
        <f t="shared" ref="H99:H130" si="30">IFERROR(MAX(0,D99-C99),"")</f>
        <v>8.5430000000000064</v>
      </c>
      <c r="I99" s="8">
        <v>78.39</v>
      </c>
      <c r="J99" s="8">
        <v>74.927000000000007</v>
      </c>
      <c r="K99" s="8">
        <v>78.39</v>
      </c>
      <c r="L99" s="8"/>
      <c r="M99" s="8">
        <v>90.656000000000006</v>
      </c>
      <c r="N99" s="8">
        <v>86.933000000000007</v>
      </c>
      <c r="O99" s="8">
        <v>90.656000000000006</v>
      </c>
      <c r="P99" s="8"/>
      <c r="Q99" s="10">
        <f t="shared" ref="Q99:Q130" si="31">IFERROR(MAX(0,$E99-MAX($C99,$D99)),"")</f>
        <v>3.722999999999999</v>
      </c>
    </row>
    <row r="100" spans="1:17" x14ac:dyDescent="0.35">
      <c r="A100" s="3">
        <v>1947</v>
      </c>
      <c r="B100" s="4">
        <f t="shared" si="24"/>
        <v>75.593000000000004</v>
      </c>
      <c r="C100" s="4">
        <f t="shared" si="25"/>
        <v>78.131</v>
      </c>
      <c r="D100" s="4">
        <f t="shared" si="26"/>
        <v>87.816000000000003</v>
      </c>
      <c r="E100" s="4">
        <f t="shared" si="27"/>
        <v>90.480999999999995</v>
      </c>
      <c r="F100" s="4">
        <f t="shared" si="28"/>
        <v>2.5379999999999967</v>
      </c>
      <c r="G100" s="4">
        <f t="shared" si="29"/>
        <v>0</v>
      </c>
      <c r="H100" s="4">
        <f t="shared" si="30"/>
        <v>9.6850000000000023</v>
      </c>
      <c r="I100" s="5">
        <v>78.131</v>
      </c>
      <c r="J100" s="5">
        <v>75.593000000000004</v>
      </c>
      <c r="K100" s="5">
        <v>78.131</v>
      </c>
      <c r="L100" s="5"/>
      <c r="M100" s="5">
        <v>90.480999999999995</v>
      </c>
      <c r="N100" s="5">
        <v>87.816000000000003</v>
      </c>
      <c r="O100" s="5">
        <v>90.480999999999995</v>
      </c>
      <c r="P100" s="5"/>
      <c r="Q100" s="10">
        <f t="shared" si="31"/>
        <v>2.664999999999992</v>
      </c>
    </row>
    <row r="101" spans="1:17" x14ac:dyDescent="0.35">
      <c r="A101" s="6">
        <v>1948</v>
      </c>
      <c r="B101" s="7">
        <f t="shared" si="24"/>
        <v>76.135999999999996</v>
      </c>
      <c r="C101" s="7">
        <f t="shared" si="25"/>
        <v>78.524000000000001</v>
      </c>
      <c r="D101" s="7">
        <f t="shared" si="26"/>
        <v>88.533000000000001</v>
      </c>
      <c r="E101" s="7">
        <f t="shared" si="27"/>
        <v>90.986999999999995</v>
      </c>
      <c r="F101" s="7">
        <f t="shared" si="28"/>
        <v>2.3880000000000052</v>
      </c>
      <c r="G101" s="7">
        <f t="shared" si="29"/>
        <v>0</v>
      </c>
      <c r="H101" s="7">
        <f t="shared" si="30"/>
        <v>10.009</v>
      </c>
      <c r="I101" s="8">
        <v>78.524000000000001</v>
      </c>
      <c r="J101" s="8">
        <v>76.135999999999996</v>
      </c>
      <c r="K101" s="8">
        <v>78.524000000000001</v>
      </c>
      <c r="L101" s="8"/>
      <c r="M101" s="8">
        <v>90.986999999999995</v>
      </c>
      <c r="N101" s="8">
        <v>88.533000000000001</v>
      </c>
      <c r="O101" s="8">
        <v>90.986999999999995</v>
      </c>
      <c r="P101" s="8"/>
      <c r="Q101" s="10">
        <f t="shared" si="31"/>
        <v>2.4539999999999935</v>
      </c>
    </row>
    <row r="102" spans="1:17" x14ac:dyDescent="0.35">
      <c r="A102" s="3">
        <v>1949</v>
      </c>
      <c r="B102" s="4">
        <f t="shared" si="24"/>
        <v>72.866</v>
      </c>
      <c r="C102" s="4">
        <f t="shared" si="25"/>
        <v>75.864000000000004</v>
      </c>
      <c r="D102" s="4">
        <f t="shared" si="26"/>
        <v>87.394999999999996</v>
      </c>
      <c r="E102" s="4">
        <f t="shared" si="27"/>
        <v>90.623000000000005</v>
      </c>
      <c r="F102" s="4">
        <f t="shared" si="28"/>
        <v>2.9980000000000047</v>
      </c>
      <c r="G102" s="4">
        <f t="shared" si="29"/>
        <v>0</v>
      </c>
      <c r="H102" s="4">
        <f t="shared" si="30"/>
        <v>11.530999999999992</v>
      </c>
      <c r="I102" s="5">
        <v>75.864000000000004</v>
      </c>
      <c r="J102" s="5">
        <v>72.866</v>
      </c>
      <c r="K102" s="5">
        <v>75.864000000000004</v>
      </c>
      <c r="L102" s="5"/>
      <c r="M102" s="5">
        <v>90.623000000000005</v>
      </c>
      <c r="N102" s="5">
        <v>87.394999999999996</v>
      </c>
      <c r="O102" s="5">
        <v>90.623000000000005</v>
      </c>
      <c r="P102" s="5"/>
      <c r="Q102" s="10">
        <f t="shared" si="31"/>
        <v>3.2280000000000086</v>
      </c>
    </row>
    <row r="103" spans="1:17" x14ac:dyDescent="0.35">
      <c r="A103" s="6">
        <v>1950</v>
      </c>
      <c r="B103" s="7">
        <f t="shared" si="24"/>
        <v>75.271000000000001</v>
      </c>
      <c r="C103" s="7">
        <f t="shared" si="25"/>
        <v>75.882999999999996</v>
      </c>
      <c r="D103" s="7">
        <f t="shared" si="26"/>
        <v>90.037999999999997</v>
      </c>
      <c r="E103" s="7">
        <f t="shared" si="27"/>
        <v>90.245000000000005</v>
      </c>
      <c r="F103" s="7">
        <f t="shared" si="28"/>
        <v>0.61199999999999477</v>
      </c>
      <c r="G103" s="7">
        <f t="shared" si="29"/>
        <v>0</v>
      </c>
      <c r="H103" s="7">
        <f t="shared" si="30"/>
        <v>14.155000000000001</v>
      </c>
      <c r="I103" s="8">
        <v>75.882999999999996</v>
      </c>
      <c r="J103" s="8">
        <v>75.271000000000001</v>
      </c>
      <c r="K103" s="8">
        <v>75.882999999999996</v>
      </c>
      <c r="L103" s="8"/>
      <c r="M103" s="8">
        <v>90.245000000000005</v>
      </c>
      <c r="N103" s="8">
        <v>90.037999999999997</v>
      </c>
      <c r="O103" s="8">
        <v>90.245000000000005</v>
      </c>
      <c r="P103" s="8"/>
      <c r="Q103" s="10">
        <f t="shared" si="31"/>
        <v>0.20700000000000784</v>
      </c>
    </row>
    <row r="104" spans="1:17" x14ac:dyDescent="0.35">
      <c r="A104" s="3">
        <v>1951</v>
      </c>
      <c r="B104" s="4">
        <f t="shared" si="24"/>
        <v>74.596999999999994</v>
      </c>
      <c r="C104" s="4">
        <f t="shared" si="25"/>
        <v>75.3</v>
      </c>
      <c r="D104" s="4">
        <f t="shared" si="26"/>
        <v>89.55</v>
      </c>
      <c r="E104" s="4">
        <f t="shared" si="27"/>
        <v>89.834000000000003</v>
      </c>
      <c r="F104" s="4">
        <f t="shared" si="28"/>
        <v>0.70300000000000296</v>
      </c>
      <c r="G104" s="4">
        <f t="shared" si="29"/>
        <v>0</v>
      </c>
      <c r="H104" s="4">
        <f t="shared" si="30"/>
        <v>14.25</v>
      </c>
      <c r="I104" s="5">
        <v>75.3</v>
      </c>
      <c r="J104" s="5">
        <v>74.596999999999994</v>
      </c>
      <c r="K104" s="5">
        <v>75.3</v>
      </c>
      <c r="L104" s="5"/>
      <c r="M104" s="5">
        <v>89.834000000000003</v>
      </c>
      <c r="N104" s="5">
        <v>89.55</v>
      </c>
      <c r="O104" s="5">
        <v>89.834000000000003</v>
      </c>
      <c r="P104" s="5"/>
      <c r="Q104" s="10">
        <f t="shared" si="31"/>
        <v>0.28400000000000603</v>
      </c>
    </row>
    <row r="105" spans="1:17" x14ac:dyDescent="0.35">
      <c r="A105" s="6">
        <v>1952</v>
      </c>
      <c r="B105" s="7">
        <f t="shared" si="24"/>
        <v>72.882000000000005</v>
      </c>
      <c r="C105" s="7">
        <f t="shared" si="25"/>
        <v>73.596000000000004</v>
      </c>
      <c r="D105" s="7">
        <f t="shared" si="26"/>
        <v>88.774000000000001</v>
      </c>
      <c r="E105" s="7">
        <f t="shared" si="27"/>
        <v>89.003</v>
      </c>
      <c r="F105" s="7">
        <f t="shared" si="28"/>
        <v>0.71399999999999864</v>
      </c>
      <c r="G105" s="7">
        <f t="shared" si="29"/>
        <v>0</v>
      </c>
      <c r="H105" s="7">
        <f t="shared" si="30"/>
        <v>15.177999999999997</v>
      </c>
      <c r="I105" s="8">
        <v>73.596000000000004</v>
      </c>
      <c r="J105" s="8">
        <v>72.882000000000005</v>
      </c>
      <c r="K105" s="8">
        <v>73.596000000000004</v>
      </c>
      <c r="L105" s="8"/>
      <c r="M105" s="8">
        <v>89.003</v>
      </c>
      <c r="N105" s="8">
        <v>88.774000000000001</v>
      </c>
      <c r="O105" s="8">
        <v>89.003</v>
      </c>
      <c r="P105" s="8"/>
      <c r="Q105" s="10">
        <f t="shared" si="31"/>
        <v>0.2289999999999992</v>
      </c>
    </row>
    <row r="106" spans="1:17" x14ac:dyDescent="0.35">
      <c r="A106" s="3">
        <v>1953</v>
      </c>
      <c r="B106" s="4">
        <f t="shared" si="24"/>
        <v>72.179000000000002</v>
      </c>
      <c r="C106" s="4">
        <f t="shared" si="25"/>
        <v>73</v>
      </c>
      <c r="D106" s="4">
        <f t="shared" si="26"/>
        <v>88.703000000000003</v>
      </c>
      <c r="E106" s="4">
        <f t="shared" si="27"/>
        <v>89</v>
      </c>
      <c r="F106" s="4">
        <f t="shared" si="28"/>
        <v>0.82099999999999795</v>
      </c>
      <c r="G106" s="4">
        <f t="shared" si="29"/>
        <v>0</v>
      </c>
      <c r="H106" s="4">
        <f t="shared" si="30"/>
        <v>15.703000000000003</v>
      </c>
      <c r="I106" s="5">
        <v>73</v>
      </c>
      <c r="J106" s="5">
        <v>72.179000000000002</v>
      </c>
      <c r="K106" s="5">
        <v>73</v>
      </c>
      <c r="L106" s="5"/>
      <c r="M106" s="5">
        <v>89</v>
      </c>
      <c r="N106" s="5">
        <v>88.703000000000003</v>
      </c>
      <c r="O106" s="5">
        <v>89</v>
      </c>
      <c r="P106" s="5"/>
      <c r="Q106" s="10">
        <f t="shared" si="31"/>
        <v>0.29699999999999704</v>
      </c>
    </row>
    <row r="107" spans="1:17" x14ac:dyDescent="0.35">
      <c r="A107" s="6">
        <v>1954</v>
      </c>
      <c r="B107" s="7">
        <f t="shared" si="24"/>
        <v>70.143000000000001</v>
      </c>
      <c r="C107" s="7">
        <f t="shared" si="25"/>
        <v>71.009</v>
      </c>
      <c r="D107" s="7">
        <f t="shared" si="26"/>
        <v>87.688999999999993</v>
      </c>
      <c r="E107" s="7">
        <f t="shared" si="27"/>
        <v>88.004999999999995</v>
      </c>
      <c r="F107" s="7">
        <f t="shared" si="28"/>
        <v>0.86599999999999966</v>
      </c>
      <c r="G107" s="7">
        <f t="shared" si="29"/>
        <v>0</v>
      </c>
      <c r="H107" s="7">
        <f t="shared" si="30"/>
        <v>16.679999999999993</v>
      </c>
      <c r="I107" s="8">
        <v>71.009</v>
      </c>
      <c r="J107" s="8">
        <v>70.143000000000001</v>
      </c>
      <c r="K107" s="8">
        <v>71.009</v>
      </c>
      <c r="L107" s="8"/>
      <c r="M107" s="8">
        <v>88.004999999999995</v>
      </c>
      <c r="N107" s="8">
        <v>87.688999999999993</v>
      </c>
      <c r="O107" s="8">
        <v>88.004999999999995</v>
      </c>
      <c r="P107" s="8"/>
      <c r="Q107" s="10">
        <f t="shared" si="31"/>
        <v>0.3160000000000025</v>
      </c>
    </row>
    <row r="108" spans="1:17" x14ac:dyDescent="0.35">
      <c r="A108" s="3">
        <v>1955</v>
      </c>
      <c r="B108" s="4">
        <f t="shared" si="24"/>
        <v>69.373999999999995</v>
      </c>
      <c r="C108" s="4">
        <f t="shared" si="25"/>
        <v>70.188000000000002</v>
      </c>
      <c r="D108" s="4">
        <f t="shared" si="26"/>
        <v>87.215000000000003</v>
      </c>
      <c r="E108" s="4">
        <f t="shared" si="27"/>
        <v>87.388999999999996</v>
      </c>
      <c r="F108" s="4">
        <f t="shared" si="28"/>
        <v>0.81400000000000716</v>
      </c>
      <c r="G108" s="4">
        <f t="shared" si="29"/>
        <v>0</v>
      </c>
      <c r="H108" s="4">
        <f t="shared" si="30"/>
        <v>17.027000000000001</v>
      </c>
      <c r="I108" s="5">
        <v>70.188000000000002</v>
      </c>
      <c r="J108" s="5">
        <v>69.373999999999995</v>
      </c>
      <c r="K108" s="5">
        <v>70.188000000000002</v>
      </c>
      <c r="L108" s="5"/>
      <c r="M108" s="5">
        <v>87.388999999999996</v>
      </c>
      <c r="N108" s="5">
        <v>87.215000000000003</v>
      </c>
      <c r="O108" s="5">
        <v>87.388999999999996</v>
      </c>
      <c r="P108" s="5"/>
      <c r="Q108" s="10">
        <f t="shared" si="31"/>
        <v>0.17399999999999238</v>
      </c>
    </row>
    <row r="109" spans="1:17" x14ac:dyDescent="0.35">
      <c r="A109" s="6">
        <v>1956</v>
      </c>
      <c r="B109" s="7">
        <f t="shared" si="24"/>
        <v>68.647999999999996</v>
      </c>
      <c r="C109" s="7">
        <f t="shared" si="25"/>
        <v>69.480999999999995</v>
      </c>
      <c r="D109" s="7">
        <f t="shared" si="26"/>
        <v>86.906999999999996</v>
      </c>
      <c r="E109" s="7">
        <f t="shared" si="27"/>
        <v>87.055000000000007</v>
      </c>
      <c r="F109" s="7">
        <f t="shared" si="28"/>
        <v>0.83299999999999841</v>
      </c>
      <c r="G109" s="7">
        <f t="shared" si="29"/>
        <v>0</v>
      </c>
      <c r="H109" s="7">
        <f t="shared" si="30"/>
        <v>17.426000000000002</v>
      </c>
      <c r="I109" s="8">
        <v>69.480999999999995</v>
      </c>
      <c r="J109" s="8">
        <v>68.647999999999996</v>
      </c>
      <c r="K109" s="8">
        <v>69.480999999999995</v>
      </c>
      <c r="L109" s="8"/>
      <c r="M109" s="8">
        <v>87.055000000000007</v>
      </c>
      <c r="N109" s="8">
        <v>86.906999999999996</v>
      </c>
      <c r="O109" s="8">
        <v>87.055000000000007</v>
      </c>
      <c r="P109" s="8"/>
      <c r="Q109" s="10">
        <f t="shared" si="31"/>
        <v>0.14800000000001035</v>
      </c>
    </row>
    <row r="110" spans="1:17" x14ac:dyDescent="0.35">
      <c r="A110" s="3">
        <v>1957</v>
      </c>
      <c r="B110" s="4">
        <f t="shared" si="24"/>
        <v>66.671999999999997</v>
      </c>
      <c r="C110" s="4">
        <f t="shared" si="25"/>
        <v>67.662999999999997</v>
      </c>
      <c r="D110" s="4">
        <f t="shared" si="26"/>
        <v>85.968000000000004</v>
      </c>
      <c r="E110" s="4">
        <f t="shared" si="27"/>
        <v>86.26</v>
      </c>
      <c r="F110" s="4">
        <f t="shared" si="28"/>
        <v>0.99099999999999966</v>
      </c>
      <c r="G110" s="4">
        <f t="shared" si="29"/>
        <v>0</v>
      </c>
      <c r="H110" s="4">
        <f t="shared" si="30"/>
        <v>18.305000000000007</v>
      </c>
      <c r="I110" s="5">
        <v>67.662999999999997</v>
      </c>
      <c r="J110" s="5">
        <v>66.671999999999997</v>
      </c>
      <c r="K110" s="5">
        <v>67.662999999999997</v>
      </c>
      <c r="L110" s="5"/>
      <c r="M110" s="5">
        <v>86.26</v>
      </c>
      <c r="N110" s="5">
        <v>85.968000000000004</v>
      </c>
      <c r="O110" s="5">
        <v>86.26</v>
      </c>
      <c r="P110" s="5"/>
      <c r="Q110" s="10">
        <f t="shared" si="31"/>
        <v>0.29200000000000159</v>
      </c>
    </row>
    <row r="111" spans="1:17" x14ac:dyDescent="0.35">
      <c r="A111" s="6">
        <v>1958</v>
      </c>
      <c r="B111" s="7">
        <f t="shared" si="24"/>
        <v>62.869</v>
      </c>
      <c r="C111" s="7">
        <f t="shared" si="25"/>
        <v>63.899000000000001</v>
      </c>
      <c r="D111" s="7">
        <f t="shared" si="26"/>
        <v>82.67</v>
      </c>
      <c r="E111" s="7">
        <f t="shared" si="27"/>
        <v>82.984999999999999</v>
      </c>
      <c r="F111" s="7">
        <f t="shared" si="28"/>
        <v>1.0300000000000011</v>
      </c>
      <c r="G111" s="7">
        <f t="shared" si="29"/>
        <v>0</v>
      </c>
      <c r="H111" s="7">
        <f t="shared" si="30"/>
        <v>18.771000000000001</v>
      </c>
      <c r="I111" s="8">
        <v>63.899000000000001</v>
      </c>
      <c r="J111" s="8">
        <v>62.869</v>
      </c>
      <c r="K111" s="8">
        <v>63.899000000000001</v>
      </c>
      <c r="L111" s="8"/>
      <c r="M111" s="8">
        <v>82.984999999999999</v>
      </c>
      <c r="N111" s="8">
        <v>82.67</v>
      </c>
      <c r="O111" s="8">
        <v>82.984999999999999</v>
      </c>
      <c r="P111" s="8"/>
      <c r="Q111" s="10">
        <f t="shared" si="31"/>
        <v>0.31499999999999773</v>
      </c>
    </row>
    <row r="112" spans="1:17" x14ac:dyDescent="0.35">
      <c r="A112" s="3">
        <v>1959</v>
      </c>
      <c r="B112" s="4">
        <f t="shared" si="24"/>
        <v>60.899000000000001</v>
      </c>
      <c r="C112" s="4">
        <f t="shared" si="25"/>
        <v>61.877000000000002</v>
      </c>
      <c r="D112" s="4">
        <f t="shared" si="26"/>
        <v>80.698999999999998</v>
      </c>
      <c r="E112" s="4">
        <f t="shared" si="27"/>
        <v>80.950999999999993</v>
      </c>
      <c r="F112" s="4">
        <f t="shared" si="28"/>
        <v>0.97800000000000153</v>
      </c>
      <c r="G112" s="4">
        <f t="shared" si="29"/>
        <v>0</v>
      </c>
      <c r="H112" s="4">
        <f t="shared" si="30"/>
        <v>18.821999999999996</v>
      </c>
      <c r="I112" s="5">
        <v>61.875999999999998</v>
      </c>
      <c r="J112" s="5">
        <v>60.899000000000001</v>
      </c>
      <c r="K112" s="5">
        <v>61.877000000000002</v>
      </c>
      <c r="L112" s="5"/>
      <c r="M112" s="5">
        <v>80.950999999999993</v>
      </c>
      <c r="N112" s="5">
        <v>80.698999999999998</v>
      </c>
      <c r="O112" s="5">
        <v>80.950999999999993</v>
      </c>
      <c r="P112" s="5"/>
      <c r="Q112" s="10">
        <f t="shared" si="31"/>
        <v>0.25199999999999534</v>
      </c>
    </row>
    <row r="113" spans="1:17" x14ac:dyDescent="0.35">
      <c r="A113" s="6">
        <v>1960</v>
      </c>
      <c r="B113" s="7">
        <f t="shared" si="24"/>
        <v>60.534999999999997</v>
      </c>
      <c r="C113" s="7">
        <f t="shared" si="25"/>
        <v>61.628</v>
      </c>
      <c r="D113" s="7">
        <f t="shared" si="26"/>
        <v>80.165000000000006</v>
      </c>
      <c r="E113" s="7">
        <f t="shared" si="27"/>
        <v>80.477999999999994</v>
      </c>
      <c r="F113" s="7">
        <f t="shared" si="28"/>
        <v>1.0930000000000035</v>
      </c>
      <c r="G113" s="7">
        <f t="shared" si="29"/>
        <v>0</v>
      </c>
      <c r="H113" s="7">
        <f t="shared" si="30"/>
        <v>18.537000000000006</v>
      </c>
      <c r="I113" s="8">
        <v>61.628</v>
      </c>
      <c r="J113" s="8">
        <v>60.534999999999997</v>
      </c>
      <c r="K113" s="8">
        <v>61.628</v>
      </c>
      <c r="L113" s="8"/>
      <c r="M113" s="8">
        <v>80.477999999999994</v>
      </c>
      <c r="N113" s="8">
        <v>80.165000000000006</v>
      </c>
      <c r="O113" s="8">
        <v>80.477999999999994</v>
      </c>
      <c r="P113" s="8"/>
      <c r="Q113" s="10">
        <f t="shared" si="31"/>
        <v>0.31299999999998818</v>
      </c>
    </row>
    <row r="114" spans="1:17" x14ac:dyDescent="0.35">
      <c r="A114" s="3">
        <v>1961</v>
      </c>
      <c r="B114" s="4">
        <f t="shared" si="24"/>
        <v>61.624000000000002</v>
      </c>
      <c r="C114" s="4">
        <f t="shared" si="25"/>
        <v>62.878</v>
      </c>
      <c r="D114" s="4">
        <f t="shared" si="26"/>
        <v>81.977000000000004</v>
      </c>
      <c r="E114" s="4">
        <f t="shared" si="27"/>
        <v>82.468000000000004</v>
      </c>
      <c r="F114" s="4">
        <f t="shared" si="28"/>
        <v>1.2539999999999978</v>
      </c>
      <c r="G114" s="4">
        <f t="shared" si="29"/>
        <v>0</v>
      </c>
      <c r="H114" s="4">
        <f t="shared" si="30"/>
        <v>19.099000000000004</v>
      </c>
      <c r="I114" s="5">
        <v>62.877000000000002</v>
      </c>
      <c r="J114" s="5">
        <v>61.624000000000002</v>
      </c>
      <c r="K114" s="5">
        <v>62.878</v>
      </c>
      <c r="L114" s="5"/>
      <c r="M114" s="5">
        <v>82.466999999999999</v>
      </c>
      <c r="N114" s="5">
        <v>81.977000000000004</v>
      </c>
      <c r="O114" s="5">
        <v>82.468000000000004</v>
      </c>
      <c r="P114" s="5"/>
      <c r="Q114" s="10">
        <f t="shared" si="31"/>
        <v>0.49099999999999966</v>
      </c>
    </row>
    <row r="115" spans="1:17" x14ac:dyDescent="0.35">
      <c r="A115" s="6">
        <v>1962</v>
      </c>
      <c r="B115" s="7">
        <f t="shared" si="24"/>
        <v>62.207000000000001</v>
      </c>
      <c r="C115" s="7">
        <f t="shared" si="25"/>
        <v>63.502000000000002</v>
      </c>
      <c r="D115" s="7">
        <f t="shared" si="26"/>
        <v>82.914000000000001</v>
      </c>
      <c r="E115" s="7">
        <f t="shared" si="27"/>
        <v>83.494</v>
      </c>
      <c r="F115" s="7">
        <f t="shared" si="28"/>
        <v>1.2950000000000017</v>
      </c>
      <c r="G115" s="7">
        <f t="shared" si="29"/>
        <v>0</v>
      </c>
      <c r="H115" s="7">
        <f t="shared" si="30"/>
        <v>19.411999999999999</v>
      </c>
      <c r="I115" s="8">
        <v>63.500999999999998</v>
      </c>
      <c r="J115" s="8">
        <v>62.207000000000001</v>
      </c>
      <c r="K115" s="8">
        <v>63.502000000000002</v>
      </c>
      <c r="L115" s="8"/>
      <c r="M115" s="8">
        <v>83.494</v>
      </c>
      <c r="N115" s="8">
        <v>82.914000000000001</v>
      </c>
      <c r="O115" s="8">
        <v>83.494</v>
      </c>
      <c r="P115" s="8"/>
      <c r="Q115" s="10">
        <f t="shared" si="31"/>
        <v>0.57999999999999829</v>
      </c>
    </row>
    <row r="116" spans="1:17" x14ac:dyDescent="0.35">
      <c r="A116" s="3">
        <v>1963</v>
      </c>
      <c r="B116" s="4">
        <f t="shared" si="24"/>
        <v>62.155000000000001</v>
      </c>
      <c r="C116" s="4">
        <f t="shared" si="25"/>
        <v>63.359000000000002</v>
      </c>
      <c r="D116" s="4">
        <f t="shared" si="26"/>
        <v>83.125</v>
      </c>
      <c r="E116" s="4">
        <f t="shared" si="27"/>
        <v>83.712999999999994</v>
      </c>
      <c r="F116" s="4">
        <f t="shared" si="28"/>
        <v>1.2040000000000006</v>
      </c>
      <c r="G116" s="4">
        <f t="shared" si="29"/>
        <v>0</v>
      </c>
      <c r="H116" s="4">
        <f t="shared" si="30"/>
        <v>19.765999999999998</v>
      </c>
      <c r="I116" s="5">
        <v>63.359000000000002</v>
      </c>
      <c r="J116" s="5">
        <v>62.155000000000001</v>
      </c>
      <c r="K116" s="5">
        <v>63.359000000000002</v>
      </c>
      <c r="L116" s="5"/>
      <c r="M116" s="5">
        <v>83.712000000000003</v>
      </c>
      <c r="N116" s="5">
        <v>83.125</v>
      </c>
      <c r="O116" s="5">
        <v>83.712999999999994</v>
      </c>
      <c r="P116" s="5"/>
      <c r="Q116" s="10">
        <f t="shared" si="31"/>
        <v>0.58799999999999386</v>
      </c>
    </row>
    <row r="117" spans="1:17" x14ac:dyDescent="0.35">
      <c r="A117" s="6">
        <v>1964</v>
      </c>
      <c r="B117" s="7">
        <f t="shared" si="24"/>
        <v>61.881</v>
      </c>
      <c r="C117" s="7">
        <f t="shared" si="25"/>
        <v>63.043999999999997</v>
      </c>
      <c r="D117" s="7">
        <f t="shared" si="26"/>
        <v>83.152000000000001</v>
      </c>
      <c r="E117" s="7">
        <f t="shared" si="27"/>
        <v>83.634</v>
      </c>
      <c r="F117" s="7">
        <f t="shared" si="28"/>
        <v>1.1629999999999967</v>
      </c>
      <c r="G117" s="7">
        <f t="shared" si="29"/>
        <v>0</v>
      </c>
      <c r="H117" s="7">
        <f t="shared" si="30"/>
        <v>20.108000000000004</v>
      </c>
      <c r="I117" s="8">
        <v>63.042999999999999</v>
      </c>
      <c r="J117" s="8">
        <v>61.881</v>
      </c>
      <c r="K117" s="8">
        <v>63.043999999999997</v>
      </c>
      <c r="L117" s="8"/>
      <c r="M117" s="8">
        <v>83.632999999999996</v>
      </c>
      <c r="N117" s="8">
        <v>83.152000000000001</v>
      </c>
      <c r="O117" s="8">
        <v>83.634</v>
      </c>
      <c r="P117" s="8"/>
      <c r="Q117" s="10">
        <f t="shared" si="31"/>
        <v>0.48199999999999932</v>
      </c>
    </row>
    <row r="118" spans="1:17" x14ac:dyDescent="0.35">
      <c r="A118" s="3">
        <v>1965</v>
      </c>
      <c r="B118" s="4">
        <f t="shared" si="24"/>
        <v>61.316000000000003</v>
      </c>
      <c r="C118" s="4">
        <f t="shared" si="25"/>
        <v>62.363</v>
      </c>
      <c r="D118" s="4">
        <f t="shared" si="26"/>
        <v>82.659000000000006</v>
      </c>
      <c r="E118" s="4">
        <f t="shared" si="27"/>
        <v>83.007000000000005</v>
      </c>
      <c r="F118" s="4">
        <f t="shared" si="28"/>
        <v>1.046999999999997</v>
      </c>
      <c r="G118" s="4">
        <f t="shared" si="29"/>
        <v>0</v>
      </c>
      <c r="H118" s="4">
        <f t="shared" si="30"/>
        <v>20.296000000000006</v>
      </c>
      <c r="I118" s="5">
        <v>62.363</v>
      </c>
      <c r="J118" s="5">
        <v>61.316000000000003</v>
      </c>
      <c r="K118" s="5">
        <v>62.363</v>
      </c>
      <c r="L118" s="5"/>
      <c r="M118" s="5">
        <v>83.006</v>
      </c>
      <c r="N118" s="5">
        <v>82.659000000000006</v>
      </c>
      <c r="O118" s="5">
        <v>83.007000000000005</v>
      </c>
      <c r="P118" s="5"/>
      <c r="Q118" s="10">
        <f t="shared" si="31"/>
        <v>0.34799999999999898</v>
      </c>
    </row>
    <row r="119" spans="1:17" x14ac:dyDescent="0.35">
      <c r="A119" s="6">
        <v>1966</v>
      </c>
      <c r="B119" s="7">
        <f t="shared" si="24"/>
        <v>60.704000000000001</v>
      </c>
      <c r="C119" s="7">
        <f t="shared" si="25"/>
        <v>61.953000000000003</v>
      </c>
      <c r="D119" s="7">
        <f t="shared" si="26"/>
        <v>82.1</v>
      </c>
      <c r="E119" s="7">
        <f t="shared" si="27"/>
        <v>82.594999999999999</v>
      </c>
      <c r="F119" s="7">
        <f t="shared" si="28"/>
        <v>1.2490000000000023</v>
      </c>
      <c r="G119" s="7">
        <f t="shared" si="29"/>
        <v>0</v>
      </c>
      <c r="H119" s="7">
        <f t="shared" si="30"/>
        <v>20.146999999999991</v>
      </c>
      <c r="I119" s="8">
        <v>61.953000000000003</v>
      </c>
      <c r="J119" s="8">
        <v>60.704000000000001</v>
      </c>
      <c r="K119" s="8">
        <v>61.953000000000003</v>
      </c>
      <c r="L119" s="8"/>
      <c r="M119" s="8">
        <v>82.594999999999999</v>
      </c>
      <c r="N119" s="8">
        <v>82.1</v>
      </c>
      <c r="O119" s="8">
        <v>82.594999999999999</v>
      </c>
      <c r="P119" s="8"/>
      <c r="Q119" s="10">
        <f t="shared" si="31"/>
        <v>0.49500000000000455</v>
      </c>
    </row>
    <row r="120" spans="1:17" x14ac:dyDescent="0.35">
      <c r="A120" s="3">
        <v>1967</v>
      </c>
      <c r="B120" s="4">
        <f t="shared" si="24"/>
        <v>61.106000000000002</v>
      </c>
      <c r="C120" s="4">
        <f t="shared" si="25"/>
        <v>62.222000000000001</v>
      </c>
      <c r="D120" s="4">
        <f t="shared" si="26"/>
        <v>82.787999999999997</v>
      </c>
      <c r="E120" s="4">
        <f t="shared" si="27"/>
        <v>83.084999999999994</v>
      </c>
      <c r="F120" s="4">
        <f t="shared" si="28"/>
        <v>1.1159999999999997</v>
      </c>
      <c r="G120" s="4">
        <f t="shared" si="29"/>
        <v>0</v>
      </c>
      <c r="H120" s="4">
        <f t="shared" si="30"/>
        <v>20.565999999999995</v>
      </c>
      <c r="I120" s="5">
        <v>62.220999999999997</v>
      </c>
      <c r="J120" s="5">
        <v>61.106000000000002</v>
      </c>
      <c r="K120" s="5">
        <v>62.222000000000001</v>
      </c>
      <c r="L120" s="5"/>
      <c r="M120" s="5">
        <v>83.084999999999994</v>
      </c>
      <c r="N120" s="5">
        <v>82.787999999999997</v>
      </c>
      <c r="O120" s="5">
        <v>83.084999999999994</v>
      </c>
      <c r="P120" s="5"/>
      <c r="Q120" s="10">
        <f t="shared" si="31"/>
        <v>0.29699999999999704</v>
      </c>
    </row>
    <row r="121" spans="1:17" x14ac:dyDescent="0.35">
      <c r="A121" s="6">
        <v>1968</v>
      </c>
      <c r="B121" s="7">
        <f t="shared" si="24"/>
        <v>60.908999999999999</v>
      </c>
      <c r="C121" s="7">
        <f t="shared" si="25"/>
        <v>62.103999999999999</v>
      </c>
      <c r="D121" s="7">
        <f t="shared" si="26"/>
        <v>82.22</v>
      </c>
      <c r="E121" s="7">
        <f t="shared" si="27"/>
        <v>82.638000000000005</v>
      </c>
      <c r="F121" s="7">
        <f t="shared" si="28"/>
        <v>1.1950000000000003</v>
      </c>
      <c r="G121" s="7">
        <f t="shared" si="29"/>
        <v>0</v>
      </c>
      <c r="H121" s="7">
        <f t="shared" si="30"/>
        <v>20.116</v>
      </c>
      <c r="I121" s="8">
        <v>62.103000000000002</v>
      </c>
      <c r="J121" s="8">
        <v>60.908999999999999</v>
      </c>
      <c r="K121" s="8">
        <v>62.103999999999999</v>
      </c>
      <c r="L121" s="8"/>
      <c r="M121" s="8">
        <v>82.638000000000005</v>
      </c>
      <c r="N121" s="8">
        <v>82.22</v>
      </c>
      <c r="O121" s="8">
        <v>82.638000000000005</v>
      </c>
      <c r="P121" s="8"/>
      <c r="Q121" s="10">
        <f t="shared" si="31"/>
        <v>0.41800000000000637</v>
      </c>
    </row>
    <row r="122" spans="1:17" x14ac:dyDescent="0.35">
      <c r="A122" s="3">
        <v>1969</v>
      </c>
      <c r="B122" s="4">
        <f t="shared" si="24"/>
        <v>60.601999999999997</v>
      </c>
      <c r="C122" s="4">
        <f t="shared" si="25"/>
        <v>61.732999999999997</v>
      </c>
      <c r="D122" s="4">
        <f t="shared" si="26"/>
        <v>81.569000000000003</v>
      </c>
      <c r="E122" s="4">
        <f t="shared" si="27"/>
        <v>81.930999999999997</v>
      </c>
      <c r="F122" s="4">
        <f t="shared" si="28"/>
        <v>1.1310000000000002</v>
      </c>
      <c r="G122" s="4">
        <f t="shared" si="29"/>
        <v>0</v>
      </c>
      <c r="H122" s="4">
        <f t="shared" si="30"/>
        <v>19.836000000000006</v>
      </c>
      <c r="I122" s="5">
        <v>61.731999999999999</v>
      </c>
      <c r="J122" s="5">
        <v>60.601999999999997</v>
      </c>
      <c r="K122" s="5">
        <v>61.732999999999997</v>
      </c>
      <c r="L122" s="5"/>
      <c r="M122" s="5">
        <v>81.93</v>
      </c>
      <c r="N122" s="5">
        <v>81.569000000000003</v>
      </c>
      <c r="O122" s="5">
        <v>81.930999999999997</v>
      </c>
      <c r="P122" s="5"/>
      <c r="Q122" s="10">
        <f t="shared" si="31"/>
        <v>0.36199999999999477</v>
      </c>
    </row>
    <row r="123" spans="1:17" x14ac:dyDescent="0.35">
      <c r="A123" s="6">
        <v>1970</v>
      </c>
      <c r="B123" s="7">
        <f t="shared" si="24"/>
        <v>59.81</v>
      </c>
      <c r="C123" s="7">
        <f t="shared" si="25"/>
        <v>60.997999999999998</v>
      </c>
      <c r="D123" s="7">
        <f t="shared" si="26"/>
        <v>80.272999999999996</v>
      </c>
      <c r="E123" s="7">
        <f t="shared" si="27"/>
        <v>80.72</v>
      </c>
      <c r="F123" s="7">
        <f t="shared" si="28"/>
        <v>1.1879999999999953</v>
      </c>
      <c r="G123" s="7">
        <f t="shared" si="29"/>
        <v>0</v>
      </c>
      <c r="H123" s="7">
        <f t="shared" si="30"/>
        <v>19.274999999999999</v>
      </c>
      <c r="I123" s="8">
        <v>60.997</v>
      </c>
      <c r="J123" s="8">
        <v>59.81</v>
      </c>
      <c r="K123" s="8">
        <v>60.997999999999998</v>
      </c>
      <c r="L123" s="8"/>
      <c r="M123" s="8">
        <v>80.718999999999994</v>
      </c>
      <c r="N123" s="8">
        <v>80.272999999999996</v>
      </c>
      <c r="O123" s="8">
        <v>80.72</v>
      </c>
      <c r="P123" s="8"/>
      <c r="Q123" s="10">
        <f t="shared" si="31"/>
        <v>0.44700000000000273</v>
      </c>
    </row>
    <row r="124" spans="1:17" x14ac:dyDescent="0.35">
      <c r="A124" s="3">
        <v>1971</v>
      </c>
      <c r="B124" s="4">
        <f t="shared" si="24"/>
        <v>58.634999999999998</v>
      </c>
      <c r="C124" s="4">
        <f t="shared" si="25"/>
        <v>59.584000000000003</v>
      </c>
      <c r="D124" s="4">
        <f t="shared" si="26"/>
        <v>79.209999999999994</v>
      </c>
      <c r="E124" s="4">
        <f t="shared" si="27"/>
        <v>79.593999999999994</v>
      </c>
      <c r="F124" s="4">
        <f t="shared" si="28"/>
        <v>0.94900000000000517</v>
      </c>
      <c r="G124" s="4">
        <f t="shared" si="29"/>
        <v>0</v>
      </c>
      <c r="H124" s="4">
        <f t="shared" si="30"/>
        <v>19.625999999999991</v>
      </c>
      <c r="I124" s="5">
        <v>59.582999999999998</v>
      </c>
      <c r="J124" s="5">
        <v>58.634999999999998</v>
      </c>
      <c r="K124" s="5">
        <v>59.584000000000003</v>
      </c>
      <c r="L124" s="5"/>
      <c r="M124" s="5">
        <v>79.593000000000004</v>
      </c>
      <c r="N124" s="5">
        <v>79.209999999999994</v>
      </c>
      <c r="O124" s="5">
        <v>79.593999999999994</v>
      </c>
      <c r="P124" s="5"/>
      <c r="Q124" s="10">
        <f t="shared" si="31"/>
        <v>0.38400000000000034</v>
      </c>
    </row>
    <row r="125" spans="1:17" x14ac:dyDescent="0.35">
      <c r="A125" s="6">
        <v>1972</v>
      </c>
      <c r="B125" s="7">
        <f t="shared" si="24"/>
        <v>58.539000000000001</v>
      </c>
      <c r="C125" s="7">
        <f t="shared" si="25"/>
        <v>59.463999999999999</v>
      </c>
      <c r="D125" s="7">
        <f t="shared" si="26"/>
        <v>79.227000000000004</v>
      </c>
      <c r="E125" s="7">
        <f t="shared" si="27"/>
        <v>79.516000000000005</v>
      </c>
      <c r="F125" s="7">
        <f t="shared" si="28"/>
        <v>0.92499999999999716</v>
      </c>
      <c r="G125" s="7">
        <f t="shared" si="29"/>
        <v>0</v>
      </c>
      <c r="H125" s="7">
        <f t="shared" si="30"/>
        <v>19.763000000000005</v>
      </c>
      <c r="I125" s="8">
        <v>59.463000000000001</v>
      </c>
      <c r="J125" s="8">
        <v>58.539000000000001</v>
      </c>
      <c r="K125" s="8">
        <v>59.463999999999999</v>
      </c>
      <c r="L125" s="8"/>
      <c r="M125" s="8">
        <v>79.513999999999996</v>
      </c>
      <c r="N125" s="8">
        <v>79.227000000000004</v>
      </c>
      <c r="O125" s="8">
        <v>79.516000000000005</v>
      </c>
      <c r="P125" s="8"/>
      <c r="Q125" s="10">
        <f t="shared" si="31"/>
        <v>0.28900000000000148</v>
      </c>
    </row>
    <row r="126" spans="1:17" x14ac:dyDescent="0.35">
      <c r="A126" s="3">
        <v>1973</v>
      </c>
      <c r="B126" s="4">
        <f t="shared" si="24"/>
        <v>58.302</v>
      </c>
      <c r="C126" s="4">
        <f t="shared" si="25"/>
        <v>59.143000000000001</v>
      </c>
      <c r="D126" s="4">
        <f t="shared" si="26"/>
        <v>78.804000000000002</v>
      </c>
      <c r="E126" s="4">
        <f t="shared" si="27"/>
        <v>78.995999999999995</v>
      </c>
      <c r="F126" s="4">
        <f t="shared" si="28"/>
        <v>0.84100000000000108</v>
      </c>
      <c r="G126" s="4">
        <f t="shared" si="29"/>
        <v>0</v>
      </c>
      <c r="H126" s="4">
        <f t="shared" si="30"/>
        <v>19.661000000000001</v>
      </c>
      <c r="I126" s="5">
        <v>59.142000000000003</v>
      </c>
      <c r="J126" s="5">
        <v>58.302</v>
      </c>
      <c r="K126" s="5">
        <v>59.143000000000001</v>
      </c>
      <c r="L126" s="5"/>
      <c r="M126" s="5">
        <v>78.994</v>
      </c>
      <c r="N126" s="5">
        <v>78.804000000000002</v>
      </c>
      <c r="O126" s="5">
        <v>78.995999999999995</v>
      </c>
      <c r="P126" s="5"/>
      <c r="Q126" s="10">
        <f t="shared" si="31"/>
        <v>0.19199999999999307</v>
      </c>
    </row>
    <row r="127" spans="1:17" x14ac:dyDescent="0.35">
      <c r="A127" s="6">
        <v>1974</v>
      </c>
      <c r="B127" s="7">
        <f t="shared" si="24"/>
        <v>56.982999999999997</v>
      </c>
      <c r="C127" s="7">
        <f t="shared" si="25"/>
        <v>57.728999999999999</v>
      </c>
      <c r="D127" s="7">
        <f t="shared" si="26"/>
        <v>78.11</v>
      </c>
      <c r="E127" s="7">
        <f t="shared" si="27"/>
        <v>78.319000000000003</v>
      </c>
      <c r="F127" s="7">
        <f t="shared" si="28"/>
        <v>0.74600000000000222</v>
      </c>
      <c r="G127" s="7">
        <f t="shared" si="29"/>
        <v>0</v>
      </c>
      <c r="H127" s="7">
        <f t="shared" si="30"/>
        <v>20.381</v>
      </c>
      <c r="I127" s="8">
        <v>57.728000000000002</v>
      </c>
      <c r="J127" s="8">
        <v>56.982999999999997</v>
      </c>
      <c r="K127" s="8">
        <v>57.728999999999999</v>
      </c>
      <c r="L127" s="8"/>
      <c r="M127" s="8">
        <v>78.317999999999998</v>
      </c>
      <c r="N127" s="8">
        <v>78.11</v>
      </c>
      <c r="O127" s="8">
        <v>78.319000000000003</v>
      </c>
      <c r="P127" s="8"/>
      <c r="Q127" s="10">
        <f t="shared" si="31"/>
        <v>0.20900000000000318</v>
      </c>
    </row>
    <row r="128" spans="1:17" x14ac:dyDescent="0.35">
      <c r="A128" s="3">
        <v>1975</v>
      </c>
      <c r="B128" s="4">
        <f t="shared" si="24"/>
        <v>54.615000000000002</v>
      </c>
      <c r="C128" s="4">
        <f t="shared" si="25"/>
        <v>55.384999999999998</v>
      </c>
      <c r="D128" s="4">
        <f t="shared" si="26"/>
        <v>76.790000000000006</v>
      </c>
      <c r="E128" s="4">
        <f t="shared" si="27"/>
        <v>77.046999999999997</v>
      </c>
      <c r="F128" s="4">
        <f t="shared" si="28"/>
        <v>0.76999999999999602</v>
      </c>
      <c r="G128" s="4">
        <f t="shared" si="29"/>
        <v>0</v>
      </c>
      <c r="H128" s="4">
        <f t="shared" si="30"/>
        <v>21.405000000000008</v>
      </c>
      <c r="I128" s="5">
        <v>55.383000000000003</v>
      </c>
      <c r="J128" s="5">
        <v>54.615000000000002</v>
      </c>
      <c r="K128" s="5">
        <v>55.384999999999998</v>
      </c>
      <c r="L128" s="5"/>
      <c r="M128" s="5">
        <v>77.045000000000002</v>
      </c>
      <c r="N128" s="5">
        <v>76.790000000000006</v>
      </c>
      <c r="O128" s="5">
        <v>77.046999999999997</v>
      </c>
      <c r="P128" s="5"/>
      <c r="Q128" s="10">
        <f t="shared" si="31"/>
        <v>0.25699999999999079</v>
      </c>
    </row>
    <row r="129" spans="1:17" x14ac:dyDescent="0.35">
      <c r="A129" s="6">
        <v>1976</v>
      </c>
      <c r="B129" s="7">
        <f t="shared" si="24"/>
        <v>54.698999999999998</v>
      </c>
      <c r="C129" s="7">
        <f t="shared" si="25"/>
        <v>55.265000000000001</v>
      </c>
      <c r="D129" s="7">
        <f t="shared" si="26"/>
        <v>76.668999999999997</v>
      </c>
      <c r="E129" s="7">
        <f t="shared" si="27"/>
        <v>76.736000000000004</v>
      </c>
      <c r="F129" s="7">
        <f t="shared" si="28"/>
        <v>0.5660000000000025</v>
      </c>
      <c r="G129" s="7">
        <f t="shared" si="29"/>
        <v>0</v>
      </c>
      <c r="H129" s="7">
        <f t="shared" si="30"/>
        <v>21.403999999999996</v>
      </c>
      <c r="I129" s="8">
        <v>55.264000000000003</v>
      </c>
      <c r="J129" s="8">
        <v>54.698999999999998</v>
      </c>
      <c r="K129" s="8">
        <v>55.265000000000001</v>
      </c>
      <c r="L129" s="8"/>
      <c r="M129" s="8">
        <v>76.733999999999995</v>
      </c>
      <c r="N129" s="8">
        <v>76.668999999999997</v>
      </c>
      <c r="O129" s="8">
        <v>76.736000000000004</v>
      </c>
      <c r="P129" s="8"/>
      <c r="Q129" s="10">
        <f t="shared" si="31"/>
        <v>6.7000000000007276E-2</v>
      </c>
    </row>
    <row r="130" spans="1:17" x14ac:dyDescent="0.35">
      <c r="A130" s="3">
        <v>1977</v>
      </c>
      <c r="B130" s="4">
        <f t="shared" si="24"/>
        <v>53.863</v>
      </c>
      <c r="C130" s="4">
        <f t="shared" si="25"/>
        <v>54.356000000000002</v>
      </c>
      <c r="D130" s="4">
        <f t="shared" si="26"/>
        <v>75.972999999999999</v>
      </c>
      <c r="E130" s="4">
        <f t="shared" si="27"/>
        <v>75.995999999999995</v>
      </c>
      <c r="F130" s="4">
        <f t="shared" si="28"/>
        <v>0.4930000000000021</v>
      </c>
      <c r="G130" s="4">
        <f t="shared" si="29"/>
        <v>0</v>
      </c>
      <c r="H130" s="4">
        <f t="shared" si="30"/>
        <v>21.616999999999997</v>
      </c>
      <c r="I130" s="5">
        <v>54.354999999999997</v>
      </c>
      <c r="J130" s="5">
        <v>53.863</v>
      </c>
      <c r="K130" s="5">
        <v>54.356000000000002</v>
      </c>
      <c r="L130" s="5"/>
      <c r="M130" s="5">
        <v>75.995000000000005</v>
      </c>
      <c r="N130" s="5">
        <v>75.972999999999999</v>
      </c>
      <c r="O130" s="5">
        <v>75.995999999999995</v>
      </c>
      <c r="P130" s="5"/>
      <c r="Q130" s="10">
        <f t="shared" si="31"/>
        <v>2.2999999999996135E-2</v>
      </c>
    </row>
    <row r="131" spans="1:17" x14ac:dyDescent="0.35">
      <c r="A131" s="6">
        <v>1978</v>
      </c>
      <c r="B131" s="7">
        <f t="shared" ref="B131:B162" si="32">IFERROR(MIN(I131:L131),"")</f>
        <v>53.268999999999998</v>
      </c>
      <c r="C131" s="7">
        <f t="shared" ref="C131:C162" si="33">IFERROR(MAX(I131:L131),"")</f>
        <v>53.585999999999999</v>
      </c>
      <c r="D131" s="7">
        <f t="shared" ref="D131:D162" si="34">IFERROR(MIN(M131:P131),"")</f>
        <v>75.183000000000007</v>
      </c>
      <c r="E131" s="7">
        <f t="shared" ref="E131:E162" si="35">IFERROR(MAX(M131:P131),"")</f>
        <v>75.325999999999993</v>
      </c>
      <c r="F131" s="7">
        <f t="shared" ref="F131:F162" si="36">IFERROR(MIN(C131,D131)-B131,"")</f>
        <v>0.31700000000000017</v>
      </c>
      <c r="G131" s="7">
        <f t="shared" ref="G131:G162" si="37">IFERROR(MAX(0,C131-D131),"")</f>
        <v>0</v>
      </c>
      <c r="H131" s="7">
        <f t="shared" ref="H131:H162" si="38">IFERROR(MAX(0,D131-C131),"")</f>
        <v>21.597000000000008</v>
      </c>
      <c r="I131" s="8">
        <v>53.585000000000001</v>
      </c>
      <c r="J131" s="8">
        <v>53.268999999999998</v>
      </c>
      <c r="K131" s="8">
        <v>53.585999999999999</v>
      </c>
      <c r="L131" s="8"/>
      <c r="M131" s="8">
        <v>75.183000000000007</v>
      </c>
      <c r="N131" s="8">
        <v>75.325999999999993</v>
      </c>
      <c r="O131" s="8">
        <v>75.183999999999997</v>
      </c>
      <c r="P131" s="8"/>
      <c r="Q131" s="10">
        <f t="shared" ref="Q131:Q162" si="39">IFERROR(MAX(0,$E131-MAX($C131,$D131)),"")</f>
        <v>0.14299999999998647</v>
      </c>
    </row>
    <row r="132" spans="1:17" x14ac:dyDescent="0.35">
      <c r="A132" s="3">
        <v>1979</v>
      </c>
      <c r="B132" s="4">
        <f t="shared" si="32"/>
        <v>53.179000000000002</v>
      </c>
      <c r="C132" s="4">
        <f t="shared" si="33"/>
        <v>53.453000000000003</v>
      </c>
      <c r="D132" s="4">
        <f t="shared" si="34"/>
        <v>74.641999999999996</v>
      </c>
      <c r="E132" s="4">
        <f t="shared" si="35"/>
        <v>74.846000000000004</v>
      </c>
      <c r="F132" s="4">
        <f t="shared" si="36"/>
        <v>0.27400000000000091</v>
      </c>
      <c r="G132" s="4">
        <f t="shared" si="37"/>
        <v>0</v>
      </c>
      <c r="H132" s="4">
        <f t="shared" si="38"/>
        <v>21.188999999999993</v>
      </c>
      <c r="I132" s="5">
        <v>53.451999999999998</v>
      </c>
      <c r="J132" s="5">
        <v>53.179000000000002</v>
      </c>
      <c r="K132" s="5">
        <v>53.453000000000003</v>
      </c>
      <c r="L132" s="5"/>
      <c r="M132" s="5">
        <v>74.641999999999996</v>
      </c>
      <c r="N132" s="5">
        <v>74.846000000000004</v>
      </c>
      <c r="O132" s="5">
        <v>74.643000000000001</v>
      </c>
      <c r="P132" s="5"/>
      <c r="Q132" s="10">
        <f t="shared" si="39"/>
        <v>0.20400000000000773</v>
      </c>
    </row>
    <row r="133" spans="1:17" x14ac:dyDescent="0.35">
      <c r="A133" s="6">
        <v>1980</v>
      </c>
      <c r="B133" s="7">
        <f t="shared" si="32"/>
        <v>51.853000000000002</v>
      </c>
      <c r="C133" s="7">
        <f t="shared" si="33"/>
        <v>52.095999999999997</v>
      </c>
      <c r="D133" s="7">
        <f t="shared" si="34"/>
        <v>74.11</v>
      </c>
      <c r="E133" s="7">
        <f t="shared" si="35"/>
        <v>74.352000000000004</v>
      </c>
      <c r="F133" s="7">
        <f t="shared" si="36"/>
        <v>0.242999999999995</v>
      </c>
      <c r="G133" s="7">
        <f t="shared" si="37"/>
        <v>0</v>
      </c>
      <c r="H133" s="7">
        <f t="shared" si="38"/>
        <v>22.014000000000003</v>
      </c>
      <c r="I133" s="8">
        <v>52.094999999999999</v>
      </c>
      <c r="J133" s="8">
        <v>51.853000000000002</v>
      </c>
      <c r="K133" s="8">
        <v>52.095999999999997</v>
      </c>
      <c r="L133" s="8"/>
      <c r="M133" s="8">
        <v>74.11</v>
      </c>
      <c r="N133" s="8">
        <v>74.352000000000004</v>
      </c>
      <c r="O133" s="8">
        <v>74.111000000000004</v>
      </c>
      <c r="P133" s="8"/>
      <c r="Q133" s="10">
        <f t="shared" si="39"/>
        <v>0.24200000000000443</v>
      </c>
    </row>
    <row r="134" spans="1:17" x14ac:dyDescent="0.35">
      <c r="A134" s="3">
        <v>1981</v>
      </c>
      <c r="B134" s="4">
        <f t="shared" si="32"/>
        <v>51.136000000000003</v>
      </c>
      <c r="C134" s="4">
        <f t="shared" si="33"/>
        <v>51.372</v>
      </c>
      <c r="D134" s="4">
        <f t="shared" si="34"/>
        <v>73.417000000000002</v>
      </c>
      <c r="E134" s="4">
        <f t="shared" si="35"/>
        <v>73.599999999999994</v>
      </c>
      <c r="F134" s="4">
        <f t="shared" si="36"/>
        <v>0.2359999999999971</v>
      </c>
      <c r="G134" s="4">
        <f t="shared" si="37"/>
        <v>0</v>
      </c>
      <c r="H134" s="4">
        <f t="shared" si="38"/>
        <v>22.045000000000002</v>
      </c>
      <c r="I134" s="5">
        <v>51.371000000000002</v>
      </c>
      <c r="J134" s="5">
        <v>51.136000000000003</v>
      </c>
      <c r="K134" s="5">
        <v>51.372</v>
      </c>
      <c r="L134" s="5"/>
      <c r="M134" s="5">
        <v>73.417000000000002</v>
      </c>
      <c r="N134" s="5">
        <v>73.599999999999994</v>
      </c>
      <c r="O134" s="5">
        <v>73.418000000000006</v>
      </c>
      <c r="P134" s="5"/>
      <c r="Q134" s="10">
        <f t="shared" si="39"/>
        <v>0.18299999999999272</v>
      </c>
    </row>
    <row r="135" spans="1:17" x14ac:dyDescent="0.35">
      <c r="A135" s="6">
        <v>1982</v>
      </c>
      <c r="B135" s="7">
        <f t="shared" si="32"/>
        <v>49.283999999999999</v>
      </c>
      <c r="C135" s="7">
        <f t="shared" si="33"/>
        <v>49.531999999999996</v>
      </c>
      <c r="D135" s="7">
        <f t="shared" si="34"/>
        <v>72.131</v>
      </c>
      <c r="E135" s="7">
        <f t="shared" si="35"/>
        <v>72.406999999999996</v>
      </c>
      <c r="F135" s="7">
        <f t="shared" si="36"/>
        <v>0.24799999999999756</v>
      </c>
      <c r="G135" s="7">
        <f t="shared" si="37"/>
        <v>0</v>
      </c>
      <c r="H135" s="7">
        <f t="shared" si="38"/>
        <v>22.599000000000004</v>
      </c>
      <c r="I135" s="8">
        <v>49.530999999999999</v>
      </c>
      <c r="J135" s="8">
        <v>49.283999999999999</v>
      </c>
      <c r="K135" s="8">
        <v>49.531999999999996</v>
      </c>
      <c r="L135" s="8"/>
      <c r="M135" s="8">
        <v>72.131</v>
      </c>
      <c r="N135" s="8">
        <v>72.406999999999996</v>
      </c>
      <c r="O135" s="8">
        <v>72.132000000000005</v>
      </c>
      <c r="P135" s="8"/>
      <c r="Q135" s="10">
        <f t="shared" si="39"/>
        <v>0.27599999999999625</v>
      </c>
    </row>
    <row r="136" spans="1:17" x14ac:dyDescent="0.35">
      <c r="A136" s="3">
        <v>1983</v>
      </c>
      <c r="B136" s="4">
        <f t="shared" si="32"/>
        <v>48.616</v>
      </c>
      <c r="C136" s="4">
        <f t="shared" si="33"/>
        <v>48.758000000000003</v>
      </c>
      <c r="D136" s="4">
        <f t="shared" si="34"/>
        <v>71.430000000000007</v>
      </c>
      <c r="E136" s="4">
        <f t="shared" si="35"/>
        <v>71.784000000000006</v>
      </c>
      <c r="F136" s="4">
        <f t="shared" si="36"/>
        <v>0.14200000000000301</v>
      </c>
      <c r="G136" s="4">
        <f t="shared" si="37"/>
        <v>0</v>
      </c>
      <c r="H136" s="4">
        <f t="shared" si="38"/>
        <v>22.672000000000004</v>
      </c>
      <c r="I136" s="5">
        <v>48.756999999999998</v>
      </c>
      <c r="J136" s="5">
        <v>48.616</v>
      </c>
      <c r="K136" s="5">
        <v>48.758000000000003</v>
      </c>
      <c r="L136" s="5"/>
      <c r="M136" s="5">
        <v>71.430000000000007</v>
      </c>
      <c r="N136" s="5">
        <v>71.784000000000006</v>
      </c>
      <c r="O136" s="5">
        <v>71.430999999999997</v>
      </c>
      <c r="P136" s="5"/>
      <c r="Q136" s="10">
        <f t="shared" si="39"/>
        <v>0.3539999999999992</v>
      </c>
    </row>
    <row r="137" spans="1:17" x14ac:dyDescent="0.35">
      <c r="A137" s="6">
        <v>1984</v>
      </c>
      <c r="B137" s="7">
        <f t="shared" si="32"/>
        <v>48.381</v>
      </c>
      <c r="C137" s="7">
        <f t="shared" si="33"/>
        <v>48.530999999999999</v>
      </c>
      <c r="D137" s="7">
        <f t="shared" si="34"/>
        <v>70.762</v>
      </c>
      <c r="E137" s="7">
        <f t="shared" si="35"/>
        <v>71.075000000000003</v>
      </c>
      <c r="F137" s="7">
        <f t="shared" si="36"/>
        <v>0.14999999999999858</v>
      </c>
      <c r="G137" s="7">
        <f t="shared" si="37"/>
        <v>0</v>
      </c>
      <c r="H137" s="7">
        <f t="shared" si="38"/>
        <v>22.231000000000002</v>
      </c>
      <c r="I137" s="8">
        <v>48.530999999999999</v>
      </c>
      <c r="J137" s="8">
        <v>48.381</v>
      </c>
      <c r="K137" s="8">
        <v>48.530999999999999</v>
      </c>
      <c r="L137" s="8"/>
      <c r="M137" s="8">
        <v>70.762</v>
      </c>
      <c r="N137" s="8">
        <v>71.075000000000003</v>
      </c>
      <c r="O137" s="8">
        <v>70.763000000000005</v>
      </c>
      <c r="P137" s="8"/>
      <c r="Q137" s="10">
        <f t="shared" si="39"/>
        <v>0.31300000000000239</v>
      </c>
    </row>
    <row r="138" spans="1:17" x14ac:dyDescent="0.35">
      <c r="A138" s="3">
        <v>1985</v>
      </c>
      <c r="B138" s="4">
        <f t="shared" si="32"/>
        <v>47.085999999999999</v>
      </c>
      <c r="C138" s="4">
        <f t="shared" si="33"/>
        <v>47.186</v>
      </c>
      <c r="D138" s="4">
        <f t="shared" si="34"/>
        <v>69.983999999999995</v>
      </c>
      <c r="E138" s="4">
        <f t="shared" si="35"/>
        <v>70.272000000000006</v>
      </c>
      <c r="F138" s="4">
        <f t="shared" si="36"/>
        <v>0.10000000000000142</v>
      </c>
      <c r="G138" s="4">
        <f t="shared" si="37"/>
        <v>0</v>
      </c>
      <c r="H138" s="4">
        <f t="shared" si="38"/>
        <v>22.797999999999995</v>
      </c>
      <c r="I138" s="5">
        <v>47.186</v>
      </c>
      <c r="J138" s="5">
        <v>47.085999999999999</v>
      </c>
      <c r="K138" s="5">
        <v>47.186</v>
      </c>
      <c r="L138" s="5"/>
      <c r="M138" s="5">
        <v>69.983999999999995</v>
      </c>
      <c r="N138" s="5">
        <v>70.272000000000006</v>
      </c>
      <c r="O138" s="5">
        <v>69.983999999999995</v>
      </c>
      <c r="P138" s="5"/>
      <c r="Q138" s="10">
        <f t="shared" si="39"/>
        <v>0.28800000000001091</v>
      </c>
    </row>
    <row r="139" spans="1:17" x14ac:dyDescent="0.35">
      <c r="A139" s="6">
        <v>1986</v>
      </c>
      <c r="B139" s="7">
        <f t="shared" si="32"/>
        <v>46.331000000000003</v>
      </c>
      <c r="C139" s="7">
        <f t="shared" si="33"/>
        <v>46.414000000000001</v>
      </c>
      <c r="D139" s="7">
        <f t="shared" si="34"/>
        <v>69.075000000000003</v>
      </c>
      <c r="E139" s="7">
        <f t="shared" si="35"/>
        <v>69.483000000000004</v>
      </c>
      <c r="F139" s="7">
        <f t="shared" si="36"/>
        <v>8.2999999999998408E-2</v>
      </c>
      <c r="G139" s="7">
        <f t="shared" si="37"/>
        <v>0</v>
      </c>
      <c r="H139" s="7">
        <f t="shared" si="38"/>
        <v>22.661000000000001</v>
      </c>
      <c r="I139" s="8">
        <v>46.414000000000001</v>
      </c>
      <c r="J139" s="8">
        <v>46.331000000000003</v>
      </c>
      <c r="K139" s="8">
        <v>46.414000000000001</v>
      </c>
      <c r="L139" s="8"/>
      <c r="M139" s="8">
        <v>69.075000000000003</v>
      </c>
      <c r="N139" s="8">
        <v>69.483000000000004</v>
      </c>
      <c r="O139" s="8">
        <v>69.075000000000003</v>
      </c>
      <c r="P139" s="8"/>
      <c r="Q139" s="10">
        <f t="shared" si="39"/>
        <v>0.40800000000000125</v>
      </c>
    </row>
    <row r="140" spans="1:17" x14ac:dyDescent="0.35">
      <c r="A140" s="3">
        <v>1987</v>
      </c>
      <c r="B140" s="4">
        <f t="shared" si="32"/>
        <v>46.326999999999998</v>
      </c>
      <c r="C140" s="4">
        <f t="shared" si="33"/>
        <v>46.368000000000002</v>
      </c>
      <c r="D140" s="4">
        <f t="shared" si="34"/>
        <v>68.539000000000001</v>
      </c>
      <c r="E140" s="4">
        <f t="shared" si="35"/>
        <v>68.963999999999999</v>
      </c>
      <c r="F140" s="4">
        <f t="shared" si="36"/>
        <v>4.1000000000003922E-2</v>
      </c>
      <c r="G140" s="4">
        <f t="shared" si="37"/>
        <v>0</v>
      </c>
      <c r="H140" s="4">
        <f t="shared" si="38"/>
        <v>22.170999999999999</v>
      </c>
      <c r="I140" s="5">
        <v>46.368000000000002</v>
      </c>
      <c r="J140" s="5">
        <v>46.326999999999998</v>
      </c>
      <c r="K140" s="5">
        <v>46.368000000000002</v>
      </c>
      <c r="L140" s="5"/>
      <c r="M140" s="5">
        <v>68.539000000000001</v>
      </c>
      <c r="N140" s="5">
        <v>68.963999999999999</v>
      </c>
      <c r="O140" s="5">
        <v>68.539000000000001</v>
      </c>
      <c r="P140" s="5"/>
      <c r="Q140" s="10">
        <f t="shared" si="39"/>
        <v>0.42499999999999716</v>
      </c>
    </row>
    <row r="141" spans="1:17" x14ac:dyDescent="0.35">
      <c r="A141" s="6">
        <v>1988</v>
      </c>
      <c r="B141" s="7">
        <f t="shared" si="32"/>
        <v>46.100999999999999</v>
      </c>
      <c r="C141" s="7">
        <f t="shared" si="33"/>
        <v>46.206000000000003</v>
      </c>
      <c r="D141" s="7">
        <f t="shared" si="34"/>
        <v>67.635000000000005</v>
      </c>
      <c r="E141" s="7">
        <f t="shared" si="35"/>
        <v>68.183999999999997</v>
      </c>
      <c r="F141" s="7">
        <f t="shared" si="36"/>
        <v>0.10500000000000398</v>
      </c>
      <c r="G141" s="7">
        <f t="shared" si="37"/>
        <v>0</v>
      </c>
      <c r="H141" s="7">
        <f t="shared" si="38"/>
        <v>21.429000000000002</v>
      </c>
      <c r="I141" s="8">
        <v>46.100999999999999</v>
      </c>
      <c r="J141" s="8">
        <v>46.206000000000003</v>
      </c>
      <c r="K141" s="8">
        <v>46.100999999999999</v>
      </c>
      <c r="L141" s="8"/>
      <c r="M141" s="8">
        <v>67.635000000000005</v>
      </c>
      <c r="N141" s="8">
        <v>68.183999999999997</v>
      </c>
      <c r="O141" s="8">
        <v>67.635000000000005</v>
      </c>
      <c r="P141" s="8"/>
      <c r="Q141" s="10">
        <f t="shared" si="39"/>
        <v>0.54899999999999238</v>
      </c>
    </row>
    <row r="142" spans="1:17" x14ac:dyDescent="0.35">
      <c r="A142" s="3">
        <v>1989</v>
      </c>
      <c r="B142" s="4">
        <f t="shared" si="32"/>
        <v>46.408000000000001</v>
      </c>
      <c r="C142" s="4">
        <f t="shared" si="33"/>
        <v>46.478999999999999</v>
      </c>
      <c r="D142" s="4">
        <f t="shared" si="34"/>
        <v>67.278999999999996</v>
      </c>
      <c r="E142" s="4">
        <f t="shared" si="35"/>
        <v>67.558999999999997</v>
      </c>
      <c r="F142" s="4">
        <f t="shared" si="36"/>
        <v>7.0999999999997954E-2</v>
      </c>
      <c r="G142" s="4">
        <f t="shared" si="37"/>
        <v>0</v>
      </c>
      <c r="H142" s="4">
        <f t="shared" si="38"/>
        <v>20.799999999999997</v>
      </c>
      <c r="I142" s="5">
        <v>46.478000000000002</v>
      </c>
      <c r="J142" s="5">
        <v>46.408000000000001</v>
      </c>
      <c r="K142" s="5">
        <v>46.478999999999999</v>
      </c>
      <c r="L142" s="5"/>
      <c r="M142" s="5">
        <v>67.278999999999996</v>
      </c>
      <c r="N142" s="5">
        <v>67.558999999999997</v>
      </c>
      <c r="O142" s="5">
        <v>67.28</v>
      </c>
      <c r="P142" s="5"/>
      <c r="Q142" s="10">
        <f t="shared" si="39"/>
        <v>0.28000000000000114</v>
      </c>
    </row>
    <row r="143" spans="1:17" x14ac:dyDescent="0.35">
      <c r="A143" s="6">
        <v>1990</v>
      </c>
      <c r="B143" s="7">
        <f t="shared" si="32"/>
        <v>47.018999999999998</v>
      </c>
      <c r="C143" s="7">
        <f t="shared" si="33"/>
        <v>47.491999999999997</v>
      </c>
      <c r="D143" s="7">
        <f t="shared" si="34"/>
        <v>67.433999999999997</v>
      </c>
      <c r="E143" s="7">
        <f t="shared" si="35"/>
        <v>68.102000000000004</v>
      </c>
      <c r="F143" s="7">
        <f t="shared" si="36"/>
        <v>0.47299999999999898</v>
      </c>
      <c r="G143" s="7">
        <f t="shared" si="37"/>
        <v>0</v>
      </c>
      <c r="H143" s="7">
        <f t="shared" si="38"/>
        <v>19.942</v>
      </c>
      <c r="I143" s="8">
        <v>47.491999999999997</v>
      </c>
      <c r="J143" s="8">
        <v>47.018999999999998</v>
      </c>
      <c r="K143" s="8">
        <v>47.491999999999997</v>
      </c>
      <c r="L143" s="8"/>
      <c r="M143" s="8">
        <v>68.100999999999999</v>
      </c>
      <c r="N143" s="8">
        <v>67.433999999999997</v>
      </c>
      <c r="O143" s="8">
        <v>68.102000000000004</v>
      </c>
      <c r="P143" s="8"/>
      <c r="Q143" s="10">
        <f t="shared" si="39"/>
        <v>0.66800000000000637</v>
      </c>
    </row>
    <row r="144" spans="1:17" x14ac:dyDescent="0.35">
      <c r="A144" s="3">
        <v>1991</v>
      </c>
      <c r="B144" s="4">
        <f t="shared" si="32"/>
        <v>46.337000000000003</v>
      </c>
      <c r="C144" s="4">
        <f t="shared" si="33"/>
        <v>47.404000000000003</v>
      </c>
      <c r="D144" s="4">
        <f t="shared" si="34"/>
        <v>65.218000000000004</v>
      </c>
      <c r="E144" s="4">
        <f t="shared" si="35"/>
        <v>66.713999999999999</v>
      </c>
      <c r="F144" s="4">
        <f t="shared" si="36"/>
        <v>1.0670000000000002</v>
      </c>
      <c r="G144" s="4">
        <f t="shared" si="37"/>
        <v>0</v>
      </c>
      <c r="H144" s="4">
        <f t="shared" si="38"/>
        <v>17.814</v>
      </c>
      <c r="I144" s="5">
        <v>46.404000000000003</v>
      </c>
      <c r="J144" s="5">
        <v>46.337000000000003</v>
      </c>
      <c r="K144" s="5">
        <v>47.404000000000003</v>
      </c>
      <c r="L144" s="5"/>
      <c r="M144" s="5">
        <v>65.305999999999997</v>
      </c>
      <c r="N144" s="5">
        <v>65.218000000000004</v>
      </c>
      <c r="O144" s="5">
        <v>66.713999999999999</v>
      </c>
      <c r="P144" s="5"/>
      <c r="Q144" s="10">
        <f t="shared" si="39"/>
        <v>1.4959999999999951</v>
      </c>
    </row>
    <row r="145" spans="1:17" x14ac:dyDescent="0.35">
      <c r="A145" s="6">
        <v>1992</v>
      </c>
      <c r="B145" s="7">
        <f t="shared" si="32"/>
        <v>47.773000000000003</v>
      </c>
      <c r="C145" s="7">
        <f t="shared" si="33"/>
        <v>48.146000000000001</v>
      </c>
      <c r="D145" s="7">
        <f t="shared" si="34"/>
        <v>64.594999999999999</v>
      </c>
      <c r="E145" s="7">
        <f t="shared" si="35"/>
        <v>65.091999999999999</v>
      </c>
      <c r="F145" s="7">
        <f t="shared" si="36"/>
        <v>0.37299999999999756</v>
      </c>
      <c r="G145" s="7">
        <f t="shared" si="37"/>
        <v>0</v>
      </c>
      <c r="H145" s="7">
        <f t="shared" si="38"/>
        <v>16.448999999999998</v>
      </c>
      <c r="I145" s="8">
        <v>48.146000000000001</v>
      </c>
      <c r="J145" s="8">
        <v>47.773000000000003</v>
      </c>
      <c r="K145" s="8">
        <v>48.146000000000001</v>
      </c>
      <c r="L145" s="8"/>
      <c r="M145" s="8">
        <v>65.091999999999999</v>
      </c>
      <c r="N145" s="8">
        <v>64.594999999999999</v>
      </c>
      <c r="O145" s="8">
        <v>65.091999999999999</v>
      </c>
      <c r="P145" s="8"/>
      <c r="Q145" s="10">
        <f t="shared" si="39"/>
        <v>0.49699999999999989</v>
      </c>
    </row>
    <row r="146" spans="1:17" x14ac:dyDescent="0.35">
      <c r="A146" s="3">
        <v>1993</v>
      </c>
      <c r="B146" s="4">
        <f t="shared" si="32"/>
        <v>47.558999999999997</v>
      </c>
      <c r="C146" s="4">
        <f t="shared" si="33"/>
        <v>47.837000000000003</v>
      </c>
      <c r="D146" s="4">
        <f t="shared" si="34"/>
        <v>63.311999999999998</v>
      </c>
      <c r="E146" s="4">
        <f t="shared" si="35"/>
        <v>63.677</v>
      </c>
      <c r="F146" s="4">
        <f t="shared" si="36"/>
        <v>0.2780000000000058</v>
      </c>
      <c r="G146" s="4">
        <f t="shared" si="37"/>
        <v>0</v>
      </c>
      <c r="H146" s="4">
        <f t="shared" si="38"/>
        <v>15.474999999999994</v>
      </c>
      <c r="I146" s="5">
        <v>47.837000000000003</v>
      </c>
      <c r="J146" s="5">
        <v>47.558999999999997</v>
      </c>
      <c r="K146" s="5">
        <v>47.837000000000003</v>
      </c>
      <c r="L146" s="5"/>
      <c r="M146" s="5">
        <v>63.677</v>
      </c>
      <c r="N146" s="5">
        <v>63.311999999999998</v>
      </c>
      <c r="O146" s="5">
        <v>63.677</v>
      </c>
      <c r="P146" s="5"/>
      <c r="Q146" s="10">
        <f t="shared" si="39"/>
        <v>0.36500000000000199</v>
      </c>
    </row>
    <row r="147" spans="1:17" x14ac:dyDescent="0.35">
      <c r="A147" s="6">
        <v>1994</v>
      </c>
      <c r="B147" s="7">
        <f t="shared" si="32"/>
        <v>47.987000000000002</v>
      </c>
      <c r="C147" s="7">
        <f t="shared" si="33"/>
        <v>48.103000000000002</v>
      </c>
      <c r="D147" s="7">
        <f t="shared" si="34"/>
        <v>62.101999999999997</v>
      </c>
      <c r="E147" s="7">
        <f t="shared" si="35"/>
        <v>62.246000000000002</v>
      </c>
      <c r="F147" s="7">
        <f t="shared" si="36"/>
        <v>0.11599999999999966</v>
      </c>
      <c r="G147" s="7">
        <f t="shared" si="37"/>
        <v>0</v>
      </c>
      <c r="H147" s="7">
        <f t="shared" si="38"/>
        <v>13.998999999999995</v>
      </c>
      <c r="I147" s="8">
        <v>48.103000000000002</v>
      </c>
      <c r="J147" s="8">
        <v>47.987000000000002</v>
      </c>
      <c r="K147" s="8">
        <v>48.103000000000002</v>
      </c>
      <c r="L147" s="8"/>
      <c r="M147" s="8">
        <v>62.246000000000002</v>
      </c>
      <c r="N147" s="8">
        <v>62.101999999999997</v>
      </c>
      <c r="O147" s="8">
        <v>62.246000000000002</v>
      </c>
      <c r="P147" s="8"/>
      <c r="Q147" s="10">
        <f t="shared" si="39"/>
        <v>0.14400000000000546</v>
      </c>
    </row>
    <row r="148" spans="1:17" x14ac:dyDescent="0.35">
      <c r="A148" s="3">
        <v>1995</v>
      </c>
      <c r="B148" s="4">
        <f t="shared" si="32"/>
        <v>47.442999999999998</v>
      </c>
      <c r="C148" s="4">
        <f t="shared" si="33"/>
        <v>47.627000000000002</v>
      </c>
      <c r="D148" s="4">
        <f t="shared" si="34"/>
        <v>61.024000000000001</v>
      </c>
      <c r="E148" s="4">
        <f t="shared" si="35"/>
        <v>61.253999999999998</v>
      </c>
      <c r="F148" s="4">
        <f t="shared" si="36"/>
        <v>0.1840000000000046</v>
      </c>
      <c r="G148" s="4">
        <f t="shared" si="37"/>
        <v>0</v>
      </c>
      <c r="H148" s="4">
        <f t="shared" si="38"/>
        <v>13.396999999999998</v>
      </c>
      <c r="I148" s="5">
        <v>47.627000000000002</v>
      </c>
      <c r="J148" s="5">
        <v>47.442999999999998</v>
      </c>
      <c r="K148" s="5">
        <v>47.627000000000002</v>
      </c>
      <c r="L148" s="5"/>
      <c r="M148" s="5">
        <v>61.253999999999998</v>
      </c>
      <c r="N148" s="5">
        <v>61.024000000000001</v>
      </c>
      <c r="O148" s="5">
        <v>61.253999999999998</v>
      </c>
      <c r="P148" s="5"/>
      <c r="Q148" s="10">
        <f t="shared" si="39"/>
        <v>0.22999999999999687</v>
      </c>
    </row>
    <row r="149" spans="1:17" x14ac:dyDescent="0.35">
      <c r="A149" s="6">
        <v>1996</v>
      </c>
      <c r="B149" s="7">
        <f t="shared" si="32"/>
        <v>47.234000000000002</v>
      </c>
      <c r="C149" s="7">
        <f t="shared" si="33"/>
        <v>47.533999999999999</v>
      </c>
      <c r="D149" s="7">
        <f t="shared" si="34"/>
        <v>60.298000000000002</v>
      </c>
      <c r="E149" s="7">
        <f t="shared" si="35"/>
        <v>60.674999999999997</v>
      </c>
      <c r="F149" s="7">
        <f t="shared" si="36"/>
        <v>0.29999999999999716</v>
      </c>
      <c r="G149" s="7">
        <f t="shared" si="37"/>
        <v>0</v>
      </c>
      <c r="H149" s="7">
        <f t="shared" si="38"/>
        <v>12.764000000000003</v>
      </c>
      <c r="I149" s="8">
        <v>47.533999999999999</v>
      </c>
      <c r="J149" s="8">
        <v>47.234000000000002</v>
      </c>
      <c r="K149" s="8">
        <v>47.533999999999999</v>
      </c>
      <c r="L149" s="8"/>
      <c r="M149" s="8">
        <v>60.674999999999997</v>
      </c>
      <c r="N149" s="8">
        <v>60.298000000000002</v>
      </c>
      <c r="O149" s="8">
        <v>60.674999999999997</v>
      </c>
      <c r="P149" s="8"/>
      <c r="Q149" s="10">
        <f t="shared" si="39"/>
        <v>0.37699999999999534</v>
      </c>
    </row>
    <row r="150" spans="1:17" x14ac:dyDescent="0.35">
      <c r="A150" s="3">
        <v>1997</v>
      </c>
      <c r="B150" s="4">
        <f t="shared" si="32"/>
        <v>47.017000000000003</v>
      </c>
      <c r="C150" s="4">
        <f t="shared" si="33"/>
        <v>47.420999999999999</v>
      </c>
      <c r="D150" s="4">
        <f t="shared" si="34"/>
        <v>59.433999999999997</v>
      </c>
      <c r="E150" s="4">
        <f t="shared" si="35"/>
        <v>59.94</v>
      </c>
      <c r="F150" s="4">
        <f t="shared" si="36"/>
        <v>0.40399999999999636</v>
      </c>
      <c r="G150" s="4">
        <f t="shared" si="37"/>
        <v>0</v>
      </c>
      <c r="H150" s="4">
        <f t="shared" si="38"/>
        <v>12.012999999999998</v>
      </c>
      <c r="I150" s="5">
        <v>47.420999999999999</v>
      </c>
      <c r="J150" s="5">
        <v>47.017000000000003</v>
      </c>
      <c r="K150" s="5">
        <v>47.420999999999999</v>
      </c>
      <c r="L150" s="5"/>
      <c r="M150" s="5">
        <v>59.94</v>
      </c>
      <c r="N150" s="5">
        <v>59.433999999999997</v>
      </c>
      <c r="O150" s="5">
        <v>59.94</v>
      </c>
      <c r="P150" s="5"/>
      <c r="Q150" s="10">
        <f t="shared" si="39"/>
        <v>0.50600000000000023</v>
      </c>
    </row>
    <row r="151" spans="1:17" x14ac:dyDescent="0.35">
      <c r="A151" s="6">
        <v>1998</v>
      </c>
      <c r="B151" s="7">
        <f t="shared" si="32"/>
        <v>47.555</v>
      </c>
      <c r="C151" s="7">
        <f t="shared" si="33"/>
        <v>48.07</v>
      </c>
      <c r="D151" s="7">
        <f t="shared" si="34"/>
        <v>59.673000000000002</v>
      </c>
      <c r="E151" s="7">
        <f t="shared" si="35"/>
        <v>60.317</v>
      </c>
      <c r="F151" s="7">
        <f t="shared" si="36"/>
        <v>0.51500000000000057</v>
      </c>
      <c r="G151" s="7">
        <f t="shared" si="37"/>
        <v>0</v>
      </c>
      <c r="H151" s="7">
        <f t="shared" si="38"/>
        <v>11.603000000000002</v>
      </c>
      <c r="I151" s="8">
        <v>48.07</v>
      </c>
      <c r="J151" s="8">
        <v>47.555</v>
      </c>
      <c r="K151" s="8">
        <v>48.07</v>
      </c>
      <c r="L151" s="8"/>
      <c r="M151" s="8">
        <v>60.317</v>
      </c>
      <c r="N151" s="8">
        <v>59.673000000000002</v>
      </c>
      <c r="O151" s="8">
        <v>60.317</v>
      </c>
      <c r="P151" s="8"/>
      <c r="Q151" s="10">
        <f t="shared" si="39"/>
        <v>0.64399999999999835</v>
      </c>
    </row>
    <row r="152" spans="1:17" x14ac:dyDescent="0.35">
      <c r="A152" s="3">
        <v>1999</v>
      </c>
      <c r="B152" s="4">
        <f t="shared" si="32"/>
        <v>46.932000000000002</v>
      </c>
      <c r="C152" s="4">
        <f t="shared" si="33"/>
        <v>47.5</v>
      </c>
      <c r="D152" s="4">
        <f t="shared" si="34"/>
        <v>58.555999999999997</v>
      </c>
      <c r="E152" s="4">
        <f t="shared" si="35"/>
        <v>59.26</v>
      </c>
      <c r="F152" s="4">
        <f t="shared" si="36"/>
        <v>0.56799999999999784</v>
      </c>
      <c r="G152" s="4">
        <f t="shared" si="37"/>
        <v>0</v>
      </c>
      <c r="H152" s="4">
        <f t="shared" si="38"/>
        <v>11.055999999999997</v>
      </c>
      <c r="I152" s="5">
        <v>47.5</v>
      </c>
      <c r="J152" s="5">
        <v>46.932000000000002</v>
      </c>
      <c r="K152" s="5">
        <v>47.5</v>
      </c>
      <c r="L152" s="5"/>
      <c r="M152" s="5">
        <v>59.26</v>
      </c>
      <c r="N152" s="5">
        <v>58.555999999999997</v>
      </c>
      <c r="O152" s="5">
        <v>59.26</v>
      </c>
      <c r="P152" s="5"/>
      <c r="Q152" s="10">
        <f t="shared" si="39"/>
        <v>0.70400000000000063</v>
      </c>
    </row>
    <row r="153" spans="1:17" x14ac:dyDescent="0.35">
      <c r="A153" s="6">
        <v>2000</v>
      </c>
      <c r="B153" s="7">
        <f t="shared" si="32"/>
        <v>46.814999999999998</v>
      </c>
      <c r="C153" s="7">
        <f t="shared" si="33"/>
        <v>47.432000000000002</v>
      </c>
      <c r="D153" s="7">
        <f t="shared" si="34"/>
        <v>58.057000000000002</v>
      </c>
      <c r="E153" s="7">
        <f t="shared" si="35"/>
        <v>58.819000000000003</v>
      </c>
      <c r="F153" s="7">
        <f t="shared" si="36"/>
        <v>0.61700000000000443</v>
      </c>
      <c r="G153" s="7">
        <f t="shared" si="37"/>
        <v>0</v>
      </c>
      <c r="H153" s="7">
        <f t="shared" si="38"/>
        <v>10.625</v>
      </c>
      <c r="I153" s="8">
        <v>47.432000000000002</v>
      </c>
      <c r="J153" s="8">
        <v>46.814999999999998</v>
      </c>
      <c r="K153" s="8">
        <v>47.432000000000002</v>
      </c>
      <c r="L153" s="8"/>
      <c r="M153" s="8">
        <v>58.819000000000003</v>
      </c>
      <c r="N153" s="8">
        <v>58.057000000000002</v>
      </c>
      <c r="O153" s="8">
        <v>58.819000000000003</v>
      </c>
      <c r="P153" s="8"/>
      <c r="Q153" s="10">
        <f t="shared" si="39"/>
        <v>0.76200000000000045</v>
      </c>
    </row>
    <row r="154" spans="1:17" x14ac:dyDescent="0.35">
      <c r="A154" s="3">
        <v>2001</v>
      </c>
      <c r="B154" s="4">
        <f t="shared" si="32"/>
        <v>46.026000000000003</v>
      </c>
      <c r="C154" s="4">
        <f t="shared" si="33"/>
        <v>46.768999999999998</v>
      </c>
      <c r="D154" s="4">
        <f t="shared" si="34"/>
        <v>57.354999999999997</v>
      </c>
      <c r="E154" s="4">
        <f t="shared" si="35"/>
        <v>58.277999999999999</v>
      </c>
      <c r="F154" s="4">
        <f t="shared" si="36"/>
        <v>0.742999999999995</v>
      </c>
      <c r="G154" s="4">
        <f t="shared" si="37"/>
        <v>0</v>
      </c>
      <c r="H154" s="4">
        <f t="shared" si="38"/>
        <v>10.585999999999999</v>
      </c>
      <c r="I154" s="5">
        <v>46.768999999999998</v>
      </c>
      <c r="J154" s="5">
        <v>46.026000000000003</v>
      </c>
      <c r="K154" s="5">
        <v>46.768999999999998</v>
      </c>
      <c r="L154" s="5"/>
      <c r="M154" s="5">
        <v>58.277999999999999</v>
      </c>
      <c r="N154" s="5">
        <v>57.354999999999997</v>
      </c>
      <c r="O154" s="5">
        <v>58.277999999999999</v>
      </c>
      <c r="P154" s="5"/>
      <c r="Q154" s="10">
        <f t="shared" si="39"/>
        <v>0.92300000000000182</v>
      </c>
    </row>
    <row r="155" spans="1:17" x14ac:dyDescent="0.35">
      <c r="A155" s="6">
        <v>2002</v>
      </c>
      <c r="B155" s="7">
        <f t="shared" si="32"/>
        <v>45.194000000000003</v>
      </c>
      <c r="C155" s="7">
        <f t="shared" si="33"/>
        <v>46.061999999999998</v>
      </c>
      <c r="D155" s="7">
        <f t="shared" si="34"/>
        <v>56.146999999999998</v>
      </c>
      <c r="E155" s="7">
        <f t="shared" si="35"/>
        <v>57.222999999999999</v>
      </c>
      <c r="F155" s="7">
        <f t="shared" si="36"/>
        <v>0.867999999999995</v>
      </c>
      <c r="G155" s="7">
        <f t="shared" si="37"/>
        <v>0</v>
      </c>
      <c r="H155" s="7">
        <f t="shared" si="38"/>
        <v>10.085000000000001</v>
      </c>
      <c r="I155" s="8">
        <v>46.061999999999998</v>
      </c>
      <c r="J155" s="8">
        <v>45.194000000000003</v>
      </c>
      <c r="K155" s="8">
        <v>46.061999999999998</v>
      </c>
      <c r="L155" s="8"/>
      <c r="M155" s="8">
        <v>57.222999999999999</v>
      </c>
      <c r="N155" s="8">
        <v>56.146999999999998</v>
      </c>
      <c r="O155" s="8">
        <v>57.222999999999999</v>
      </c>
      <c r="P155" s="8"/>
      <c r="Q155" s="10">
        <f t="shared" si="39"/>
        <v>1.0760000000000005</v>
      </c>
    </row>
    <row r="156" spans="1:17" x14ac:dyDescent="0.35">
      <c r="A156" s="3">
        <v>2003</v>
      </c>
      <c r="B156" s="4">
        <f t="shared" si="32"/>
        <v>43.493000000000002</v>
      </c>
      <c r="C156" s="4">
        <f t="shared" si="33"/>
        <v>44.311</v>
      </c>
      <c r="D156" s="4">
        <f t="shared" si="34"/>
        <v>54.23</v>
      </c>
      <c r="E156" s="4">
        <f t="shared" si="35"/>
        <v>55.249000000000002</v>
      </c>
      <c r="F156" s="4">
        <f t="shared" si="36"/>
        <v>0.81799999999999784</v>
      </c>
      <c r="G156" s="4">
        <f t="shared" si="37"/>
        <v>0</v>
      </c>
      <c r="H156" s="4">
        <f t="shared" si="38"/>
        <v>9.9189999999999969</v>
      </c>
      <c r="I156" s="5">
        <v>44.311</v>
      </c>
      <c r="J156" s="5">
        <v>43.493000000000002</v>
      </c>
      <c r="K156" s="5">
        <v>44.311</v>
      </c>
      <c r="L156" s="5"/>
      <c r="M156" s="5">
        <v>55.249000000000002</v>
      </c>
      <c r="N156" s="5">
        <v>54.23</v>
      </c>
      <c r="O156" s="5">
        <v>55.249000000000002</v>
      </c>
      <c r="P156" s="5"/>
      <c r="Q156" s="10">
        <f t="shared" si="39"/>
        <v>1.0190000000000055</v>
      </c>
    </row>
    <row r="157" spans="1:17" x14ac:dyDescent="0.35">
      <c r="A157" s="6">
        <v>2004</v>
      </c>
      <c r="B157" s="7">
        <f t="shared" si="32"/>
        <v>42.338999999999999</v>
      </c>
      <c r="C157" s="7">
        <f t="shared" si="33"/>
        <v>43.304000000000002</v>
      </c>
      <c r="D157" s="7">
        <f t="shared" si="34"/>
        <v>52.78</v>
      </c>
      <c r="E157" s="7">
        <f t="shared" si="35"/>
        <v>53.981999999999999</v>
      </c>
      <c r="F157" s="7">
        <f t="shared" si="36"/>
        <v>0.96500000000000341</v>
      </c>
      <c r="G157" s="7">
        <f t="shared" si="37"/>
        <v>0</v>
      </c>
      <c r="H157" s="7">
        <f t="shared" si="38"/>
        <v>9.4759999999999991</v>
      </c>
      <c r="I157" s="8">
        <v>43.304000000000002</v>
      </c>
      <c r="J157" s="8">
        <v>42.338999999999999</v>
      </c>
      <c r="K157" s="8">
        <v>43.304000000000002</v>
      </c>
      <c r="L157" s="8"/>
      <c r="M157" s="8">
        <v>53.981999999999999</v>
      </c>
      <c r="N157" s="8">
        <v>52.78</v>
      </c>
      <c r="O157" s="8">
        <v>53.981999999999999</v>
      </c>
      <c r="P157" s="8"/>
      <c r="Q157" s="10">
        <f t="shared" si="39"/>
        <v>1.2019999999999982</v>
      </c>
    </row>
    <row r="158" spans="1:17" x14ac:dyDescent="0.35">
      <c r="A158" s="3">
        <v>2005</v>
      </c>
      <c r="B158" s="4">
        <f t="shared" si="32"/>
        <v>40.831000000000003</v>
      </c>
      <c r="C158" s="4">
        <f t="shared" si="33"/>
        <v>41.908000000000001</v>
      </c>
      <c r="D158" s="4">
        <f t="shared" si="34"/>
        <v>51.023000000000003</v>
      </c>
      <c r="E158" s="4">
        <f t="shared" si="35"/>
        <v>52.366999999999997</v>
      </c>
      <c r="F158" s="4">
        <f t="shared" si="36"/>
        <v>1.0769999999999982</v>
      </c>
      <c r="G158" s="4">
        <f t="shared" si="37"/>
        <v>0</v>
      </c>
      <c r="H158" s="4">
        <f t="shared" si="38"/>
        <v>9.115000000000002</v>
      </c>
      <c r="I158" s="5">
        <v>41.908000000000001</v>
      </c>
      <c r="J158" s="5">
        <v>40.831000000000003</v>
      </c>
      <c r="K158" s="5">
        <v>41.908000000000001</v>
      </c>
      <c r="L158" s="5"/>
      <c r="M158" s="5">
        <v>52.366999999999997</v>
      </c>
      <c r="N158" s="5">
        <v>51.023000000000003</v>
      </c>
      <c r="O158" s="5">
        <v>52.366999999999997</v>
      </c>
      <c r="P158" s="5"/>
      <c r="Q158" s="10">
        <f t="shared" si="39"/>
        <v>1.3439999999999941</v>
      </c>
    </row>
    <row r="159" spans="1:17" x14ac:dyDescent="0.35">
      <c r="A159" s="6">
        <v>2006</v>
      </c>
      <c r="B159" s="7">
        <f t="shared" si="32"/>
        <v>39.378</v>
      </c>
      <c r="C159" s="7">
        <f t="shared" si="33"/>
        <v>40.212000000000003</v>
      </c>
      <c r="D159" s="7">
        <f t="shared" si="34"/>
        <v>49.686</v>
      </c>
      <c r="E159" s="7">
        <f t="shared" si="35"/>
        <v>50.737000000000002</v>
      </c>
      <c r="F159" s="7">
        <f t="shared" si="36"/>
        <v>0.83400000000000318</v>
      </c>
      <c r="G159" s="7">
        <f t="shared" si="37"/>
        <v>0</v>
      </c>
      <c r="H159" s="7">
        <f t="shared" si="38"/>
        <v>9.4739999999999966</v>
      </c>
      <c r="I159" s="8">
        <v>40.212000000000003</v>
      </c>
      <c r="J159" s="8">
        <v>39.378</v>
      </c>
      <c r="K159" s="8">
        <v>40.212000000000003</v>
      </c>
      <c r="L159" s="8"/>
      <c r="M159" s="8">
        <v>50.737000000000002</v>
      </c>
      <c r="N159" s="8">
        <v>49.686</v>
      </c>
      <c r="O159" s="8">
        <v>50.737000000000002</v>
      </c>
      <c r="P159" s="8"/>
      <c r="Q159" s="10">
        <f t="shared" si="39"/>
        <v>1.0510000000000019</v>
      </c>
    </row>
    <row r="160" spans="1:17" x14ac:dyDescent="0.35">
      <c r="A160" s="3">
        <v>2007</v>
      </c>
      <c r="B160" s="4">
        <f t="shared" si="32"/>
        <v>38.601999999999997</v>
      </c>
      <c r="C160" s="4">
        <f t="shared" si="33"/>
        <v>39.323999999999998</v>
      </c>
      <c r="D160" s="4">
        <f t="shared" si="34"/>
        <v>48.801000000000002</v>
      </c>
      <c r="E160" s="4">
        <f t="shared" si="35"/>
        <v>49.712000000000003</v>
      </c>
      <c r="F160" s="4">
        <f t="shared" si="36"/>
        <v>0.72200000000000131</v>
      </c>
      <c r="G160" s="4">
        <f t="shared" si="37"/>
        <v>0</v>
      </c>
      <c r="H160" s="4">
        <f t="shared" si="38"/>
        <v>9.4770000000000039</v>
      </c>
      <c r="I160" s="5">
        <v>39.323999999999998</v>
      </c>
      <c r="J160" s="5">
        <v>38.601999999999997</v>
      </c>
      <c r="K160" s="5">
        <v>39.323999999999998</v>
      </c>
      <c r="L160" s="5"/>
      <c r="M160" s="5">
        <v>49.712000000000003</v>
      </c>
      <c r="N160" s="5">
        <v>48.801000000000002</v>
      </c>
      <c r="O160" s="5">
        <v>49.712000000000003</v>
      </c>
      <c r="P160" s="5"/>
      <c r="Q160" s="10">
        <f t="shared" si="39"/>
        <v>0.91100000000000136</v>
      </c>
    </row>
    <row r="161" spans="1:17" x14ac:dyDescent="0.35">
      <c r="A161" s="6">
        <v>2008</v>
      </c>
      <c r="B161" s="7">
        <f t="shared" si="32"/>
        <v>36.999000000000002</v>
      </c>
      <c r="C161" s="7">
        <f t="shared" si="33"/>
        <v>37.5</v>
      </c>
      <c r="D161" s="7">
        <f t="shared" si="34"/>
        <v>47.061999999999998</v>
      </c>
      <c r="E161" s="7">
        <f t="shared" si="35"/>
        <v>47.698</v>
      </c>
      <c r="F161" s="7">
        <f t="shared" si="36"/>
        <v>0.50099999999999767</v>
      </c>
      <c r="G161" s="7">
        <f t="shared" si="37"/>
        <v>0</v>
      </c>
      <c r="H161" s="7">
        <f t="shared" si="38"/>
        <v>9.5619999999999976</v>
      </c>
      <c r="I161" s="8">
        <v>37.5</v>
      </c>
      <c r="J161" s="8">
        <v>36.999000000000002</v>
      </c>
      <c r="K161" s="8">
        <v>37.5</v>
      </c>
      <c r="L161" s="8"/>
      <c r="M161" s="8">
        <v>47.698</v>
      </c>
      <c r="N161" s="8">
        <v>47.061999999999998</v>
      </c>
      <c r="O161" s="8">
        <v>47.698</v>
      </c>
      <c r="P161" s="8"/>
      <c r="Q161" s="10">
        <f t="shared" si="39"/>
        <v>0.63600000000000279</v>
      </c>
    </row>
    <row r="162" spans="1:17" x14ac:dyDescent="0.35">
      <c r="A162" s="3">
        <v>2009</v>
      </c>
      <c r="B162" s="4">
        <f t="shared" si="32"/>
        <v>35.015000000000001</v>
      </c>
      <c r="C162" s="4">
        <f t="shared" si="33"/>
        <v>35.433</v>
      </c>
      <c r="D162" s="4">
        <f t="shared" si="34"/>
        <v>44.537999999999997</v>
      </c>
      <c r="E162" s="4">
        <f t="shared" si="35"/>
        <v>45.070999999999998</v>
      </c>
      <c r="F162" s="4">
        <f t="shared" si="36"/>
        <v>0.41799999999999926</v>
      </c>
      <c r="G162" s="4">
        <f t="shared" si="37"/>
        <v>0</v>
      </c>
      <c r="H162" s="4">
        <f t="shared" si="38"/>
        <v>9.1049999999999969</v>
      </c>
      <c r="I162" s="5">
        <v>35.433</v>
      </c>
      <c r="J162" s="5">
        <v>35.015000000000001</v>
      </c>
      <c r="K162" s="5">
        <v>35.433</v>
      </c>
      <c r="L162" s="5"/>
      <c r="M162" s="5">
        <v>45.070999999999998</v>
      </c>
      <c r="N162" s="5">
        <v>44.537999999999997</v>
      </c>
      <c r="O162" s="5">
        <v>45.070999999999998</v>
      </c>
      <c r="P162" s="5"/>
      <c r="Q162" s="10">
        <f t="shared" si="39"/>
        <v>0.53300000000000125</v>
      </c>
    </row>
    <row r="163" spans="1:17" x14ac:dyDescent="0.35">
      <c r="A163" s="6">
        <v>2010</v>
      </c>
      <c r="B163" s="7">
        <f t="shared" ref="B163:B177" si="40">IFERROR(MIN(I163:L163),"")</f>
        <v>34.436</v>
      </c>
      <c r="C163" s="7">
        <f t="shared" ref="C163:C177" si="41">IFERROR(MAX(I163:L163),"")</f>
        <v>34.551000000000002</v>
      </c>
      <c r="D163" s="7">
        <f t="shared" ref="D163:D177" si="42">IFERROR(MIN(M163:P163),"")</f>
        <v>43.932000000000002</v>
      </c>
      <c r="E163" s="7">
        <f t="shared" ref="E163:E177" si="43">IFERROR(MAX(M163:P163),"")</f>
        <v>44.08</v>
      </c>
      <c r="F163" s="7">
        <f t="shared" ref="F163:F177" si="44">IFERROR(MIN(C163,D163)-B163,"")</f>
        <v>0.11500000000000199</v>
      </c>
      <c r="G163" s="7">
        <f t="shared" ref="G163:G177" si="45">IFERROR(MAX(0,C163-D163),"")</f>
        <v>0</v>
      </c>
      <c r="H163" s="7">
        <f t="shared" ref="H163:H177" si="46">IFERROR(MAX(0,D163-C163),"")</f>
        <v>9.3810000000000002</v>
      </c>
      <c r="I163" s="8">
        <v>34.551000000000002</v>
      </c>
      <c r="J163" s="8">
        <v>34.436</v>
      </c>
      <c r="K163" s="8">
        <v>34.551000000000002</v>
      </c>
      <c r="L163" s="8"/>
      <c r="M163" s="8">
        <v>44.08</v>
      </c>
      <c r="N163" s="8">
        <v>43.932000000000002</v>
      </c>
      <c r="O163" s="8">
        <v>44.08</v>
      </c>
      <c r="P163" s="8"/>
      <c r="Q163" s="10">
        <f t="shared" ref="Q163:Q177" si="47">IFERROR(MAX(0,$E163-MAX($C163,$D163)),"")</f>
        <v>0.14799999999999613</v>
      </c>
    </row>
    <row r="164" spans="1:17" x14ac:dyDescent="0.35">
      <c r="A164" s="3">
        <v>2011</v>
      </c>
      <c r="B164" s="4">
        <f t="shared" si="40"/>
        <v>32.548999999999999</v>
      </c>
      <c r="C164" s="4">
        <f t="shared" si="41"/>
        <v>32.71</v>
      </c>
      <c r="D164" s="4">
        <f t="shared" si="42"/>
        <v>41.997</v>
      </c>
      <c r="E164" s="4">
        <f t="shared" si="43"/>
        <v>42.207000000000001</v>
      </c>
      <c r="F164" s="4">
        <f t="shared" si="44"/>
        <v>0.16100000000000136</v>
      </c>
      <c r="G164" s="4">
        <f t="shared" si="45"/>
        <v>0</v>
      </c>
      <c r="H164" s="4">
        <f t="shared" si="46"/>
        <v>9.286999999999999</v>
      </c>
      <c r="I164" s="5">
        <v>32.71</v>
      </c>
      <c r="J164" s="5">
        <v>32.548999999999999</v>
      </c>
      <c r="K164" s="5">
        <v>32.71</v>
      </c>
      <c r="L164" s="5"/>
      <c r="M164" s="5">
        <v>42.207000000000001</v>
      </c>
      <c r="N164" s="5">
        <v>41.997</v>
      </c>
      <c r="O164" s="5">
        <v>42.207000000000001</v>
      </c>
      <c r="P164" s="5"/>
      <c r="Q164" s="10">
        <f t="shared" si="47"/>
        <v>0.21000000000000085</v>
      </c>
    </row>
    <row r="165" spans="1:17" x14ac:dyDescent="0.35">
      <c r="A165" s="6">
        <v>2012</v>
      </c>
      <c r="B165" s="7">
        <f t="shared" si="40"/>
        <v>31.533000000000001</v>
      </c>
      <c r="C165" s="7">
        <f t="shared" si="41"/>
        <v>31.69</v>
      </c>
      <c r="D165" s="7">
        <f t="shared" si="42"/>
        <v>40.841000000000001</v>
      </c>
      <c r="E165" s="7">
        <f t="shared" si="43"/>
        <v>41.045999999999999</v>
      </c>
      <c r="F165" s="7">
        <f t="shared" si="44"/>
        <v>0.15700000000000003</v>
      </c>
      <c r="G165" s="7">
        <f t="shared" si="45"/>
        <v>0</v>
      </c>
      <c r="H165" s="7">
        <f t="shared" si="46"/>
        <v>9.1509999999999998</v>
      </c>
      <c r="I165" s="8">
        <v>31.69</v>
      </c>
      <c r="J165" s="8">
        <v>31.533000000000001</v>
      </c>
      <c r="K165" s="8">
        <v>31.69</v>
      </c>
      <c r="L165" s="8"/>
      <c r="M165" s="8">
        <v>41.045999999999999</v>
      </c>
      <c r="N165" s="8">
        <v>40.841000000000001</v>
      </c>
      <c r="O165" s="8">
        <v>41.045999999999999</v>
      </c>
      <c r="P165" s="8"/>
      <c r="Q165" s="10">
        <f t="shared" si="47"/>
        <v>0.20499999999999829</v>
      </c>
    </row>
    <row r="166" spans="1:17" x14ac:dyDescent="0.35">
      <c r="A166" s="3">
        <v>2013</v>
      </c>
      <c r="B166" s="4">
        <f t="shared" si="40"/>
        <v>31.463999999999999</v>
      </c>
      <c r="C166" s="4">
        <f t="shared" si="41"/>
        <v>31.670999999999999</v>
      </c>
      <c r="D166" s="4">
        <f t="shared" si="42"/>
        <v>40.363999999999997</v>
      </c>
      <c r="E166" s="4">
        <f t="shared" si="43"/>
        <v>40.633000000000003</v>
      </c>
      <c r="F166" s="4">
        <f t="shared" si="44"/>
        <v>0.20700000000000074</v>
      </c>
      <c r="G166" s="4">
        <f t="shared" si="45"/>
        <v>0</v>
      </c>
      <c r="H166" s="4">
        <f t="shared" si="46"/>
        <v>8.6929999999999978</v>
      </c>
      <c r="I166" s="5">
        <v>31.670999999999999</v>
      </c>
      <c r="J166" s="5">
        <v>31.463999999999999</v>
      </c>
      <c r="K166" s="5">
        <v>31.670999999999999</v>
      </c>
      <c r="L166" s="5"/>
      <c r="M166" s="5">
        <v>40.633000000000003</v>
      </c>
      <c r="N166" s="5">
        <v>40.363999999999997</v>
      </c>
      <c r="O166" s="5">
        <v>40.633000000000003</v>
      </c>
      <c r="P166" s="5"/>
      <c r="Q166" s="10">
        <f t="shared" si="47"/>
        <v>0.26900000000000546</v>
      </c>
    </row>
    <row r="167" spans="1:17" x14ac:dyDescent="0.35">
      <c r="A167" s="6">
        <v>2014</v>
      </c>
      <c r="B167" s="7">
        <f t="shared" si="40"/>
        <v>30.667000000000002</v>
      </c>
      <c r="C167" s="7">
        <f t="shared" si="41"/>
        <v>31.018999999999998</v>
      </c>
      <c r="D167" s="7">
        <f t="shared" si="42"/>
        <v>39.36</v>
      </c>
      <c r="E167" s="7">
        <f t="shared" si="43"/>
        <v>39.814</v>
      </c>
      <c r="F167" s="7">
        <f t="shared" si="44"/>
        <v>0.35199999999999676</v>
      </c>
      <c r="G167" s="7">
        <f t="shared" si="45"/>
        <v>0</v>
      </c>
      <c r="H167" s="7">
        <f t="shared" si="46"/>
        <v>8.3410000000000011</v>
      </c>
      <c r="I167" s="8">
        <v>31.018999999999998</v>
      </c>
      <c r="J167" s="8">
        <v>30.667000000000002</v>
      </c>
      <c r="K167" s="8">
        <v>31.018999999999998</v>
      </c>
      <c r="L167" s="8"/>
      <c r="M167" s="8">
        <v>39.814</v>
      </c>
      <c r="N167" s="8">
        <v>39.36</v>
      </c>
      <c r="O167" s="8">
        <v>39.814</v>
      </c>
      <c r="P167" s="8"/>
      <c r="Q167" s="10">
        <f t="shared" si="47"/>
        <v>0.45400000000000063</v>
      </c>
    </row>
    <row r="168" spans="1:17" x14ac:dyDescent="0.35">
      <c r="A168" s="3">
        <v>2015</v>
      </c>
      <c r="B168" s="4">
        <f t="shared" si="40"/>
        <v>30.053000000000001</v>
      </c>
      <c r="C168" s="4">
        <f t="shared" si="41"/>
        <v>30.632999999999999</v>
      </c>
      <c r="D168" s="4">
        <f t="shared" si="42"/>
        <v>38.665999999999997</v>
      </c>
      <c r="E168" s="4">
        <f t="shared" si="43"/>
        <v>39.411999999999999</v>
      </c>
      <c r="F168" s="4">
        <f t="shared" si="44"/>
        <v>0.57999999999999829</v>
      </c>
      <c r="G168" s="4">
        <f t="shared" si="45"/>
        <v>0</v>
      </c>
      <c r="H168" s="4">
        <f t="shared" si="46"/>
        <v>8.0329999999999977</v>
      </c>
      <c r="I168" s="5">
        <v>30.632999999999999</v>
      </c>
      <c r="J168" s="5">
        <v>30.053000000000001</v>
      </c>
      <c r="K168" s="5">
        <v>30.632999999999999</v>
      </c>
      <c r="L168" s="5"/>
      <c r="M168" s="5">
        <v>39.411999999999999</v>
      </c>
      <c r="N168" s="5">
        <v>38.665999999999997</v>
      </c>
      <c r="O168" s="5">
        <v>39.411999999999999</v>
      </c>
      <c r="P168" s="5"/>
      <c r="Q168" s="10">
        <f t="shared" si="47"/>
        <v>0.74600000000000222</v>
      </c>
    </row>
    <row r="169" spans="1:17" x14ac:dyDescent="0.35">
      <c r="A169" s="6">
        <v>2016</v>
      </c>
      <c r="B169" s="7">
        <f t="shared" si="40"/>
        <v>29.451000000000001</v>
      </c>
      <c r="C169" s="7">
        <f t="shared" si="41"/>
        <v>30.129000000000001</v>
      </c>
      <c r="D169" s="7">
        <f t="shared" si="42"/>
        <v>38.134999999999998</v>
      </c>
      <c r="E169" s="7">
        <f t="shared" si="43"/>
        <v>39.012</v>
      </c>
      <c r="F169" s="7">
        <f t="shared" si="44"/>
        <v>0.67800000000000082</v>
      </c>
      <c r="G169" s="7">
        <f t="shared" si="45"/>
        <v>0</v>
      </c>
      <c r="H169" s="7">
        <f t="shared" si="46"/>
        <v>8.0059999999999967</v>
      </c>
      <c r="I169" s="8">
        <v>30.129000000000001</v>
      </c>
      <c r="J169" s="8">
        <v>29.451000000000001</v>
      </c>
      <c r="K169" s="8">
        <v>30.129000000000001</v>
      </c>
      <c r="L169" s="8"/>
      <c r="M169" s="8">
        <v>39.012</v>
      </c>
      <c r="N169" s="8">
        <v>38.134999999999998</v>
      </c>
      <c r="O169" s="8">
        <v>39.012</v>
      </c>
      <c r="P169" s="8"/>
      <c r="Q169" s="10">
        <f t="shared" si="47"/>
        <v>0.87700000000000244</v>
      </c>
    </row>
    <row r="170" spans="1:17" x14ac:dyDescent="0.35">
      <c r="A170" s="3">
        <v>2017</v>
      </c>
      <c r="B170" s="4">
        <f t="shared" si="40"/>
        <v>28.683</v>
      </c>
      <c r="C170" s="4">
        <f t="shared" si="41"/>
        <v>29.474</v>
      </c>
      <c r="D170" s="4">
        <f t="shared" si="42"/>
        <v>37.393999999999998</v>
      </c>
      <c r="E170" s="4">
        <f t="shared" si="43"/>
        <v>38.426000000000002</v>
      </c>
      <c r="F170" s="4">
        <f t="shared" si="44"/>
        <v>0.79100000000000037</v>
      </c>
      <c r="G170" s="4">
        <f t="shared" si="45"/>
        <v>0</v>
      </c>
      <c r="H170" s="4">
        <f t="shared" si="46"/>
        <v>7.9199999999999982</v>
      </c>
      <c r="I170" s="5">
        <v>29.474</v>
      </c>
      <c r="J170" s="5">
        <v>28.683</v>
      </c>
      <c r="K170" s="5">
        <v>29.474</v>
      </c>
      <c r="L170" s="5"/>
      <c r="M170" s="5">
        <v>38.426000000000002</v>
      </c>
      <c r="N170" s="5">
        <v>37.393999999999998</v>
      </c>
      <c r="O170" s="5">
        <v>38.426000000000002</v>
      </c>
      <c r="P170" s="5"/>
      <c r="Q170" s="10">
        <f t="shared" si="47"/>
        <v>1.0320000000000036</v>
      </c>
    </row>
    <row r="171" spans="1:17" x14ac:dyDescent="0.35">
      <c r="A171" s="6">
        <v>2018</v>
      </c>
      <c r="B171" s="7">
        <f t="shared" si="40"/>
        <v>28.356999999999999</v>
      </c>
      <c r="C171" s="7">
        <f t="shared" si="41"/>
        <v>29.04</v>
      </c>
      <c r="D171" s="7">
        <f t="shared" si="42"/>
        <v>37.046999999999997</v>
      </c>
      <c r="E171" s="7">
        <f t="shared" si="43"/>
        <v>37.939</v>
      </c>
      <c r="F171" s="7">
        <f t="shared" si="44"/>
        <v>0.68299999999999983</v>
      </c>
      <c r="G171" s="7">
        <f t="shared" si="45"/>
        <v>0</v>
      </c>
      <c r="H171" s="7">
        <f t="shared" si="46"/>
        <v>8.0069999999999979</v>
      </c>
      <c r="I171" s="8">
        <v>29.04</v>
      </c>
      <c r="J171" s="8">
        <v>28.356999999999999</v>
      </c>
      <c r="K171" s="8">
        <v>29.04</v>
      </c>
      <c r="L171" s="8"/>
      <c r="M171" s="8">
        <v>37.939</v>
      </c>
      <c r="N171" s="8">
        <v>37.046999999999997</v>
      </c>
      <c r="O171" s="8">
        <v>37.939</v>
      </c>
      <c r="P171" s="8"/>
      <c r="Q171" s="10">
        <f t="shared" si="47"/>
        <v>0.89200000000000301</v>
      </c>
    </row>
    <row r="172" spans="1:17" x14ac:dyDescent="0.35">
      <c r="A172" s="3">
        <v>2019</v>
      </c>
      <c r="B172" s="4">
        <f t="shared" si="40"/>
        <v>27.548999999999999</v>
      </c>
      <c r="C172" s="4">
        <f t="shared" si="41"/>
        <v>27.971</v>
      </c>
      <c r="D172" s="4">
        <f t="shared" si="42"/>
        <v>36.036999999999999</v>
      </c>
      <c r="E172" s="4">
        <f t="shared" si="43"/>
        <v>36.591999999999999</v>
      </c>
      <c r="F172" s="4">
        <f t="shared" si="44"/>
        <v>0.4220000000000006</v>
      </c>
      <c r="G172" s="4">
        <f t="shared" si="45"/>
        <v>0</v>
      </c>
      <c r="H172" s="4">
        <f t="shared" si="46"/>
        <v>8.0659999999999989</v>
      </c>
      <c r="I172" s="5">
        <v>27.971</v>
      </c>
      <c r="J172" s="5">
        <v>27.548999999999999</v>
      </c>
      <c r="K172" s="5">
        <v>27.971</v>
      </c>
      <c r="L172" s="5"/>
      <c r="M172" s="5">
        <v>36.591999999999999</v>
      </c>
      <c r="N172" s="5">
        <v>36.036999999999999</v>
      </c>
      <c r="O172" s="5">
        <v>36.591999999999999</v>
      </c>
      <c r="P172" s="5"/>
      <c r="Q172" s="10">
        <f t="shared" si="47"/>
        <v>0.55499999999999972</v>
      </c>
    </row>
    <row r="173" spans="1:17" x14ac:dyDescent="0.35">
      <c r="A173" s="6">
        <v>2020</v>
      </c>
      <c r="B173" s="7">
        <f t="shared" si="40"/>
        <v>26.026</v>
      </c>
      <c r="C173" s="7">
        <f t="shared" si="41"/>
        <v>26.417000000000002</v>
      </c>
      <c r="D173" s="7">
        <f t="shared" si="42"/>
        <v>34.536000000000001</v>
      </c>
      <c r="E173" s="7">
        <f t="shared" si="43"/>
        <v>35.057000000000002</v>
      </c>
      <c r="F173" s="7">
        <f t="shared" si="44"/>
        <v>0.39100000000000179</v>
      </c>
      <c r="G173" s="7">
        <f t="shared" si="45"/>
        <v>0</v>
      </c>
      <c r="H173" s="7">
        <f t="shared" si="46"/>
        <v>8.1189999999999998</v>
      </c>
      <c r="I173" s="8">
        <v>26.417000000000002</v>
      </c>
      <c r="J173" s="8">
        <v>26.026</v>
      </c>
      <c r="K173" s="8">
        <v>26.417000000000002</v>
      </c>
      <c r="L173" s="8"/>
      <c r="M173" s="8">
        <v>35.057000000000002</v>
      </c>
      <c r="N173" s="8">
        <v>34.536000000000001</v>
      </c>
      <c r="O173" s="8">
        <v>35.057000000000002</v>
      </c>
      <c r="P173" s="8"/>
      <c r="Q173" s="10">
        <f t="shared" si="47"/>
        <v>0.5210000000000008</v>
      </c>
    </row>
    <row r="174" spans="1:17" x14ac:dyDescent="0.35">
      <c r="A174" s="3">
        <v>2021</v>
      </c>
      <c r="B174" s="4">
        <f t="shared" si="40"/>
        <v>26.215</v>
      </c>
      <c r="C174" s="4">
        <f t="shared" si="41"/>
        <v>26.571000000000002</v>
      </c>
      <c r="D174" s="4">
        <f t="shared" si="42"/>
        <v>34.722999999999999</v>
      </c>
      <c r="E174" s="4">
        <f t="shared" si="43"/>
        <v>35.198</v>
      </c>
      <c r="F174" s="4">
        <f t="shared" si="44"/>
        <v>0.35600000000000165</v>
      </c>
      <c r="G174" s="4">
        <f t="shared" si="45"/>
        <v>0</v>
      </c>
      <c r="H174" s="4">
        <f t="shared" si="46"/>
        <v>8.1519999999999975</v>
      </c>
      <c r="I174" s="5">
        <v>26.571000000000002</v>
      </c>
      <c r="J174" s="5">
        <v>26.215</v>
      </c>
      <c r="K174" s="5">
        <v>26.571000000000002</v>
      </c>
      <c r="L174" s="5"/>
      <c r="M174" s="5">
        <v>35.198</v>
      </c>
      <c r="N174" s="5">
        <v>34.722999999999999</v>
      </c>
      <c r="O174" s="5">
        <v>35.198</v>
      </c>
      <c r="P174" s="5"/>
      <c r="Q174" s="10">
        <f t="shared" si="47"/>
        <v>0.47500000000000142</v>
      </c>
    </row>
    <row r="175" spans="1:17" x14ac:dyDescent="0.35">
      <c r="A175" s="6">
        <v>2022</v>
      </c>
      <c r="B175" s="7">
        <f t="shared" si="40"/>
        <v>25.891999999999999</v>
      </c>
      <c r="C175" s="7">
        <f t="shared" si="41"/>
        <v>25.974</v>
      </c>
      <c r="D175" s="7">
        <f t="shared" si="42"/>
        <v>34.046999999999997</v>
      </c>
      <c r="E175" s="7">
        <f t="shared" si="43"/>
        <v>34.170999999999999</v>
      </c>
      <c r="F175" s="7">
        <f t="shared" si="44"/>
        <v>8.2000000000000739E-2</v>
      </c>
      <c r="G175" s="7">
        <f t="shared" si="45"/>
        <v>0</v>
      </c>
      <c r="H175" s="7">
        <f t="shared" si="46"/>
        <v>8.0729999999999968</v>
      </c>
      <c r="I175" s="8">
        <v>25.974</v>
      </c>
      <c r="J175" s="8">
        <v>25.891999999999999</v>
      </c>
      <c r="K175" s="8">
        <v>25.974</v>
      </c>
      <c r="L175" s="8"/>
      <c r="M175" s="8">
        <v>34.170999999999999</v>
      </c>
      <c r="N175" s="8">
        <v>34.046999999999997</v>
      </c>
      <c r="O175" s="8">
        <v>34.170999999999999</v>
      </c>
      <c r="P175" s="8"/>
      <c r="Q175" s="10">
        <f t="shared" si="47"/>
        <v>0.12400000000000233</v>
      </c>
    </row>
    <row r="176" spans="1:17" x14ac:dyDescent="0.35">
      <c r="A176" s="3">
        <v>2023</v>
      </c>
      <c r="B176" s="4">
        <f t="shared" si="40"/>
        <v>24.553999999999998</v>
      </c>
      <c r="C176" s="4">
        <f t="shared" si="41"/>
        <v>24.658999999999999</v>
      </c>
      <c r="D176" s="4">
        <f t="shared" si="42"/>
        <v>32.567999999999998</v>
      </c>
      <c r="E176" s="4">
        <f t="shared" si="43"/>
        <v>32.825000000000003</v>
      </c>
      <c r="F176" s="4">
        <f t="shared" si="44"/>
        <v>0.10500000000000043</v>
      </c>
      <c r="G176" s="4">
        <f t="shared" si="45"/>
        <v>0</v>
      </c>
      <c r="H176" s="4">
        <f t="shared" si="46"/>
        <v>7.9089999999999989</v>
      </c>
      <c r="I176" s="5">
        <v>24.658999999999999</v>
      </c>
      <c r="J176" s="5">
        <v>24.553999999999998</v>
      </c>
      <c r="K176" s="5">
        <v>24.658999999999999</v>
      </c>
      <c r="L176" s="5"/>
      <c r="M176" s="5">
        <v>32.825000000000003</v>
      </c>
      <c r="N176" s="5">
        <v>32.567999999999998</v>
      </c>
      <c r="O176" s="5">
        <v>32.825000000000003</v>
      </c>
      <c r="P176" s="5"/>
      <c r="Q176" s="10">
        <f t="shared" si="47"/>
        <v>0.257000000000005</v>
      </c>
    </row>
    <row r="177" spans="1:17" x14ac:dyDescent="0.35">
      <c r="A177" s="6">
        <v>2024</v>
      </c>
      <c r="B177" s="7">
        <f t="shared" si="40"/>
        <v>24.181000000000001</v>
      </c>
      <c r="C177" s="7">
        <f t="shared" si="41"/>
        <v>24.324999999999999</v>
      </c>
      <c r="D177" s="7">
        <f t="shared" si="42"/>
        <v>32.228999999999999</v>
      </c>
      <c r="E177" s="7">
        <f t="shared" si="43"/>
        <v>32.408000000000001</v>
      </c>
      <c r="F177" s="7">
        <f t="shared" si="44"/>
        <v>0.14399999999999835</v>
      </c>
      <c r="G177" s="7">
        <f t="shared" si="45"/>
        <v>0</v>
      </c>
      <c r="H177" s="7">
        <f t="shared" si="46"/>
        <v>7.9039999999999999</v>
      </c>
      <c r="I177" s="8">
        <v>24.181000000000001</v>
      </c>
      <c r="J177" s="8">
        <v>24.324999999999999</v>
      </c>
      <c r="K177" s="8">
        <v>24.181000000000001</v>
      </c>
      <c r="L177" s="8"/>
      <c r="M177" s="8">
        <v>32.408000000000001</v>
      </c>
      <c r="N177" s="8">
        <v>32.228999999999999</v>
      </c>
      <c r="O177" s="8">
        <v>32.408000000000001</v>
      </c>
      <c r="P177" s="8"/>
      <c r="Q177" s="10">
        <f t="shared" si="47"/>
        <v>0.17900000000000205</v>
      </c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7C86-DD92-44C9-B1DB-7FE26E098E3A}">
  <sheetPr>
    <tabColor rgb="FF5DBDD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D4F0-BC85-4D85-9D6E-029661E4582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b04f7f-0f64-4a5e-bf04-53db9ee74c0c" xsi:nil="true"/>
    <lcf76f155ced4ddcb4097134ff3c332f xmlns="40aef5c5-d752-4158-9074-039719bead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772AF0-577E-4C18-86A6-A25116C71AD5}"/>
</file>

<file path=customXml/itemProps2.xml><?xml version="1.0" encoding="utf-8"?>
<ds:datastoreItem xmlns:ds="http://schemas.openxmlformats.org/officeDocument/2006/customXml" ds:itemID="{7F24A7B4-97D5-45C1-A233-4750C76B58A7}"/>
</file>

<file path=customXml/itemProps3.xml><?xml version="1.0" encoding="utf-8"?>
<ds:datastoreItem xmlns:ds="http://schemas.openxmlformats.org/officeDocument/2006/customXml" ds:itemID="{F77828E4-3AD9-42AF-BF46-98946F963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GHG incl LULUCF</vt:lpstr>
      <vt:lpstr>data_ghg_incLUC</vt:lpstr>
      <vt:lpstr>GHG excl LULUCF</vt:lpstr>
      <vt:lpstr>data_ghg_excLUC</vt:lpstr>
      <vt:lpstr>CO2 incl LULUCF</vt:lpstr>
      <vt:lpstr>data_co2_incLUC</vt:lpstr>
      <vt:lpstr>data_co2_excLUC</vt:lpstr>
      <vt:lpstr>CO2 excl LULUCF</vt:lpstr>
      <vt:lpstr>All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2026-04-30T13:56:21Z</dcterms:created>
  <dcterms:modified xsi:type="dcterms:W3CDTF">2026-07-07T17:14:50Z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0x010100FD1ADAF7CDC05F468DC4656A04C1CC40</vt:lpwstr>
  </property>
</Properties>
</file>