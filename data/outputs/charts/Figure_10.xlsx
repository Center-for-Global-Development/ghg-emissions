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nterforglobaldevelop.sharepoint.com/sites/EDPL/Shared Documents/08.Climate/1.Research/GHG emissions analysis/QA/data/outputs/charts/"/>
    </mc:Choice>
  </mc:AlternateContent>
  <xr:revisionPtr revIDLastSave="10" documentId="8_{D179EA4E-4F1E-4ECC-A1E5-0540DD62043E}" xr6:coauthVersionLast="47" xr6:coauthVersionMax="47" xr10:uidLastSave="{9B2F522D-5A37-4CFA-AB5D-21C595B09963}"/>
  <bookViews>
    <workbookView xWindow="19090" yWindow="-10820" windowWidth="38620" windowHeight="21100" activeTab="1" xr2:uid="{50CDAB7C-0BC5-4AA6-BBE0-15274DC77CD5}"/>
  </bookViews>
  <sheets>
    <sheet name="Data" sheetId="1" r:id="rId1"/>
    <sheet name="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3" i="1" l="1"/>
  <c r="N13" i="1" s="1"/>
  <c r="K13" i="1"/>
  <c r="J13" i="1"/>
  <c r="L13" i="1" s="1"/>
  <c r="H13" i="1"/>
  <c r="G13" i="1"/>
  <c r="K12" i="1"/>
  <c r="H12" i="1"/>
  <c r="J12" i="1" s="1"/>
  <c r="L12" i="1" s="1"/>
  <c r="G12" i="1"/>
  <c r="M12" i="1" s="1"/>
  <c r="N12" i="1" s="1"/>
  <c r="H11" i="1"/>
  <c r="G11" i="1"/>
  <c r="L11" i="1" s="1"/>
  <c r="H10" i="1"/>
  <c r="G10" i="1"/>
  <c r="K10" i="1" s="1"/>
  <c r="H9" i="1"/>
  <c r="G9" i="1"/>
  <c r="J9" i="1" s="1"/>
  <c r="M7" i="1"/>
  <c r="N7" i="1" s="1"/>
  <c r="L7" i="1"/>
  <c r="K7" i="1"/>
  <c r="J7" i="1"/>
  <c r="H7" i="1"/>
  <c r="G7" i="1"/>
  <c r="M6" i="1"/>
  <c r="N6" i="1" s="1"/>
  <c r="K6" i="1"/>
  <c r="H6" i="1"/>
  <c r="J6" i="1" s="1"/>
  <c r="L6" i="1" s="1"/>
  <c r="G6" i="1"/>
  <c r="K4" i="1"/>
  <c r="H4" i="1"/>
  <c r="J4" i="1" s="1"/>
  <c r="L4" i="1" s="1"/>
  <c r="G4" i="1"/>
  <c r="M4" i="1" s="1"/>
  <c r="N4" i="1" s="1"/>
  <c r="H3" i="1"/>
  <c r="G3" i="1"/>
  <c r="F11" i="1"/>
  <c r="E11" i="1"/>
  <c r="D11" i="1"/>
  <c r="C11" i="1"/>
  <c r="F8" i="1"/>
  <c r="E8" i="1"/>
  <c r="D8" i="1"/>
  <c r="C8" i="1"/>
  <c r="H8" i="1" s="1"/>
  <c r="F5" i="1"/>
  <c r="E5" i="1"/>
  <c r="H5" i="1" s="1"/>
  <c r="D5" i="1"/>
  <c r="C5" i="1"/>
  <c r="J11" i="1" l="1"/>
  <c r="K3" i="1"/>
  <c r="G8" i="1"/>
  <c r="M3" i="1"/>
  <c r="N3" i="1" s="1"/>
  <c r="K9" i="1"/>
  <c r="L10" i="1"/>
  <c r="M11" i="1"/>
  <c r="N11" i="1" s="1"/>
  <c r="G5" i="1"/>
  <c r="L9" i="1"/>
  <c r="M10" i="1"/>
  <c r="N10" i="1" s="1"/>
  <c r="M9" i="1"/>
  <c r="N9" i="1" s="1"/>
  <c r="J3" i="1"/>
  <c r="L3" i="1" s="1"/>
  <c r="J10" i="1"/>
  <c r="K11" i="1"/>
  <c r="M8" i="1" l="1"/>
  <c r="N8" i="1" s="1"/>
  <c r="L8" i="1"/>
  <c r="K8" i="1"/>
  <c r="J8" i="1"/>
  <c r="J5" i="1"/>
  <c r="M5" i="1"/>
  <c r="N5" i="1" s="1"/>
  <c r="L5" i="1"/>
  <c r="K5" i="1"/>
</calcChain>
</file>

<file path=xl/sharedStrings.xml><?xml version="1.0" encoding="utf-8"?>
<sst xmlns="http://schemas.openxmlformats.org/spreadsheetml/2006/main" count="24" uniqueCount="24">
  <si>
    <t>Y_pos</t>
  </si>
  <si>
    <t>Category label</t>
  </si>
  <si>
    <t>Reference</t>
  </si>
  <si>
    <t>[Conn_start]</t>
  </si>
  <si>
    <t>[Conn_length]</t>
  </si>
  <si>
    <t>[Label_X]</t>
  </si>
  <si>
    <t>[Conn_end]</t>
  </si>
  <si>
    <t>[ConnX_1]</t>
  </si>
  <si>
    <t>[ConnX_2]</t>
  </si>
  <si>
    <t>[ConnY_1]</t>
  </si>
  <si>
    <t>[ConnY_2]</t>
  </si>
  <si>
    <t>CO2 excl. LULUCF — Annex I</t>
  </si>
  <si>
    <t>CO2 excl. LULUCF — Annex II</t>
  </si>
  <si>
    <t>All GHG excl. LULUCF — Annex I</t>
  </si>
  <si>
    <t>All GHG excl. LULUCF — Annex II</t>
  </si>
  <si>
    <t>CO2 incl. LULUCF — Annex I</t>
  </si>
  <si>
    <t>CO2 incl. LULUCF — Annex II</t>
  </si>
  <si>
    <t>All GHG incl. LULUCF — Annex I</t>
  </si>
  <si>
    <t>All GHG incl. LULUCF — Annex II</t>
  </si>
  <si>
    <t>Cumulative per-capita emissions as % of world total (1850–2024)</t>
  </si>
  <si>
    <t>Method A</t>
  </si>
  <si>
    <t>Method B</t>
  </si>
  <si>
    <t>Method C</t>
  </si>
  <si>
    <t>OWID (absolute measure)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</si>
</sst>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1"/>
      <color rgb="FFFFFFFF"/>
      <name val="Sofia Pro Semi Bold"/>
      <family val="3"/>
    </font>
    <font>
      <b/>
      <sz val="9"/>
      <color rgb="FFFFFFFF"/>
      <name val="Sofia Pro Semi Bold"/>
      <family val="3"/>
    </font>
    <font>
      <sz val="9"/>
      <color theme="1"/>
      <name val="Sofia Pro"/>
      <family val="3"/>
    </font>
    <font>
      <i/>
      <sz val="8"/>
      <color rgb="FF0B4C5B"/>
      <name val="Sofia Pro"/>
      <family val="3"/>
    </font>
  </fonts>
  <fills count="7">
    <fill>
      <patternFill patternType="none"/>
    </fill>
    <fill>
      <patternFill patternType="gray125"/>
    </fill>
    <fill>
      <patternFill patternType="solid">
        <fgColor rgb="FF0B4C5B"/>
        <bgColor indexed="64"/>
      </patternFill>
    </fill>
    <fill>
      <patternFill patternType="solid">
        <fgColor rgb="FF1A8A9E"/>
        <bgColor indexed="64"/>
      </patternFill>
    </fill>
    <fill>
      <patternFill patternType="solid">
        <fgColor rgb="FF5B8C96"/>
        <bgColor indexed="64"/>
      </patternFill>
    </fill>
    <fill>
      <patternFill patternType="solid">
        <fgColor rgb="FFEAF5F7"/>
        <bgColor indexed="64"/>
      </patternFill>
    </fill>
    <fill>
      <patternFill patternType="solid">
        <fgColor rgb="FFD6EA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5" borderId="0" xfId="0" applyFont="1" applyFill="1"/>
    <xf numFmtId="0" fontId="3" fillId="6" borderId="0" xfId="0" applyFont="1" applyFill="1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164" fontId="3" fillId="6" borderId="0" xfId="0" applyNumberFormat="1" applyFont="1" applyFill="1"/>
    <xf numFmtId="164" fontId="3" fillId="5" borderId="0" xfId="0" applyNumberFormat="1" applyFont="1" applyFill="1"/>
    <xf numFmtId="164" fontId="3" fillId="0" borderId="0" xfId="0" applyNumberFormat="1" applyFont="1"/>
    <xf numFmtId="164" fontId="3" fillId="0" borderId="0" xfId="0" applyNumberFormat="1" applyFont="1" applyAlignment="1">
      <alignment wrapText="1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045977011494255"/>
          <c:y val="0.11428571428571428"/>
          <c:w val="0.64367816091954022"/>
          <c:h val="0.75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Data!$C$2</c:f>
              <c:strCache>
                <c:ptCount val="1"/>
                <c:pt idx="0">
                  <c:v>Method A</c:v>
                </c:pt>
              </c:strCache>
            </c:strRef>
          </c:tx>
          <c:spPr>
            <a:ln w="25400">
              <a:noFill/>
            </a:ln>
          </c:spPr>
          <c:marker>
            <c:symbol val="circle"/>
            <c:size val="9"/>
            <c:spPr>
              <a:solidFill>
                <a:srgbClr val="0B4C5B"/>
              </a:solidFill>
              <a:ln>
                <a:solidFill>
                  <a:srgbClr val="0B4C5B"/>
                </a:solidFill>
                <a:prstDash val="solid"/>
              </a:ln>
            </c:spPr>
          </c:marker>
          <c:xVal>
            <c:numRef>
              <c:f>Data!$C$3:$C$13</c:f>
              <c:numCache>
                <c:formatCode>0.0</c:formatCode>
                <c:ptCount val="11"/>
                <c:pt idx="0">
                  <c:v>35.78</c:v>
                </c:pt>
                <c:pt idx="1">
                  <c:v>24</c:v>
                </c:pt>
                <c:pt idx="2">
                  <c:v>#N/A</c:v>
                </c:pt>
                <c:pt idx="3">
                  <c:v>38.049999999999997</c:v>
                </c:pt>
                <c:pt idx="4">
                  <c:v>25.32</c:v>
                </c:pt>
                <c:pt idx="5">
                  <c:v>#N/A</c:v>
                </c:pt>
                <c:pt idx="6">
                  <c:v>25.62</c:v>
                </c:pt>
                <c:pt idx="7">
                  <c:v>17.600000000000001</c:v>
                </c:pt>
                <c:pt idx="8">
                  <c:v>#N/A</c:v>
                </c:pt>
                <c:pt idx="9">
                  <c:v>28.65</c:v>
                </c:pt>
                <c:pt idx="10">
                  <c:v>20.260000000000002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23-4FF4-B0F6-56D06A3E8BBB}"/>
            </c:ext>
          </c:extLst>
        </c:ser>
        <c:ser>
          <c:idx val="1"/>
          <c:order val="1"/>
          <c:tx>
            <c:strRef>
              <c:f>Data!$D$2</c:f>
              <c:strCache>
                <c:ptCount val="1"/>
                <c:pt idx="0">
                  <c:v>Method B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9"/>
            <c:spPr>
              <a:solidFill>
                <a:srgbClr val="FFB52C"/>
              </a:solidFill>
              <a:ln>
                <a:solidFill>
                  <a:srgbClr val="FFB52C"/>
                </a:solidFill>
                <a:prstDash val="solid"/>
              </a:ln>
            </c:spPr>
          </c:marker>
          <c:xVal>
            <c:numRef>
              <c:f>Data!$D$3:$D$13</c:f>
              <c:numCache>
                <c:formatCode>0.0</c:formatCode>
                <c:ptCount val="11"/>
                <c:pt idx="0">
                  <c:v>45.1</c:v>
                </c:pt>
                <c:pt idx="1">
                  <c:v>26.83</c:v>
                </c:pt>
                <c:pt idx="2">
                  <c:v>#N/A</c:v>
                </c:pt>
                <c:pt idx="3">
                  <c:v>49.75</c:v>
                </c:pt>
                <c:pt idx="4">
                  <c:v>29.29</c:v>
                </c:pt>
                <c:pt idx="5">
                  <c:v>#N/A</c:v>
                </c:pt>
                <c:pt idx="6">
                  <c:v>38.520000000000003</c:v>
                </c:pt>
                <c:pt idx="7">
                  <c:v>22.53</c:v>
                </c:pt>
                <c:pt idx="8">
                  <c:v>#N/A</c:v>
                </c:pt>
                <c:pt idx="9">
                  <c:v>41.86</c:v>
                </c:pt>
                <c:pt idx="10">
                  <c:v>24.88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23-4FF4-B0F6-56D06A3E8BBB}"/>
            </c:ext>
          </c:extLst>
        </c:ser>
        <c:ser>
          <c:idx val="2"/>
          <c:order val="2"/>
          <c:tx>
            <c:strRef>
              <c:f>Data!$E$2</c:f>
              <c:strCache>
                <c:ptCount val="1"/>
                <c:pt idx="0">
                  <c:v>Method C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9"/>
            <c:spPr>
              <a:solidFill>
                <a:srgbClr val="1A8A9E"/>
              </a:solidFill>
              <a:ln>
                <a:solidFill>
                  <a:srgbClr val="1A8A9E"/>
                </a:solidFill>
                <a:prstDash val="solid"/>
              </a:ln>
            </c:spPr>
          </c:marker>
          <c:xVal>
            <c:numRef>
              <c:f>Data!$E$3:$E$13</c:f>
              <c:numCache>
                <c:formatCode>0.0</c:formatCode>
                <c:ptCount val="11"/>
                <c:pt idx="0">
                  <c:v>28.66</c:v>
                </c:pt>
                <c:pt idx="1">
                  <c:v>19.04</c:v>
                </c:pt>
                <c:pt idx="2">
                  <c:v>#N/A</c:v>
                </c:pt>
                <c:pt idx="3">
                  <c:v>31.42</c:v>
                </c:pt>
                <c:pt idx="4">
                  <c:v>20.73</c:v>
                </c:pt>
                <c:pt idx="5">
                  <c:v>#N/A</c:v>
                </c:pt>
                <c:pt idx="6">
                  <c:v>24.24</c:v>
                </c:pt>
                <c:pt idx="7">
                  <c:v>16.22</c:v>
                </c:pt>
                <c:pt idx="8">
                  <c:v>#N/A</c:v>
                </c:pt>
                <c:pt idx="9">
                  <c:v>26.98</c:v>
                </c:pt>
                <c:pt idx="10">
                  <c:v>18.32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23-4FF4-B0F6-56D06A3E8BBB}"/>
            </c:ext>
          </c:extLst>
        </c:ser>
        <c:ser>
          <c:idx val="3"/>
          <c:order val="3"/>
          <c:tx>
            <c:strRef>
              <c:f>Data!$F$2</c:f>
              <c:strCache>
                <c:ptCount val="1"/>
                <c:pt idx="0">
                  <c:v>OWID (absolute measure)</c:v>
                </c:pt>
              </c:strCache>
            </c:strRef>
          </c:tx>
          <c:spPr>
            <a:ln w="38100">
              <a:noFill/>
            </a:ln>
          </c:spPr>
          <c:marker>
            <c:symbol val="triangle"/>
            <c:size val="9"/>
            <c:spPr>
              <a:solidFill>
                <a:srgbClr val="0B4C5B"/>
              </a:solidFill>
              <a:ln>
                <a:solidFill>
                  <a:srgbClr val="0B4C5B"/>
                </a:solidFill>
                <a:prstDash val="solid"/>
              </a:ln>
            </c:spPr>
          </c:marker>
          <c:xVal>
            <c:numRef>
              <c:f>Data!$F$3:$F$13</c:f>
              <c:numCache>
                <c:formatCode>0.0</c:formatCode>
                <c:ptCount val="11"/>
                <c:pt idx="0">
                  <c:v>62.09</c:v>
                </c:pt>
                <c:pt idx="1">
                  <c:v>48.62</c:v>
                </c:pt>
                <c:pt idx="2">
                  <c:v>#N/A</c:v>
                </c:pt>
                <c:pt idx="3">
                  <c:v>59.4</c:v>
                </c:pt>
                <c:pt idx="4">
                  <c:v>45.86</c:v>
                </c:pt>
                <c:pt idx="5">
                  <c:v>#N/A</c:v>
                </c:pt>
                <c:pt idx="6">
                  <c:v>51.21</c:v>
                </c:pt>
                <c:pt idx="7">
                  <c:v>37.729999999999997</c:v>
                </c:pt>
                <c:pt idx="8">
                  <c:v>#N/A</c:v>
                </c:pt>
                <c:pt idx="9">
                  <c:v>49.39</c:v>
                </c:pt>
                <c:pt idx="10">
                  <c:v>36.44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23-4FF4-B0F6-56D06A3E8BBB}"/>
            </c:ext>
          </c:extLst>
        </c:ser>
        <c:ser>
          <c:idx val="4"/>
          <c:order val="4"/>
          <c:tx>
            <c:v>_Labels</c:v>
          </c:tx>
          <c:spPr>
            <a:ln w="38100"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CO</a:t>
                    </a:r>
                    <a:r>
                      <a:rPr lang="en-US" baseline="-25000"/>
                      <a:t>2</a:t>
                    </a:r>
                    <a:r>
                      <a:rPr lang="en-US"/>
                      <a:t> excl. LULUCF — Annex 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418390804597703"/>
                      <c:h val="6.985714285714285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5-4E23-4FF4-B0F6-56D06A3E8BB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CO</a:t>
                    </a:r>
                    <a:r>
                      <a:rPr lang="en-US" baseline="-25000"/>
                      <a:t>2</a:t>
                    </a:r>
                    <a:r>
                      <a:rPr lang="en-US"/>
                      <a:t> excl. LULUCF — Annex II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303448275862063"/>
                      <c:h val="6.985714285714285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6-4E23-4FF4-B0F6-56D06A3E8BB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4E23-4FF4-B0F6-56D06A3E8BB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All GHG excl. LULUCF — Annex 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132763145986061"/>
                      <c:h val="6.985714285714285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8-4E23-4FF4-B0F6-56D06A3E8BB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All GHG excl. LULUCF — Annex II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247705674721695"/>
                      <c:h val="6.985714285714285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9-4E23-4FF4-B0F6-56D06A3E8BB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4E23-4FF4-B0F6-56D06A3E8BB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CO</a:t>
                    </a:r>
                    <a:r>
                      <a:rPr lang="en-US" baseline="-25000"/>
                      <a:t>2</a:t>
                    </a:r>
                    <a:r>
                      <a:rPr lang="en-US"/>
                      <a:t> incl. LULUCF — Annex 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391954022988507"/>
                      <c:h val="6.985714285714285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B-4E23-4FF4-B0F6-56D06A3E8BB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CO</a:t>
                    </a:r>
                    <a:r>
                      <a:rPr lang="en-US" baseline="-25000"/>
                      <a:t>2</a:t>
                    </a:r>
                    <a:r>
                      <a:rPr lang="en-US"/>
                      <a:t> incl. LULUCF — Annex II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391954022988507"/>
                      <c:h val="6.985714285714285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C-4E23-4FF4-B0F6-56D06A3E8BB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4E23-4FF4-B0F6-56D06A3E8BB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All GHG incl. LULUCF — Annex 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095981536790659"/>
                      <c:h val="6.985714285714285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E-4E23-4FF4-B0F6-56D06A3E8BB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US"/>
                      <a:t>All GHG incl. LULUCF — Annex II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636211421848133"/>
                      <c:h val="6.985714285714285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F-4E23-4FF4-B0F6-56D06A3E8B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r">
                  <a:defRPr sz="1400">
                    <a:solidFill>
                      <a:srgbClr val="333333"/>
                    </a:solidFill>
                    <a:latin typeface="Sofia Pro"/>
                    <a:ea typeface="Sofia Pro"/>
                    <a:cs typeface="Sofia Pro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Data!$I$3:$I$13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E23-4FF4-B0F6-56D06A3E8BBB}"/>
            </c:ext>
          </c:extLst>
        </c:ser>
        <c:ser>
          <c:idx val="5"/>
          <c:order val="5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Data!$K$3:$L$3</c:f>
              <c:numCache>
                <c:formatCode>General</c:formatCode>
                <c:ptCount val="2"/>
                <c:pt idx="0">
                  <c:v>28.66</c:v>
                </c:pt>
                <c:pt idx="1">
                  <c:v>45.1</c:v>
                </c:pt>
              </c:numCache>
            </c:numRef>
          </c:xVal>
          <c:yVal>
            <c:numRef>
              <c:f>Data!$M$3:$N$3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4E23-4FF4-B0F6-56D06A3E8BBB}"/>
            </c:ext>
          </c:extLst>
        </c:ser>
        <c:ser>
          <c:idx val="6"/>
          <c:order val="6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Data!$K$4:$L$4</c:f>
              <c:numCache>
                <c:formatCode>General</c:formatCode>
                <c:ptCount val="2"/>
                <c:pt idx="0">
                  <c:v>19.04</c:v>
                </c:pt>
                <c:pt idx="1">
                  <c:v>26.83</c:v>
                </c:pt>
              </c:numCache>
            </c:numRef>
          </c:xVal>
          <c:yVal>
            <c:numRef>
              <c:f>Data!$M$4:$N$4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4E23-4FF4-B0F6-56D06A3E8BBB}"/>
            </c:ext>
          </c:extLst>
        </c:ser>
        <c:ser>
          <c:idx val="7"/>
          <c:order val="7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Data!$K$5:$L$5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xVal>
          <c:yVal>
            <c:numRef>
              <c:f>Data!$M$5:$N$5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4E23-4FF4-B0F6-56D06A3E8BBB}"/>
            </c:ext>
          </c:extLst>
        </c:ser>
        <c:ser>
          <c:idx val="8"/>
          <c:order val="8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Data!$K$6:$L$6</c:f>
              <c:numCache>
                <c:formatCode>General</c:formatCode>
                <c:ptCount val="2"/>
                <c:pt idx="0">
                  <c:v>31.42</c:v>
                </c:pt>
                <c:pt idx="1">
                  <c:v>49.75</c:v>
                </c:pt>
              </c:numCache>
            </c:numRef>
          </c:xVal>
          <c:yVal>
            <c:numRef>
              <c:f>Data!$M$6:$N$6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4E23-4FF4-B0F6-56D06A3E8BBB}"/>
            </c:ext>
          </c:extLst>
        </c:ser>
        <c:ser>
          <c:idx val="9"/>
          <c:order val="9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Data!$K$7:$L$7</c:f>
              <c:numCache>
                <c:formatCode>General</c:formatCode>
                <c:ptCount val="2"/>
                <c:pt idx="0">
                  <c:v>20.73</c:v>
                </c:pt>
                <c:pt idx="1">
                  <c:v>29.29</c:v>
                </c:pt>
              </c:numCache>
            </c:numRef>
          </c:xVal>
          <c:yVal>
            <c:numRef>
              <c:f>Data!$M$7:$N$7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4E23-4FF4-B0F6-56D06A3E8BBB}"/>
            </c:ext>
          </c:extLst>
        </c:ser>
        <c:ser>
          <c:idx val="10"/>
          <c:order val="10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Data!$K$8:$L$8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xVal>
          <c:yVal>
            <c:numRef>
              <c:f>Data!$M$8:$N$8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4E23-4FF4-B0F6-56D06A3E8BBB}"/>
            </c:ext>
          </c:extLst>
        </c:ser>
        <c:ser>
          <c:idx val="11"/>
          <c:order val="11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Data!$K$9:$L$9</c:f>
              <c:numCache>
                <c:formatCode>General</c:formatCode>
                <c:ptCount val="2"/>
                <c:pt idx="0">
                  <c:v>24.24</c:v>
                </c:pt>
                <c:pt idx="1">
                  <c:v>38.520000000000003</c:v>
                </c:pt>
              </c:numCache>
            </c:numRef>
          </c:xVal>
          <c:yVal>
            <c:numRef>
              <c:f>Data!$M$9:$N$9</c:f>
              <c:numCache>
                <c:formatCode>General</c:formatCode>
                <c:ptCount val="2"/>
                <c:pt idx="0">
                  <c:v>7</c:v>
                </c:pt>
                <c:pt idx="1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4E23-4FF4-B0F6-56D06A3E8BBB}"/>
            </c:ext>
          </c:extLst>
        </c:ser>
        <c:ser>
          <c:idx val="12"/>
          <c:order val="12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Data!$K$10:$L$10</c:f>
              <c:numCache>
                <c:formatCode>General</c:formatCode>
                <c:ptCount val="2"/>
                <c:pt idx="0">
                  <c:v>16.22</c:v>
                </c:pt>
                <c:pt idx="1">
                  <c:v>22.53</c:v>
                </c:pt>
              </c:numCache>
            </c:numRef>
          </c:xVal>
          <c:yVal>
            <c:numRef>
              <c:f>Data!$M$10:$N$10</c:f>
              <c:numCache>
                <c:formatCode>General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4E23-4FF4-B0F6-56D06A3E8BBB}"/>
            </c:ext>
          </c:extLst>
        </c:ser>
        <c:ser>
          <c:idx val="13"/>
          <c:order val="13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Data!$K$11:$L$11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xVal>
          <c:yVal>
            <c:numRef>
              <c:f>Data!$M$11:$N$11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4E23-4FF4-B0F6-56D06A3E8BBB}"/>
            </c:ext>
          </c:extLst>
        </c:ser>
        <c:ser>
          <c:idx val="14"/>
          <c:order val="14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Data!$K$12:$L$12</c:f>
              <c:numCache>
                <c:formatCode>General</c:formatCode>
                <c:ptCount val="2"/>
                <c:pt idx="0">
                  <c:v>26.98</c:v>
                </c:pt>
                <c:pt idx="1">
                  <c:v>41.86</c:v>
                </c:pt>
              </c:numCache>
            </c:numRef>
          </c:xVal>
          <c:yVal>
            <c:numRef>
              <c:f>Data!$M$12:$N$12</c:f>
              <c:numCache>
                <c:formatCode>General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4E23-4FF4-B0F6-56D06A3E8BBB}"/>
            </c:ext>
          </c:extLst>
        </c:ser>
        <c:ser>
          <c:idx val="15"/>
          <c:order val="15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Data!$K$13:$L$13</c:f>
              <c:numCache>
                <c:formatCode>General</c:formatCode>
                <c:ptCount val="2"/>
                <c:pt idx="0">
                  <c:v>18.32</c:v>
                </c:pt>
                <c:pt idx="1">
                  <c:v>24.88</c:v>
                </c:pt>
              </c:numCache>
            </c:numRef>
          </c:xVal>
          <c:yVal>
            <c:numRef>
              <c:f>Data!$M$13:$N$13</c:f>
              <c:numCache>
                <c:formatCode>General</c:formatCode>
                <c:ptCount val="2"/>
                <c:pt idx="0">
                  <c:v>11</c:v>
                </c:pt>
                <c:pt idx="1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4E23-4FF4-B0F6-56D06A3E8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747999"/>
        <c:axId val="2112748479"/>
      </c:scatterChart>
      <c:valAx>
        <c:axId val="2112747999"/>
        <c:scaling>
          <c:orientation val="minMax"/>
          <c:max val="100"/>
          <c:min val="0"/>
        </c:scaling>
        <c:delete val="0"/>
        <c:axPos val="b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>
                    <a:latin typeface="Sofia Pro"/>
                    <a:ea typeface="Sofia Pro"/>
                    <a:cs typeface="Sofia Pro"/>
                  </a:defRPr>
                </a:pPr>
                <a:r>
                  <a:rPr lang="en-GB" sz="1400"/>
                  <a:t>% of world (sum of countries) per-capita cumulative emissions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2112748479"/>
        <c:crosses val="autoZero"/>
        <c:crossBetween val="midCat"/>
        <c:majorUnit val="10"/>
      </c:valAx>
      <c:valAx>
        <c:axId val="2112748479"/>
        <c:scaling>
          <c:orientation val="minMax"/>
          <c:max val="12"/>
          <c:min val="0"/>
        </c:scaling>
        <c:delete val="0"/>
        <c:axPos val="l"/>
        <c:numFmt formatCode=";;;" sourceLinked="0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2112747999"/>
        <c:crosses val="autoZero"/>
        <c:crossBetween val="midCat"/>
        <c:majorUnit val="1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ayout>
        <c:manualLayout>
          <c:xMode val="edge"/>
          <c:yMode val="edge"/>
          <c:x val="0.25242148610734"/>
          <c:y val="3.9285714285714285E-2"/>
          <c:w val="0.51929486831387461"/>
          <c:h val="3.808056805399325E-2"/>
        </c:manualLayout>
      </c:layout>
      <c:overlay val="0"/>
      <c:txPr>
        <a:bodyPr/>
        <a:lstStyle/>
        <a:p>
          <a:pPr>
            <a:defRPr sz="12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18</xdr:col>
      <xdr:colOff>203200</xdr:colOff>
      <xdr:row>39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F3F335-6F85-FF58-32C6-3BDBB2072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E1753-9382-40C8-BEBA-42E38DC2FE83}">
  <sheetPr>
    <tabColor rgb="FF0B4C5B"/>
  </sheetPr>
  <dimension ref="A1:O13"/>
  <sheetViews>
    <sheetView workbookViewId="0">
      <selection activeCell="C2" sqref="C2:F2"/>
    </sheetView>
  </sheetViews>
  <sheetFormatPr defaultRowHeight="14.5" x14ac:dyDescent="0.35"/>
  <cols>
    <col min="1" max="1" width="5.7265625" bestFit="1" customWidth="1"/>
    <col min="2" max="2" width="32.6328125" customWidth="1"/>
    <col min="3" max="3" width="6.36328125" bestFit="1" customWidth="1"/>
    <col min="4" max="4" width="6.6328125" bestFit="1" customWidth="1"/>
    <col min="5" max="5" width="6.54296875" bestFit="1" customWidth="1"/>
    <col min="6" max="6" width="6.7265625" bestFit="1" customWidth="1"/>
    <col min="7" max="7" width="8.36328125" bestFit="1" customWidth="1"/>
    <col min="8" max="15" width="11.6328125" customWidth="1"/>
  </cols>
  <sheetData>
    <row r="1" spans="1:15" ht="30" customHeight="1" x14ac:dyDescent="0.35">
      <c r="A1" s="13" t="s">
        <v>19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"/>
    </row>
    <row r="2" spans="1:15" x14ac:dyDescent="0.35">
      <c r="A2" s="2" t="s">
        <v>0</v>
      </c>
      <c r="B2" s="2" t="s">
        <v>1</v>
      </c>
      <c r="C2" s="2" t="s">
        <v>20</v>
      </c>
      <c r="D2" s="2" t="s">
        <v>21</v>
      </c>
      <c r="E2" s="2" t="s">
        <v>22</v>
      </c>
      <c r="F2" s="2" t="s">
        <v>23</v>
      </c>
      <c r="G2" s="4" t="s">
        <v>2</v>
      </c>
      <c r="H2" s="3" t="s">
        <v>3</v>
      </c>
      <c r="I2" s="3" t="s">
        <v>4</v>
      </c>
      <c r="J2" s="3" t="s">
        <v>5</v>
      </c>
      <c r="K2" s="3" t="s">
        <v>6</v>
      </c>
      <c r="L2" s="3" t="s">
        <v>7</v>
      </c>
      <c r="M2" s="3" t="s">
        <v>8</v>
      </c>
      <c r="N2" s="3" t="s">
        <v>9</v>
      </c>
      <c r="O2" s="3" t="s">
        <v>10</v>
      </c>
    </row>
    <row r="3" spans="1:15" x14ac:dyDescent="0.35">
      <c r="A3" s="6">
        <v>1</v>
      </c>
      <c r="B3" s="6" t="s">
        <v>11</v>
      </c>
      <c r="C3" s="9">
        <v>35.78</v>
      </c>
      <c r="D3" s="9">
        <v>45.1</v>
      </c>
      <c r="E3" s="9">
        <v>28.66</v>
      </c>
      <c r="F3" s="9">
        <v>62.09</v>
      </c>
      <c r="G3" s="6">
        <f t="shared" ref="G3:G13" si="0">IF(COUNT(C3:E3)&lt;=1,NA(),_xlfn.AGGREGATE(5,6,C3:E3))</f>
        <v>28.66</v>
      </c>
      <c r="H3" s="6">
        <f t="shared" ref="H3:H13" si="1">IF(COUNT(C3:E3)&lt;=1,0,_xlfn.AGGREGATE(4,6,C3:E3)-_xlfn.AGGREGATE(5,6,C3:E3))</f>
        <v>16.440000000000001</v>
      </c>
      <c r="I3" s="6">
        <v>0</v>
      </c>
      <c r="J3" s="6">
        <f t="shared" ref="J3:J13" si="2">IF(ISNA(G3),NA(),G3+H3)</f>
        <v>45.1</v>
      </c>
      <c r="K3" s="6">
        <f t="shared" ref="K3:K13" si="3">IF(ISNA(G3),NA(),G3)</f>
        <v>28.66</v>
      </c>
      <c r="L3" s="6">
        <f t="shared" ref="L3:L13" si="4">IF(ISNA(G3),NA(),J3)</f>
        <v>45.1</v>
      </c>
      <c r="M3" s="6">
        <f t="shared" ref="M3:M13" si="5">IF(ISNA(G3),NA(),A3)</f>
        <v>1</v>
      </c>
      <c r="N3" s="6">
        <f t="shared" ref="N3:N13" si="6">M3</f>
        <v>1</v>
      </c>
      <c r="O3" s="6"/>
    </row>
    <row r="4" spans="1:15" x14ac:dyDescent="0.35">
      <c r="A4" s="5">
        <v>2</v>
      </c>
      <c r="B4" s="5" t="s">
        <v>12</v>
      </c>
      <c r="C4" s="10">
        <v>24</v>
      </c>
      <c r="D4" s="10">
        <v>26.83</v>
      </c>
      <c r="E4" s="10">
        <v>19.04</v>
      </c>
      <c r="F4" s="10">
        <v>48.62</v>
      </c>
      <c r="G4" s="5">
        <f t="shared" si="0"/>
        <v>19.04</v>
      </c>
      <c r="H4" s="6">
        <f t="shared" si="1"/>
        <v>7.7899999999999991</v>
      </c>
      <c r="I4" s="6">
        <v>0</v>
      </c>
      <c r="J4" s="6">
        <f t="shared" si="2"/>
        <v>26.83</v>
      </c>
      <c r="K4" s="6">
        <f t="shared" si="3"/>
        <v>19.04</v>
      </c>
      <c r="L4" s="6">
        <f t="shared" si="4"/>
        <v>26.83</v>
      </c>
      <c r="M4" s="6">
        <f t="shared" si="5"/>
        <v>2</v>
      </c>
      <c r="N4" s="6">
        <f t="shared" si="6"/>
        <v>2</v>
      </c>
      <c r="O4" s="6"/>
    </row>
    <row r="5" spans="1:15" x14ac:dyDescent="0.35">
      <c r="A5" s="6">
        <v>3</v>
      </c>
      <c r="B5" s="6"/>
      <c r="C5" s="9" t="e">
        <f>NA()</f>
        <v>#N/A</v>
      </c>
      <c r="D5" s="9" t="e">
        <f>NA()</f>
        <v>#N/A</v>
      </c>
      <c r="E5" s="9" t="e">
        <f>NA()</f>
        <v>#N/A</v>
      </c>
      <c r="F5" s="9" t="e">
        <f>NA()</f>
        <v>#N/A</v>
      </c>
      <c r="G5" s="6" t="e">
        <f t="shared" si="0"/>
        <v>#N/A</v>
      </c>
      <c r="H5" s="6">
        <f t="shared" si="1"/>
        <v>0</v>
      </c>
      <c r="I5" s="6">
        <v>0</v>
      </c>
      <c r="J5" s="6" t="e">
        <f t="shared" si="2"/>
        <v>#N/A</v>
      </c>
      <c r="K5" s="6" t="e">
        <f t="shared" si="3"/>
        <v>#N/A</v>
      </c>
      <c r="L5" s="6" t="e">
        <f t="shared" si="4"/>
        <v>#N/A</v>
      </c>
      <c r="M5" s="6" t="e">
        <f t="shared" si="5"/>
        <v>#N/A</v>
      </c>
      <c r="N5" s="6" t="e">
        <f t="shared" si="6"/>
        <v>#N/A</v>
      </c>
      <c r="O5" s="6"/>
    </row>
    <row r="6" spans="1:15" x14ac:dyDescent="0.35">
      <c r="A6" s="5">
        <v>4</v>
      </c>
      <c r="B6" s="5" t="s">
        <v>13</v>
      </c>
      <c r="C6" s="10">
        <v>38.049999999999997</v>
      </c>
      <c r="D6" s="10">
        <v>49.75</v>
      </c>
      <c r="E6" s="10">
        <v>31.42</v>
      </c>
      <c r="F6" s="10">
        <v>59.4</v>
      </c>
      <c r="G6" s="5">
        <f t="shared" si="0"/>
        <v>31.42</v>
      </c>
      <c r="H6" s="6">
        <f t="shared" si="1"/>
        <v>18.329999999999998</v>
      </c>
      <c r="I6" s="6">
        <v>0</v>
      </c>
      <c r="J6" s="6">
        <f t="shared" si="2"/>
        <v>49.75</v>
      </c>
      <c r="K6" s="6">
        <f t="shared" si="3"/>
        <v>31.42</v>
      </c>
      <c r="L6" s="6">
        <f t="shared" si="4"/>
        <v>49.75</v>
      </c>
      <c r="M6" s="6">
        <f t="shared" si="5"/>
        <v>4</v>
      </c>
      <c r="N6" s="6">
        <f t="shared" si="6"/>
        <v>4</v>
      </c>
      <c r="O6" s="6"/>
    </row>
    <row r="7" spans="1:15" x14ac:dyDescent="0.35">
      <c r="A7" s="6">
        <v>5</v>
      </c>
      <c r="B7" s="6" t="s">
        <v>14</v>
      </c>
      <c r="C7" s="9">
        <v>25.32</v>
      </c>
      <c r="D7" s="9">
        <v>29.29</v>
      </c>
      <c r="E7" s="9">
        <v>20.73</v>
      </c>
      <c r="F7" s="9">
        <v>45.86</v>
      </c>
      <c r="G7" s="6">
        <f t="shared" si="0"/>
        <v>20.73</v>
      </c>
      <c r="H7" s="6">
        <f t="shared" si="1"/>
        <v>8.5599999999999987</v>
      </c>
      <c r="I7" s="6">
        <v>0</v>
      </c>
      <c r="J7" s="6">
        <f t="shared" si="2"/>
        <v>29.29</v>
      </c>
      <c r="K7" s="6">
        <f t="shared" si="3"/>
        <v>20.73</v>
      </c>
      <c r="L7" s="6">
        <f t="shared" si="4"/>
        <v>29.29</v>
      </c>
      <c r="M7" s="6">
        <f t="shared" si="5"/>
        <v>5</v>
      </c>
      <c r="N7" s="6">
        <f t="shared" si="6"/>
        <v>5</v>
      </c>
      <c r="O7" s="6"/>
    </row>
    <row r="8" spans="1:15" x14ac:dyDescent="0.35">
      <c r="A8" s="5">
        <v>6</v>
      </c>
      <c r="B8" s="5"/>
      <c r="C8" s="10" t="e">
        <f>NA()</f>
        <v>#N/A</v>
      </c>
      <c r="D8" s="10" t="e">
        <f>NA()</f>
        <v>#N/A</v>
      </c>
      <c r="E8" s="10" t="e">
        <f>NA()</f>
        <v>#N/A</v>
      </c>
      <c r="F8" s="10" t="e">
        <f>NA()</f>
        <v>#N/A</v>
      </c>
      <c r="G8" s="5" t="e">
        <f t="shared" si="0"/>
        <v>#N/A</v>
      </c>
      <c r="H8" s="6">
        <f t="shared" si="1"/>
        <v>0</v>
      </c>
      <c r="I8" s="6">
        <v>0</v>
      </c>
      <c r="J8" s="6" t="e">
        <f t="shared" si="2"/>
        <v>#N/A</v>
      </c>
      <c r="K8" s="6" t="e">
        <f t="shared" si="3"/>
        <v>#N/A</v>
      </c>
      <c r="L8" s="6" t="e">
        <f t="shared" si="4"/>
        <v>#N/A</v>
      </c>
      <c r="M8" s="6" t="e">
        <f t="shared" si="5"/>
        <v>#N/A</v>
      </c>
      <c r="N8" s="6" t="e">
        <f t="shared" si="6"/>
        <v>#N/A</v>
      </c>
      <c r="O8" s="6"/>
    </row>
    <row r="9" spans="1:15" x14ac:dyDescent="0.35">
      <c r="A9" s="6">
        <v>7</v>
      </c>
      <c r="B9" s="6" t="s">
        <v>15</v>
      </c>
      <c r="C9" s="9">
        <v>25.62</v>
      </c>
      <c r="D9" s="9">
        <v>38.520000000000003</v>
      </c>
      <c r="E9" s="9">
        <v>24.24</v>
      </c>
      <c r="F9" s="9">
        <v>51.21</v>
      </c>
      <c r="G9" s="6">
        <f t="shared" si="0"/>
        <v>24.24</v>
      </c>
      <c r="H9" s="6">
        <f t="shared" si="1"/>
        <v>14.280000000000005</v>
      </c>
      <c r="I9" s="6">
        <v>0</v>
      </c>
      <c r="J9" s="6">
        <f t="shared" si="2"/>
        <v>38.520000000000003</v>
      </c>
      <c r="K9" s="6">
        <f t="shared" si="3"/>
        <v>24.24</v>
      </c>
      <c r="L9" s="6">
        <f t="shared" si="4"/>
        <v>38.520000000000003</v>
      </c>
      <c r="M9" s="6">
        <f t="shared" si="5"/>
        <v>7</v>
      </c>
      <c r="N9" s="6">
        <f t="shared" si="6"/>
        <v>7</v>
      </c>
      <c r="O9" s="6"/>
    </row>
    <row r="10" spans="1:15" x14ac:dyDescent="0.35">
      <c r="A10" s="5">
        <v>8</v>
      </c>
      <c r="B10" s="5" t="s">
        <v>16</v>
      </c>
      <c r="C10" s="10">
        <v>17.600000000000001</v>
      </c>
      <c r="D10" s="10">
        <v>22.53</v>
      </c>
      <c r="E10" s="10">
        <v>16.22</v>
      </c>
      <c r="F10" s="10">
        <v>37.729999999999997</v>
      </c>
      <c r="G10" s="5">
        <f t="shared" si="0"/>
        <v>16.22</v>
      </c>
      <c r="H10" s="6">
        <f t="shared" si="1"/>
        <v>6.3100000000000023</v>
      </c>
      <c r="I10" s="6">
        <v>0</v>
      </c>
      <c r="J10" s="6">
        <f t="shared" si="2"/>
        <v>22.53</v>
      </c>
      <c r="K10" s="6">
        <f t="shared" si="3"/>
        <v>16.22</v>
      </c>
      <c r="L10" s="6">
        <f t="shared" si="4"/>
        <v>22.53</v>
      </c>
      <c r="M10" s="6">
        <f t="shared" si="5"/>
        <v>8</v>
      </c>
      <c r="N10" s="6">
        <f t="shared" si="6"/>
        <v>8</v>
      </c>
      <c r="O10" s="6"/>
    </row>
    <row r="11" spans="1:15" x14ac:dyDescent="0.35">
      <c r="A11">
        <v>9</v>
      </c>
      <c r="C11" s="11" t="e">
        <f>NA()</f>
        <v>#N/A</v>
      </c>
      <c r="D11" s="11" t="e">
        <f>NA()</f>
        <v>#N/A</v>
      </c>
      <c r="E11" s="11" t="e">
        <f>NA()</f>
        <v>#N/A</v>
      </c>
      <c r="F11" s="11" t="e">
        <f>NA()</f>
        <v>#N/A</v>
      </c>
      <c r="G11" t="e">
        <f t="shared" si="0"/>
        <v>#N/A</v>
      </c>
      <c r="H11">
        <f t="shared" si="1"/>
        <v>0</v>
      </c>
      <c r="I11">
        <v>0</v>
      </c>
      <c r="J11" t="e">
        <f t="shared" si="2"/>
        <v>#N/A</v>
      </c>
      <c r="K11" t="e">
        <f t="shared" si="3"/>
        <v>#N/A</v>
      </c>
      <c r="L11" t="e">
        <f t="shared" si="4"/>
        <v>#N/A</v>
      </c>
      <c r="M11" t="e">
        <f t="shared" si="5"/>
        <v>#N/A</v>
      </c>
      <c r="N11" t="e">
        <f t="shared" si="6"/>
        <v>#N/A</v>
      </c>
    </row>
    <row r="12" spans="1:15" ht="48" customHeight="1" x14ac:dyDescent="0.35">
      <c r="A12" s="7">
        <v>10</v>
      </c>
      <c r="B12" s="8" t="s">
        <v>17</v>
      </c>
      <c r="C12" s="12">
        <v>28.65</v>
      </c>
      <c r="D12" s="12">
        <v>41.86</v>
      </c>
      <c r="E12" s="12">
        <v>26.98</v>
      </c>
      <c r="F12" s="12">
        <v>49.39</v>
      </c>
      <c r="G12" s="8">
        <f t="shared" si="0"/>
        <v>26.98</v>
      </c>
      <c r="H12" s="8">
        <f t="shared" si="1"/>
        <v>14.879999999999999</v>
      </c>
      <c r="I12" s="8">
        <v>0</v>
      </c>
      <c r="J12" s="8">
        <f t="shared" si="2"/>
        <v>41.86</v>
      </c>
      <c r="K12" s="8">
        <f t="shared" si="3"/>
        <v>26.98</v>
      </c>
      <c r="L12" s="8">
        <f t="shared" si="4"/>
        <v>41.86</v>
      </c>
      <c r="M12" s="8">
        <f t="shared" si="5"/>
        <v>10</v>
      </c>
      <c r="N12" s="8">
        <f t="shared" si="6"/>
        <v>10</v>
      </c>
      <c r="O12" s="8"/>
    </row>
    <row r="13" spans="1:15" x14ac:dyDescent="0.35">
      <c r="A13">
        <v>11</v>
      </c>
      <c r="B13" t="s">
        <v>18</v>
      </c>
      <c r="C13" s="11">
        <v>20.260000000000002</v>
      </c>
      <c r="D13" s="11">
        <v>24.88</v>
      </c>
      <c r="E13" s="11">
        <v>18.32</v>
      </c>
      <c r="F13" s="11">
        <v>36.44</v>
      </c>
      <c r="G13">
        <f t="shared" si="0"/>
        <v>18.32</v>
      </c>
      <c r="H13">
        <f t="shared" si="1"/>
        <v>6.5599999999999987</v>
      </c>
      <c r="I13">
        <v>0</v>
      </c>
      <c r="J13">
        <f t="shared" si="2"/>
        <v>24.88</v>
      </c>
      <c r="K13">
        <f t="shared" si="3"/>
        <v>18.32</v>
      </c>
      <c r="L13">
        <f t="shared" si="4"/>
        <v>24.88</v>
      </c>
      <c r="M13">
        <f t="shared" si="5"/>
        <v>11</v>
      </c>
      <c r="N13">
        <f t="shared" si="6"/>
        <v>11</v>
      </c>
    </row>
  </sheetData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46B76-1240-4A36-806A-819D98C61B0F}">
  <sheetPr>
    <tabColor rgb="FFFFB52C"/>
  </sheetPr>
  <dimension ref="A1"/>
  <sheetViews>
    <sheetView tabSelected="1" workbookViewId="0">
      <selection activeCell="H48" sqref="H48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1ADAF7CDC05F468DC4656A04C1CC40" ma:contentTypeVersion="18" ma:contentTypeDescription="Create a new document." ma:contentTypeScope="" ma:versionID="28655e3f24d885ee784436a7f5e4a3c8">
  <xsd:schema xmlns:xsd="http://www.w3.org/2001/XMLSchema" xmlns:xs="http://www.w3.org/2001/XMLSchema" xmlns:p="http://schemas.microsoft.com/office/2006/metadata/properties" xmlns:ns2="06b04f7f-0f64-4a5e-bf04-53db9ee74c0c" xmlns:ns3="40aef5c5-d752-4158-9074-039719beadaa" targetNamespace="http://schemas.microsoft.com/office/2006/metadata/properties" ma:root="true" ma:fieldsID="e781938e59b70c2ee7f958117c5c3bb0" ns2:_="" ns3:_="">
    <xsd:import namespace="06b04f7f-0f64-4a5e-bf04-53db9ee74c0c"/>
    <xsd:import namespace="40aef5c5-d752-4158-9074-039719beada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b04f7f-0f64-4a5e-bf04-53db9ee74c0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1735d8b-15eb-4829-8bca-35ad924c0e94}" ma:internalName="TaxCatchAll" ma:showField="CatchAllData" ma:web="06b04f7f-0f64-4a5e-bf04-53db9ee74c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aef5c5-d752-4158-9074-039719be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3b87d99-7d78-42b6-8830-566c1c7d09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aef5c5-d752-4158-9074-039719beadaa">
      <Terms xmlns="http://schemas.microsoft.com/office/infopath/2007/PartnerControls"/>
    </lcf76f155ced4ddcb4097134ff3c332f>
    <TaxCatchAll xmlns="06b04f7f-0f64-4a5e-bf04-53db9ee74c0c" xsi:nil="true"/>
  </documentManagement>
</p:properties>
</file>

<file path=customXml/itemProps1.xml><?xml version="1.0" encoding="utf-8"?>
<ds:datastoreItem xmlns:ds="http://schemas.openxmlformats.org/officeDocument/2006/customXml" ds:itemID="{CB4EB6B2-D112-40F3-9CBB-C1DFE632EB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b04f7f-0f64-4a5e-bf04-53db9ee74c0c"/>
    <ds:schemaRef ds:uri="40aef5c5-d752-4158-9074-039719be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B01732D-FB39-4E46-BAB5-0235754A4D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FDE585-B604-426B-B724-4961166B8A7D}">
  <ds:schemaRefs>
    <ds:schemaRef ds:uri="http://schemas.microsoft.com/office/2006/metadata/properties"/>
    <ds:schemaRef ds:uri="http://schemas.microsoft.com/office/infopath/2007/PartnerControls"/>
    <ds:schemaRef ds:uri="40aef5c5-d752-4158-9074-039719beadaa"/>
    <ds:schemaRef ds:uri="06b04f7f-0f64-4a5e-bf04-53db9ee74c0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Wickstead</dc:creator>
  <cp:lastModifiedBy>Edward Wickstead</cp:lastModifiedBy>
  <dcterms:created xsi:type="dcterms:W3CDTF">2026-04-30T13:53:38Z</dcterms:created>
  <dcterms:modified xsi:type="dcterms:W3CDTF">2026-07-29T11:37:55Z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0x010100FD1ADAF7CDC05F468DC4656A04C1CC40</vt:lpwstr>
  </property>
</Properties>
</file>