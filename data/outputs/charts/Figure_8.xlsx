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erforglobaldevelop.sharepoint.com/sites/EDPL/Shared Documents/08.Climate/1.Research/GHG emissions analysis/QA/data/outputs/charts/"/>
    </mc:Choice>
  </mc:AlternateContent>
  <xr:revisionPtr revIDLastSave="6" documentId="8_{05E4B058-219A-48EB-B347-120EF9E2FFF4}" xr6:coauthVersionLast="47" xr6:coauthVersionMax="47" xr10:uidLastSave="{16282B9A-6FC5-4EE9-8400-591A75BC3594}"/>
  <bookViews>
    <workbookView xWindow="-110" yWindow="-110" windowWidth="19420" windowHeight="10300" activeTab="1" xr2:uid="{50CDAB7C-0BC5-4AA6-BBE0-15274DC77CD5}"/>
  </bookViews>
  <sheets>
    <sheet name="Data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" i="1" l="1"/>
  <c r="L4" i="1"/>
  <c r="J13" i="1"/>
  <c r="M13" i="1" s="1"/>
  <c r="I13" i="1"/>
  <c r="H13" i="1"/>
  <c r="G13" i="1"/>
  <c r="F13" i="1"/>
  <c r="E13" i="1"/>
  <c r="L13" i="1" s="1"/>
  <c r="J12" i="1"/>
  <c r="I12" i="1"/>
  <c r="H12" i="1"/>
  <c r="L12" i="1" s="1"/>
  <c r="G12" i="1"/>
  <c r="F12" i="1"/>
  <c r="E12" i="1"/>
  <c r="K11" i="1"/>
  <c r="J11" i="1"/>
  <c r="I11" i="1"/>
  <c r="H11" i="1"/>
  <c r="G11" i="1"/>
  <c r="L11" i="1" s="1"/>
  <c r="F11" i="1"/>
  <c r="E11" i="1"/>
  <c r="D11" i="1"/>
  <c r="C11" i="1"/>
  <c r="J10" i="1"/>
  <c r="I10" i="1"/>
  <c r="E10" i="1"/>
  <c r="L10" i="1" s="1"/>
  <c r="J9" i="1"/>
  <c r="M9" i="1" s="1"/>
  <c r="I9" i="1"/>
  <c r="E9" i="1"/>
  <c r="K8" i="1"/>
  <c r="J8" i="1"/>
  <c r="I8" i="1"/>
  <c r="H8" i="1"/>
  <c r="G8" i="1"/>
  <c r="F8" i="1"/>
  <c r="L8" i="1" s="1"/>
  <c r="E8" i="1"/>
  <c r="D8" i="1"/>
  <c r="C8" i="1"/>
  <c r="M8" i="1" s="1"/>
  <c r="J7" i="1"/>
  <c r="I7" i="1"/>
  <c r="H7" i="1"/>
  <c r="G7" i="1"/>
  <c r="F7" i="1"/>
  <c r="L7" i="1" s="1"/>
  <c r="E7" i="1"/>
  <c r="M7" i="1" s="1"/>
  <c r="J6" i="1"/>
  <c r="I6" i="1"/>
  <c r="H6" i="1"/>
  <c r="G6" i="1"/>
  <c r="F6" i="1"/>
  <c r="E6" i="1"/>
  <c r="M6" i="1" s="1"/>
  <c r="K5" i="1"/>
  <c r="J5" i="1"/>
  <c r="I5" i="1"/>
  <c r="H5" i="1"/>
  <c r="G5" i="1"/>
  <c r="F5" i="1"/>
  <c r="E5" i="1"/>
  <c r="D5" i="1"/>
  <c r="C5" i="1"/>
  <c r="L5" i="1" s="1"/>
  <c r="J4" i="1"/>
  <c r="I4" i="1"/>
  <c r="H4" i="1"/>
  <c r="G4" i="1"/>
  <c r="F4" i="1"/>
  <c r="J3" i="1"/>
  <c r="I3" i="1"/>
  <c r="H3" i="1"/>
  <c r="L3" i="1" s="1"/>
  <c r="G3" i="1"/>
  <c r="F3" i="1"/>
  <c r="O13" i="1" l="1"/>
  <c r="Q13" i="1" s="1"/>
  <c r="R13" i="1"/>
  <c r="S13" i="1" s="1"/>
  <c r="P13" i="1"/>
  <c r="R3" i="1"/>
  <c r="S3" i="1" s="1"/>
  <c r="P3" i="1"/>
  <c r="R5" i="1"/>
  <c r="S5" i="1" s="1"/>
  <c r="O5" i="1"/>
  <c r="Q5" i="1"/>
  <c r="P5" i="1"/>
  <c r="O7" i="1"/>
  <c r="Q7" i="1"/>
  <c r="P7" i="1"/>
  <c r="R7" i="1"/>
  <c r="S7" i="1" s="1"/>
  <c r="P8" i="1"/>
  <c r="R8" i="1"/>
  <c r="S8" i="1" s="1"/>
  <c r="Q8" i="1"/>
  <c r="O8" i="1"/>
  <c r="P11" i="1"/>
  <c r="O11" i="1"/>
  <c r="R11" i="1"/>
  <c r="S11" i="1" s="1"/>
  <c r="Q11" i="1"/>
  <c r="R12" i="1"/>
  <c r="S12" i="1" s="1"/>
  <c r="O12" i="1"/>
  <c r="Q12" i="1" s="1"/>
  <c r="P12" i="1"/>
  <c r="R10" i="1"/>
  <c r="S10" i="1" s="1"/>
  <c r="P10" i="1"/>
  <c r="M12" i="1"/>
  <c r="M3" i="1"/>
  <c r="O3" i="1" s="1"/>
  <c r="Q3" i="1" s="1"/>
  <c r="M11" i="1"/>
  <c r="M10" i="1"/>
  <c r="O10" i="1" s="1"/>
  <c r="Q10" i="1" s="1"/>
  <c r="R4" i="1"/>
  <c r="S4" i="1" s="1"/>
  <c r="L6" i="1"/>
  <c r="M5" i="1"/>
  <c r="O4" i="1"/>
  <c r="Q4" i="1" s="1"/>
  <c r="P4" i="1"/>
  <c r="L9" i="1"/>
  <c r="R9" i="1" l="1"/>
  <c r="S9" i="1" s="1"/>
  <c r="P9" i="1"/>
  <c r="O9" i="1"/>
  <c r="Q9" i="1" s="1"/>
  <c r="R6" i="1"/>
  <c r="S6" i="1" s="1"/>
  <c r="O6" i="1"/>
  <c r="Q6" i="1" s="1"/>
  <c r="P6" i="1"/>
</calcChain>
</file>

<file path=xl/sharedStrings.xml><?xml version="1.0" encoding="utf-8"?>
<sst xmlns="http://schemas.openxmlformats.org/spreadsheetml/2006/main" count="24" uniqueCount="21">
  <si>
    <t>Y_pos</t>
  </si>
  <si>
    <t>Category label</t>
  </si>
  <si>
    <t>[ConnX_1]</t>
  </si>
  <si>
    <t>[ConnX_2]</t>
  </si>
  <si>
    <t>[ConnY_1]</t>
  </si>
  <si>
    <t>[ConnY_2]</t>
  </si>
  <si>
    <t>CO2 excl. LULUCF — Annex I</t>
  </si>
  <si>
    <t>CO2 excl. LULUCF — Annex II</t>
  </si>
  <si>
    <t>All GHG excl. LULUCF — Annex I</t>
  </si>
  <si>
    <t>All GHG excl. LULUCF — Annex II</t>
  </si>
  <si>
    <t>CO2 incl. LULUCF — Annex I</t>
  </si>
  <si>
    <t>CO2 incl. LULUCF — Annex II</t>
  </si>
  <si>
    <t>All GHG incl. LULUCF — Annex I</t>
  </si>
  <si>
    <t>All GHG incl. LULUCF — Annex II</t>
  </si>
  <si>
    <t>OWID</t>
  </si>
  <si>
    <t>PRIMAP</t>
  </si>
  <si>
    <t>GCP</t>
  </si>
  <si>
    <t>EDGAR</t>
  </si>
  <si>
    <t>Climate Watch</t>
  </si>
  <si>
    <t>GMST</t>
  </si>
  <si>
    <t>Cumulative emissions shares with colonial attribution (1850–2024)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</si>
</sst>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FFFF"/>
      <name val="Sofia Pro Semi Bold"/>
      <family val="3"/>
    </font>
    <font>
      <b/>
      <sz val="9"/>
      <color rgb="FFFFFFFF"/>
      <name val="Sofia Pro Semi Bold"/>
      <family val="3"/>
    </font>
    <font>
      <sz val="9"/>
      <color theme="1"/>
      <name val="Sofia Pro"/>
      <family val="3"/>
    </font>
    <font>
      <i/>
      <sz val="8"/>
      <color rgb="FF0B4C5B"/>
      <name val="Sofia Pro"/>
      <family val="3"/>
    </font>
  </fonts>
  <fills count="7">
    <fill>
      <patternFill patternType="none"/>
    </fill>
    <fill>
      <patternFill patternType="gray125"/>
    </fill>
    <fill>
      <patternFill patternType="solid">
        <fgColor rgb="FF0B4C5B"/>
        <bgColor indexed="64"/>
      </patternFill>
    </fill>
    <fill>
      <patternFill patternType="solid">
        <fgColor rgb="FF1A8A9E"/>
        <bgColor indexed="64"/>
      </patternFill>
    </fill>
    <fill>
      <patternFill patternType="solid">
        <fgColor rgb="FF5B8C96"/>
        <bgColor indexed="64"/>
      </patternFill>
    </fill>
    <fill>
      <patternFill patternType="solid">
        <fgColor rgb="FFEAF5F7"/>
        <bgColor indexed="64"/>
      </patternFill>
    </fill>
    <fill>
      <patternFill patternType="solid">
        <fgColor rgb="FFD6EA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5" borderId="0" xfId="0" applyFont="1" applyFill="1"/>
    <xf numFmtId="0" fontId="3" fillId="6" borderId="0" xfId="0" applyFont="1" applyFill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1" fontId="3" fillId="6" borderId="0" xfId="0" applyNumberFormat="1" applyFont="1" applyFill="1"/>
    <xf numFmtId="1" fontId="3" fillId="5" borderId="0" xfId="0" applyNumberFormat="1" applyFont="1" applyFill="1"/>
    <xf numFmtId="1" fontId="3" fillId="0" borderId="0" xfId="0" applyNumberFormat="1" applyFont="1"/>
    <xf numFmtId="1" fontId="3" fillId="0" borderId="0" xfId="0" applyNumberFormat="1" applyFont="1" applyAlignment="1">
      <alignment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747126436781609"/>
          <c:y val="0.11428571428571428"/>
          <c:w val="0.66666666666666663"/>
          <c:h val="0.75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Data!$C$2</c:f>
              <c:strCache>
                <c:ptCount val="1"/>
                <c:pt idx="0">
                  <c:v>OWID</c:v>
                </c:pt>
              </c:strCache>
            </c:strRef>
          </c:tx>
          <c:spPr>
            <a:ln w="25400">
              <a:noFill/>
            </a:ln>
          </c:spPr>
          <c:marker>
            <c:symbol val="circle"/>
            <c:size val="9"/>
            <c:spPr>
              <a:solidFill>
                <a:srgbClr val="0B4C5B"/>
              </a:solidFill>
              <a:ln>
                <a:solidFill>
                  <a:srgbClr val="0B4C5B"/>
                </a:solidFill>
                <a:prstDash val="solid"/>
              </a:ln>
            </c:spPr>
          </c:marker>
          <c:xVal>
            <c:numRef>
              <c:f>Data!$C$3:$C$13</c:f>
              <c:numCache>
                <c:formatCode>0</c:formatCode>
                <c:ptCount val="11"/>
                <c:pt idx="0">
                  <c:v>63.26</c:v>
                </c:pt>
                <c:pt idx="1">
                  <c:v>49.03</c:v>
                </c:pt>
                <c:pt idx="2">
                  <c:v>#N/A</c:v>
                </c:pt>
                <c:pt idx="3">
                  <c:v>61.2</c:v>
                </c:pt>
                <c:pt idx="4">
                  <c:v>46.92</c:v>
                </c:pt>
                <c:pt idx="5">
                  <c:v>#N/A</c:v>
                </c:pt>
                <c:pt idx="6">
                  <c:v>56.77</c:v>
                </c:pt>
                <c:pt idx="7">
                  <c:v>42.6</c:v>
                </c:pt>
                <c:pt idx="8">
                  <c:v>#N/A</c:v>
                </c:pt>
                <c:pt idx="9">
                  <c:v>55.07</c:v>
                </c:pt>
                <c:pt idx="10">
                  <c:v>41.21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21-4842-BB95-CA365AB6B5C0}"/>
            </c:ext>
          </c:extLst>
        </c:ser>
        <c:ser>
          <c:idx val="1"/>
          <c:order val="1"/>
          <c:tx>
            <c:strRef>
              <c:f>Data!$D$2</c:f>
              <c:strCache>
                <c:ptCount val="1"/>
                <c:pt idx="0">
                  <c:v>PRIMAP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FFB52C"/>
              </a:solidFill>
              <a:ln>
                <a:solidFill>
                  <a:srgbClr val="FFB52C"/>
                </a:solidFill>
                <a:prstDash val="solid"/>
              </a:ln>
            </c:spPr>
          </c:marker>
          <c:xVal>
            <c:numRef>
              <c:f>Data!$D$3:$D$13</c:f>
              <c:numCache>
                <c:formatCode>0</c:formatCode>
                <c:ptCount val="11"/>
                <c:pt idx="0">
                  <c:v>63.53</c:v>
                </c:pt>
                <c:pt idx="1">
                  <c:v>48.95</c:v>
                </c:pt>
                <c:pt idx="2">
                  <c:v>#N/A</c:v>
                </c:pt>
                <c:pt idx="3">
                  <c:v>59.57</c:v>
                </c:pt>
                <c:pt idx="4">
                  <c:v>45.44</c:v>
                </c:pt>
                <c:pt idx="5">
                  <c:v>#N/A</c:v>
                </c:pt>
                <c:pt idx="6">
                  <c:v>57.65</c:v>
                </c:pt>
                <c:pt idx="7">
                  <c:v>45.41</c:v>
                </c:pt>
                <c:pt idx="8">
                  <c:v>#N/A</c:v>
                </c:pt>
                <c:pt idx="9">
                  <c:v>56.01</c:v>
                </c:pt>
                <c:pt idx="10">
                  <c:v>43.6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21-4842-BB95-CA365AB6B5C0}"/>
            </c:ext>
          </c:extLst>
        </c:ser>
        <c:ser>
          <c:idx val="2"/>
          <c:order val="2"/>
          <c:tx>
            <c:strRef>
              <c:f>Data!$E$2</c:f>
              <c:strCache>
                <c:ptCount val="1"/>
                <c:pt idx="0">
                  <c:v>GCP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1A8A9E"/>
              </a:solidFill>
              <a:ln>
                <a:solidFill>
                  <a:srgbClr val="1A8A9E"/>
                </a:solidFill>
                <a:prstDash val="solid"/>
              </a:ln>
            </c:spPr>
          </c:marker>
          <c:xVal>
            <c:numRef>
              <c:f>Data!$E$3:$E$13</c:f>
              <c:numCache>
                <c:formatCode>0</c:formatCode>
                <c:ptCount val="11"/>
                <c:pt idx="0">
                  <c:v>63.27</c:v>
                </c:pt>
                <c:pt idx="1">
                  <c:v>49.04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21-4842-BB95-CA365AB6B5C0}"/>
            </c:ext>
          </c:extLst>
        </c:ser>
        <c:ser>
          <c:idx val="3"/>
          <c:order val="3"/>
          <c:tx>
            <c:strRef>
              <c:f>Data!$F$2</c:f>
              <c:strCache>
                <c:ptCount val="1"/>
                <c:pt idx="0">
                  <c:v>GCP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1A8A9E"/>
              </a:solidFill>
              <a:ln>
                <a:solidFill>
                  <a:srgbClr val="1A8A9E"/>
                </a:solidFill>
                <a:prstDash val="solid"/>
              </a:ln>
            </c:spPr>
          </c:marker>
          <c:xVal>
            <c:numRef>
              <c:f>Data!$F$3:$F$13</c:f>
              <c:numCache>
                <c:formatCode>0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56.78</c:v>
                </c:pt>
                <c:pt idx="7">
                  <c:v>42.61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21-4842-BB95-CA365AB6B5C0}"/>
            </c:ext>
          </c:extLst>
        </c:ser>
        <c:ser>
          <c:idx val="4"/>
          <c:order val="4"/>
          <c:tx>
            <c:strRef>
              <c:f>Data!$G$2</c:f>
              <c:strCache>
                <c:ptCount val="1"/>
                <c:pt idx="0">
                  <c:v>GCP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1A8A9E"/>
              </a:solidFill>
              <a:ln>
                <a:solidFill>
                  <a:srgbClr val="1A8A9E"/>
                </a:solidFill>
                <a:prstDash val="solid"/>
              </a:ln>
            </c:spPr>
          </c:marker>
          <c:xVal>
            <c:numRef>
              <c:f>Data!$G$3:$G$13</c:f>
              <c:numCache>
                <c:formatCode>0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56.5</c:v>
                </c:pt>
                <c:pt idx="7">
                  <c:v>43.3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521-4842-BB95-CA365AB6B5C0}"/>
            </c:ext>
          </c:extLst>
        </c:ser>
        <c:ser>
          <c:idx val="5"/>
          <c:order val="5"/>
          <c:tx>
            <c:strRef>
              <c:f>Data!$H$2</c:f>
              <c:strCache>
                <c:ptCount val="1"/>
                <c:pt idx="0">
                  <c:v>GCP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1A8A9E"/>
              </a:solidFill>
              <a:ln>
                <a:solidFill>
                  <a:srgbClr val="1A8A9E"/>
                </a:solidFill>
                <a:prstDash val="solid"/>
              </a:ln>
            </c:spPr>
          </c:marker>
          <c:xVal>
            <c:numRef>
              <c:f>Data!$H$3:$H$13</c:f>
              <c:numCache>
                <c:formatCode>0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58.67</c:v>
                </c:pt>
                <c:pt idx="7">
                  <c:v>43.55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21-4842-BB95-CA365AB6B5C0}"/>
            </c:ext>
          </c:extLst>
        </c:ser>
        <c:ser>
          <c:idx val="6"/>
          <c:order val="6"/>
          <c:tx>
            <c:strRef>
              <c:f>Data!$I$2</c:f>
              <c:strCache>
                <c:ptCount val="1"/>
                <c:pt idx="0">
                  <c:v>EDGAR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CC8E00"/>
              </a:solidFill>
              <a:ln>
                <a:solidFill>
                  <a:srgbClr val="CC8E00"/>
                </a:solidFill>
                <a:prstDash val="solid"/>
              </a:ln>
            </c:spPr>
          </c:marker>
          <c:xVal>
            <c:numRef>
              <c:f>Data!$I$3:$I$13</c:f>
              <c:numCache>
                <c:formatCode>0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521-4842-BB95-CA365AB6B5C0}"/>
            </c:ext>
          </c:extLst>
        </c:ser>
        <c:ser>
          <c:idx val="7"/>
          <c:order val="7"/>
          <c:tx>
            <c:strRef>
              <c:f>Data!$J$2</c:f>
              <c:strCache>
                <c:ptCount val="1"/>
                <c:pt idx="0">
                  <c:v>Climate Watch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5DBDD0"/>
              </a:solidFill>
              <a:ln>
                <a:solidFill>
                  <a:srgbClr val="5DBDD0"/>
                </a:solidFill>
                <a:prstDash val="solid"/>
              </a:ln>
            </c:spPr>
          </c:marker>
          <c:xVal>
            <c:numRef>
              <c:f>Data!$J$3:$J$13</c:f>
              <c:numCache>
                <c:formatCode>0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521-4842-BB95-CA365AB6B5C0}"/>
            </c:ext>
          </c:extLst>
        </c:ser>
        <c:ser>
          <c:idx val="8"/>
          <c:order val="8"/>
          <c:tx>
            <c:strRef>
              <c:f>Data!$K$2</c:f>
              <c:strCache>
                <c:ptCount val="1"/>
                <c:pt idx="0">
                  <c:v>GMST</c:v>
                </c:pt>
              </c:strCache>
            </c:strRef>
          </c:tx>
          <c:spPr>
            <a:ln w="38100">
              <a:noFill/>
            </a:ln>
          </c:spPr>
          <c:marker>
            <c:symbol val="square"/>
            <c:size val="11"/>
            <c:spPr>
              <a:noFill/>
              <a:ln>
                <a:solidFill>
                  <a:srgbClr val="5B8C96"/>
                </a:solidFill>
                <a:prstDash val="solid"/>
              </a:ln>
            </c:spPr>
          </c:marker>
          <c:xVal>
            <c:numRef>
              <c:f>Data!$K$3:$K$13</c:f>
              <c:numCache>
                <c:formatCode>0</c:formatCode>
                <c:ptCount val="11"/>
                <c:pt idx="0">
                  <c:v>63.28</c:v>
                </c:pt>
                <c:pt idx="1">
                  <c:v>49.05</c:v>
                </c:pt>
                <c:pt idx="2">
                  <c:v>#N/A</c:v>
                </c:pt>
                <c:pt idx="3">
                  <c:v>57.98</c:v>
                </c:pt>
                <c:pt idx="4">
                  <c:v>44.05</c:v>
                </c:pt>
                <c:pt idx="5">
                  <c:v>#N/A</c:v>
                </c:pt>
                <c:pt idx="6">
                  <c:v>57.31</c:v>
                </c:pt>
                <c:pt idx="7">
                  <c:v>43.13</c:v>
                </c:pt>
                <c:pt idx="8">
                  <c:v>#N/A</c:v>
                </c:pt>
                <c:pt idx="9">
                  <c:v>52.11</c:v>
                </c:pt>
                <c:pt idx="10">
                  <c:v>39.01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521-4842-BB95-CA365AB6B5C0}"/>
            </c:ext>
          </c:extLst>
        </c:ser>
        <c:ser>
          <c:idx val="9"/>
          <c:order val="9"/>
          <c:tx>
            <c:v>_Labels</c:v>
          </c:tx>
          <c:spPr>
            <a:ln w="38100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CO</a:t>
                    </a:r>
                    <a:r>
                      <a:rPr lang="en-US" baseline="-25000"/>
                      <a:t>2</a:t>
                    </a:r>
                    <a:r>
                      <a:rPr lang="en-US"/>
                      <a:t> excl. LULUCF — Annex 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00814209908358"/>
                      <c:h val="6.8869668784500751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A-A521-4842-BB95-CA365AB6B5C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CO</a:t>
                    </a:r>
                    <a:r>
                      <a:rPr lang="en-US" baseline="-25000"/>
                      <a:t>2</a:t>
                    </a:r>
                    <a:r>
                      <a:rPr lang="en-US"/>
                      <a:t> excl. LULUCF — Annex II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00814209908358"/>
                      <c:h val="6.8869668784500751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B-A521-4842-BB95-CA365AB6B5C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A521-4842-BB95-CA365AB6B5C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All GHG excl. LULUCF — Annex 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827989150112567"/>
                      <c:h val="6.8869668784500751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D-A521-4842-BB95-CA365AB6B5C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All GHG excl. LULUCF — Annex II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42374834140757"/>
                      <c:h val="6.8869668784500751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E-A521-4842-BB95-CA365AB6B5C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A521-4842-BB95-CA365AB6B5C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CO</a:t>
                    </a:r>
                    <a:r>
                      <a:rPr lang="en-US" baseline="-25000"/>
                      <a:t>2</a:t>
                    </a:r>
                    <a:r>
                      <a:rPr lang="en-US"/>
                      <a:t> incl. LULUCF — Annex 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08592436422275"/>
                      <c:h val="6.8869668784500751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0-A521-4842-BB95-CA365AB6B5C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CO</a:t>
                    </a:r>
                    <a:r>
                      <a:rPr lang="en-US" baseline="-25000"/>
                      <a:t>2</a:t>
                    </a:r>
                    <a:r>
                      <a:rPr lang="en-US"/>
                      <a:t> incl. LULUCF — Annex II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7153868019456"/>
                      <c:h val="6.8869668784500751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1-A521-4842-BB95-CA365AB6B5C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A521-4842-BB95-CA365AB6B5C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All GHG incl. LULUCF — Annex 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134533776561346"/>
                      <c:h val="6.8869668784500751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3-A521-4842-BB95-CA365AB6B5C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All GHG incl. LULUCF — Annex II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134533776561346"/>
                      <c:h val="6.8869668784500751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4-A521-4842-BB95-CA365AB6B5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r">
                  <a:defRPr sz="1400">
                    <a:solidFill>
                      <a:srgbClr val="333333"/>
                    </a:solidFill>
                    <a:latin typeface="Sofia Pro"/>
                    <a:ea typeface="Sofia Pro"/>
                    <a:cs typeface="Sofia Pro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Data!$N$3:$N$13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521-4842-BB95-CA365AB6B5C0}"/>
            </c:ext>
          </c:extLst>
        </c:ser>
        <c:ser>
          <c:idx val="10"/>
          <c:order val="10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Data!$P$3:$Q$3</c:f>
              <c:numCache>
                <c:formatCode>General</c:formatCode>
                <c:ptCount val="2"/>
                <c:pt idx="0">
                  <c:v>63.26</c:v>
                </c:pt>
                <c:pt idx="1">
                  <c:v>63.53</c:v>
                </c:pt>
              </c:numCache>
            </c:numRef>
          </c:xVal>
          <c:yVal>
            <c:numRef>
              <c:f>Data!$R$3:$S$3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521-4842-BB95-CA365AB6B5C0}"/>
            </c:ext>
          </c:extLst>
        </c:ser>
        <c:ser>
          <c:idx val="11"/>
          <c:order val="11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Data!$P$4:$Q$4</c:f>
              <c:numCache>
                <c:formatCode>General</c:formatCode>
                <c:ptCount val="2"/>
                <c:pt idx="0">
                  <c:v>48.95</c:v>
                </c:pt>
                <c:pt idx="1">
                  <c:v>49.04</c:v>
                </c:pt>
              </c:numCache>
            </c:numRef>
          </c:xVal>
          <c:yVal>
            <c:numRef>
              <c:f>Data!$R$4:$S$4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521-4842-BB95-CA365AB6B5C0}"/>
            </c:ext>
          </c:extLst>
        </c:ser>
        <c:ser>
          <c:idx val="12"/>
          <c:order val="12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Data!$P$5:$Q$5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xVal>
          <c:yVal>
            <c:numRef>
              <c:f>Data!$R$5:$S$5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521-4842-BB95-CA365AB6B5C0}"/>
            </c:ext>
          </c:extLst>
        </c:ser>
        <c:ser>
          <c:idx val="13"/>
          <c:order val="13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Data!$P$6:$Q$6</c:f>
              <c:numCache>
                <c:formatCode>General</c:formatCode>
                <c:ptCount val="2"/>
                <c:pt idx="0">
                  <c:v>59.57</c:v>
                </c:pt>
                <c:pt idx="1">
                  <c:v>61.2</c:v>
                </c:pt>
              </c:numCache>
            </c:numRef>
          </c:xVal>
          <c:yVal>
            <c:numRef>
              <c:f>Data!$R$6:$S$6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521-4842-BB95-CA365AB6B5C0}"/>
            </c:ext>
          </c:extLst>
        </c:ser>
        <c:ser>
          <c:idx val="14"/>
          <c:order val="14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Data!$P$7:$Q$7</c:f>
              <c:numCache>
                <c:formatCode>General</c:formatCode>
                <c:ptCount val="2"/>
                <c:pt idx="0">
                  <c:v>45.44</c:v>
                </c:pt>
                <c:pt idx="1">
                  <c:v>46.92</c:v>
                </c:pt>
              </c:numCache>
            </c:numRef>
          </c:xVal>
          <c:yVal>
            <c:numRef>
              <c:f>Data!$R$7:$S$7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521-4842-BB95-CA365AB6B5C0}"/>
            </c:ext>
          </c:extLst>
        </c:ser>
        <c:ser>
          <c:idx val="15"/>
          <c:order val="15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Data!$P$8:$Q$8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xVal>
          <c:yVal>
            <c:numRef>
              <c:f>Data!$R$8:$S$8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521-4842-BB95-CA365AB6B5C0}"/>
            </c:ext>
          </c:extLst>
        </c:ser>
        <c:ser>
          <c:idx val="16"/>
          <c:order val="16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Data!$P$9:$Q$9</c:f>
              <c:numCache>
                <c:formatCode>General</c:formatCode>
                <c:ptCount val="2"/>
                <c:pt idx="0">
                  <c:v>56.5</c:v>
                </c:pt>
                <c:pt idx="1">
                  <c:v>58.67</c:v>
                </c:pt>
              </c:numCache>
            </c:numRef>
          </c:xVal>
          <c:yVal>
            <c:numRef>
              <c:f>Data!$R$9:$S$9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521-4842-BB95-CA365AB6B5C0}"/>
            </c:ext>
          </c:extLst>
        </c:ser>
        <c:ser>
          <c:idx val="17"/>
          <c:order val="17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Data!$P$10:$Q$10</c:f>
              <c:numCache>
                <c:formatCode>General</c:formatCode>
                <c:ptCount val="2"/>
                <c:pt idx="0">
                  <c:v>42.6</c:v>
                </c:pt>
                <c:pt idx="1">
                  <c:v>45.41</c:v>
                </c:pt>
              </c:numCache>
            </c:numRef>
          </c:xVal>
          <c:yVal>
            <c:numRef>
              <c:f>Data!$R$10:$S$10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521-4842-BB95-CA365AB6B5C0}"/>
            </c:ext>
          </c:extLst>
        </c:ser>
        <c:ser>
          <c:idx val="18"/>
          <c:order val="18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Data!$P$11:$Q$11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xVal>
          <c:yVal>
            <c:numRef>
              <c:f>Data!$R$11:$S$11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521-4842-BB95-CA365AB6B5C0}"/>
            </c:ext>
          </c:extLst>
        </c:ser>
        <c:ser>
          <c:idx val="19"/>
          <c:order val="19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Data!$P$12:$Q$12</c:f>
              <c:numCache>
                <c:formatCode>General</c:formatCode>
                <c:ptCount val="2"/>
                <c:pt idx="0">
                  <c:v>55.07</c:v>
                </c:pt>
                <c:pt idx="1">
                  <c:v>56.01</c:v>
                </c:pt>
              </c:numCache>
            </c:numRef>
          </c:xVal>
          <c:yVal>
            <c:numRef>
              <c:f>Data!$R$12:$S$12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A521-4842-BB95-CA365AB6B5C0}"/>
            </c:ext>
          </c:extLst>
        </c:ser>
        <c:ser>
          <c:idx val="20"/>
          <c:order val="20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Data!$P$13:$Q$13</c:f>
              <c:numCache>
                <c:formatCode>General</c:formatCode>
                <c:ptCount val="2"/>
                <c:pt idx="0">
                  <c:v>41.21</c:v>
                </c:pt>
                <c:pt idx="1">
                  <c:v>43.6</c:v>
                </c:pt>
              </c:numCache>
            </c:numRef>
          </c:xVal>
          <c:yVal>
            <c:numRef>
              <c:f>Data!$R$13:$S$13</c:f>
              <c:numCache>
                <c:formatCode>General</c:formatCode>
                <c:ptCount val="2"/>
                <c:pt idx="0">
                  <c:v>11</c:v>
                </c:pt>
                <c:pt idx="1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521-4842-BB95-CA365AB6B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747999"/>
        <c:axId val="2112748479"/>
      </c:scatterChart>
      <c:valAx>
        <c:axId val="2112747999"/>
        <c:scaling>
          <c:orientation val="minMax"/>
          <c:max val="100"/>
          <c:min val="0"/>
        </c:scaling>
        <c:delete val="0"/>
        <c:axPos val="b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Sofia Pro"/>
                    <a:ea typeface="Sofia Pro"/>
                    <a:cs typeface="Sofia Pro"/>
                  </a:defRPr>
                </a:pPr>
                <a:r>
                  <a:rPr lang="en-GB" sz="1400"/>
                  <a:t>Share of cumulative emissions (%) or of contribution to rise in GMST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2112748479"/>
        <c:crosses val="autoZero"/>
        <c:crossBetween val="midCat"/>
        <c:majorUnit val="10"/>
      </c:valAx>
      <c:valAx>
        <c:axId val="2112748479"/>
        <c:scaling>
          <c:orientation val="minMax"/>
          <c:max val="12"/>
          <c:min val="0"/>
        </c:scaling>
        <c:delete val="0"/>
        <c:axPos val="l"/>
        <c:numFmt formatCode=";;;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2112747999"/>
        <c:crosses val="autoZero"/>
        <c:crossBetween val="midCat"/>
        <c:majorUnit val="1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ayout>
        <c:manualLayout>
          <c:xMode val="edge"/>
          <c:yMode val="edge"/>
          <c:x val="0.34386705393276001"/>
          <c:y val="4.0490858436695226E-2"/>
          <c:w val="0.34772536411575183"/>
          <c:h val="3.7542275589016537E-2"/>
        </c:manualLayout>
      </c:layout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F3F335-6F85-FF58-32C6-3BDBB2072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E1753-9382-40C8-BEBA-42E38DC2FE83}">
  <sheetPr>
    <tabColor rgb="FF0B4C5B"/>
  </sheetPr>
  <dimension ref="A1:S13"/>
  <sheetViews>
    <sheetView workbookViewId="0"/>
  </sheetViews>
  <sheetFormatPr defaultRowHeight="14.5" x14ac:dyDescent="0.35"/>
  <cols>
    <col min="1" max="1" width="5.7265625" bestFit="1" customWidth="1"/>
    <col min="2" max="2" width="32.6328125" customWidth="1"/>
    <col min="3" max="3" width="6.36328125" bestFit="1" customWidth="1"/>
    <col min="4" max="4" width="6.6328125" bestFit="1" customWidth="1"/>
    <col min="5" max="5" width="6.54296875" bestFit="1" customWidth="1"/>
    <col min="6" max="6" width="6.7265625" bestFit="1" customWidth="1"/>
    <col min="7" max="7" width="8.36328125" bestFit="1" customWidth="1"/>
    <col min="8" max="15" width="11.6328125" customWidth="1"/>
  </cols>
  <sheetData>
    <row r="1" spans="1:19" ht="30" customHeight="1" x14ac:dyDescent="0.35">
      <c r="A1" s="12" t="s">
        <v>20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x14ac:dyDescent="0.35">
      <c r="A2" s="1" t="s">
        <v>0</v>
      </c>
      <c r="B2" s="1" t="s">
        <v>1</v>
      </c>
      <c r="C2" s="1" t="s">
        <v>14</v>
      </c>
      <c r="D2" s="1" t="s">
        <v>15</v>
      </c>
      <c r="E2" s="1" t="s">
        <v>16</v>
      </c>
      <c r="F2" s="1" t="s">
        <v>16</v>
      </c>
      <c r="G2" s="3" t="s">
        <v>16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</v>
      </c>
      <c r="M2" s="2" t="s">
        <v>3</v>
      </c>
      <c r="N2" s="2" t="s">
        <v>4</v>
      </c>
      <c r="O2" s="2" t="s">
        <v>5</v>
      </c>
    </row>
    <row r="3" spans="1:19" x14ac:dyDescent="0.35">
      <c r="A3" s="5">
        <v>1</v>
      </c>
      <c r="B3" s="5" t="s">
        <v>6</v>
      </c>
      <c r="C3" s="8">
        <v>63.26</v>
      </c>
      <c r="D3" s="8">
        <v>63.53</v>
      </c>
      <c r="E3" s="8">
        <v>63.27</v>
      </c>
      <c r="F3" s="8" t="e">
        <f>NA()</f>
        <v>#N/A</v>
      </c>
      <c r="G3" s="8" t="e">
        <f>NA()</f>
        <v>#N/A</v>
      </c>
      <c r="H3" s="8" t="e">
        <f>NA()</f>
        <v>#N/A</v>
      </c>
      <c r="I3" s="8" t="e">
        <f>NA()</f>
        <v>#N/A</v>
      </c>
      <c r="J3" s="8" t="e">
        <f>NA()</f>
        <v>#N/A</v>
      </c>
      <c r="K3" s="8">
        <v>63.28</v>
      </c>
      <c r="L3" s="5">
        <f t="shared" ref="L3:L13" si="0">IF(COUNT(C3:J3)&lt;=1,NA(),_xlfn.AGGREGATE(5,6,C3:J3))</f>
        <v>63.26</v>
      </c>
      <c r="M3" s="5">
        <f t="shared" ref="M3:M13" si="1">IF(COUNT(C3:J3)&lt;=1,0,_xlfn.AGGREGATE(4,6,C3:J3)-_xlfn.AGGREGATE(5,6,C3:J3))</f>
        <v>0.27000000000000313</v>
      </c>
      <c r="N3" s="5">
        <v>0</v>
      </c>
      <c r="O3" s="5">
        <f t="shared" ref="O3:O13" si="2">IF(ISNA(L3),NA(),L3+M3)</f>
        <v>63.53</v>
      </c>
      <c r="P3">
        <f t="shared" ref="P3:P13" si="3">IF(ISNA(L3),NA(),L3)</f>
        <v>63.26</v>
      </c>
      <c r="Q3">
        <f t="shared" ref="Q3:Q13" si="4">IF(ISNA(L3),NA(),O3)</f>
        <v>63.53</v>
      </c>
      <c r="R3">
        <f t="shared" ref="R3:R13" si="5">IF(ISNA(L3),NA(),A3)</f>
        <v>1</v>
      </c>
      <c r="S3">
        <f t="shared" ref="S3:S13" si="6">R3</f>
        <v>1</v>
      </c>
    </row>
    <row r="4" spans="1:19" x14ac:dyDescent="0.35">
      <c r="A4" s="4">
        <v>2</v>
      </c>
      <c r="B4" s="4" t="s">
        <v>7</v>
      </c>
      <c r="C4" s="9">
        <v>49.03</v>
      </c>
      <c r="D4" s="9">
        <v>48.95</v>
      </c>
      <c r="E4" s="9">
        <v>49.04</v>
      </c>
      <c r="F4" s="9" t="e">
        <f>NA()</f>
        <v>#N/A</v>
      </c>
      <c r="G4" s="9" t="e">
        <f>NA()</f>
        <v>#N/A</v>
      </c>
      <c r="H4" s="8" t="e">
        <f>NA()</f>
        <v>#N/A</v>
      </c>
      <c r="I4" s="8" t="e">
        <f>NA()</f>
        <v>#N/A</v>
      </c>
      <c r="J4" s="8" t="e">
        <f>NA()</f>
        <v>#N/A</v>
      </c>
      <c r="K4" s="8">
        <v>49.05</v>
      </c>
      <c r="L4" s="5">
        <f t="shared" si="0"/>
        <v>48.95</v>
      </c>
      <c r="M4" s="5">
        <f t="shared" si="1"/>
        <v>8.9999999999996305E-2</v>
      </c>
      <c r="N4" s="5">
        <v>0</v>
      </c>
      <c r="O4" s="5">
        <f t="shared" si="2"/>
        <v>49.04</v>
      </c>
      <c r="P4">
        <f t="shared" si="3"/>
        <v>48.95</v>
      </c>
      <c r="Q4">
        <f t="shared" si="4"/>
        <v>49.04</v>
      </c>
      <c r="R4">
        <f t="shared" si="5"/>
        <v>2</v>
      </c>
      <c r="S4">
        <f t="shared" si="6"/>
        <v>2</v>
      </c>
    </row>
    <row r="5" spans="1:19" x14ac:dyDescent="0.35">
      <c r="A5" s="5">
        <v>3</v>
      </c>
      <c r="B5" s="5"/>
      <c r="C5" s="8" t="e">
        <f>NA()</f>
        <v>#N/A</v>
      </c>
      <c r="D5" s="8" t="e">
        <f>NA()</f>
        <v>#N/A</v>
      </c>
      <c r="E5" s="8" t="e">
        <f>NA()</f>
        <v>#N/A</v>
      </c>
      <c r="F5" s="8" t="e">
        <f>NA()</f>
        <v>#N/A</v>
      </c>
      <c r="G5" s="8" t="e">
        <f>NA()</f>
        <v>#N/A</v>
      </c>
      <c r="H5" s="8" t="e">
        <f>NA()</f>
        <v>#N/A</v>
      </c>
      <c r="I5" s="8" t="e">
        <f>NA()</f>
        <v>#N/A</v>
      </c>
      <c r="J5" s="8" t="e">
        <f>NA()</f>
        <v>#N/A</v>
      </c>
      <c r="K5" s="8" t="e">
        <f>NA()</f>
        <v>#N/A</v>
      </c>
      <c r="L5" s="5" t="e">
        <f t="shared" si="0"/>
        <v>#N/A</v>
      </c>
      <c r="M5" s="5">
        <f t="shared" si="1"/>
        <v>0</v>
      </c>
      <c r="N5" s="5">
        <v>0</v>
      </c>
      <c r="O5" s="5" t="e">
        <f t="shared" si="2"/>
        <v>#N/A</v>
      </c>
      <c r="P5" t="e">
        <f t="shared" si="3"/>
        <v>#N/A</v>
      </c>
      <c r="Q5" t="e">
        <f t="shared" si="4"/>
        <v>#N/A</v>
      </c>
      <c r="R5" t="e">
        <f t="shared" si="5"/>
        <v>#N/A</v>
      </c>
      <c r="S5" t="e">
        <f t="shared" si="6"/>
        <v>#N/A</v>
      </c>
    </row>
    <row r="6" spans="1:19" x14ac:dyDescent="0.35">
      <c r="A6" s="4">
        <v>4</v>
      </c>
      <c r="B6" s="4" t="s">
        <v>8</v>
      </c>
      <c r="C6" s="9">
        <v>61.2</v>
      </c>
      <c r="D6" s="9">
        <v>59.57</v>
      </c>
      <c r="E6" s="9" t="e">
        <f>NA()</f>
        <v>#N/A</v>
      </c>
      <c r="F6" s="9" t="e">
        <f>NA()</f>
        <v>#N/A</v>
      </c>
      <c r="G6" s="9" t="e">
        <f>NA()</f>
        <v>#N/A</v>
      </c>
      <c r="H6" s="8" t="e">
        <f>NA()</f>
        <v>#N/A</v>
      </c>
      <c r="I6" s="8" t="e">
        <f>NA()</f>
        <v>#N/A</v>
      </c>
      <c r="J6" s="8" t="e">
        <f>NA()</f>
        <v>#N/A</v>
      </c>
      <c r="K6" s="8">
        <v>57.98</v>
      </c>
      <c r="L6" s="5">
        <f t="shared" si="0"/>
        <v>59.57</v>
      </c>
      <c r="M6" s="5">
        <f t="shared" si="1"/>
        <v>1.6300000000000026</v>
      </c>
      <c r="N6" s="5">
        <v>0</v>
      </c>
      <c r="O6" s="5">
        <f t="shared" si="2"/>
        <v>61.2</v>
      </c>
      <c r="P6">
        <f t="shared" si="3"/>
        <v>59.57</v>
      </c>
      <c r="Q6">
        <f t="shared" si="4"/>
        <v>61.2</v>
      </c>
      <c r="R6">
        <f t="shared" si="5"/>
        <v>4</v>
      </c>
      <c r="S6">
        <f t="shared" si="6"/>
        <v>4</v>
      </c>
    </row>
    <row r="7" spans="1:19" x14ac:dyDescent="0.35">
      <c r="A7" s="5">
        <v>5</v>
      </c>
      <c r="B7" s="5" t="s">
        <v>9</v>
      </c>
      <c r="C7" s="8">
        <v>46.92</v>
      </c>
      <c r="D7" s="8">
        <v>45.44</v>
      </c>
      <c r="E7" s="8" t="e">
        <f>NA()</f>
        <v>#N/A</v>
      </c>
      <c r="F7" s="8" t="e">
        <f>NA()</f>
        <v>#N/A</v>
      </c>
      <c r="G7" s="8" t="e">
        <f>NA()</f>
        <v>#N/A</v>
      </c>
      <c r="H7" s="8" t="e">
        <f>NA()</f>
        <v>#N/A</v>
      </c>
      <c r="I7" s="8" t="e">
        <f>NA()</f>
        <v>#N/A</v>
      </c>
      <c r="J7" s="8" t="e">
        <f>NA()</f>
        <v>#N/A</v>
      </c>
      <c r="K7" s="8">
        <v>44.05</v>
      </c>
      <c r="L7" s="5">
        <f t="shared" si="0"/>
        <v>45.44</v>
      </c>
      <c r="M7" s="5">
        <f t="shared" si="1"/>
        <v>1.480000000000004</v>
      </c>
      <c r="N7" s="5">
        <v>0</v>
      </c>
      <c r="O7" s="5">
        <f t="shared" si="2"/>
        <v>46.92</v>
      </c>
      <c r="P7">
        <f t="shared" si="3"/>
        <v>45.44</v>
      </c>
      <c r="Q7">
        <f t="shared" si="4"/>
        <v>46.92</v>
      </c>
      <c r="R7">
        <f t="shared" si="5"/>
        <v>5</v>
      </c>
      <c r="S7">
        <f t="shared" si="6"/>
        <v>5</v>
      </c>
    </row>
    <row r="8" spans="1:19" x14ac:dyDescent="0.35">
      <c r="A8" s="4">
        <v>6</v>
      </c>
      <c r="B8" s="4"/>
      <c r="C8" s="9" t="e">
        <f>NA()</f>
        <v>#N/A</v>
      </c>
      <c r="D8" s="9" t="e">
        <f>NA()</f>
        <v>#N/A</v>
      </c>
      <c r="E8" s="9" t="e">
        <f>NA()</f>
        <v>#N/A</v>
      </c>
      <c r="F8" s="9" t="e">
        <f>NA()</f>
        <v>#N/A</v>
      </c>
      <c r="G8" s="9" t="e">
        <f>NA()</f>
        <v>#N/A</v>
      </c>
      <c r="H8" s="8" t="e">
        <f>NA()</f>
        <v>#N/A</v>
      </c>
      <c r="I8" s="8" t="e">
        <f>NA()</f>
        <v>#N/A</v>
      </c>
      <c r="J8" s="8" t="e">
        <f>NA()</f>
        <v>#N/A</v>
      </c>
      <c r="K8" s="8" t="e">
        <f>NA()</f>
        <v>#N/A</v>
      </c>
      <c r="L8" s="5" t="e">
        <f t="shared" si="0"/>
        <v>#N/A</v>
      </c>
      <c r="M8" s="5">
        <f t="shared" si="1"/>
        <v>0</v>
      </c>
      <c r="N8" s="5">
        <v>0</v>
      </c>
      <c r="O8" s="5" t="e">
        <f t="shared" si="2"/>
        <v>#N/A</v>
      </c>
      <c r="P8" t="e">
        <f t="shared" si="3"/>
        <v>#N/A</v>
      </c>
      <c r="Q8" t="e">
        <f t="shared" si="4"/>
        <v>#N/A</v>
      </c>
      <c r="R8" t="e">
        <f t="shared" si="5"/>
        <v>#N/A</v>
      </c>
      <c r="S8" t="e">
        <f t="shared" si="6"/>
        <v>#N/A</v>
      </c>
    </row>
    <row r="9" spans="1:19" x14ac:dyDescent="0.35">
      <c r="A9" s="5">
        <v>7</v>
      </c>
      <c r="B9" s="5" t="s">
        <v>10</v>
      </c>
      <c r="C9" s="8">
        <v>56.77</v>
      </c>
      <c r="D9" s="8">
        <v>57.65</v>
      </c>
      <c r="E9" s="8" t="e">
        <f>NA()</f>
        <v>#N/A</v>
      </c>
      <c r="F9" s="8">
        <v>56.78</v>
      </c>
      <c r="G9" s="8">
        <v>56.5</v>
      </c>
      <c r="H9" s="8">
        <v>58.67</v>
      </c>
      <c r="I9" s="8" t="e">
        <f>NA()</f>
        <v>#N/A</v>
      </c>
      <c r="J9" s="8" t="e">
        <f>NA()</f>
        <v>#N/A</v>
      </c>
      <c r="K9" s="8">
        <v>57.31</v>
      </c>
      <c r="L9" s="5">
        <f t="shared" si="0"/>
        <v>56.5</v>
      </c>
      <c r="M9" s="5">
        <f t="shared" si="1"/>
        <v>2.1700000000000017</v>
      </c>
      <c r="N9" s="5">
        <v>0</v>
      </c>
      <c r="O9" s="5">
        <f t="shared" si="2"/>
        <v>58.67</v>
      </c>
      <c r="P9">
        <f t="shared" si="3"/>
        <v>56.5</v>
      </c>
      <c r="Q9">
        <f t="shared" si="4"/>
        <v>58.67</v>
      </c>
      <c r="R9">
        <f t="shared" si="5"/>
        <v>7</v>
      </c>
      <c r="S9">
        <f t="shared" si="6"/>
        <v>7</v>
      </c>
    </row>
    <row r="10" spans="1:19" x14ac:dyDescent="0.35">
      <c r="A10" s="4">
        <v>8</v>
      </c>
      <c r="B10" s="4" t="s">
        <v>11</v>
      </c>
      <c r="C10" s="9">
        <v>42.6</v>
      </c>
      <c r="D10" s="9">
        <v>45.41</v>
      </c>
      <c r="E10" s="9" t="e">
        <f>NA()</f>
        <v>#N/A</v>
      </c>
      <c r="F10" s="9">
        <v>42.61</v>
      </c>
      <c r="G10" s="9">
        <v>43.3</v>
      </c>
      <c r="H10" s="8">
        <v>43.55</v>
      </c>
      <c r="I10" s="8" t="e">
        <f>NA()</f>
        <v>#N/A</v>
      </c>
      <c r="J10" s="8" t="e">
        <f>NA()</f>
        <v>#N/A</v>
      </c>
      <c r="K10" s="8">
        <v>43.13</v>
      </c>
      <c r="L10" s="5">
        <f t="shared" si="0"/>
        <v>42.6</v>
      </c>
      <c r="M10" s="5">
        <f t="shared" si="1"/>
        <v>2.8099999999999952</v>
      </c>
      <c r="N10" s="5">
        <v>0</v>
      </c>
      <c r="O10" s="5">
        <f t="shared" si="2"/>
        <v>45.41</v>
      </c>
      <c r="P10">
        <f t="shared" si="3"/>
        <v>42.6</v>
      </c>
      <c r="Q10">
        <f t="shared" si="4"/>
        <v>45.41</v>
      </c>
      <c r="R10">
        <f t="shared" si="5"/>
        <v>8</v>
      </c>
      <c r="S10">
        <f t="shared" si="6"/>
        <v>8</v>
      </c>
    </row>
    <row r="11" spans="1:19" x14ac:dyDescent="0.35">
      <c r="A11">
        <v>9</v>
      </c>
      <c r="C11" s="10" t="e">
        <f>NA()</f>
        <v>#N/A</v>
      </c>
      <c r="D11" s="10" t="e">
        <f>NA()</f>
        <v>#N/A</v>
      </c>
      <c r="E11" s="10" t="e">
        <f>NA()</f>
        <v>#N/A</v>
      </c>
      <c r="F11" s="10" t="e">
        <f>NA()</f>
        <v>#N/A</v>
      </c>
      <c r="G11" s="10" t="e">
        <f>NA()</f>
        <v>#N/A</v>
      </c>
      <c r="H11" s="10" t="e">
        <f>NA()</f>
        <v>#N/A</v>
      </c>
      <c r="I11" s="10" t="e">
        <f>NA()</f>
        <v>#N/A</v>
      </c>
      <c r="J11" s="10" t="e">
        <f>NA()</f>
        <v>#N/A</v>
      </c>
      <c r="K11" s="10" t="e">
        <f>NA()</f>
        <v>#N/A</v>
      </c>
      <c r="L11" t="e">
        <f t="shared" si="0"/>
        <v>#N/A</v>
      </c>
      <c r="M11">
        <f t="shared" si="1"/>
        <v>0</v>
      </c>
      <c r="N11">
        <v>0</v>
      </c>
      <c r="O11" t="e">
        <f t="shared" si="2"/>
        <v>#N/A</v>
      </c>
      <c r="P11" t="e">
        <f t="shared" si="3"/>
        <v>#N/A</v>
      </c>
      <c r="Q11" t="e">
        <f t="shared" si="4"/>
        <v>#N/A</v>
      </c>
      <c r="R11" t="e">
        <f t="shared" si="5"/>
        <v>#N/A</v>
      </c>
      <c r="S11" t="e">
        <f t="shared" si="6"/>
        <v>#N/A</v>
      </c>
    </row>
    <row r="12" spans="1:19" ht="48" customHeight="1" x14ac:dyDescent="0.35">
      <c r="A12" s="6">
        <v>10</v>
      </c>
      <c r="B12" s="7" t="s">
        <v>12</v>
      </c>
      <c r="C12" s="11">
        <v>55.07</v>
      </c>
      <c r="D12" s="11">
        <v>56.01</v>
      </c>
      <c r="E12" s="11" t="e">
        <f>NA()</f>
        <v>#N/A</v>
      </c>
      <c r="F12" s="11" t="e">
        <f>NA()</f>
        <v>#N/A</v>
      </c>
      <c r="G12" s="11" t="e">
        <f>NA()</f>
        <v>#N/A</v>
      </c>
      <c r="H12" s="11" t="e">
        <f>NA()</f>
        <v>#N/A</v>
      </c>
      <c r="I12" s="11" t="e">
        <f>NA()</f>
        <v>#N/A</v>
      </c>
      <c r="J12" s="11" t="e">
        <f>NA()</f>
        <v>#N/A</v>
      </c>
      <c r="K12" s="11">
        <v>52.11</v>
      </c>
      <c r="L12" s="7">
        <f t="shared" si="0"/>
        <v>55.07</v>
      </c>
      <c r="M12" s="7">
        <f t="shared" si="1"/>
        <v>0.93999999999999773</v>
      </c>
      <c r="N12" s="7">
        <v>0</v>
      </c>
      <c r="O12" s="7">
        <f t="shared" si="2"/>
        <v>56.01</v>
      </c>
      <c r="P12">
        <f t="shared" si="3"/>
        <v>55.07</v>
      </c>
      <c r="Q12">
        <f t="shared" si="4"/>
        <v>56.01</v>
      </c>
      <c r="R12">
        <f t="shared" si="5"/>
        <v>10</v>
      </c>
      <c r="S12">
        <f t="shared" si="6"/>
        <v>10</v>
      </c>
    </row>
    <row r="13" spans="1:19" x14ac:dyDescent="0.35">
      <c r="A13">
        <v>11</v>
      </c>
      <c r="B13" t="s">
        <v>13</v>
      </c>
      <c r="C13" s="10">
        <v>41.21</v>
      </c>
      <c r="D13" s="10">
        <v>43.6</v>
      </c>
      <c r="E13" s="10" t="e">
        <f>NA()</f>
        <v>#N/A</v>
      </c>
      <c r="F13" s="10" t="e">
        <f>NA()</f>
        <v>#N/A</v>
      </c>
      <c r="G13" s="10" t="e">
        <f>NA()</f>
        <v>#N/A</v>
      </c>
      <c r="H13" s="10" t="e">
        <f>NA()</f>
        <v>#N/A</v>
      </c>
      <c r="I13" s="10" t="e">
        <f>NA()</f>
        <v>#N/A</v>
      </c>
      <c r="J13" s="10" t="e">
        <f>NA()</f>
        <v>#N/A</v>
      </c>
      <c r="K13" s="10">
        <v>39.01</v>
      </c>
      <c r="L13">
        <f t="shared" si="0"/>
        <v>41.21</v>
      </c>
      <c r="M13">
        <f t="shared" si="1"/>
        <v>2.3900000000000006</v>
      </c>
      <c r="N13">
        <v>0</v>
      </c>
      <c r="O13">
        <f t="shared" si="2"/>
        <v>43.6</v>
      </c>
      <c r="P13">
        <f t="shared" si="3"/>
        <v>41.21</v>
      </c>
      <c r="Q13">
        <f t="shared" si="4"/>
        <v>43.6</v>
      </c>
      <c r="R13">
        <f t="shared" si="5"/>
        <v>11</v>
      </c>
      <c r="S13">
        <f t="shared" si="6"/>
        <v>11</v>
      </c>
    </row>
  </sheetData>
  <mergeCells count="1"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46B76-1240-4A36-806A-819D98C61B0F}">
  <sheetPr>
    <tabColor rgb="FFFFB52C"/>
  </sheetPr>
  <dimension ref="A1"/>
  <sheetViews>
    <sheetView tabSelected="1" zoomScale="85" zoomScaleNormal="85" workbookViewId="0">
      <selection activeCell="E1" sqref="E1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1ADAF7CDC05F468DC4656A04C1CC40" ma:contentTypeVersion="18" ma:contentTypeDescription="Create a new document." ma:contentTypeScope="" ma:versionID="28655e3f24d885ee784436a7f5e4a3c8">
  <xsd:schema xmlns:xsd="http://www.w3.org/2001/XMLSchema" xmlns:xs="http://www.w3.org/2001/XMLSchema" xmlns:p="http://schemas.microsoft.com/office/2006/metadata/properties" xmlns:ns2="06b04f7f-0f64-4a5e-bf04-53db9ee74c0c" xmlns:ns3="40aef5c5-d752-4158-9074-039719beadaa" targetNamespace="http://schemas.microsoft.com/office/2006/metadata/properties" ma:root="true" ma:fieldsID="e781938e59b70c2ee7f958117c5c3bb0" ns2:_="" ns3:_="">
    <xsd:import namespace="06b04f7f-0f64-4a5e-bf04-53db9ee74c0c"/>
    <xsd:import namespace="40aef5c5-d752-4158-9074-039719beada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b04f7f-0f64-4a5e-bf04-53db9ee74c0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735d8b-15eb-4829-8bca-35ad924c0e94}" ma:internalName="TaxCatchAll" ma:showField="CatchAllData" ma:web="06b04f7f-0f64-4a5e-bf04-53db9ee74c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ef5c5-d752-4158-9074-039719be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3b87d99-7d78-42b6-8830-566c1c7d09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b04f7f-0f64-4a5e-bf04-53db9ee74c0c" xsi:nil="true"/>
    <lcf76f155ced4ddcb4097134ff3c332f xmlns="40aef5c5-d752-4158-9074-039719beada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CE7A0E-F25B-4399-AE41-81389F61B1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b04f7f-0f64-4a5e-bf04-53db9ee74c0c"/>
    <ds:schemaRef ds:uri="40aef5c5-d752-4158-9074-039719be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023C9D-D172-4020-9D27-5D3930AEF091}">
  <ds:schemaRefs>
    <ds:schemaRef ds:uri="http://schemas.microsoft.com/office/2006/metadata/properties"/>
    <ds:schemaRef ds:uri="http://schemas.microsoft.com/office/infopath/2007/PartnerControls"/>
    <ds:schemaRef ds:uri="06b04f7f-0f64-4a5e-bf04-53db9ee74c0c"/>
    <ds:schemaRef ds:uri="40aef5c5-d752-4158-9074-039719beadaa"/>
  </ds:schemaRefs>
</ds:datastoreItem>
</file>

<file path=customXml/itemProps3.xml><?xml version="1.0" encoding="utf-8"?>
<ds:datastoreItem xmlns:ds="http://schemas.openxmlformats.org/officeDocument/2006/customXml" ds:itemID="{D5E25DF2-25A8-49CB-A045-01C981C6BF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Wickstead</dc:creator>
  <cp:lastModifiedBy>Edward Wickstead</cp:lastModifiedBy>
  <dcterms:created xsi:type="dcterms:W3CDTF">2026-04-30T13:53:38Z</dcterms:created>
  <dcterms:modified xsi:type="dcterms:W3CDTF">2026-07-27T10:23:45Z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0x010100FD1ADAF7CDC05F468DC4656A04C1CC40</vt:lpwstr>
  </property>
  <property fmtid="{D5CDD505-2E9C-101B-9397-08002B2CF9AE}" pid="3" name="MediaServiceImageTags">
    <vt:lpwstr/>
  </property>
</Properties>
</file>